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630" firstSheet="2" activeTab="1"/>
  </bookViews>
  <sheets>
    <sheet name="业务情况" sheetId="3" state="hidden" r:id="rId1"/>
    <sheet name="2026年-年度目标 " sheetId="13" r:id="rId2"/>
    <sheet name="2026年-周目标" sheetId="12" r:id="rId3"/>
    <sheet name="2026年-行业竞品跟踪" sheetId="17" r:id="rId4"/>
    <sheet name="GXG-日报" sheetId="10" state="hidden" r:id="rId5"/>
    <sheet name="Champion-日报" sheetId="21" state="hidden" r:id="rId6"/>
    <sheet name="GXG-直播明细" sheetId="14" state="hidden" r:id="rId7"/>
    <sheet name="DAZZLE-日报" sheetId="15" state="hidden" r:id="rId8"/>
    <sheet name="DAZZLE（视频号）-日报" sheetId="22" state="hidden" r:id="rId9"/>
    <sheet name="DAZZLE-直播明细" sheetId="16" state="hidden" r:id="rId10"/>
    <sheet name="女装-品类销售明细" sheetId="18" state="hidden" r:id="rId11"/>
    <sheet name="男装-品类销售明细" sheetId="20" state="hidden" r:id="rId12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11" hidden="1">'男装-品类销售明细'!$A$1:$K$2243</definedName>
    <definedName name="DATA1">#REF!</definedName>
    <definedName name="_Key2">'[2]DK TRD'!#REF!</definedName>
    <definedName name="DATA13">#REF!</definedName>
    <definedName name="层级">[3]筛选项!$B:$B</definedName>
    <definedName name="职位名称列表">[4]筛选项!$A:$A</definedName>
    <definedName name="DATA1" localSheetId="7">#REF!</definedName>
    <definedName name="DATA13" localSheetId="7">#REF!</definedName>
    <definedName name="_xlnm._FilterDatabase" localSheetId="10" hidden="1">'女装-品类销售明细'!$A$1:$K$721</definedName>
    <definedName name="_xlnm._FilterDatabase" localSheetId="6" hidden="1">'GXG-直播明细'!$A$1:$BC$62</definedName>
    <definedName name="DATA1" localSheetId="8">#REF!</definedName>
    <definedName name="DATA13" localSheetId="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<sst xmlns="http://schemas.openxmlformats.org/spreadsheetml/2006/main" count="11905" uniqueCount="842">
  <si>
    <t>Douyin weekly report 
Sales Performance（3.11-3.17）</t>
  </si>
  <si>
    <t>Date</t>
  </si>
  <si>
    <t>GMV</t>
  </si>
  <si>
    <t>Activity (h)</t>
  </si>
  <si>
    <t>Live room GMV</t>
  </si>
  <si>
    <t>Live room
GMV/hour</t>
  </si>
  <si>
    <t>UV</t>
  </si>
  <si>
    <t>短视频UV</t>
  </si>
  <si>
    <t>短视频UV/UV</t>
  </si>
  <si>
    <t>Disc%（可删除）</t>
  </si>
  <si>
    <t>ATV</t>
  </si>
  <si>
    <t>CR%</t>
  </si>
  <si>
    <t>New Followers</t>
  </si>
  <si>
    <t>Return</t>
  </si>
  <si>
    <t>Return%</t>
  </si>
  <si>
    <t>口碑分</t>
  </si>
  <si>
    <t>WK9- Actual TTL</t>
  </si>
  <si>
    <t>WK30</t>
  </si>
  <si>
    <t>WK8- Actual TTL</t>
  </si>
  <si>
    <t>Weekly Target</t>
  </si>
  <si>
    <t>Weekly Achv%</t>
  </si>
  <si>
    <t>WK31 vs WK30</t>
  </si>
  <si>
    <t>W-O-W G%</t>
  </si>
  <si>
    <t>Feu. actual GMV</t>
  </si>
  <si>
    <t>MTD GMV target</t>
  </si>
  <si>
    <t>MTD Achv%</t>
  </si>
  <si>
    <t>Feu. target GMV</t>
  </si>
  <si>
    <t>GMV Achv%</t>
  </si>
  <si>
    <t xml:space="preserve"> </t>
  </si>
  <si>
    <t>Feu actual Net Sales</t>
  </si>
  <si>
    <t>Feu target Net Sales</t>
  </si>
  <si>
    <t>Net Sales Achv%</t>
  </si>
  <si>
    <t>本周TOP10商品</t>
  </si>
  <si>
    <t>销排</t>
  </si>
  <si>
    <t>短货号（可删除）</t>
  </si>
  <si>
    <t>图片</t>
  </si>
  <si>
    <t>风格（可删除）</t>
  </si>
  <si>
    <t>系列（可删除）</t>
  </si>
  <si>
    <t>新老品</t>
  </si>
  <si>
    <t>成交件数</t>
  </si>
  <si>
    <t>成交金额</t>
  </si>
  <si>
    <t>件单价</t>
  </si>
  <si>
    <t>平折扣</t>
  </si>
  <si>
    <t>售罄率</t>
  </si>
  <si>
    <t>曝光点击率</t>
  </si>
  <si>
    <t>点击成交转化率</t>
  </si>
  <si>
    <t>退货率</t>
  </si>
  <si>
    <t>成交退款率</t>
  </si>
  <si>
    <t>户外</t>
  </si>
  <si>
    <t>健步2.1山地男鞋系列</t>
  </si>
  <si>
    <t>新品</t>
  </si>
  <si>
    <t>奥途男鞋系列</t>
  </si>
  <si>
    <t>休闲</t>
  </si>
  <si>
    <t>科摩男鞋系列</t>
  </si>
  <si>
    <t>231新品</t>
  </si>
  <si>
    <t>街头720男鞋系列</t>
  </si>
  <si>
    <t>柔酷7号男鞋系列</t>
  </si>
  <si>
    <t>健步探索男鞋系列</t>
  </si>
  <si>
    <t>老品</t>
  </si>
  <si>
    <t>健步C男鞋系列</t>
  </si>
  <si>
    <t>健步2.1越野男鞋系列</t>
  </si>
  <si>
    <t>正装</t>
  </si>
  <si>
    <t>雅仕系列</t>
  </si>
  <si>
    <t>本周主播数据</t>
  </si>
  <si>
    <t>主播名称</t>
  </si>
  <si>
    <t>大玉儿</t>
  </si>
  <si>
    <t>偲佟</t>
  </si>
  <si>
    <t>哈多</t>
  </si>
  <si>
    <t>王可</t>
  </si>
  <si>
    <t>白白</t>
  </si>
  <si>
    <t>Anna</t>
  </si>
  <si>
    <t>开播时长（小时数）</t>
  </si>
  <si>
    <t>直播间成交金额</t>
  </si>
  <si>
    <t>单小时成交金额</t>
  </si>
  <si>
    <t>最高在线人数</t>
  </si>
  <si>
    <t>平均在线人数</t>
  </si>
  <si>
    <t>平均件单价</t>
  </si>
  <si>
    <t>引流能力 展现进入率</t>
  </si>
  <si>
    <t>留人能力 留存率</t>
  </si>
  <si>
    <t>互动能力 评论率</t>
  </si>
  <si>
    <t>吸粉能力 新增粉丝数</t>
  </si>
  <si>
    <t>吸粉能力 新加团人数</t>
  </si>
  <si>
    <t>转化能力 单UV价值(元)</t>
  </si>
  <si>
    <t>成交人数</t>
  </si>
  <si>
    <t>策略人群TOP3</t>
  </si>
  <si>
    <t>新锐白领（23.30%）</t>
  </si>
  <si>
    <t>genz（24.26%）</t>
  </si>
  <si>
    <t>genz（31.20%）</t>
  </si>
  <si>
    <t>新锐白领（29.63%）</t>
  </si>
  <si>
    <t>小镇青年（27.48%）</t>
  </si>
  <si>
    <t>新锐白领（30.01%）</t>
  </si>
  <si>
    <t>genz（22.09%）</t>
  </si>
  <si>
    <t>新锐白领（22.69%）</t>
  </si>
  <si>
    <t>小镇青年（20.88%）</t>
  </si>
  <si>
    <t>精致妈妈（20.21%）</t>
  </si>
  <si>
    <t>新锐白领（20.61%）</t>
  </si>
  <si>
    <t>genz（21.53%）</t>
  </si>
  <si>
    <t>精致妈妈（21.93%）</t>
  </si>
  <si>
    <t>精致妈妈（19.21%）</t>
  </si>
  <si>
    <t>精致妈妈（17.90%）</t>
  </si>
  <si>
    <t>小镇青年（18.62%）</t>
  </si>
  <si>
    <t>genz（20.61%）</t>
  </si>
  <si>
    <t>小镇青年（18.76%）</t>
  </si>
  <si>
    <t>性别</t>
  </si>
  <si>
    <t>男（33.90%）</t>
  </si>
  <si>
    <t>男（39.34%）</t>
  </si>
  <si>
    <t>男（29.87%）</t>
  </si>
  <si>
    <t>男（46.85%）</t>
  </si>
  <si>
    <t>男（33.83%）</t>
  </si>
  <si>
    <t>男（49.84%）</t>
  </si>
  <si>
    <t>女（66.10%）</t>
  </si>
  <si>
    <t>女（60.66%）</t>
  </si>
  <si>
    <t>女（70.13%）</t>
  </si>
  <si>
    <t>女（53.15%）</t>
  </si>
  <si>
    <t>女（66.17%）</t>
  </si>
  <si>
    <t>女（50.16%）</t>
  </si>
  <si>
    <t>年龄段TOP3</t>
  </si>
  <si>
    <t>25-30（34.95%）</t>
  </si>
  <si>
    <t>25-30（31.02%）</t>
  </si>
  <si>
    <t>18-24（40.30%）</t>
  </si>
  <si>
    <t>25-30（39.01%）</t>
  </si>
  <si>
    <t>25-30（34.09%）</t>
  </si>
  <si>
    <t>25-30（38.00%）</t>
  </si>
  <si>
    <t>18-24（28.86%）</t>
  </si>
  <si>
    <t>18-24（30.55%）</t>
  </si>
  <si>
    <t>25-30（29.21%）</t>
  </si>
  <si>
    <t>31-35（25.66%）</t>
  </si>
  <si>
    <t>18-24（31.82%）</t>
  </si>
  <si>
    <t>18-24（26.92%）</t>
  </si>
  <si>
    <t>31-35（23.08%）</t>
  </si>
  <si>
    <t>31-35（23.07%）</t>
  </si>
  <si>
    <t>31-35（17.44%）</t>
  </si>
  <si>
    <t>18-24（23.55%）</t>
  </si>
  <si>
    <t>31-35（18.94%）</t>
  </si>
  <si>
    <t>31-35（23.82%）</t>
  </si>
  <si>
    <t>城市等级TOP3</t>
  </si>
  <si>
    <t>新一线（24.61%）</t>
  </si>
  <si>
    <t>三线（24.70%）</t>
  </si>
  <si>
    <t>新一线（23.03%）</t>
  </si>
  <si>
    <t>新一线（22.18%）</t>
  </si>
  <si>
    <t>四线（22.72%）</t>
  </si>
  <si>
    <t>三线（25.24%）</t>
  </si>
  <si>
    <t>三线（24.03%）</t>
  </si>
  <si>
    <t>新一线（24.55%）</t>
  </si>
  <si>
    <t>三线（21.41%）</t>
  </si>
  <si>
    <t>三线（21.75%）</t>
  </si>
  <si>
    <t>二线（19.70%）</t>
  </si>
  <si>
    <t>新一线（23.13%）</t>
  </si>
  <si>
    <t>二线（19.06%）</t>
  </si>
  <si>
    <t>二线（18.25%）</t>
  </si>
  <si>
    <t>二线（19.19%）</t>
  </si>
  <si>
    <t>二线（19.85%）</t>
  </si>
  <si>
    <t>新一线（19.70%）</t>
  </si>
  <si>
    <t>二线（17.59%）</t>
  </si>
  <si>
    <t>地域分布TOP3</t>
  </si>
  <si>
    <t>江苏（14.94%）</t>
  </si>
  <si>
    <t>江苏（15.89%）</t>
  </si>
  <si>
    <t>江苏（12.07%）</t>
  </si>
  <si>
    <t>江苏（13.09%）</t>
  </si>
  <si>
    <t>山东（8.33%）</t>
  </si>
  <si>
    <t>江苏（14.17%）</t>
  </si>
  <si>
    <t>浙江（7.99%）</t>
  </si>
  <si>
    <t>浙江（8.42%）</t>
  </si>
  <si>
    <t>四川（8.22%）</t>
  </si>
  <si>
    <t>山东（8.55%）</t>
  </si>
  <si>
    <t>江苏（8.30%）</t>
  </si>
  <si>
    <t>四川（8.63%）</t>
  </si>
  <si>
    <t>四川（7.37%）</t>
  </si>
  <si>
    <t>四川（7.47%）</t>
  </si>
  <si>
    <t>浙江（7.33%）</t>
  </si>
  <si>
    <t>浙江（7.29%）</t>
  </si>
  <si>
    <t>湖南（7.58%）</t>
  </si>
  <si>
    <t>浙江（7.82%）</t>
  </si>
  <si>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</si>
  <si>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</si>
  <si>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</si>
  <si>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</si>
  <si>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</si>
  <si>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</si>
  <si>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</si>
  <si>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</si>
  <si>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</si>
  <si>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</si>
  <si>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</si>
  <si>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</si>
  <si>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</si>
  <si>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MTD</t>
  </si>
  <si>
    <t>TOTAL</t>
  </si>
  <si>
    <t>GXG</t>
  </si>
  <si>
    <t>实际</t>
  </si>
  <si>
    <t>NET</t>
  </si>
  <si>
    <t>商品卡GMV</t>
  </si>
  <si>
    <t>商品卡占比</t>
  </si>
  <si>
    <t>投放消耗金额</t>
  </si>
  <si>
    <t>投放费比</t>
  </si>
  <si>
    <t>目标</t>
  </si>
  <si>
    <t>目标达成率</t>
  </si>
  <si>
    <t>YOY</t>
  </si>
  <si>
    <t>DAZZLE
抖音</t>
  </si>
  <si>
    <t>DAZZLE
视频号</t>
  </si>
  <si>
    <t>Champion
抖音</t>
  </si>
  <si>
    <t>2025年实际</t>
  </si>
  <si>
    <t>成交退款金额</t>
  </si>
  <si>
    <t>DAZZLE抖音</t>
  </si>
  <si>
    <t>DAZZLE视频号</t>
  </si>
  <si>
    <t>品牌</t>
  </si>
  <si>
    <t>1.1-1.4</t>
  </si>
  <si>
    <t>1.5-1.11</t>
  </si>
  <si>
    <t>1.12-1.18</t>
  </si>
  <si>
    <t>1.19-1.25</t>
  </si>
  <si>
    <t>1.26-2.1</t>
  </si>
  <si>
    <t>2.2-2.8</t>
  </si>
  <si>
    <t>2.9-2.15</t>
  </si>
  <si>
    <t>2.16-2.22</t>
  </si>
  <si>
    <t>2.23-3.1</t>
  </si>
  <si>
    <t>3.2-3.8</t>
  </si>
  <si>
    <t>周环比</t>
  </si>
  <si>
    <t>达成/未达成原因</t>
  </si>
  <si>
    <t>后期措施</t>
  </si>
  <si>
    <t>W10重点工作&amp;成果</t>
  </si>
  <si>
    <t>W11重点工作安排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</si>
  <si>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</si>
  <si>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</si>
  <si>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</si>
  <si>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</si>
  <si>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</si>
  <si>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</si>
  <si>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</si>
  <si>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</si>
  <si>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</si>
  <si>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</si>
  <si>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 xml:space="preserve">1、本周主播千喜临时调休4天，任真休假，主播以可可、周周、双胞胎为主，其中可可打款皮衣效能较好2W；周末任真、千喜回归，打款西装效能较好
</t>
  </si>
  <si>
    <t xml:space="preserve">
</t>
  </si>
  <si>
    <t>3.6平台&amp;品牌会议报告完成</t>
  </si>
  <si>
    <t>先锋大赛交稿</t>
  </si>
  <si>
    <t>26年春季3-4月打款计划全盘</t>
  </si>
  <si>
    <t>商品卡全盘</t>
  </si>
  <si>
    <t>26年秋季款下单计划盘点</t>
  </si>
  <si>
    <t>4月内容场跟进</t>
  </si>
  <si>
    <t>主播灿灿沟通协商</t>
  </si>
  <si>
    <t>秋冬订货资料梳理跟进</t>
  </si>
  <si>
    <t>主播小鱼沟通协商</t>
  </si>
  <si>
    <t>W5重点工作&amp;成果</t>
  </si>
  <si>
    <t>W6重点工作&amp;成果</t>
  </si>
  <si>
    <t>冠军人员沟通安排：已完成</t>
  </si>
  <si>
    <t>冠军样品处理完成to品牌</t>
  </si>
  <si>
    <t>冠军闭店事宜处理：数据交接、系统流程、品牌知会函、财务通知已完成</t>
  </si>
  <si>
    <t>冠军样品处理：有50件差异需重新核对</t>
  </si>
  <si>
    <t>行业</t>
  </si>
  <si>
    <t>子类</t>
  </si>
  <si>
    <t>周关键变化</t>
  </si>
  <si>
    <t>女装</t>
  </si>
  <si>
    <t>总计</t>
  </si>
  <si>
    <t>女装3月裤子、短外套、制服为行业TOP品类，TOP商品为唐发发、lucas等达人品牌</t>
  </si>
  <si>
    <t>羽绒服</t>
  </si>
  <si>
    <t>裤子</t>
  </si>
  <si>
    <t>皮草</t>
  </si>
  <si>
    <t>毛呢外套</t>
  </si>
  <si>
    <t>短外套</t>
  </si>
  <si>
    <t>毛针织衫</t>
  </si>
  <si>
    <t>套装/学生校服/工作制服</t>
  </si>
  <si>
    <t>棉衣/棉服</t>
  </si>
  <si>
    <t>连衣裙</t>
  </si>
  <si>
    <t>汉服</t>
  </si>
  <si>
    <t>T恤</t>
  </si>
  <si>
    <t>羊毛衫</t>
  </si>
  <si>
    <t>半身裙</t>
  </si>
  <si>
    <t>设计师/潮牌女装</t>
  </si>
  <si>
    <t>大码女装</t>
  </si>
  <si>
    <t>中老年女装</t>
  </si>
  <si>
    <t>毛衣</t>
  </si>
  <si>
    <t>羊绒衫</t>
  </si>
  <si>
    <t>皮衣</t>
  </si>
  <si>
    <t>衬衫</t>
  </si>
  <si>
    <t>男装</t>
  </si>
  <si>
    <t>3月截止7日夹克、T恤、休闲裤为行业TOP品类，其中夹克主要为德尔惠、西域骆驼品牌的冲锋衣、T恤为白小T、霞湖世家的T</t>
  </si>
  <si>
    <t>休闲裤</t>
  </si>
  <si>
    <t>夹克</t>
  </si>
  <si>
    <t>牛仔裤</t>
  </si>
  <si>
    <t>棉衣</t>
  </si>
  <si>
    <t>卫衣</t>
  </si>
  <si>
    <t>针织衫/毛衣</t>
  </si>
  <si>
    <t>毛呢大衣</t>
  </si>
  <si>
    <t>卫裤</t>
  </si>
  <si>
    <t>中老年男装</t>
  </si>
  <si>
    <t>西服</t>
  </si>
  <si>
    <t>套装</t>
  </si>
  <si>
    <t>马甲</t>
  </si>
  <si>
    <t>POLO衫</t>
  </si>
  <si>
    <t>竞品</t>
  </si>
  <si>
    <t>GXG官方旗舰店</t>
  </si>
  <si>
    <t>500-750W</t>
  </si>
  <si>
    <t>750-1000W</t>
  </si>
  <si>
    <t>250-500W</t>
  </si>
  <si>
    <t>10-25W</t>
  </si>
  <si>
    <t>1、上周主打裤装、夹克、卫衣，其中牛仔裤G26D052031、G25D052118、G26D021062表现好，男装店基本没库存；</t>
  </si>
  <si>
    <t>太平鸟男装官方旗舰店</t>
  </si>
  <si>
    <t>100-250W</t>
  </si>
  <si>
    <t>7.5-10W</t>
  </si>
  <si>
    <t>75-100W</t>
  </si>
  <si>
    <t>1、上一周TOP单品均为满印/满提花元素外套；</t>
  </si>
  <si>
    <t>日期</t>
  </si>
  <si>
    <t>年份</t>
  </si>
  <si>
    <t>月份</t>
  </si>
  <si>
    <t>周数</t>
  </si>
  <si>
    <r>
      <t>成交退款金额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退款时间</t>
    </r>
    <r>
      <rPr>
        <sz val="11"/>
        <color theme="1"/>
        <rFont val="Calibri"/>
        <charset val="134"/>
      </rPr>
      <t>)</t>
    </r>
  </si>
  <si>
    <r>
      <rPr>
        <sz val="11"/>
        <color theme="1"/>
        <rFont val="宋体"/>
        <charset val="134"/>
      </rPr>
      <t>商品卡</t>
    </r>
    <r>
      <rPr>
        <sz val="11"/>
        <color theme="1"/>
        <rFont val="Calibri"/>
        <charset val="134"/>
      </rPr>
      <t>GMV</t>
    </r>
  </si>
  <si>
    <t>直播GMV</t>
  </si>
  <si>
    <t>ROI</t>
  </si>
  <si>
    <t>Champion</t>
  </si>
  <si>
    <t>直播日期</t>
  </si>
  <si>
    <t>直播开始时间</t>
  </si>
  <si>
    <t>直播结束时间</t>
  </si>
  <si>
    <t>直播时长(分钟)</t>
  </si>
  <si>
    <t>直播间曝光人数</t>
  </si>
  <si>
    <t>直播间曝光次数</t>
  </si>
  <si>
    <t>直播间观看人数</t>
  </si>
  <si>
    <t>单小时观看人数</t>
  </si>
  <si>
    <t>直播间观看次数</t>
  </si>
  <si>
    <t>人均观看时长(分钟)</t>
  </si>
  <si>
    <t>评论次数</t>
  </si>
  <si>
    <t>新加直播团人数</t>
  </si>
  <si>
    <t>新增粉丝数</t>
  </si>
  <si>
    <t>取关粉丝数</t>
  </si>
  <si>
    <t>观看老粉占比</t>
  </si>
  <si>
    <t>带货商品数</t>
  </si>
  <si>
    <t>直播间商品曝光人数</t>
  </si>
  <si>
    <t>直播间商品点击人数</t>
  </si>
  <si>
    <t>直播间商品曝光次数</t>
  </si>
  <si>
    <t>直播间商品点击次数</t>
  </si>
  <si>
    <t>直播间成交订单数</t>
  </si>
  <si>
    <t>直播间用户支付金额</t>
  </si>
  <si>
    <t>单小时用户支付金额</t>
  </si>
  <si>
    <t>直播间成交件数</t>
  </si>
  <si>
    <t>直播间成交人数</t>
  </si>
  <si>
    <t>直播间退款订单数</t>
  </si>
  <si>
    <t>直播间退款金额</t>
  </si>
  <si>
    <t>直播间退款人数</t>
  </si>
  <si>
    <t>预估佣金支出</t>
  </si>
  <si>
    <t>商品曝光-点击率(次数)</t>
  </si>
  <si>
    <t>商品曝光-点击率(人数)</t>
  </si>
  <si>
    <t>商品点击-成交率(次数)</t>
  </si>
  <si>
    <t>商品点击-成交率(人数)</t>
  </si>
  <si>
    <t>观看-成交率(次数)</t>
  </si>
  <si>
    <t>观看-成交率(人数)</t>
  </si>
  <si>
    <t>预售订单数</t>
  </si>
  <si>
    <t>预售全款金额</t>
  </si>
  <si>
    <t>新加购物团人数</t>
  </si>
  <si>
    <t>直播间投放消耗</t>
  </si>
  <si>
    <t>净成交金额</t>
  </si>
  <si>
    <t>净成交订单数</t>
  </si>
  <si>
    <t>1小时退款金额</t>
  </si>
  <si>
    <t>1小时退款订单数</t>
  </si>
  <si>
    <t>1小时退款率</t>
  </si>
  <si>
    <t>消费券引导支付金额</t>
  </si>
  <si>
    <t>消费券引导支付占比</t>
  </si>
  <si>
    <t>消费券补贴金额</t>
  </si>
  <si>
    <t>消费券使用量</t>
  </si>
  <si>
    <t>2026/01/06 20:10:13</t>
  </si>
  <si>
    <t>2026/01/07 02:21:24</t>
  </si>
  <si>
    <t>-</t>
  </si>
  <si>
    <t>2026/01/07 19:59:23</t>
  </si>
  <si>
    <t>2026/01/08 01:38:34</t>
  </si>
  <si>
    <t>2026/01/04 08:00:21</t>
  </si>
  <si>
    <t>2026/01/04 13:25:43</t>
  </si>
  <si>
    <t>2026/01/07 08:00:16</t>
  </si>
  <si>
    <t>2026/01/07 13:00:22</t>
  </si>
  <si>
    <t>2026/01/03 08:00:51</t>
  </si>
  <si>
    <t>2026/01/03 13:03:13</t>
  </si>
  <si>
    <t>2026/01/10 08:00:13</t>
  </si>
  <si>
    <t>2026/01/10 13:25:32</t>
  </si>
  <si>
    <t>2026/01/08 20:00:56</t>
  </si>
  <si>
    <t>2026/01/09 01:55:01</t>
  </si>
  <si>
    <t>2026/01/11 08:03:22</t>
  </si>
  <si>
    <t>2026/01/11 13:17:47</t>
  </si>
  <si>
    <t>2026/01/02 07:59:38</t>
  </si>
  <si>
    <t>2026/01/02 13:01:47</t>
  </si>
  <si>
    <t>2026/01/04 19:57:04</t>
  </si>
  <si>
    <t>2026/01/05 01:44:06</t>
  </si>
  <si>
    <t>2026/01/09 08:01:13</t>
  </si>
  <si>
    <t>2026/01/09 13:25:39</t>
  </si>
  <si>
    <t>2026/01/09 19:57:22</t>
  </si>
  <si>
    <t>2026/01/10 01:32:31</t>
  </si>
  <si>
    <t>2026/01/18 07:59:37</t>
  </si>
  <si>
    <t>2026/01/18 13:03:54</t>
  </si>
  <si>
    <t>2026/01/12 08:02:45</t>
  </si>
  <si>
    <t>2026/01/12 13:19:48</t>
  </si>
  <si>
    <t>2026/01/17 08:08:35</t>
  </si>
  <si>
    <t>2026/01/17 13:29:41</t>
  </si>
  <si>
    <t>2026/01/04 14:01:29</t>
  </si>
  <si>
    <t>2026/01/04 19:15:47</t>
  </si>
  <si>
    <t>2026/01/12 19:55:13</t>
  </si>
  <si>
    <t>2026/01/13 01:48:18</t>
  </si>
  <si>
    <t>2026/01/15 08:15:29</t>
  </si>
  <si>
    <t>2026/01/15 13:17:38</t>
  </si>
  <si>
    <t>2026/01/01 10:01:43</t>
  </si>
  <si>
    <t>2026/01/01 13:30:03</t>
  </si>
  <si>
    <t>2026/01/20 07:54:13</t>
  </si>
  <si>
    <t>2026/01/20 13:30:19</t>
  </si>
  <si>
    <t>2026/01/16 08:00:11</t>
  </si>
  <si>
    <t>2026/01/16 12:02:31</t>
  </si>
  <si>
    <t>2026/01/02 19:59:48</t>
  </si>
  <si>
    <t>2026/01/03 01:25:12</t>
  </si>
  <si>
    <t>2026/01/17 19:59:56</t>
  </si>
  <si>
    <t>2026/01/18 01:33:08</t>
  </si>
  <si>
    <t>2026/01/08 07:59:55</t>
  </si>
  <si>
    <t>2026/01/08 11:15:27</t>
  </si>
  <si>
    <t>2026/01/16 20:05:49</t>
  </si>
  <si>
    <t>2026/01/17 01:46:54</t>
  </si>
  <si>
    <t>2026/01/19 20:01:08</t>
  </si>
  <si>
    <t>2026/01/20 01:05:14</t>
  </si>
  <si>
    <t>2026/01/07 14:00:40</t>
  </si>
  <si>
    <t>2026/01/07 19:24:45</t>
  </si>
  <si>
    <t>2026/01/03 20:00:45</t>
  </si>
  <si>
    <t>2026/01/04 01:32:52</t>
  </si>
  <si>
    <t>2026/01/10 19:48:06</t>
  </si>
  <si>
    <t>2026/01/11 01:05:13</t>
  </si>
  <si>
    <t>2026/01/13 07:39:32</t>
  </si>
  <si>
    <t>2026/01/13 12:30:42</t>
  </si>
  <si>
    <t>2026/01/03 14:00:49</t>
  </si>
  <si>
    <t>2026/01/03 19:10:08</t>
  </si>
  <si>
    <t>2026/01/18 20:48:04</t>
  </si>
  <si>
    <t>2026/01/19 01:37:11</t>
  </si>
  <si>
    <t>2026/01/20 20:00:54</t>
  </si>
  <si>
    <t>2026/01/21 00:36:04</t>
  </si>
  <si>
    <t>2026/01/09 14:01:23</t>
  </si>
  <si>
    <t>2026/01/09 19:13:37</t>
  </si>
  <si>
    <t>2026/01/19 14:08:21</t>
  </si>
  <si>
    <t>2026/01/19 19:08:39</t>
  </si>
  <si>
    <t>2026/01/20 14:00:24</t>
  </si>
  <si>
    <t>2026/01/20 19:20:25</t>
  </si>
  <si>
    <t>2026/01/11 14:00:13</t>
  </si>
  <si>
    <t>2026/01/11 19:14:23</t>
  </si>
  <si>
    <t>2026/01/15 19:54:11</t>
  </si>
  <si>
    <t>2026/01/16 00:58:15</t>
  </si>
  <si>
    <t>2026/01/10 13:59:45</t>
  </si>
  <si>
    <t>2026/01/10 19:04:49</t>
  </si>
  <si>
    <t>2026/01/14 14:04:28</t>
  </si>
  <si>
    <t>2026/01/14 19:12:37</t>
  </si>
  <si>
    <t>2026/01/06 08:19:09</t>
  </si>
  <si>
    <t>2026/01/06 13:19:11</t>
  </si>
  <si>
    <t>2026/01/08 14:07:38</t>
  </si>
  <si>
    <t>2026/01/08 19:27:54</t>
  </si>
  <si>
    <t>2026/01/08 11:39:36</t>
  </si>
  <si>
    <t>2026/01/08 13:38:40</t>
  </si>
  <si>
    <t>2026/01/17 14:00:24</t>
  </si>
  <si>
    <t>2026/01/17 19:00:23</t>
  </si>
  <si>
    <t>2026/01/15 14:00:35</t>
  </si>
  <si>
    <t>2026/01/15 19:04:46</t>
  </si>
  <si>
    <t>2026/01/11 19:55:14</t>
  </si>
  <si>
    <t>2026/01/12 00:05:23</t>
  </si>
  <si>
    <t>2026/01/05 19:52:26</t>
  </si>
  <si>
    <t>2026/01/05 23:36:35</t>
  </si>
  <si>
    <t>2026/01/01 14:01:17</t>
  </si>
  <si>
    <t>2026/01/01 19:01:24</t>
  </si>
  <si>
    <t>2026/01/01 08:03:31</t>
  </si>
  <si>
    <t>2026/01/01 09:36:41</t>
  </si>
  <si>
    <t>2026/01/12 13:59:52</t>
  </si>
  <si>
    <t>2026/01/12 19:04:53</t>
  </si>
  <si>
    <t>2026/01/18 14:00:14</t>
  </si>
  <si>
    <t>2026/01/18 19:00:44</t>
  </si>
  <si>
    <t>2026/01/05 14:03:03</t>
  </si>
  <si>
    <t>2026/01/05 18:40:06</t>
  </si>
  <si>
    <t>2026/01/14 21:13:14</t>
  </si>
  <si>
    <t>2026/01/15 00:30:16</t>
  </si>
  <si>
    <t>2026/01/06 14:14:39</t>
  </si>
  <si>
    <t>2026/01/06 19:00:29</t>
  </si>
  <si>
    <t>2026/01/05 10:37:17</t>
  </si>
  <si>
    <t>2026/01/05 13:20:36</t>
  </si>
  <si>
    <t>2026/01/16 14:39:04</t>
  </si>
  <si>
    <t>2026/01/16 18:07:35</t>
  </si>
  <si>
    <t>2026/01/05 07:54:54</t>
  </si>
  <si>
    <t>2026/01/05 10:15:59</t>
  </si>
  <si>
    <t>2026/01/02 13:59:01</t>
  </si>
  <si>
    <t>2026/01/02 19:01:22</t>
  </si>
  <si>
    <t>2026/01/01 20:15:33</t>
  </si>
  <si>
    <t>2026/01/01 23:45:49</t>
  </si>
  <si>
    <t>2026/01/14 20:00:33</t>
  </si>
  <si>
    <t>2026/01/14 20:55:35</t>
  </si>
  <si>
    <t>2026/01/18 20:00:24</t>
  </si>
  <si>
    <t>2026/01/18 20:35:27</t>
  </si>
  <si>
    <t>2026/01/23 08:01:49</t>
  </si>
  <si>
    <t>2026/01/23 13:27:38</t>
  </si>
  <si>
    <t>2026/01/25 08:00:24</t>
  </si>
  <si>
    <t>2026/01/25 13:01:42</t>
  </si>
  <si>
    <t>2026/01/21 08:05:16</t>
  </si>
  <si>
    <t>2026/01/21 13:26:22</t>
  </si>
  <si>
    <t>2026/01/22 19:59:17</t>
  </si>
  <si>
    <t>2026/01/23 01:45:29</t>
  </si>
  <si>
    <t>2026/01/23 20:17:05</t>
  </si>
  <si>
    <t>2026/01/24 02:01:08</t>
  </si>
  <si>
    <t>2026/01/25 20:00:01</t>
  </si>
  <si>
    <t>2026/01/26 01:31:17</t>
  </si>
  <si>
    <t>2026/01/22 08:01:54</t>
  </si>
  <si>
    <t>2026/01/22 13:28:59</t>
  </si>
  <si>
    <t>2026/01/24 08:00:15</t>
  </si>
  <si>
    <t>2026/01/24 13:24:18</t>
  </si>
  <si>
    <t>2026/01/24 21:06:48</t>
  </si>
  <si>
    <t>2026/01/25 02:02:01</t>
  </si>
  <si>
    <t>2026/01/21 20:01:46</t>
  </si>
  <si>
    <t>2026/01/22 01:19:48</t>
  </si>
  <si>
    <t>2026/01/24 14:00:13</t>
  </si>
  <si>
    <t>2026/01/24 19:09:21</t>
  </si>
  <si>
    <t>2026/01/25 14:00:28</t>
  </si>
  <si>
    <t>2026/01/25 19:04:37</t>
  </si>
  <si>
    <t>2026/01/21 14:51:49</t>
  </si>
  <si>
    <t>2026/01/21 19:23:51</t>
  </si>
  <si>
    <t>2026/01/23 16:26:23</t>
  </si>
  <si>
    <t>2026/01/23 18:58:34</t>
  </si>
  <si>
    <t>2026/01/22 15:10:31</t>
  </si>
  <si>
    <t>2026/01/22 19:19:31</t>
  </si>
  <si>
    <t>2026/01/23 14:00:13</t>
  </si>
  <si>
    <t>2026/01/23 15:56:32</t>
  </si>
  <si>
    <t>2026/01/24 19:55:42</t>
  </si>
  <si>
    <t>2026/01/24 20:55:59</t>
  </si>
  <si>
    <t>2026/01/22 14:00:56</t>
  </si>
  <si>
    <t>2026/01/22 14:52:02</t>
  </si>
  <si>
    <t>2026/01/21 14:00:33</t>
  </si>
  <si>
    <t>2026/01/21 14:35:36</t>
  </si>
  <si>
    <t>2026/01/23 19:54:10</t>
  </si>
  <si>
    <t>2026/01/23 20:05:24</t>
  </si>
  <si>
    <r>
      <rPr>
        <sz val="11"/>
        <color theme="1"/>
        <rFont val="宋体"/>
        <charset val="134"/>
      </rPr>
      <t>成交退款金额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退款时间</t>
    </r>
    <r>
      <rPr>
        <sz val="11"/>
        <color theme="1"/>
        <rFont val="Calibri"/>
        <charset val="134"/>
      </rPr>
      <t>)</t>
    </r>
  </si>
  <si>
    <t>DAZZLE</t>
  </si>
  <si>
    <t>退款金额</t>
  </si>
  <si>
    <t>2026/01/11 08:15:20</t>
  </si>
  <si>
    <t>2026/01/11 13:15:30</t>
  </si>
  <si>
    <t>2026/01/18 07:57:35</t>
  </si>
  <si>
    <t>2026/01/18 13:07:37</t>
  </si>
  <si>
    <t>2026/01/08 19:58:38</t>
  </si>
  <si>
    <t>2026/01/09 00:00:03</t>
  </si>
  <si>
    <t>2026/01/14 14:02:16</t>
  </si>
  <si>
    <t>2026/01/14 19:03:21</t>
  </si>
  <si>
    <t>2026/01/12 08:03:33</t>
  </si>
  <si>
    <t>2026/01/12 13:11:37</t>
  </si>
  <si>
    <t>2026/01/19 20:11:57</t>
  </si>
  <si>
    <t>2026/01/20 00:17:17</t>
  </si>
  <si>
    <t>2026/01/09 14:07:31</t>
  </si>
  <si>
    <t>2026/01/09 19:07:46</t>
  </si>
  <si>
    <t>2026/01/01 16:12:17</t>
  </si>
  <si>
    <t>2026/01/01 19:13:21</t>
  </si>
  <si>
    <t>2026/01/10 20:04:40</t>
  </si>
  <si>
    <t>2026/01/11 01:06:15</t>
  </si>
  <si>
    <t>2026/01/16 20:03:15</t>
  </si>
  <si>
    <t>2026/01/17 01:05:11</t>
  </si>
  <si>
    <t>2026/01/18 14:00:17</t>
  </si>
  <si>
    <t>2026/01/18 19:01:20</t>
  </si>
  <si>
    <t>2026/01/15 20:05:00</t>
  </si>
  <si>
    <t>2026/01/16 00:08:18</t>
  </si>
  <si>
    <t>2026/01/13 14:00:28</t>
  </si>
  <si>
    <t>2026/01/13 19:00:31</t>
  </si>
  <si>
    <t>2026/01/02 19:54:55</t>
  </si>
  <si>
    <t>2026/01/03 00:58:27</t>
  </si>
  <si>
    <t>2026/01/15 14:03:12</t>
  </si>
  <si>
    <t>2026/01/15 19:05:18</t>
  </si>
  <si>
    <t>2026/01/17 19:59:33</t>
  </si>
  <si>
    <t>2026/01/18 01:01:07</t>
  </si>
  <si>
    <t>2026/01/18 20:00:45</t>
  </si>
  <si>
    <t>2026/01/19 00:05:59</t>
  </si>
  <si>
    <t>2026/01/20 14:00:46</t>
  </si>
  <si>
    <t>2026/01/20 19:07:53</t>
  </si>
  <si>
    <t>2026/01/10 14:00:40</t>
  </si>
  <si>
    <t>2026/01/10 19:00:43</t>
  </si>
  <si>
    <t>2026/01/16 08:00:22</t>
  </si>
  <si>
    <t>2026/01/16 13:00:25</t>
  </si>
  <si>
    <t>2026/01/11 14:00:51</t>
  </si>
  <si>
    <t>2026/01/11 19:02:05</t>
  </si>
  <si>
    <t>2026/01/09 20:01:26</t>
  </si>
  <si>
    <t>2026/01/10 01:05:36</t>
  </si>
  <si>
    <t>2026/01/07 19:10:50</t>
  </si>
  <si>
    <t>2026/01/13 20:04:45</t>
  </si>
  <si>
    <t>2026/01/14 00:05:31</t>
  </si>
  <si>
    <t>2026/01/03 14:00:19</t>
  </si>
  <si>
    <t>2026/01/03 19:00:21</t>
  </si>
  <si>
    <t>2026/01/19 14:01:08</t>
  </si>
  <si>
    <t>2026/01/19 19:04:14</t>
  </si>
  <si>
    <t>2026/01/09 08:18:28</t>
  </si>
  <si>
    <t>2026/01/09 13:07:34</t>
  </si>
  <si>
    <t>2026/01/08 08:15:57</t>
  </si>
  <si>
    <t>2026/01/08 13:16:01</t>
  </si>
  <si>
    <t>2026/01/03 08:18:04</t>
  </si>
  <si>
    <t>2026/01/03 13:18:10</t>
  </si>
  <si>
    <t>2026/01/19 09:57:27</t>
  </si>
  <si>
    <t>2026/01/19 13:10:30</t>
  </si>
  <si>
    <t>2026/01/03 20:01:57</t>
  </si>
  <si>
    <t>2026/01/04 01:04:11</t>
  </si>
  <si>
    <t>2026/01/01 20:01:04</t>
  </si>
  <si>
    <t>2026/01/02 01:03:22</t>
  </si>
  <si>
    <t>2026/01/07 20:05:53</t>
  </si>
  <si>
    <t>2026/01/08 00:13:43</t>
  </si>
  <si>
    <t>2026/01/11 20:00:40</t>
  </si>
  <si>
    <t>2026/01/12 00:00:49</t>
  </si>
  <si>
    <t>2026/01/16 14:00:10</t>
  </si>
  <si>
    <t>2026/01/16 19:00:54</t>
  </si>
  <si>
    <t>2026/01/17 08:04:10</t>
  </si>
  <si>
    <t>2026/01/17 13:04:17</t>
  </si>
  <si>
    <t>2026/01/08 14:15:08</t>
  </si>
  <si>
    <t>2026/01/08 19:16:13</t>
  </si>
  <si>
    <t>2026/01/06 20:14:32</t>
  </si>
  <si>
    <t>2026/01/07 00:18:43</t>
  </si>
  <si>
    <t>2026/01/10 08:00:49</t>
  </si>
  <si>
    <t>2026/01/10 12:47:57</t>
  </si>
  <si>
    <t>2026/01/05 20:02:50</t>
  </si>
  <si>
    <t>2026/01/06 00:09:39</t>
  </si>
  <si>
    <t>2026/01/14 08:03:52</t>
  </si>
  <si>
    <t>2026/01/14 13:03:55</t>
  </si>
  <si>
    <t>2026/01/02 08:06:19</t>
  </si>
  <si>
    <t>2026/01/02 13:06:48</t>
  </si>
  <si>
    <t>2026/01/20 20:09:23</t>
  </si>
  <si>
    <t>2026/01/21 00:13:25</t>
  </si>
  <si>
    <t>2026/01/04 08:08:02</t>
  </si>
  <si>
    <t>2026/01/04 13:08:05</t>
  </si>
  <si>
    <t>2026/01/17 17:16:40</t>
  </si>
  <si>
    <t>2026/01/17 19:24:42</t>
  </si>
  <si>
    <t>2026/01/02 14:19:08</t>
  </si>
  <si>
    <t>2026/01/02 18:45:13</t>
  </si>
  <si>
    <t>2026/01/05 14:06:05</t>
  </si>
  <si>
    <t>2026/01/05 19:06:14</t>
  </si>
  <si>
    <t>2026/01/20 08:10:48</t>
  </si>
  <si>
    <t>2026/01/20 13:10:55</t>
  </si>
  <si>
    <t>2026/01/06 08:16:47</t>
  </si>
  <si>
    <t>2026/01/06 13:16:56</t>
  </si>
  <si>
    <t>2026/01/13 08:13:25</t>
  </si>
  <si>
    <t>2026/01/13 13:13:29</t>
  </si>
  <si>
    <t>2026/01/14 20:06:24</t>
  </si>
  <si>
    <t>2026/01/15 00:07:55</t>
  </si>
  <si>
    <t>2026/01/05 08:21:49</t>
  </si>
  <si>
    <t>2026/01/05 13:06:54</t>
  </si>
  <si>
    <t>2026/01/04 15:26:52</t>
  </si>
  <si>
    <t>2026/01/04 19:10:34</t>
  </si>
  <si>
    <t>2026/01/12 20:07:12</t>
  </si>
  <si>
    <t>2026/01/13 00:09:38</t>
  </si>
  <si>
    <t>2026/01/12 14:30:05</t>
  </si>
  <si>
    <t>2026/01/12 19:01:00</t>
  </si>
  <si>
    <t>2026/01/01 08:18:23</t>
  </si>
  <si>
    <t>2026/01/01 12:18:30</t>
  </si>
  <si>
    <t>2026/01/06 16:49:49</t>
  </si>
  <si>
    <t>2026/01/06 19:12:58</t>
  </si>
  <si>
    <t>2026/01/15 09:40:03</t>
  </si>
  <si>
    <t>2026/01/15 12:44:06</t>
  </si>
  <si>
    <t>2026/01/17 14:02:11</t>
  </si>
  <si>
    <t>2026/01/17 17:03:14</t>
  </si>
  <si>
    <t>2026/01/04 21:55:28</t>
  </si>
  <si>
    <t>2026/01/05 00:28:01</t>
  </si>
  <si>
    <t>2026/01/19 08:02:00</t>
  </si>
  <si>
    <t>2026/01/19 09:49:05</t>
  </si>
  <si>
    <t>2026/01/06 14:06:04</t>
  </si>
  <si>
    <t>2026/01/06 16:33:11</t>
  </si>
  <si>
    <t>2026/01/07 10:23:17</t>
  </si>
  <si>
    <t>2026/01/07 12:51:32</t>
  </si>
  <si>
    <t>2026/01/07 08:06:51</t>
  </si>
  <si>
    <t>2026/01/07 09:43:55</t>
  </si>
  <si>
    <t>2026/01/01 14:14:11</t>
  </si>
  <si>
    <t>2026/01/01 15:37:21</t>
  </si>
  <si>
    <t>2026/01/15 08:00:15</t>
  </si>
  <si>
    <t>2026/01/15 09:00:18</t>
  </si>
  <si>
    <t>2026/01/04 20:04:58</t>
  </si>
  <si>
    <t>2026/01/04 21:27:50</t>
  </si>
  <si>
    <t>2026/01/04 14:01:36</t>
  </si>
  <si>
    <t>2026/01/04 15:03:45</t>
  </si>
  <si>
    <t>2026/01/23 13:59:08</t>
  </si>
  <si>
    <t>2026/01/23 19:09:54</t>
  </si>
  <si>
    <t>2026/01/24 20:02:20</t>
  </si>
  <si>
    <t>2026/01/25 01:03:33</t>
  </si>
  <si>
    <t>2026/01/24 13:58:58</t>
  </si>
  <si>
    <t>2026/01/24 19:00:01</t>
  </si>
  <si>
    <t>2026/01/25 14:01:11</t>
  </si>
  <si>
    <t>2026/01/25 19:01:25</t>
  </si>
  <si>
    <t>2026/01/21 20:09:59</t>
  </si>
  <si>
    <t>2026/01/22 00:11:55</t>
  </si>
  <si>
    <t>2026/01/24 07:57:54</t>
  </si>
  <si>
    <t>2026/01/24 12:57:56</t>
  </si>
  <si>
    <t>2026/01/25 20:07:10</t>
  </si>
  <si>
    <t>2026/01/26 00:11:13</t>
  </si>
  <si>
    <t>2026/01/21 08:10:02</t>
  </si>
  <si>
    <t>2026/01/21 13:10:07</t>
  </si>
  <si>
    <t>2026/01/25 07:58:54</t>
  </si>
  <si>
    <t>2026/01/25 12:28:59</t>
  </si>
  <si>
    <t>2026/01/23 20:18:42</t>
  </si>
  <si>
    <t>2026/01/24 00:23:27</t>
  </si>
  <si>
    <t>2026/01/22 15:14:24</t>
  </si>
  <si>
    <t>2026/01/22 19:10:29</t>
  </si>
  <si>
    <t>2026/01/22 08:12:11</t>
  </si>
  <si>
    <t>2026/01/22 13:12:13</t>
  </si>
  <si>
    <t>2026/01/22 20:11:48</t>
  </si>
  <si>
    <t>2026/01/23 00:15:11</t>
  </si>
  <si>
    <t>2026/01/21 14:07:43</t>
  </si>
  <si>
    <t>2026/01/21 17:32:01</t>
  </si>
  <si>
    <t>2026/01/23 09:58:16</t>
  </si>
  <si>
    <t>2026/01/23 13:14:41</t>
  </si>
  <si>
    <t>2026/01/21 17:42:12</t>
  </si>
  <si>
    <t>2026/01/21 19:07:14</t>
  </si>
  <si>
    <t>2026/01/23 08:07:46</t>
  </si>
  <si>
    <t>2026/01/23 09:20:50</t>
  </si>
  <si>
    <t>2026/01/22 14:14:15</t>
  </si>
  <si>
    <t>2026/01/22 14:59:39</t>
  </si>
  <si>
    <t>品类名称</t>
  </si>
  <si>
    <t>大类</t>
  </si>
  <si>
    <t>销量</t>
  </si>
  <si>
    <t>销售额</t>
  </si>
  <si>
    <t>市场份额</t>
  </si>
  <si>
    <t>销售额环比增速</t>
  </si>
  <si>
    <t>2026/01/01</t>
  </si>
  <si>
    <t>服饰内衣-女装-POLO衫</t>
  </si>
  <si>
    <t>服饰内衣-女装-T恤</t>
  </si>
  <si>
    <t>服饰内衣-女装-中老年女装</t>
  </si>
  <si>
    <t>服饰内衣-女装-半身裙</t>
  </si>
  <si>
    <t>服饰内衣-女装-卫衣/绒衫</t>
  </si>
  <si>
    <t>服饰内衣-女装-唐装/民族服装/舞台服装</t>
  </si>
  <si>
    <t>服饰内衣-女装-大码女装</t>
  </si>
  <si>
    <t>服饰内衣-女装-套装/学生校服/工作制服</t>
  </si>
  <si>
    <t>服饰内衣-女装-婚纱/旗袍/礼服</t>
  </si>
  <si>
    <t>服饰内衣-女装-新中式女装</t>
  </si>
  <si>
    <t>服饰内衣-女装-时尚防晒服</t>
  </si>
  <si>
    <t>&lt;0.01%</t>
  </si>
  <si>
    <t>服饰内衣-女装-棉衣/棉服</t>
  </si>
  <si>
    <t>服饰内衣-女装-毛呢外套</t>
  </si>
  <si>
    <t>服饰内衣-女装-毛衣</t>
  </si>
  <si>
    <t>服饰内衣-女装-毛针织衫</t>
  </si>
  <si>
    <t>服饰内衣-女装-汉服</t>
  </si>
  <si>
    <t>服饰内衣-女装-派克服</t>
  </si>
  <si>
    <t>服饰内衣-女装-皮草</t>
  </si>
  <si>
    <t>服饰内衣-女装-皮衣</t>
  </si>
  <si>
    <t>服饰内衣-女装-短外套</t>
  </si>
  <si>
    <t>服饰内衣-女装-短裤</t>
  </si>
  <si>
    <t>服饰内衣-女装-羊毛衫</t>
  </si>
  <si>
    <t>服饰内衣-女装-羊绒大衣</t>
  </si>
  <si>
    <t>服饰内衣-女装-羊绒衫</t>
  </si>
  <si>
    <t>服饰内衣-女装-羽绒服</t>
  </si>
  <si>
    <t>服饰内衣-女装-肌底衣/肌肤衣</t>
  </si>
  <si>
    <t>服饰内衣-女装-背心吊带</t>
  </si>
  <si>
    <t>服饰内衣-女装-蕾丝衫/雪纺衫</t>
  </si>
  <si>
    <t>服饰内衣-女装-衬衫</t>
  </si>
  <si>
    <t>服饰内衣-女装-裤子</t>
  </si>
  <si>
    <t>服饰内衣-女装-西装</t>
  </si>
  <si>
    <t>服饰内衣-女装-设计师/潮牌女装</t>
  </si>
  <si>
    <t>服饰内衣-女装-连体衣/裤</t>
  </si>
  <si>
    <t>服饰内衣-女装-连衣裙</t>
  </si>
  <si>
    <t>服饰内衣-女装-风衣</t>
  </si>
  <si>
    <t>服饰内衣-女装-马夹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</si>
  <si>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</si>
  <si>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</si>
  <si>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</si>
  <si>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</si>
  <si>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</si>
  <si>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</si>
  <si>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</si>
  <si>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</si>
  <si>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</si>
  <si>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</si>
  <si>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</si>
  <si>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</si>
  <si>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</si>
  <si>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</si>
  <si>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</si>
  <si>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</si>
  <si>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</si>
  <si>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</si>
  <si>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</si>
  <si>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</si>
  <si>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</si>
  <si>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</si>
  <si>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</si>
  <si>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</si>
  <si>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</si>
  <si>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</si>
  <si>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</si>
  <si>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</si>
  <si>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</si>
  <si>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</si>
  <si>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</si>
  <si>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</si>
  <si>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</si>
  <si>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</si>
  <si>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</si>
  <si>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</si>
  <si>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</si>
  <si>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</si>
  <si>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</si>
  <si>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</si>
  <si>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</si>
  <si>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</si>
  <si>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</si>
  <si>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</si>
  <si>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</si>
  <si>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</si>
  <si>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</si>
  <si>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</si>
  <si>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</si>
  <si>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</si>
  <si>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</si>
  <si>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</si>
  <si>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</si>
  <si>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</si>
  <si>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</si>
  <si>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</si>
  <si>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</si>
  <si>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</si>
  <si>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</si>
  <si>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</si>
  <si>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</si>
  <si>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</si>
  <si>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</si>
  <si>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</si>
  <si>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</si>
  <si>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服饰内衣-男装-Polo衫</t>
  </si>
  <si>
    <t>服饰内衣-男装-T恤</t>
  </si>
  <si>
    <t>服饰内衣-男装-中老年男装</t>
  </si>
  <si>
    <t>服饰内衣-男装-休闲裤</t>
  </si>
  <si>
    <t>服饰内衣-男装-卫衣</t>
  </si>
  <si>
    <t>服饰内衣-男装-卫裤</t>
  </si>
  <si>
    <t>服饰内衣-男装-大码男装</t>
  </si>
  <si>
    <t>服饰内衣-男装-夹克</t>
  </si>
  <si>
    <t>服饰内衣-男装-套装</t>
  </si>
  <si>
    <t>服饰内衣-男装-学生校服</t>
  </si>
  <si>
    <t>服饰内衣-男装-打底衫</t>
  </si>
  <si>
    <t>服饰内衣-男装-新中式男装</t>
  </si>
  <si>
    <t>服饰内衣-男装-棉衣</t>
  </si>
  <si>
    <t>服饰内衣-男装-棉裤</t>
  </si>
  <si>
    <t>服饰内衣-男装-毛呢大衣</t>
  </si>
  <si>
    <t>服饰内衣-男装-民族服装</t>
  </si>
  <si>
    <t>服饰内衣-男装-派克服</t>
  </si>
  <si>
    <t>服饰内衣-男装-牛仔裤</t>
  </si>
  <si>
    <t>服饰内衣-男装-皮草</t>
  </si>
  <si>
    <t>服饰内衣-男装-皮衣</t>
  </si>
  <si>
    <t>服饰内衣-男装-皮裤</t>
  </si>
  <si>
    <t>服饰内衣-男装-短外套</t>
  </si>
  <si>
    <t>服饰内衣-男装-短裤</t>
  </si>
  <si>
    <t>服饰内衣-男装-紧身衣</t>
  </si>
  <si>
    <t>服饰内衣-男装-羊毛衫</t>
  </si>
  <si>
    <t>服饰内衣-男装-羊绒衫</t>
  </si>
  <si>
    <t>服饰内衣-男装-羽绒服</t>
  </si>
  <si>
    <t>服饰内衣-男装-羽绒裤</t>
  </si>
  <si>
    <t>服饰内衣-男装-羽绒马甲</t>
  </si>
  <si>
    <t>服饰内衣-男装-背心</t>
  </si>
  <si>
    <t>服饰内衣-男装-衬衫</t>
  </si>
  <si>
    <t>服饰内衣-男装-西服</t>
  </si>
  <si>
    <t>服饰内衣-男装-连体衣/裤</t>
  </si>
  <si>
    <t>服饰内衣-男装-速干/三防T恤</t>
  </si>
  <si>
    <t>服饰内衣-男装-针织衫/毛衣</t>
  </si>
  <si>
    <t>服饰内衣-男装-防晒服</t>
  </si>
  <si>
    <t>服饰内衣-男装-风衣</t>
  </si>
  <si>
    <t>服饰内衣-男装-马甲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</si>
</sst>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  <numFmt numFmtId="178" formatCode="0&quot;.&quot;00,,&quot;亿&quot;"/>
    <numFmt numFmtId="179" formatCode="[Red]0.0%;[Green]\-0.0%;0.0%\&#13;\&#10;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_(* #,##0_);_(* \(#,##0\);_(* &quot;-&quot;??_);_(@_)"/>
    <numFmt numFmtId="184" formatCode="#,##0.0_ "/>
  </numFmts>
  <fonts count="5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9"/>
      <color theme="1"/>
      <name val="微软雅黑"/>
      <charset val="134"/>
    </font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9"/>
      <color theme="0"/>
      <name val="微软雅黑"/>
      <charset val="134"/>
    </font>
    <font>
      <b/>
      <sz val="10"/>
      <color theme="0"/>
      <name val="微软雅黑"/>
      <charset val="134"/>
    </font>
    <font>
      <b/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rgb="FF323335"/>
      <name val="Tahoma"/>
      <charset val="134"/>
    </font>
    <font>
      <sz val="9"/>
      <color rgb="FF000000"/>
      <name val="微软雅黑"/>
      <charset val="134"/>
    </font>
    <font>
      <b/>
      <sz val="9"/>
      <name val="微软雅黑"/>
      <charset val="134"/>
    </font>
    <font>
      <b/>
      <sz val="6"/>
      <name val="微软雅黑"/>
      <charset val="134"/>
    </font>
    <font>
      <sz val="9"/>
      <name val="微软雅黑"/>
      <charset val="134"/>
    </font>
    <font>
      <sz val="6"/>
      <color theme="1"/>
      <name val="微软雅黑"/>
      <charset val="134"/>
    </font>
    <font>
      <b/>
      <sz val="9"/>
      <color rgb="FFC00000"/>
      <name val="微软雅黑"/>
      <charset val="134"/>
    </font>
    <font>
      <b/>
      <sz val="6"/>
      <color rgb="FFC00000"/>
      <name val="微软雅黑"/>
      <charset val="134"/>
    </font>
    <font>
      <b/>
      <sz val="9"/>
      <color theme="0" tint="-0.499984740745262"/>
      <name val="微软雅黑"/>
      <charset val="134"/>
    </font>
    <font>
      <b/>
      <sz val="6"/>
      <color theme="1"/>
      <name val="微软雅黑"/>
      <charset val="134"/>
    </font>
    <font>
      <b/>
      <sz val="6"/>
      <color theme="0" tint="-0.499984740745262"/>
      <name val="微软雅黑"/>
      <charset val="134"/>
    </font>
    <font>
      <b/>
      <sz val="9"/>
      <color theme="4"/>
      <name val="微软雅黑"/>
      <charset val="134"/>
    </font>
    <font>
      <b/>
      <sz val="6"/>
      <color theme="4"/>
      <name val="微软雅黑"/>
      <charset val="134"/>
    </font>
    <font>
      <b/>
      <sz val="6"/>
      <color rgb="FFFF0000"/>
      <name val="微软雅黑"/>
      <charset val="134"/>
    </font>
    <font>
      <b/>
      <sz val="9"/>
      <color rgb="FFFFFFFF"/>
      <name val="微软雅黑"/>
      <charset val="134"/>
    </font>
    <font>
      <sz val="9"/>
      <color rgb="FF404040"/>
      <name val="微软雅黑"/>
      <charset val="134"/>
    </font>
    <font>
      <sz val="6"/>
      <color rgb="FF404040"/>
      <name val="微软雅黑"/>
      <charset val="134"/>
    </font>
    <font>
      <sz val="6"/>
      <color rgb="FFFF0000"/>
      <name val="微软雅黑"/>
      <charset val="134"/>
    </font>
    <font>
      <sz val="6"/>
      <color rgb="FF404040"/>
      <name val="Arial"/>
      <charset val="134"/>
    </font>
    <font>
      <b/>
      <sz val="6"/>
      <color rgb="FF000000"/>
      <name val="微软雅黑"/>
      <charset val="134"/>
    </font>
    <font>
      <sz val="6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5544297616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98082"/>
        <bgColor indexed="64"/>
      </patternFill>
    </fill>
    <fill>
      <patternFill patternType="solid">
        <fgColor rgb="FFFBD1D3"/>
        <bgColor indexed="64"/>
      </patternFill>
    </fill>
    <fill>
      <patternFill patternType="solid">
        <fgColor rgb="FFFA9092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BCFD2"/>
        <bgColor indexed="64"/>
      </patternFill>
    </fill>
    <fill>
      <patternFill patternType="solid">
        <fgColor rgb="FFFCEAED"/>
        <bgColor indexed="64"/>
      </patternFill>
    </fill>
    <fill>
      <patternFill patternType="solid">
        <fgColor rgb="FFFCEBEE"/>
        <bgColor indexed="64"/>
      </patternFill>
    </fill>
    <fill>
      <patternFill patternType="solid">
        <fgColor rgb="FFFAAFB1"/>
        <bgColor indexed="64"/>
      </patternFill>
    </fill>
    <fill>
      <patternFill patternType="solid">
        <fgColor rgb="FFFBC8CB"/>
        <bgColor indexed="64"/>
      </patternFill>
    </fill>
    <fill>
      <patternFill patternType="solid">
        <fgColor rgb="FFFBD0D3"/>
        <bgColor indexed="64"/>
      </patternFill>
    </fill>
    <fill>
      <patternFill patternType="solid">
        <fgColor rgb="FFFBD5D8"/>
        <bgColor indexed="64"/>
      </patternFill>
    </fill>
    <fill>
      <patternFill patternType="solid">
        <fgColor rgb="FFFAB2B5"/>
        <bgColor indexed="64"/>
      </patternFill>
    </fill>
    <fill>
      <patternFill patternType="solid">
        <fgColor rgb="FFFCD8DB"/>
        <bgColor indexed="64"/>
      </patternFill>
    </fill>
    <fill>
      <patternFill patternType="solid">
        <fgColor rgb="FFFBC1C3"/>
        <bgColor indexed="64"/>
      </patternFill>
    </fill>
    <fill>
      <patternFill patternType="solid">
        <fgColor rgb="FFFCF5F8"/>
        <bgColor indexed="64"/>
      </patternFill>
    </fill>
    <fill>
      <patternFill patternType="solid">
        <fgColor rgb="FFFBD6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 style="thick">
        <color rgb="FFFF6238"/>
      </bottom>
      <diagonal/>
    </border>
    <border>
      <left style="thick">
        <color rgb="FFFFFFFF"/>
      </left>
      <right style="thick">
        <color rgb="FFFFFFFF"/>
      </right>
      <top/>
      <bottom style="thick">
        <color rgb="FFFF6238"/>
      </bottom>
      <diagonal/>
    </border>
    <border>
      <left style="thick">
        <color rgb="FFFFFFFF"/>
      </left>
      <right/>
      <top/>
      <bottom style="thick">
        <color rgb="FFFF623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32" borderId="22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3" borderId="25" applyNumberFormat="0" applyAlignment="0" applyProtection="0">
      <alignment vertical="center"/>
    </xf>
    <xf numFmtId="0" fontId="43" fillId="13" borderId="26" applyNumberFormat="0" applyAlignment="0" applyProtection="0">
      <alignment vertical="center"/>
    </xf>
    <xf numFmtId="0" fontId="44" fillId="13" borderId="25" applyNumberFormat="0" applyAlignment="0" applyProtection="0">
      <alignment vertical="center"/>
    </xf>
    <xf numFmtId="0" fontId="45" fillId="34" borderId="27" applyNumberFormat="0" applyAlignment="0" applyProtection="0">
      <alignment vertical="center"/>
    </xf>
    <xf numFmtId="0" fontId="46" fillId="0" borderId="28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1" fillId="53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6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3" fillId="0" borderId="0" applyNumberFormat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248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/>
    <xf numFmtId="10" fontId="2" fillId="0" borderId="0" xfId="0" applyNumberFormat="1" applyFont="1" applyFill="1" applyAlignment="1"/>
    <xf numFmtId="9" fontId="2" fillId="0" borderId="0" xfId="0" applyNumberFormat="1" applyFont="1" applyFill="1" applyAlignment="1"/>
    <xf numFmtId="0" fontId="2" fillId="2" borderId="0" xfId="0" applyFont="1" applyFill="1" applyAlignment="1"/>
    <xf numFmtId="0" fontId="2" fillId="2" borderId="0" xfId="0" applyNumberFormat="1" applyFont="1" applyFill="1" applyAlignment="1"/>
    <xf numFmtId="10" fontId="2" fillId="2" borderId="0" xfId="0" applyNumberFormat="1" applyFont="1" applyFill="1" applyAlignment="1"/>
    <xf numFmtId="0" fontId="3" fillId="0" borderId="0" xfId="0" applyFont="1" applyFill="1" applyAlignment="1"/>
    <xf numFmtId="0" fontId="3" fillId="0" borderId="0" xfId="0" applyNumberFormat="1" applyFont="1" applyFill="1" applyAlignment="1"/>
    <xf numFmtId="10" fontId="3" fillId="0" borderId="0" xfId="0" applyNumberFormat="1" applyFont="1" applyFill="1" applyAlignment="1"/>
    <xf numFmtId="9" fontId="3" fillId="0" borderId="0" xfId="0" applyNumberFormat="1" applyFont="1" applyFill="1" applyAlignment="1"/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/>
    <xf numFmtId="0" fontId="5" fillId="0" borderId="0" xfId="0" applyNumberFormat="1" applyFont="1" applyFill="1" applyAlignment="1"/>
    <xf numFmtId="0" fontId="6" fillId="0" borderId="0" xfId="0" applyNumberFormat="1" applyFont="1" applyFill="1" applyAlignment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2" fillId="0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/>
    <xf numFmtId="4" fontId="3" fillId="0" borderId="0" xfId="0" applyNumberFormat="1" applyFont="1" applyFill="1" applyAlignment="1"/>
    <xf numFmtId="0" fontId="4" fillId="0" borderId="0" xfId="0" applyFont="1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2" borderId="0" xfId="0" applyFont="1" applyFill="1"/>
    <xf numFmtId="0" fontId="4" fillId="0" borderId="0" xfId="0" applyFont="1" applyFill="1" applyAlignment="1">
      <alignment vertical="center"/>
    </xf>
    <xf numFmtId="0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77" fontId="1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/>
    <xf numFmtId="0" fontId="7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79" fontId="4" fillId="0" borderId="3" xfId="3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/>
    </xf>
    <xf numFmtId="179" fontId="9" fillId="2" borderId="3" xfId="3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9" fontId="12" fillId="0" borderId="3" xfId="3" applyFont="1" applyBorder="1" applyAlignment="1">
      <alignment horizontal="center" vertical="center"/>
    </xf>
    <xf numFmtId="180" fontId="12" fillId="0" borderId="3" xfId="3" applyNumberFormat="1" applyFont="1" applyBorder="1" applyAlignment="1">
      <alignment horizontal="center" vertical="center"/>
    </xf>
    <xf numFmtId="9" fontId="12" fillId="0" borderId="3" xfId="3" applyNumberFormat="1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4" fontId="13" fillId="0" borderId="0" xfId="0" applyNumberFormat="1" applyFont="1"/>
    <xf numFmtId="177" fontId="12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12" fillId="2" borderId="3" xfId="0" applyNumberFormat="1" applyFont="1" applyFill="1" applyBorder="1" applyAlignment="1">
      <alignment horizontal="center" vertical="center"/>
    </xf>
    <xf numFmtId="9" fontId="12" fillId="0" borderId="0" xfId="3" applyFont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9" fontId="4" fillId="0" borderId="3" xfId="3" applyFont="1" applyBorder="1" applyAlignment="1">
      <alignment horizontal="center" vertical="center"/>
    </xf>
    <xf numFmtId="9" fontId="12" fillId="2" borderId="3" xfId="3" applyFont="1" applyFill="1" applyBorder="1" applyAlignment="1">
      <alignment horizontal="center" vertical="center"/>
    </xf>
    <xf numFmtId="180" fontId="4" fillId="0" borderId="3" xfId="3" applyNumberFormat="1" applyFont="1" applyBorder="1" applyAlignment="1">
      <alignment horizontal="center" vertical="center"/>
    </xf>
    <xf numFmtId="180" fontId="12" fillId="2" borderId="3" xfId="3" applyNumberFormat="1" applyFont="1" applyFill="1" applyBorder="1" applyAlignment="1">
      <alignment horizontal="center" vertical="center"/>
    </xf>
    <xf numFmtId="177" fontId="14" fillId="0" borderId="11" xfId="0" applyNumberFormat="1" applyFont="1" applyFill="1" applyBorder="1" applyAlignment="1">
      <alignment horizontal="center" vertical="center"/>
    </xf>
    <xf numFmtId="9" fontId="4" fillId="0" borderId="3" xfId="3" applyNumberFormat="1" applyFont="1" applyBorder="1" applyAlignment="1">
      <alignment horizontal="center" vertical="center"/>
    </xf>
    <xf numFmtId="9" fontId="12" fillId="2" borderId="3" xfId="3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177" fontId="4" fillId="2" borderId="3" xfId="0" applyNumberFormat="1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14" fillId="0" borderId="11" xfId="0" applyNumberFormat="1" applyFont="1" applyBorder="1" applyAlignment="1">
      <alignment horizontal="center" vertical="center"/>
    </xf>
    <xf numFmtId="9" fontId="4" fillId="2" borderId="3" xfId="3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15" fillId="9" borderId="6" xfId="50" applyFont="1" applyFill="1" applyBorder="1" applyAlignment="1">
      <alignment horizontal="center" vertical="center" wrapText="1"/>
    </xf>
    <xf numFmtId="0" fontId="15" fillId="9" borderId="8" xfId="50" applyFont="1" applyFill="1" applyBorder="1" applyAlignment="1">
      <alignment horizontal="center" vertical="center" wrapText="1"/>
    </xf>
    <xf numFmtId="0" fontId="15" fillId="9" borderId="2" xfId="50" applyFont="1" applyFill="1" applyBorder="1" applyAlignment="1">
      <alignment horizontal="center" vertical="center" wrapText="1"/>
    </xf>
    <xf numFmtId="0" fontId="15" fillId="9" borderId="3" xfId="50" applyFont="1" applyFill="1" applyBorder="1" applyAlignment="1">
      <alignment horizontal="center" vertical="center"/>
    </xf>
    <xf numFmtId="0" fontId="16" fillId="10" borderId="3" xfId="50" applyFont="1" applyFill="1" applyBorder="1" applyAlignment="1">
      <alignment horizontal="center" vertical="center" wrapText="1"/>
    </xf>
    <xf numFmtId="3" fontId="16" fillId="10" borderId="3" xfId="50" applyNumberFormat="1" applyFont="1" applyFill="1" applyBorder="1" applyAlignment="1">
      <alignment horizontal="center" vertical="center" wrapText="1"/>
    </xf>
    <xf numFmtId="9" fontId="16" fillId="10" borderId="3" xfId="3" applyFont="1" applyFill="1" applyBorder="1" applyAlignment="1">
      <alignment horizontal="center" vertical="center" wrapText="1"/>
    </xf>
    <xf numFmtId="0" fontId="16" fillId="10" borderId="10" xfId="50" applyFont="1" applyFill="1" applyBorder="1" applyAlignment="1">
      <alignment horizontal="center" vertical="center" wrapText="1"/>
    </xf>
    <xf numFmtId="0" fontId="17" fillId="9" borderId="3" xfId="50" applyFont="1" applyFill="1" applyBorder="1" applyAlignment="1">
      <alignment horizontal="center" vertical="center"/>
    </xf>
    <xf numFmtId="14" fontId="18" fillId="9" borderId="3" xfId="53" applyNumberFormat="1" applyFont="1" applyFill="1" applyBorder="1" applyAlignment="1">
      <alignment horizontal="center" vertical="center"/>
    </xf>
    <xf numFmtId="181" fontId="16" fillId="9" borderId="3" xfId="1" applyNumberFormat="1" applyFont="1" applyFill="1" applyBorder="1" applyAlignment="1">
      <alignment horizontal="center" vertical="center"/>
    </xf>
    <xf numFmtId="182" fontId="18" fillId="9" borderId="3" xfId="50" applyNumberFormat="1" applyFont="1" applyFill="1" applyBorder="1" applyAlignment="1">
      <alignment horizontal="center" vertical="center" wrapText="1"/>
    </xf>
    <xf numFmtId="9" fontId="18" fillId="9" borderId="3" xfId="3" applyFont="1" applyFill="1" applyBorder="1" applyAlignment="1">
      <alignment horizontal="center" vertical="center"/>
    </xf>
    <xf numFmtId="183" fontId="16" fillId="9" borderId="3" xfId="1" applyNumberFormat="1" applyFont="1" applyFill="1" applyBorder="1" applyAlignment="1">
      <alignment horizontal="center" vertical="center"/>
    </xf>
    <xf numFmtId="10" fontId="18" fillId="9" borderId="3" xfId="3" applyNumberFormat="1" applyFont="1" applyFill="1" applyBorder="1" applyAlignment="1">
      <alignment horizontal="center" vertical="center"/>
    </xf>
    <xf numFmtId="181" fontId="18" fillId="9" borderId="3" xfId="50" applyNumberFormat="1" applyFont="1" applyFill="1" applyBorder="1" applyAlignment="1">
      <alignment horizontal="center" vertical="center" wrapText="1"/>
    </xf>
    <xf numFmtId="0" fontId="16" fillId="9" borderId="3" xfId="1" applyNumberFormat="1" applyFont="1" applyFill="1" applyBorder="1" applyAlignment="1">
      <alignment vertical="center"/>
    </xf>
    <xf numFmtId="9" fontId="18" fillId="9" borderId="3" xfId="3" applyFont="1" applyFill="1" applyBorder="1" applyAlignment="1">
      <alignment horizontal="center" vertical="center" wrapText="1"/>
    </xf>
    <xf numFmtId="181" fontId="16" fillId="9" borderId="3" xfId="49" applyNumberFormat="1" applyFont="1" applyFill="1" applyBorder="1" applyAlignment="1">
      <alignment vertical="center"/>
    </xf>
    <xf numFmtId="181" fontId="16" fillId="9" borderId="3" xfId="1" applyNumberFormat="1" applyFont="1" applyFill="1" applyBorder="1" applyAlignment="1">
      <alignment vertical="center"/>
    </xf>
    <xf numFmtId="0" fontId="19" fillId="9" borderId="3" xfId="50" applyFont="1" applyFill="1" applyBorder="1" applyAlignment="1">
      <alignment horizontal="center" vertical="center" wrapText="1"/>
    </xf>
    <xf numFmtId="0" fontId="20" fillId="9" borderId="3" xfId="50" applyFont="1" applyFill="1" applyBorder="1" applyAlignment="1">
      <alignment horizontal="center" vertical="center" wrapText="1"/>
    </xf>
    <xf numFmtId="177" fontId="20" fillId="9" borderId="3" xfId="50" applyNumberFormat="1" applyFont="1" applyFill="1" applyBorder="1" applyAlignment="1">
      <alignment horizontal="center" vertical="center" wrapText="1"/>
    </xf>
    <xf numFmtId="184" fontId="20" fillId="9" borderId="3" xfId="50" applyNumberFormat="1" applyFont="1" applyFill="1" applyBorder="1" applyAlignment="1">
      <alignment horizontal="center" vertical="center" wrapText="1"/>
    </xf>
    <xf numFmtId="3" fontId="20" fillId="9" borderId="3" xfId="50" applyNumberFormat="1" applyFont="1" applyFill="1" applyBorder="1" applyAlignment="1">
      <alignment horizontal="center" vertical="center" wrapText="1"/>
    </xf>
    <xf numFmtId="9" fontId="20" fillId="9" borderId="3" xfId="3" applyFont="1" applyFill="1" applyBorder="1" applyAlignment="1">
      <alignment horizontal="center" vertical="center" wrapText="1"/>
    </xf>
    <xf numFmtId="10" fontId="20" fillId="9" borderId="3" xfId="50" applyNumberFormat="1" applyFont="1" applyFill="1" applyBorder="1" applyAlignment="1">
      <alignment horizontal="center" vertical="center" wrapText="1"/>
    </xf>
    <xf numFmtId="0" fontId="21" fillId="9" borderId="3" xfId="50" applyFont="1" applyFill="1" applyBorder="1" applyAlignment="1">
      <alignment horizontal="center" vertical="center" wrapText="1"/>
    </xf>
    <xf numFmtId="3" fontId="20" fillId="9" borderId="12" xfId="50" applyNumberFormat="1" applyFont="1" applyFill="1" applyBorder="1" applyAlignment="1">
      <alignment horizontal="center" vertical="center" wrapText="1"/>
    </xf>
    <xf numFmtId="9" fontId="20" fillId="9" borderId="12" xfId="3" applyFont="1" applyFill="1" applyBorder="1" applyAlignment="1">
      <alignment horizontal="center" vertical="center" wrapText="1"/>
    </xf>
    <xf numFmtId="10" fontId="20" fillId="9" borderId="12" xfId="50" applyNumberFormat="1" applyFont="1" applyFill="1" applyBorder="1" applyAlignment="1">
      <alignment horizontal="center" vertical="center" wrapText="1"/>
    </xf>
    <xf numFmtId="177" fontId="20" fillId="9" borderId="12" xfId="50" applyNumberFormat="1" applyFont="1" applyFill="1" applyBorder="1" applyAlignment="1">
      <alignment horizontal="center" vertical="center" wrapText="1"/>
    </xf>
    <xf numFmtId="0" fontId="15" fillId="9" borderId="3" xfId="50" applyFont="1" applyFill="1" applyBorder="1" applyAlignment="1">
      <alignment horizontal="center" vertical="center" wrapText="1"/>
    </xf>
    <xf numFmtId="0" fontId="16" fillId="9" borderId="3" xfId="50" applyFont="1" applyFill="1" applyBorder="1" applyAlignment="1">
      <alignment horizontal="center" vertical="center" wrapText="1"/>
    </xf>
    <xf numFmtId="177" fontId="22" fillId="9" borderId="3" xfId="50" applyNumberFormat="1" applyFont="1" applyFill="1" applyBorder="1" applyAlignment="1">
      <alignment horizontal="center" vertical="center" wrapText="1"/>
    </xf>
    <xf numFmtId="0" fontId="22" fillId="9" borderId="3" xfId="50" applyFont="1" applyFill="1" applyBorder="1" applyAlignment="1">
      <alignment horizontal="center" vertical="center" wrapText="1"/>
    </xf>
    <xf numFmtId="177" fontId="16" fillId="9" borderId="3" xfId="50" applyNumberFormat="1" applyFont="1" applyFill="1" applyBorder="1" applyAlignment="1">
      <alignment horizontal="center" vertical="center" wrapText="1"/>
    </xf>
    <xf numFmtId="9" fontId="16" fillId="9" borderId="3" xfId="3" applyFont="1" applyFill="1" applyBorder="1" applyAlignment="1">
      <alignment horizontal="center" vertical="center" wrapText="1"/>
    </xf>
    <xf numFmtId="6" fontId="16" fillId="9" borderId="3" xfId="50" applyNumberFormat="1" applyFont="1" applyFill="1" applyBorder="1" applyAlignment="1">
      <alignment horizontal="center" vertical="center" wrapText="1"/>
    </xf>
    <xf numFmtId="10" fontId="16" fillId="9" borderId="3" xfId="50" applyNumberFormat="1" applyFont="1" applyFill="1" applyBorder="1" applyAlignment="1">
      <alignment horizontal="center" vertical="center" wrapText="1"/>
    </xf>
    <xf numFmtId="0" fontId="23" fillId="9" borderId="3" xfId="50" applyFont="1" applyFill="1" applyBorder="1" applyAlignment="1">
      <alignment horizontal="center" vertical="center" wrapText="1"/>
    </xf>
    <xf numFmtId="9" fontId="24" fillId="9" borderId="3" xfId="3" applyFont="1" applyFill="1" applyBorder="1" applyAlignment="1">
      <alignment horizontal="center" vertical="center" wrapText="1"/>
    </xf>
    <xf numFmtId="9" fontId="25" fillId="9" borderId="3" xfId="3" applyFont="1" applyFill="1" applyBorder="1" applyAlignment="1">
      <alignment horizontal="center" vertical="center"/>
    </xf>
    <xf numFmtId="9" fontId="25" fillId="9" borderId="3" xfId="3" applyFont="1" applyFill="1" applyBorder="1" applyAlignment="1">
      <alignment horizontal="center" vertical="center" wrapText="1"/>
    </xf>
    <xf numFmtId="9" fontId="15" fillId="9" borderId="3" xfId="3" applyFont="1" applyFill="1" applyBorder="1" applyAlignment="1">
      <alignment horizontal="center" vertical="center" wrapText="1"/>
    </xf>
    <xf numFmtId="9" fontId="16" fillId="0" borderId="3" xfId="3" applyFont="1" applyFill="1" applyBorder="1" applyAlignment="1">
      <alignment horizontal="center" vertical="center"/>
    </xf>
    <xf numFmtId="180" fontId="16" fillId="0" borderId="3" xfId="3" applyNumberFormat="1" applyFont="1" applyFill="1" applyBorder="1" applyAlignment="1">
      <alignment horizontal="center" vertical="center" wrapText="1"/>
    </xf>
    <xf numFmtId="3" fontId="22" fillId="9" borderId="3" xfId="50" applyNumberFormat="1" applyFont="1" applyFill="1" applyBorder="1" applyAlignment="1">
      <alignment horizontal="center" vertical="center" wrapText="1"/>
    </xf>
    <xf numFmtId="9" fontId="16" fillId="9" borderId="3" xfId="3" applyFont="1" applyFill="1" applyBorder="1" applyAlignment="1">
      <alignment horizontal="center" vertical="center"/>
    </xf>
    <xf numFmtId="9" fontId="22" fillId="9" borderId="3" xfId="3" applyFont="1" applyFill="1" applyBorder="1" applyAlignment="1">
      <alignment horizontal="center" vertical="center" wrapText="1"/>
    </xf>
    <xf numFmtId="3" fontId="16" fillId="9" borderId="3" xfId="3" applyNumberFormat="1" applyFont="1" applyFill="1" applyBorder="1" applyAlignment="1">
      <alignment horizontal="center" vertical="center" wrapText="1"/>
    </xf>
    <xf numFmtId="180" fontId="16" fillId="9" borderId="3" xfId="3" applyNumberFormat="1" applyFont="1" applyFill="1" applyBorder="1" applyAlignment="1">
      <alignment horizontal="center" vertical="center" wrapText="1"/>
    </xf>
    <xf numFmtId="10" fontId="16" fillId="9" borderId="3" xfId="3" applyNumberFormat="1" applyFont="1" applyFill="1" applyBorder="1" applyAlignment="1">
      <alignment horizontal="center" vertical="center" wrapText="1"/>
    </xf>
    <xf numFmtId="180" fontId="26" fillId="9" borderId="3" xfId="3" applyNumberFormat="1" applyFont="1" applyFill="1" applyBorder="1" applyAlignment="1">
      <alignment horizontal="center" vertical="center" wrapText="1"/>
    </xf>
    <xf numFmtId="3" fontId="16" fillId="9" borderId="3" xfId="50" applyNumberFormat="1" applyFont="1" applyFill="1" applyBorder="1" applyAlignment="1">
      <alignment horizontal="center" vertical="center" wrapText="1"/>
    </xf>
    <xf numFmtId="9" fontId="19" fillId="9" borderId="3" xfId="3" applyFont="1" applyFill="1" applyBorder="1" applyAlignment="1">
      <alignment horizontal="center" vertical="center" wrapText="1"/>
    </xf>
    <xf numFmtId="9" fontId="20" fillId="11" borderId="3" xfId="3" applyFont="1" applyFill="1" applyBorder="1" applyAlignment="1">
      <alignment horizontal="center" vertical="center"/>
    </xf>
    <xf numFmtId="9" fontId="20" fillId="11" borderId="3" xfId="3" applyFont="1" applyFill="1" applyBorder="1" applyAlignment="1">
      <alignment horizontal="center" vertical="center" wrapText="1"/>
    </xf>
    <xf numFmtId="180" fontId="20" fillId="11" borderId="3" xfId="3" applyNumberFormat="1" applyFont="1" applyFill="1" applyBorder="1" applyAlignment="1">
      <alignment horizontal="center" vertical="center" wrapText="1"/>
    </xf>
    <xf numFmtId="3" fontId="20" fillId="11" borderId="3" xfId="3" applyNumberFormat="1" applyFont="1" applyFill="1" applyBorder="1" applyAlignment="1">
      <alignment horizontal="center" vertical="center" wrapText="1"/>
    </xf>
    <xf numFmtId="10" fontId="20" fillId="11" borderId="3" xfId="3" applyNumberFormat="1" applyFont="1" applyFill="1" applyBorder="1" applyAlignment="1">
      <alignment horizontal="center" vertical="center" wrapText="1"/>
    </xf>
    <xf numFmtId="0" fontId="27" fillId="12" borderId="13" xfId="0" applyFont="1" applyFill="1" applyBorder="1" applyAlignment="1">
      <alignment horizontal="center" vertical="center" wrapText="1" readingOrder="1"/>
    </xf>
    <xf numFmtId="0" fontId="15" fillId="10" borderId="3" xfId="50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 readingOrder="1"/>
    </xf>
    <xf numFmtId="0" fontId="29" fillId="0" borderId="14" xfId="0" applyFont="1" applyBorder="1" applyAlignment="1">
      <alignment horizontal="center" vertical="center" wrapText="1" readingOrder="1"/>
    </xf>
    <xf numFmtId="3" fontId="29" fillId="0" borderId="14" xfId="0" applyNumberFormat="1" applyFont="1" applyBorder="1" applyAlignment="1">
      <alignment horizontal="center" vertical="center" wrapText="1" readingOrder="1"/>
    </xf>
    <xf numFmtId="9" fontId="29" fillId="0" borderId="14" xfId="0" applyNumberFormat="1" applyFont="1" applyBorder="1" applyAlignment="1">
      <alignment horizontal="center" vertical="center" wrapText="1" readingOrder="1"/>
    </xf>
    <xf numFmtId="9" fontId="30" fillId="0" borderId="14" xfId="0" applyNumberFormat="1" applyFont="1" applyBorder="1" applyAlignment="1">
      <alignment horizontal="center" vertical="center" wrapText="1" readingOrder="1"/>
    </xf>
    <xf numFmtId="10" fontId="29" fillId="0" borderId="14" xfId="0" applyNumberFormat="1" applyFont="1" applyBorder="1" applyAlignment="1">
      <alignment horizontal="center" vertical="center" wrapText="1" readingOrder="1"/>
    </xf>
    <xf numFmtId="9" fontId="29" fillId="0" borderId="15" xfId="0" applyNumberFormat="1" applyFont="1" applyBorder="1" applyAlignment="1">
      <alignment horizontal="center" vertical="center" wrapText="1" readingOrder="1"/>
    </xf>
    <xf numFmtId="0" fontId="28" fillId="13" borderId="13" xfId="0" applyFont="1" applyFill="1" applyBorder="1" applyAlignment="1">
      <alignment horizontal="center" vertical="center" wrapText="1" readingOrder="1"/>
    </xf>
    <xf numFmtId="0" fontId="29" fillId="13" borderId="14" xfId="0" applyFont="1" applyFill="1" applyBorder="1" applyAlignment="1">
      <alignment horizontal="center" vertical="center" wrapText="1" readingOrder="1"/>
    </xf>
    <xf numFmtId="3" fontId="29" fillId="13" borderId="14" xfId="0" applyNumberFormat="1" applyFont="1" applyFill="1" applyBorder="1" applyAlignment="1">
      <alignment horizontal="center" vertical="center" wrapText="1" readingOrder="1"/>
    </xf>
    <xf numFmtId="9" fontId="29" fillId="13" borderId="14" xfId="0" applyNumberFormat="1" applyFont="1" applyFill="1" applyBorder="1" applyAlignment="1">
      <alignment horizontal="center" vertical="center" wrapText="1" readingOrder="1"/>
    </xf>
    <xf numFmtId="9" fontId="30" fillId="13" borderId="14" xfId="0" applyNumberFormat="1" applyFont="1" applyFill="1" applyBorder="1" applyAlignment="1">
      <alignment horizontal="center" vertical="center" wrapText="1" readingOrder="1"/>
    </xf>
    <xf numFmtId="10" fontId="29" fillId="13" borderId="14" xfId="0" applyNumberFormat="1" applyFont="1" applyFill="1" applyBorder="1" applyAlignment="1">
      <alignment horizontal="center" vertical="center" wrapText="1" readingOrder="1"/>
    </xf>
    <xf numFmtId="9" fontId="29" fillId="13" borderId="15" xfId="0" applyNumberFormat="1" applyFont="1" applyFill="1" applyBorder="1" applyAlignment="1">
      <alignment horizontal="center" vertical="center" wrapText="1" readingOrder="1"/>
    </xf>
    <xf numFmtId="0" fontId="31" fillId="0" borderId="14" xfId="0" applyFont="1" applyBorder="1" applyAlignment="1">
      <alignment horizontal="center" vertical="center" wrapText="1" readingOrder="1"/>
    </xf>
    <xf numFmtId="0" fontId="28" fillId="13" borderId="16" xfId="0" applyFont="1" applyFill="1" applyBorder="1" applyAlignment="1">
      <alignment horizontal="center" vertical="center" wrapText="1" readingOrder="1"/>
    </xf>
    <xf numFmtId="0" fontId="29" fillId="13" borderId="17" xfId="0" applyFont="1" applyFill="1" applyBorder="1" applyAlignment="1">
      <alignment horizontal="center" vertical="center" wrapText="1" readingOrder="1"/>
    </xf>
    <xf numFmtId="3" fontId="29" fillId="13" borderId="17" xfId="0" applyNumberFormat="1" applyFont="1" applyFill="1" applyBorder="1" applyAlignment="1">
      <alignment horizontal="center" vertical="center" wrapText="1" readingOrder="1"/>
    </xf>
    <xf numFmtId="9" fontId="29" fillId="13" borderId="17" xfId="0" applyNumberFormat="1" applyFont="1" applyFill="1" applyBorder="1" applyAlignment="1">
      <alignment horizontal="center" vertical="center" wrapText="1" readingOrder="1"/>
    </xf>
    <xf numFmtId="10" fontId="29" fillId="13" borderId="17" xfId="0" applyNumberFormat="1" applyFont="1" applyFill="1" applyBorder="1" applyAlignment="1">
      <alignment horizontal="center" vertical="center" wrapText="1" readingOrder="1"/>
    </xf>
    <xf numFmtId="9" fontId="29" fillId="13" borderId="18" xfId="0" applyNumberFormat="1" applyFont="1" applyFill="1" applyBorder="1" applyAlignment="1">
      <alignment horizontal="center" vertical="center" wrapText="1" readingOrder="1"/>
    </xf>
    <xf numFmtId="0" fontId="32" fillId="14" borderId="11" xfId="0" applyFont="1" applyFill="1" applyBorder="1" applyAlignment="1">
      <alignment horizontal="center" vertical="center" wrapText="1" readingOrder="1"/>
    </xf>
    <xf numFmtId="0" fontId="33" fillId="0" borderId="11" xfId="0" applyFont="1" applyBorder="1" applyAlignment="1">
      <alignment horizontal="center" vertical="center" wrapText="1" readingOrder="1"/>
    </xf>
    <xf numFmtId="3" fontId="33" fillId="0" borderId="11" xfId="0" applyNumberFormat="1" applyFont="1" applyBorder="1" applyAlignment="1">
      <alignment horizontal="center" vertical="center" wrapText="1" readingOrder="1"/>
    </xf>
    <xf numFmtId="3" fontId="30" fillId="0" borderId="11" xfId="0" applyNumberFormat="1" applyFont="1" applyBorder="1" applyAlignment="1">
      <alignment horizontal="center" vertical="center" wrapText="1" readingOrder="1"/>
    </xf>
    <xf numFmtId="0" fontId="30" fillId="0" borderId="11" xfId="0" applyFont="1" applyBorder="1" applyAlignment="1">
      <alignment horizontal="center" vertical="center" wrapText="1" readingOrder="1"/>
    </xf>
    <xf numFmtId="10" fontId="33" fillId="15" borderId="11" xfId="0" applyNumberFormat="1" applyFont="1" applyFill="1" applyBorder="1" applyAlignment="1">
      <alignment horizontal="center" vertical="center" wrapText="1" readingOrder="1"/>
    </xf>
    <xf numFmtId="10" fontId="33" fillId="16" borderId="11" xfId="0" applyNumberFormat="1" applyFont="1" applyFill="1" applyBorder="1" applyAlignment="1">
      <alignment horizontal="center" vertical="center" wrapText="1" readingOrder="1"/>
    </xf>
    <xf numFmtId="10" fontId="33" fillId="17" borderId="11" xfId="0" applyNumberFormat="1" applyFont="1" applyFill="1" applyBorder="1" applyAlignment="1">
      <alignment horizontal="center" vertical="center" wrapText="1" readingOrder="1"/>
    </xf>
    <xf numFmtId="10" fontId="33" fillId="18" borderId="11" xfId="0" applyNumberFormat="1" applyFont="1" applyFill="1" applyBorder="1" applyAlignment="1">
      <alignment horizontal="center" vertical="center" wrapText="1" readingOrder="1"/>
    </xf>
    <xf numFmtId="10" fontId="33" fillId="19" borderId="11" xfId="0" applyNumberFormat="1" applyFont="1" applyFill="1" applyBorder="1" applyAlignment="1">
      <alignment horizontal="center" vertical="center" wrapText="1" readingOrder="1"/>
    </xf>
    <xf numFmtId="10" fontId="33" fillId="20" borderId="11" xfId="0" applyNumberFormat="1" applyFont="1" applyFill="1" applyBorder="1" applyAlignment="1">
      <alignment horizontal="center" vertical="center" wrapText="1" readingOrder="1"/>
    </xf>
    <xf numFmtId="10" fontId="33" fillId="21" borderId="11" xfId="0" applyNumberFormat="1" applyFont="1" applyFill="1" applyBorder="1" applyAlignment="1">
      <alignment horizontal="center" vertical="center" wrapText="1" readingOrder="1"/>
    </xf>
    <xf numFmtId="10" fontId="33" fillId="22" borderId="11" xfId="0" applyNumberFormat="1" applyFont="1" applyFill="1" applyBorder="1" applyAlignment="1">
      <alignment horizontal="center" vertical="center" wrapText="1" readingOrder="1"/>
    </xf>
    <xf numFmtId="10" fontId="33" fillId="23" borderId="11" xfId="0" applyNumberFormat="1" applyFont="1" applyFill="1" applyBorder="1" applyAlignment="1">
      <alignment horizontal="center" vertical="center" wrapText="1" readingOrder="1"/>
    </xf>
    <xf numFmtId="10" fontId="33" fillId="24" borderId="11" xfId="0" applyNumberFormat="1" applyFont="1" applyFill="1" applyBorder="1" applyAlignment="1">
      <alignment horizontal="center" vertical="center" wrapText="1" readingOrder="1"/>
    </xf>
    <xf numFmtId="10" fontId="33" fillId="25" borderId="11" xfId="0" applyNumberFormat="1" applyFont="1" applyFill="1" applyBorder="1" applyAlignment="1">
      <alignment horizontal="center" vertical="center" wrapText="1" readingOrder="1"/>
    </xf>
    <xf numFmtId="10" fontId="33" fillId="26" borderId="11" xfId="0" applyNumberFormat="1" applyFont="1" applyFill="1" applyBorder="1" applyAlignment="1">
      <alignment horizontal="center" vertical="center" wrapText="1" readingOrder="1"/>
    </xf>
    <xf numFmtId="10" fontId="33" fillId="27" borderId="11" xfId="0" applyNumberFormat="1" applyFont="1" applyFill="1" applyBorder="1" applyAlignment="1">
      <alignment horizontal="center" vertical="center" wrapText="1" readingOrder="1"/>
    </xf>
    <xf numFmtId="10" fontId="33" fillId="28" borderId="11" xfId="0" applyNumberFormat="1" applyFont="1" applyFill="1" applyBorder="1" applyAlignment="1">
      <alignment horizontal="center" vertical="center" wrapText="1" readingOrder="1"/>
    </xf>
    <xf numFmtId="0" fontId="33" fillId="29" borderId="11" xfId="0" applyFont="1" applyFill="1" applyBorder="1" applyAlignment="1">
      <alignment horizontal="center" vertical="center" wrapText="1" readingOrder="1"/>
    </xf>
    <xf numFmtId="0" fontId="33" fillId="19" borderId="11" xfId="0" applyFont="1" applyFill="1" applyBorder="1" applyAlignment="1">
      <alignment horizontal="center" vertical="center" wrapText="1" readingOrder="1"/>
    </xf>
    <xf numFmtId="0" fontId="33" fillId="30" borderId="11" xfId="0" applyFont="1" applyFill="1" applyBorder="1" applyAlignment="1">
      <alignment horizontal="center" vertical="center" wrapText="1" readingOrder="1"/>
    </xf>
    <xf numFmtId="0" fontId="33" fillId="31" borderId="11" xfId="0" applyFont="1" applyFill="1" applyBorder="1" applyAlignment="1">
      <alignment horizontal="center" vertical="center" wrapText="1" readingOrder="1"/>
    </xf>
    <xf numFmtId="0" fontId="33" fillId="15" borderId="11" xfId="0" applyFont="1" applyFill="1" applyBorder="1" applyAlignment="1">
      <alignment horizontal="center" vertical="center" wrapText="1" readingOrder="1"/>
    </xf>
    <xf numFmtId="0" fontId="32" fillId="14" borderId="19" xfId="0" applyFont="1" applyFill="1" applyBorder="1" applyAlignment="1">
      <alignment horizontal="center" vertical="center" wrapText="1" readingOrder="1"/>
    </xf>
    <xf numFmtId="0" fontId="33" fillId="0" borderId="19" xfId="0" applyFont="1" applyBorder="1" applyAlignment="1">
      <alignment horizontal="center" vertical="center" wrapText="1" readingOrder="1"/>
    </xf>
    <xf numFmtId="0" fontId="32" fillId="14" borderId="20" xfId="0" applyFont="1" applyFill="1" applyBorder="1" applyAlignment="1">
      <alignment horizontal="center" vertical="center" wrapText="1" readingOrder="1"/>
    </xf>
    <xf numFmtId="0" fontId="33" fillId="0" borderId="20" xfId="0" applyFont="1" applyBorder="1" applyAlignment="1">
      <alignment horizontal="center" vertical="center" wrapText="1" readingOrder="1"/>
    </xf>
    <xf numFmtId="0" fontId="32" fillId="14" borderId="21" xfId="0" applyFont="1" applyFill="1" applyBorder="1" applyAlignment="1">
      <alignment horizontal="center" vertical="center" wrapText="1" readingOrder="1"/>
    </xf>
    <xf numFmtId="0" fontId="33" fillId="0" borderId="21" xfId="0" applyFont="1" applyBorder="1" applyAlignment="1">
      <alignment horizontal="center" vertical="center" wrapText="1" readingOrder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6" xfId="50"/>
    <cellStyle name="常规 11 14 2 2 2" xfId="51"/>
    <cellStyle name="常规 16" xfId="52"/>
    <cellStyle name="常规 5 3" xfId="5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4.xml"/><Relationship Id="rId17" Type="http://schemas.openxmlformats.org/officeDocument/2006/relationships/externalLink" Target="externalLinks/externalLink3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7</xdr:row>
      <xdr:rowOff>0</xdr:rowOff>
    </xdr:from>
    <xdr:ext cx="1079500" cy="228600"/>
    <xdr:sp>
      <xdr:nvSpPr>
        <xdr:cNvPr id="2" name="Host Control  1" hidden="1"/>
        <xdr:cNvSpPr/>
      </xdr:nvSpPr>
      <xdr:spPr>
        <a:xfrm>
          <a:off x="1631315" y="1530350"/>
          <a:ext cx="1079500" cy="228600"/>
        </a:xfrm>
        <a:prstGeom prst="rect">
          <a:avLst/>
        </a:prstGeom>
      </xdr:spPr>
    </xdr:sp>
    <xdr:clientData/>
  </xdr:oneCellAnchor>
  <xdr:oneCellAnchor>
    <xdr:from>
      <xdr:col>2</xdr:col>
      <xdr:colOff>0</xdr:colOff>
      <xdr:row>8</xdr:row>
      <xdr:rowOff>0</xdr:rowOff>
    </xdr:from>
    <xdr:ext cx="1079500" cy="228600"/>
    <xdr:sp>
      <xdr:nvSpPr>
        <xdr:cNvPr id="3" name="Host Control  1" hidden="1"/>
        <xdr:cNvSpPr/>
      </xdr:nvSpPr>
      <xdr:spPr>
        <a:xfrm>
          <a:off x="1631315" y="1708150"/>
          <a:ext cx="1079500" cy="228600"/>
        </a:xfrm>
        <a:prstGeom prst="rect">
          <a:avLst/>
        </a:prstGeom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zhaohanjun\Downloads\C:\&#38738;&#26408;\&#36816;&#33829;&#26085;&#25253;\NB&#20108;&#24215;%20Douyin%20daily%20report%202023-3-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afile01\CNSA-Department\Documents%20and%20Settings\jekr\Local%20Settings\Temporary%20Internet%20Files\Content.Outlook\MK0YYTVP\Account\Mthrep04\PTEI\Arief\Rec%20&amp;%20Pay\Receivable\AGING%20SCHEDULE%20JAN%20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2021&#25307;&#32856;&#24405;&#29992;&#34920;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0154;&#20107;&#34892;&#25919;&#37096;\&#25307;&#32856;\2.&#25307;&#32856;&#25968;&#25454;&#24211;\4.&#25307;&#32856;&#24405;&#29992;&#34920;\2020&#25307;&#32856;&#24405;&#29992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运营日报"/>
      <sheetName val="数据源"/>
      <sheetName val="Sheet3"/>
      <sheetName val="Sheet2"/>
      <sheetName val="Sheet4"/>
      <sheetName val="直播间看板"/>
      <sheetName val="主播数据"/>
      <sheetName val="投放情况 "/>
      <sheetName val="Product Data "/>
      <sheetName val="Product Review "/>
      <sheetName val="DK TRD"/>
    </sheetNames>
    <sheetDataSet>
      <sheetData sheetId="0" refreshError="1"/>
      <sheetData sheetId="1" refreshError="1">
        <row r="97">
          <cell r="G97">
            <v>140000</v>
          </cell>
        </row>
        <row r="98">
          <cell r="G98">
            <v>120000</v>
          </cell>
        </row>
        <row r="99">
          <cell r="G99">
            <v>120000</v>
          </cell>
        </row>
        <row r="100">
          <cell r="G100">
            <v>200000</v>
          </cell>
        </row>
        <row r="101">
          <cell r="G101">
            <v>200000</v>
          </cell>
        </row>
        <row r="102">
          <cell r="G102">
            <v>200000</v>
          </cell>
        </row>
        <row r="103">
          <cell r="G103">
            <v>200000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ontly act"/>
      <sheetName val="ALL"/>
      <sheetName val="DK TRD"/>
      <sheetName val="DK EXP"/>
      <sheetName val="THAI"/>
      <sheetName val="PTG"/>
      <sheetName val="OTHER"/>
      <sheetName val="Instruction"/>
      <sheetName val="Sheet3"/>
      <sheetName val="DASHBOARD"/>
      <sheetName val="Customer DashBoard"/>
      <sheetName val="Lists"/>
      <sheetName val="女鞋选款"/>
      <sheetName val="Risk Profile"/>
      <sheetName val="筛选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筛选项"/>
      <sheetName val="录用表"/>
      <sheetName val="每日入职"/>
      <sheetName val="人员跟踪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筛选项"/>
      <sheetName val="录用表"/>
      <sheetName val="每日入职"/>
      <sheetName val="人员跟踪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"/>
  <sheetViews>
    <sheetView topLeftCell="A37" workbookViewId="0">
      <selection activeCell="S22" sqref="S22"/>
    </sheetView>
  </sheetViews>
  <sheetFormatPr defaultColWidth="9" defaultRowHeight="14"/>
  <cols>
    <col min="1" max="1" width="8.75" customWidth="1"/>
    <col min="2" max="2" width="12.6583333333333" customWidth="1"/>
    <col min="3" max="3" width="11.3333333333333" customWidth="1"/>
    <col min="7" max="15" width="8.75" customWidth="1"/>
  </cols>
  <sheetData>
    <row r="1" ht="31.5" customHeight="1" spans="1:16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6"/>
    </row>
    <row r="2" ht="19" spans="1:16">
      <c r="A2" s="137"/>
      <c r="B2" s="138" t="s">
        <v>1</v>
      </c>
      <c r="C2" s="138" t="s">
        <v>2</v>
      </c>
      <c r="D2" s="138" t="s">
        <v>3</v>
      </c>
      <c r="E2" s="138" t="s">
        <v>4</v>
      </c>
      <c r="F2" s="138" t="s">
        <v>5</v>
      </c>
      <c r="G2" s="139" t="s">
        <v>6</v>
      </c>
      <c r="H2" s="139" t="s">
        <v>7</v>
      </c>
      <c r="I2" s="139" t="s">
        <v>8</v>
      </c>
      <c r="J2" s="139" t="s">
        <v>9</v>
      </c>
      <c r="K2" s="138" t="s">
        <v>10</v>
      </c>
      <c r="L2" s="138" t="s">
        <v>11</v>
      </c>
      <c r="M2" s="138" t="s">
        <v>12</v>
      </c>
      <c r="N2" s="138" t="s">
        <v>13</v>
      </c>
      <c r="O2" s="140" t="s">
        <v>14</v>
      </c>
      <c r="P2" s="141" t="s">
        <v>15</v>
      </c>
    </row>
    <row r="3" spans="1:16">
      <c r="A3" s="142"/>
      <c r="B3" s="143">
        <v>44983</v>
      </c>
      <c r="C3" s="144">
        <v>73380.22</v>
      </c>
      <c r="D3" s="145">
        <v>16.5</v>
      </c>
      <c r="E3" s="144">
        <v>45660</v>
      </c>
      <c r="F3" s="144">
        <v>2767.27</v>
      </c>
      <c r="G3" s="144">
        <v>19999</v>
      </c>
      <c r="H3" s="144"/>
      <c r="I3" s="144"/>
      <c r="J3" s="146">
        <v>0.703529332809219</v>
      </c>
      <c r="K3" s="147">
        <v>543.557185185185</v>
      </c>
      <c r="L3" s="148">
        <v>0.00463</v>
      </c>
      <c r="M3" s="149">
        <v>77</v>
      </c>
      <c r="N3" s="150">
        <v>42889</v>
      </c>
      <c r="O3" s="151">
        <f>N3/C3</f>
        <v>0.584476307102922</v>
      </c>
    </row>
    <row r="4" spans="1:16">
      <c r="A4" s="142"/>
      <c r="B4" s="143">
        <v>44984</v>
      </c>
      <c r="C4" s="152">
        <v>85199</v>
      </c>
      <c r="D4" s="145">
        <v>17</v>
      </c>
      <c r="E4" s="144">
        <v>61198</v>
      </c>
      <c r="F4" s="144">
        <f t="shared" ref="F4:F10" si="0">E4/D4</f>
        <v>3599.88235294118</v>
      </c>
      <c r="G4" s="144">
        <v>17755</v>
      </c>
      <c r="H4" s="144"/>
      <c r="I4" s="144"/>
      <c r="J4" s="146">
        <v>0.71</v>
      </c>
      <c r="K4" s="147">
        <v>665.6171875</v>
      </c>
      <c r="L4" s="148">
        <v>0.00485</v>
      </c>
      <c r="M4" s="149">
        <v>113</v>
      </c>
      <c r="N4" s="150">
        <v>58698.9</v>
      </c>
      <c r="O4" s="151">
        <f t="shared" ref="O4:O10" si="1">N4/C4</f>
        <v>0.688962311764223</v>
      </c>
    </row>
    <row r="5" spans="1:16">
      <c r="A5" s="142"/>
      <c r="B5" s="143">
        <v>44985</v>
      </c>
      <c r="C5" s="152">
        <v>56797</v>
      </c>
      <c r="D5" s="145">
        <v>17</v>
      </c>
      <c r="E5" s="144">
        <v>39498</v>
      </c>
      <c r="F5" s="144">
        <f t="shared" si="0"/>
        <v>2323.41176470588</v>
      </c>
      <c r="G5" s="144">
        <v>16942</v>
      </c>
      <c r="H5" s="144"/>
      <c r="I5" s="144"/>
      <c r="J5" s="146">
        <v>0.64361351603154</v>
      </c>
      <c r="K5" s="147">
        <v>397.181818181818</v>
      </c>
      <c r="L5" s="148">
        <v>0.00645</v>
      </c>
      <c r="M5" s="149">
        <v>102</v>
      </c>
      <c r="N5" s="150">
        <v>40803.5</v>
      </c>
      <c r="O5" s="151">
        <f t="shared" si="1"/>
        <v>0.718409423032907</v>
      </c>
    </row>
    <row r="6" spans="1:16">
      <c r="A6" s="142"/>
      <c r="B6" s="143">
        <v>44986</v>
      </c>
      <c r="C6" s="152">
        <v>207640.02</v>
      </c>
      <c r="D6" s="145">
        <v>17</v>
      </c>
      <c r="E6" s="144">
        <v>158005.71</v>
      </c>
      <c r="F6" s="144">
        <f t="shared" si="0"/>
        <v>9294.45352941176</v>
      </c>
      <c r="G6" s="144">
        <v>23542</v>
      </c>
      <c r="H6" s="144"/>
      <c r="I6" s="144"/>
      <c r="J6" s="146">
        <v>0.670013391462693</v>
      </c>
      <c r="K6" s="147">
        <v>598.386224783862</v>
      </c>
      <c r="L6" s="148">
        <v>0.0102</v>
      </c>
      <c r="M6" s="149">
        <v>223</v>
      </c>
      <c r="N6" s="150">
        <v>80786.75</v>
      </c>
      <c r="O6" s="151">
        <f t="shared" si="1"/>
        <v>0.389071191574726</v>
      </c>
    </row>
    <row r="7" spans="1:16">
      <c r="A7" s="142"/>
      <c r="B7" s="143">
        <v>44987</v>
      </c>
      <c r="C7" s="152">
        <v>182259.17</v>
      </c>
      <c r="D7" s="145">
        <v>17</v>
      </c>
      <c r="E7" s="144">
        <v>155976.19</v>
      </c>
      <c r="F7" s="144">
        <f t="shared" si="0"/>
        <v>9175.07</v>
      </c>
      <c r="G7" s="144">
        <v>26084</v>
      </c>
      <c r="H7" s="144"/>
      <c r="I7" s="144"/>
      <c r="J7" s="146">
        <v>0.679526387413083</v>
      </c>
      <c r="K7" s="147">
        <v>660.359311594203</v>
      </c>
      <c r="L7" s="148">
        <v>0.00825</v>
      </c>
      <c r="M7" s="149">
        <v>229</v>
      </c>
      <c r="N7" s="150">
        <v>89585.31</v>
      </c>
      <c r="O7" s="151">
        <f t="shared" si="1"/>
        <v>0.491527038118302</v>
      </c>
    </row>
    <row r="8" spans="1:16">
      <c r="A8" s="142"/>
      <c r="B8" s="143">
        <v>44988</v>
      </c>
      <c r="C8" s="153">
        <v>103773.21</v>
      </c>
      <c r="D8" s="145">
        <v>15.7</v>
      </c>
      <c r="E8" s="153">
        <v>73422.95</v>
      </c>
      <c r="F8" s="144">
        <f t="shared" si="0"/>
        <v>4676.62101910828</v>
      </c>
      <c r="G8" s="144">
        <v>20450</v>
      </c>
      <c r="H8" s="144"/>
      <c r="I8" s="144"/>
      <c r="J8" s="146">
        <v>0.6315034858308</v>
      </c>
      <c r="K8" s="147">
        <v>356.134604316547</v>
      </c>
      <c r="L8" s="148">
        <v>0.00666</v>
      </c>
      <c r="M8" s="149">
        <v>184</v>
      </c>
      <c r="N8" s="150">
        <v>60058.06</v>
      </c>
      <c r="O8" s="151">
        <f t="shared" si="1"/>
        <v>0.578743396296597</v>
      </c>
    </row>
    <row r="9" spans="1:16">
      <c r="A9" s="142"/>
      <c r="B9" s="143">
        <v>44989</v>
      </c>
      <c r="C9" s="153">
        <v>99005.42</v>
      </c>
      <c r="D9" s="145">
        <v>11.5</v>
      </c>
      <c r="E9" s="153">
        <v>76249.77</v>
      </c>
      <c r="F9" s="144">
        <f t="shared" si="0"/>
        <v>6630.4147826087</v>
      </c>
      <c r="G9" s="144">
        <v>22937</v>
      </c>
      <c r="H9" s="144"/>
      <c r="I9" s="144"/>
      <c r="J9" s="146">
        <v>0.602827777270375</v>
      </c>
      <c r="K9" s="147">
        <v>392.690062305296</v>
      </c>
      <c r="L9" s="148">
        <v>0.0098</v>
      </c>
      <c r="M9" s="149">
        <v>236</v>
      </c>
      <c r="N9" s="150">
        <v>44304.48</v>
      </c>
      <c r="O9" s="151">
        <f t="shared" si="1"/>
        <v>0.447495500751373</v>
      </c>
    </row>
    <row r="10" spans="1:16">
      <c r="A10" s="154"/>
      <c r="B10" s="155" t="s">
        <v>16</v>
      </c>
      <c r="C10" s="156">
        <f>C9+C8+C7+C6+C5+C4+C3</f>
        <v>808054.04</v>
      </c>
      <c r="D10" s="157">
        <f>SUM(D3:D9)</f>
        <v>111.7</v>
      </c>
      <c r="E10" s="156">
        <f>SUM(E3:E9)</f>
        <v>610010.62</v>
      </c>
      <c r="F10" s="158">
        <f t="shared" si="0"/>
        <v>5461.15147717099</v>
      </c>
      <c r="G10" s="158">
        <f>SUM(G3:G9)</f>
        <v>147709</v>
      </c>
      <c r="H10" s="158"/>
      <c r="I10" s="158"/>
      <c r="J10" s="159">
        <f>AVERAGE(J3:J9)</f>
        <v>0.66300198440253</v>
      </c>
      <c r="K10" s="158">
        <f>AVERAGE(K3:K9)</f>
        <v>516.275199123844</v>
      </c>
      <c r="L10" s="160">
        <f>AVERAGE(L3:L9)</f>
        <v>0.00726285714285714</v>
      </c>
      <c r="M10" s="156">
        <f>SUM(M3:M9)</f>
        <v>1164</v>
      </c>
      <c r="N10" s="156">
        <f>SUM(N3:N9)</f>
        <v>417126</v>
      </c>
      <c r="O10" s="159">
        <f t="shared" si="1"/>
        <v>0.516210524731737</v>
      </c>
    </row>
    <row r="11" spans="1:16">
      <c r="A11" s="161" t="s">
        <v>17</v>
      </c>
      <c r="B11" s="155" t="s">
        <v>18</v>
      </c>
      <c r="C11" s="156">
        <v>672816</v>
      </c>
      <c r="D11" s="157">
        <v>110</v>
      </c>
      <c r="E11" s="156">
        <v>495309</v>
      </c>
      <c r="F11" s="158">
        <v>4502.80909090909</v>
      </c>
      <c r="G11" s="162">
        <v>1266046</v>
      </c>
      <c r="H11" s="162"/>
      <c r="I11" s="162"/>
      <c r="J11" s="163">
        <v>0.697542087411683</v>
      </c>
      <c r="K11" s="162">
        <v>547.705907772537</v>
      </c>
      <c r="L11" s="164">
        <v>0.00535714285714286</v>
      </c>
      <c r="M11" s="165">
        <v>1243</v>
      </c>
      <c r="N11" s="165">
        <v>403067.5</v>
      </c>
      <c r="O11" s="159">
        <v>0.599075378706808</v>
      </c>
    </row>
    <row r="12" spans="1:16">
      <c r="A12" s="166"/>
      <c r="B12" s="167" t="s">
        <v>19</v>
      </c>
      <c r="C12" s="168">
        <f>SUM([1]运营日报!$G$97:$G$103)</f>
        <v>1180000</v>
      </c>
      <c r="D12" s="169">
        <f>D3+D4+D5+D6+D7+D8+D9</f>
        <v>111.7</v>
      </c>
      <c r="E12" s="168">
        <f>C12*75%</f>
        <v>885000</v>
      </c>
      <c r="F12" s="170"/>
      <c r="G12" s="159"/>
      <c r="H12" s="159"/>
      <c r="I12" s="159"/>
      <c r="J12" s="171"/>
      <c r="K12" s="172"/>
      <c r="L12" s="173"/>
      <c r="M12" s="174"/>
      <c r="N12" s="168"/>
      <c r="O12" s="171"/>
    </row>
    <row r="13" spans="1:16">
      <c r="A13" s="175"/>
      <c r="B13" s="176" t="s">
        <v>20</v>
      </c>
      <c r="C13" s="177">
        <f>C10/C12</f>
        <v>0.684791559322034</v>
      </c>
      <c r="D13" s="177"/>
      <c r="E13" s="177">
        <f>E10/E12</f>
        <v>0.689277536723164</v>
      </c>
      <c r="F13" s="177"/>
      <c r="G13" s="177"/>
      <c r="H13" s="177"/>
      <c r="I13" s="177"/>
      <c r="J13" s="177"/>
      <c r="K13" s="177"/>
      <c r="L13" s="177"/>
      <c r="M13" s="177"/>
      <c r="N13" s="177"/>
      <c r="O13" s="177"/>
    </row>
    <row r="14" ht="27" spans="1:16">
      <c r="A14" s="178" t="s">
        <v>21</v>
      </c>
      <c r="B14" s="179" t="s">
        <v>22</v>
      </c>
      <c r="C14" s="180">
        <f t="shared" ref="C14:G14" si="2">C10/C11-1</f>
        <v>0.201003008251885</v>
      </c>
      <c r="D14" s="180">
        <f t="shared" si="2"/>
        <v>0.0154545454545454</v>
      </c>
      <c r="E14" s="180">
        <f t="shared" si="2"/>
        <v>0.231575884952625</v>
      </c>
      <c r="F14" s="180">
        <f t="shared" si="2"/>
        <v>0.212832115888888</v>
      </c>
      <c r="G14" s="180">
        <f t="shared" si="2"/>
        <v>-0.883330463506065</v>
      </c>
      <c r="H14" s="180"/>
      <c r="I14" s="180"/>
      <c r="J14" s="180">
        <f>J10-J11</f>
        <v>-0.0345401030091531</v>
      </c>
      <c r="K14" s="180">
        <f t="shared" ref="K14:N14" si="3">K10/K11-1</f>
        <v>-0.0573861048468839</v>
      </c>
      <c r="L14" s="180">
        <f t="shared" si="3"/>
        <v>0.355733333333333</v>
      </c>
      <c r="M14" s="180">
        <f t="shared" si="3"/>
        <v>-0.0635559131134352</v>
      </c>
      <c r="N14" s="180">
        <f t="shared" si="3"/>
        <v>0.0348787734064393</v>
      </c>
      <c r="O14" s="180">
        <f>O10-O11</f>
        <v>-0.0828648539750712</v>
      </c>
    </row>
    <row r="15" spans="1:16">
      <c r="A15" s="166"/>
      <c r="B15" s="179" t="s">
        <v>23</v>
      </c>
      <c r="C15" s="181">
        <v>2674225.88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</row>
    <row r="16" spans="1:16">
      <c r="A16" s="166"/>
      <c r="B16" s="179" t="s">
        <v>24</v>
      </c>
      <c r="C16" s="181">
        <v>3670000</v>
      </c>
      <c r="D16" s="171"/>
      <c r="E16" s="171"/>
      <c r="F16" s="171"/>
      <c r="G16" s="171"/>
      <c r="H16" s="171"/>
      <c r="I16" s="171"/>
      <c r="J16" s="171"/>
      <c r="K16" s="182"/>
      <c r="L16" s="171"/>
      <c r="M16" s="171"/>
      <c r="N16" s="171"/>
      <c r="O16" s="171"/>
    </row>
    <row r="17" spans="1:15">
      <c r="A17" s="166"/>
      <c r="B17" s="179" t="s">
        <v>25</v>
      </c>
      <c r="C17" s="183">
        <f>C15/C16</f>
        <v>0.728671901907357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</row>
    <row r="18" spans="1:15">
      <c r="A18" s="166"/>
      <c r="B18" s="167" t="s">
        <v>26</v>
      </c>
      <c r="C18" s="168">
        <v>3370000</v>
      </c>
      <c r="D18" s="169"/>
      <c r="E18" s="168"/>
      <c r="F18" s="170"/>
      <c r="G18" s="181"/>
      <c r="H18" s="181"/>
      <c r="I18" s="181"/>
      <c r="J18" s="171"/>
      <c r="K18" s="172"/>
      <c r="L18" s="173"/>
      <c r="M18" s="168"/>
      <c r="N18" s="168"/>
      <c r="O18" s="171"/>
    </row>
    <row r="19" spans="1:15">
      <c r="A19" s="175"/>
      <c r="B19" s="176" t="s">
        <v>27</v>
      </c>
      <c r="C19" s="177">
        <f>C15/C18</f>
        <v>0.793538836795252</v>
      </c>
      <c r="D19" s="177"/>
      <c r="E19" s="177"/>
      <c r="F19" s="177"/>
      <c r="G19" s="177"/>
      <c r="H19" s="177"/>
      <c r="I19" s="177"/>
      <c r="J19" s="177"/>
      <c r="K19" s="144"/>
      <c r="L19" s="177"/>
      <c r="M19" s="177" t="s">
        <v>28</v>
      </c>
      <c r="N19" s="177"/>
      <c r="O19" s="177"/>
    </row>
    <row r="20" spans="1:15">
      <c r="A20" s="166"/>
      <c r="B20" s="179" t="s">
        <v>29</v>
      </c>
      <c r="C20" s="168">
        <v>1021958.39</v>
      </c>
      <c r="D20" s="171"/>
      <c r="E20" s="171"/>
      <c r="F20" s="171"/>
      <c r="G20" s="184"/>
      <c r="H20" s="184"/>
      <c r="I20" s="184"/>
      <c r="J20" s="185"/>
      <c r="K20" s="184"/>
      <c r="L20" s="186"/>
      <c r="M20" s="171"/>
      <c r="N20" s="168"/>
      <c r="O20" s="171"/>
    </row>
    <row r="21" spans="1:15">
      <c r="A21" s="166"/>
      <c r="B21" s="167" t="s">
        <v>30</v>
      </c>
      <c r="C21" s="168">
        <v>1685000</v>
      </c>
      <c r="D21" s="169"/>
      <c r="E21" s="168"/>
      <c r="F21" s="170"/>
      <c r="G21" s="181"/>
      <c r="H21" s="181"/>
      <c r="I21" s="181"/>
      <c r="J21" s="187"/>
      <c r="K21" s="188"/>
      <c r="L21" s="186"/>
      <c r="M21" s="168"/>
      <c r="N21" s="168"/>
      <c r="O21" s="171"/>
    </row>
    <row r="22" spans="1:15">
      <c r="A22" s="189"/>
      <c r="B22" s="190" t="s">
        <v>31</v>
      </c>
      <c r="C22" s="191">
        <f>C20/C21</f>
        <v>0.606503495548961</v>
      </c>
      <c r="D22" s="191"/>
      <c r="E22" s="191"/>
      <c r="F22" s="191"/>
      <c r="G22" s="191"/>
      <c r="H22" s="191"/>
      <c r="I22" s="191"/>
      <c r="J22" s="192"/>
      <c r="K22" s="193"/>
      <c r="L22" s="194"/>
      <c r="M22" s="191"/>
      <c r="N22" s="191"/>
      <c r="O22" s="192"/>
    </row>
    <row r="25" ht="17" customHeight="1" spans="1:15">
      <c r="A25" s="134" t="s">
        <v>32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6"/>
    </row>
    <row r="26" ht="27" spans="1:15">
      <c r="A26" s="195" t="s">
        <v>33</v>
      </c>
      <c r="B26" s="196" t="s">
        <v>34</v>
      </c>
      <c r="C26" s="196" t="s">
        <v>35</v>
      </c>
      <c r="D26" s="196" t="s">
        <v>36</v>
      </c>
      <c r="E26" s="196" t="s">
        <v>37</v>
      </c>
      <c r="F26" s="196" t="s">
        <v>38</v>
      </c>
      <c r="G26" s="196" t="s">
        <v>39</v>
      </c>
      <c r="H26" s="196" t="s">
        <v>40</v>
      </c>
      <c r="I26" s="196" t="s">
        <v>41</v>
      </c>
      <c r="J26" s="196" t="s">
        <v>42</v>
      </c>
      <c r="K26" s="196" t="s">
        <v>43</v>
      </c>
      <c r="L26" s="196" t="s">
        <v>44</v>
      </c>
      <c r="M26" s="196" t="s">
        <v>45</v>
      </c>
      <c r="N26" s="196" t="s">
        <v>46</v>
      </c>
      <c r="O26" s="196" t="s">
        <v>47</v>
      </c>
    </row>
    <row r="27" ht="19" spans="1:15">
      <c r="A27" s="197">
        <v>1</v>
      </c>
      <c r="B27" s="198">
        <v>823814</v>
      </c>
      <c r="C27" s="198">
        <v>82381460569</v>
      </c>
      <c r="D27" s="198" t="s">
        <v>48</v>
      </c>
      <c r="E27" s="198" t="s">
        <v>49</v>
      </c>
      <c r="F27" s="198" t="s">
        <v>50</v>
      </c>
      <c r="G27" s="198">
        <v>766</v>
      </c>
      <c r="H27" s="199">
        <v>1768007</v>
      </c>
      <c r="I27" s="199">
        <v>2308</v>
      </c>
      <c r="J27" s="200">
        <v>0.89</v>
      </c>
      <c r="K27" s="201">
        <v>0.7</v>
      </c>
      <c r="L27" s="200">
        <v>0.19</v>
      </c>
      <c r="M27" s="202">
        <v>0.0105</v>
      </c>
      <c r="N27" s="200">
        <v>0.39</v>
      </c>
      <c r="O27" s="203">
        <v>0.39</v>
      </c>
    </row>
    <row r="28" spans="1:15">
      <c r="A28" s="204">
        <v>2</v>
      </c>
      <c r="B28" s="205">
        <v>824254</v>
      </c>
      <c r="C28" s="205">
        <v>82425451052</v>
      </c>
      <c r="D28" s="205" t="s">
        <v>48</v>
      </c>
      <c r="E28" s="205" t="s">
        <v>51</v>
      </c>
      <c r="F28" s="205" t="s">
        <v>50</v>
      </c>
      <c r="G28" s="205">
        <v>679</v>
      </c>
      <c r="H28" s="206">
        <v>1292271</v>
      </c>
      <c r="I28" s="206">
        <v>1903</v>
      </c>
      <c r="J28" s="207">
        <v>0.87</v>
      </c>
      <c r="K28" s="208">
        <v>0.62</v>
      </c>
      <c r="L28" s="207">
        <v>0.24</v>
      </c>
      <c r="M28" s="209">
        <v>0.0076</v>
      </c>
      <c r="N28" s="207">
        <v>0.44</v>
      </c>
      <c r="O28" s="210">
        <v>0.41</v>
      </c>
    </row>
    <row r="29" spans="1:15">
      <c r="A29" s="197">
        <v>3</v>
      </c>
      <c r="B29" s="198">
        <v>524204</v>
      </c>
      <c r="C29" s="198">
        <v>52420402001</v>
      </c>
      <c r="D29" s="198" t="s">
        <v>52</v>
      </c>
      <c r="E29" s="198" t="s">
        <v>53</v>
      </c>
      <c r="F29" s="211" t="s">
        <v>54</v>
      </c>
      <c r="G29" s="198">
        <v>678</v>
      </c>
      <c r="H29" s="199">
        <v>1120088</v>
      </c>
      <c r="I29" s="199">
        <v>1652</v>
      </c>
      <c r="J29" s="200">
        <v>0.92</v>
      </c>
      <c r="K29" s="201">
        <v>0.99</v>
      </c>
      <c r="L29" s="200">
        <v>0.13</v>
      </c>
      <c r="M29" s="202">
        <v>0.0121</v>
      </c>
      <c r="N29" s="200">
        <v>0.45</v>
      </c>
      <c r="O29" s="203">
        <v>0.45</v>
      </c>
    </row>
    <row r="30" spans="1:15">
      <c r="A30" s="204">
        <v>4</v>
      </c>
      <c r="B30" s="205">
        <v>520814</v>
      </c>
      <c r="C30" s="205">
        <v>52081401001</v>
      </c>
      <c r="D30" s="205" t="s">
        <v>52</v>
      </c>
      <c r="E30" s="205" t="s">
        <v>55</v>
      </c>
      <c r="F30" s="205" t="s">
        <v>50</v>
      </c>
      <c r="G30" s="205">
        <v>583</v>
      </c>
      <c r="H30" s="206">
        <v>1080476</v>
      </c>
      <c r="I30" s="206">
        <v>1853</v>
      </c>
      <c r="J30" s="207">
        <v>0.77</v>
      </c>
      <c r="K30" s="207">
        <v>0.57</v>
      </c>
      <c r="L30" s="207">
        <v>0.12</v>
      </c>
      <c r="M30" s="209">
        <v>0.0161</v>
      </c>
      <c r="N30" s="207">
        <v>0.28</v>
      </c>
      <c r="O30" s="210">
        <v>0.28</v>
      </c>
    </row>
    <row r="31" spans="1:15">
      <c r="A31" s="197">
        <v>5</v>
      </c>
      <c r="B31" s="198">
        <v>470484</v>
      </c>
      <c r="C31" s="198">
        <v>47048456787</v>
      </c>
      <c r="D31" s="198" t="s">
        <v>52</v>
      </c>
      <c r="E31" s="198" t="s">
        <v>56</v>
      </c>
      <c r="F31" s="211" t="s">
        <v>54</v>
      </c>
      <c r="G31" s="198">
        <v>527</v>
      </c>
      <c r="H31" s="199">
        <v>760657</v>
      </c>
      <c r="I31" s="199">
        <v>1443</v>
      </c>
      <c r="J31" s="200">
        <v>0.8</v>
      </c>
      <c r="K31" s="201">
        <v>0.95</v>
      </c>
      <c r="L31" s="200">
        <v>0.16</v>
      </c>
      <c r="M31" s="202">
        <v>0.0139</v>
      </c>
      <c r="N31" s="200">
        <v>0.33</v>
      </c>
      <c r="O31" s="203">
        <v>0.33</v>
      </c>
    </row>
    <row r="32" spans="1:15">
      <c r="A32" s="204">
        <v>6</v>
      </c>
      <c r="B32" s="205">
        <v>802864</v>
      </c>
      <c r="C32" s="205">
        <v>80286450869</v>
      </c>
      <c r="D32" s="205" t="s">
        <v>48</v>
      </c>
      <c r="E32" s="205" t="s">
        <v>57</v>
      </c>
      <c r="F32" s="205" t="s">
        <v>58</v>
      </c>
      <c r="G32" s="205">
        <v>361</v>
      </c>
      <c r="H32" s="206">
        <v>501311</v>
      </c>
      <c r="I32" s="206">
        <v>1389</v>
      </c>
      <c r="J32" s="207">
        <v>0.5</v>
      </c>
      <c r="K32" s="208">
        <v>0.89</v>
      </c>
      <c r="L32" s="207">
        <v>0.07</v>
      </c>
      <c r="M32" s="209">
        <v>0.0095</v>
      </c>
      <c r="N32" s="207">
        <v>0.62</v>
      </c>
      <c r="O32" s="210">
        <v>0.52</v>
      </c>
    </row>
    <row r="33" spans="1:15">
      <c r="A33" s="197">
        <v>7</v>
      </c>
      <c r="B33" s="198">
        <v>800424</v>
      </c>
      <c r="C33" s="198">
        <v>80042401001</v>
      </c>
      <c r="D33" s="198" t="s">
        <v>48</v>
      </c>
      <c r="E33" s="198" t="s">
        <v>59</v>
      </c>
      <c r="F33" s="198" t="s">
        <v>50</v>
      </c>
      <c r="G33" s="198">
        <v>143</v>
      </c>
      <c r="H33" s="199">
        <v>469192</v>
      </c>
      <c r="I33" s="199">
        <v>3281</v>
      </c>
      <c r="J33" s="200">
        <v>0.97</v>
      </c>
      <c r="K33" s="200">
        <v>0.46</v>
      </c>
      <c r="L33" s="200">
        <v>0.17</v>
      </c>
      <c r="M33" s="202">
        <v>0.0034</v>
      </c>
      <c r="N33" s="200">
        <v>0.45</v>
      </c>
      <c r="O33" s="203">
        <v>0.39</v>
      </c>
    </row>
    <row r="34" ht="19" spans="1:15">
      <c r="A34" s="204">
        <v>8</v>
      </c>
      <c r="B34" s="205">
        <v>822804</v>
      </c>
      <c r="C34" s="205">
        <v>82280460414</v>
      </c>
      <c r="D34" s="205" t="s">
        <v>48</v>
      </c>
      <c r="E34" s="205" t="s">
        <v>60</v>
      </c>
      <c r="F34" s="205" t="s">
        <v>58</v>
      </c>
      <c r="G34" s="205">
        <v>202</v>
      </c>
      <c r="H34" s="206">
        <v>371353</v>
      </c>
      <c r="I34" s="206">
        <v>1838</v>
      </c>
      <c r="J34" s="207">
        <v>0.77</v>
      </c>
      <c r="K34" s="207">
        <v>0.4</v>
      </c>
      <c r="L34" s="207">
        <v>0.14</v>
      </c>
      <c r="M34" s="209">
        <v>0.0164</v>
      </c>
      <c r="N34" s="207">
        <v>0.15</v>
      </c>
      <c r="O34" s="210">
        <v>0.15</v>
      </c>
    </row>
    <row r="35" spans="1:15">
      <c r="A35" s="197">
        <v>9</v>
      </c>
      <c r="B35" s="198">
        <v>91504</v>
      </c>
      <c r="C35" s="198">
        <v>9150451707</v>
      </c>
      <c r="D35" s="198" t="s">
        <v>48</v>
      </c>
      <c r="E35" s="198" t="s">
        <v>59</v>
      </c>
      <c r="F35" s="198" t="s">
        <v>50</v>
      </c>
      <c r="G35" s="198">
        <v>113</v>
      </c>
      <c r="H35" s="199">
        <v>370491</v>
      </c>
      <c r="I35" s="199">
        <v>3279</v>
      </c>
      <c r="J35" s="200">
        <v>0.96</v>
      </c>
      <c r="K35" s="200">
        <v>0.25</v>
      </c>
      <c r="L35" s="200">
        <v>0.15</v>
      </c>
      <c r="M35" s="202">
        <v>0.0031</v>
      </c>
      <c r="N35" s="200">
        <v>0.48</v>
      </c>
      <c r="O35" s="203">
        <v>0.45</v>
      </c>
    </row>
    <row r="36" ht="14.75" spans="1:15">
      <c r="A36" s="212">
        <v>10</v>
      </c>
      <c r="B36" s="213">
        <v>207124</v>
      </c>
      <c r="C36" s="213">
        <v>20712401001</v>
      </c>
      <c r="D36" s="213" t="s">
        <v>61</v>
      </c>
      <c r="E36" s="213" t="s">
        <v>62</v>
      </c>
      <c r="F36" s="213" t="s">
        <v>50</v>
      </c>
      <c r="G36" s="213">
        <v>225</v>
      </c>
      <c r="H36" s="214">
        <v>348770</v>
      </c>
      <c r="I36" s="214">
        <v>1550</v>
      </c>
      <c r="J36" s="215">
        <v>0.78</v>
      </c>
      <c r="K36" s="215">
        <v>0.38</v>
      </c>
      <c r="L36" s="215">
        <v>0.12</v>
      </c>
      <c r="M36" s="216">
        <v>0.0078</v>
      </c>
      <c r="N36" s="215">
        <v>0.42</v>
      </c>
      <c r="O36" s="217">
        <v>0.35</v>
      </c>
    </row>
    <row r="37" ht="14.75"/>
    <row r="39" ht="27.5" customHeight="1" spans="1:15">
      <c r="A39" s="62" t="s">
        <v>63</v>
      </c>
      <c r="B39" s="62"/>
      <c r="C39" s="62"/>
      <c r="D39" s="62"/>
      <c r="E39" s="62"/>
      <c r="F39" s="62"/>
      <c r="G39" s="62"/>
    </row>
    <row r="40" spans="1:15">
      <c r="A40" s="196" t="s">
        <v>64</v>
      </c>
      <c r="B40" s="196" t="s">
        <v>65</v>
      </c>
      <c r="C40" s="196" t="s">
        <v>66</v>
      </c>
      <c r="D40" s="196" t="s">
        <v>67</v>
      </c>
      <c r="E40" s="196" t="s">
        <v>68</v>
      </c>
      <c r="F40" s="196" t="s">
        <v>69</v>
      </c>
      <c r="G40" s="196" t="s">
        <v>70</v>
      </c>
    </row>
    <row r="41" ht="19" spans="1:15">
      <c r="A41" s="218" t="s">
        <v>71</v>
      </c>
      <c r="B41" s="219">
        <v>115</v>
      </c>
      <c r="C41" s="219">
        <v>106</v>
      </c>
      <c r="D41" s="219">
        <v>85</v>
      </c>
      <c r="E41" s="219">
        <v>69</v>
      </c>
      <c r="F41" s="219">
        <v>8</v>
      </c>
      <c r="G41" s="219">
        <v>30</v>
      </c>
    </row>
    <row r="42" spans="1:15">
      <c r="A42" s="218" t="s">
        <v>72</v>
      </c>
      <c r="B42" s="220">
        <v>2030900</v>
      </c>
      <c r="C42" s="220">
        <v>820427</v>
      </c>
      <c r="D42" s="220">
        <v>783503</v>
      </c>
      <c r="E42" s="220">
        <v>523438</v>
      </c>
      <c r="F42" s="220">
        <v>81293</v>
      </c>
      <c r="G42" s="220">
        <v>347161</v>
      </c>
    </row>
    <row r="43" spans="1:15">
      <c r="A43" s="218" t="s">
        <v>73</v>
      </c>
      <c r="B43" s="221">
        <v>17650</v>
      </c>
      <c r="C43" s="220">
        <v>7672</v>
      </c>
      <c r="D43" s="220">
        <v>9196</v>
      </c>
      <c r="E43" s="220">
        <v>7568</v>
      </c>
      <c r="F43" s="221">
        <v>10140</v>
      </c>
      <c r="G43" s="221">
        <v>11205</v>
      </c>
    </row>
    <row r="44" spans="1:15">
      <c r="A44" s="218" t="s">
        <v>74</v>
      </c>
      <c r="B44" s="219">
        <v>826</v>
      </c>
      <c r="C44" s="219">
        <v>631</v>
      </c>
      <c r="D44" s="219">
        <v>735</v>
      </c>
      <c r="E44" s="219">
        <v>97</v>
      </c>
      <c r="F44" s="219">
        <v>146</v>
      </c>
      <c r="G44" s="219">
        <v>92</v>
      </c>
    </row>
    <row r="45" spans="1:15">
      <c r="A45" s="218" t="s">
        <v>75</v>
      </c>
      <c r="B45" s="219">
        <v>84</v>
      </c>
      <c r="C45" s="219">
        <v>42</v>
      </c>
      <c r="D45" s="219">
        <v>50</v>
      </c>
      <c r="E45" s="219">
        <v>34</v>
      </c>
      <c r="F45" s="219">
        <v>57</v>
      </c>
      <c r="G45" s="219">
        <v>38</v>
      </c>
    </row>
    <row r="46" spans="1:15">
      <c r="A46" s="218" t="s">
        <v>76</v>
      </c>
      <c r="B46" s="222">
        <v>621</v>
      </c>
      <c r="C46" s="222">
        <v>632</v>
      </c>
      <c r="D46" s="219">
        <v>578</v>
      </c>
      <c r="E46" s="219">
        <v>551</v>
      </c>
      <c r="F46" s="219">
        <v>595</v>
      </c>
      <c r="G46" s="219">
        <v>554</v>
      </c>
    </row>
    <row r="47" ht="19" spans="1:15">
      <c r="A47" s="218" t="s">
        <v>77</v>
      </c>
      <c r="B47" s="223">
        <v>0.1414</v>
      </c>
      <c r="C47" s="224">
        <v>0.136</v>
      </c>
      <c r="D47" s="225">
        <v>0.1165</v>
      </c>
      <c r="E47" s="226">
        <v>0.1322</v>
      </c>
      <c r="F47" s="227">
        <v>0.1059</v>
      </c>
      <c r="G47" s="228">
        <v>0.1168</v>
      </c>
    </row>
    <row r="48" spans="1:15">
      <c r="A48" s="218" t="s">
        <v>78</v>
      </c>
      <c r="B48" s="227">
        <v>0.3368</v>
      </c>
      <c r="C48" s="229">
        <v>0.3446</v>
      </c>
      <c r="D48" s="230">
        <v>0.3443</v>
      </c>
      <c r="E48" s="231">
        <v>0.3701</v>
      </c>
      <c r="F48" s="232">
        <v>0.3592</v>
      </c>
      <c r="G48" s="223">
        <v>0.3996</v>
      </c>
    </row>
    <row r="49" spans="1:7">
      <c r="A49" s="218" t="s">
        <v>79</v>
      </c>
      <c r="B49" s="233">
        <v>0.0389</v>
      </c>
      <c r="C49" s="234">
        <v>0.0383</v>
      </c>
      <c r="D49" s="235">
        <v>0.0421</v>
      </c>
      <c r="E49" s="236">
        <v>0.038</v>
      </c>
      <c r="F49" s="227">
        <v>0.0341</v>
      </c>
      <c r="G49" s="223">
        <v>0.0499</v>
      </c>
    </row>
    <row r="50" ht="19" spans="1:7">
      <c r="A50" s="218" t="s">
        <v>80</v>
      </c>
      <c r="B50" s="220">
        <v>4468</v>
      </c>
      <c r="C50" s="220">
        <v>2382</v>
      </c>
      <c r="D50" s="220">
        <v>2129</v>
      </c>
      <c r="E50" s="220">
        <v>1041</v>
      </c>
      <c r="F50" s="219">
        <v>237</v>
      </c>
      <c r="G50" s="219">
        <v>551</v>
      </c>
    </row>
    <row r="51" ht="19" spans="1:7">
      <c r="A51" s="218" t="s">
        <v>81</v>
      </c>
      <c r="B51" s="219">
        <v>56</v>
      </c>
      <c r="C51" s="219">
        <v>64</v>
      </c>
      <c r="D51" s="219">
        <v>33</v>
      </c>
      <c r="E51" s="219">
        <v>15</v>
      </c>
      <c r="F51" s="219">
        <v>1</v>
      </c>
      <c r="G51" s="219">
        <v>16</v>
      </c>
    </row>
    <row r="52" ht="19" spans="1:7">
      <c r="A52" s="218" t="s">
        <v>82</v>
      </c>
      <c r="B52" s="237">
        <v>4</v>
      </c>
      <c r="C52" s="238">
        <v>3</v>
      </c>
      <c r="D52" s="239">
        <v>3</v>
      </c>
      <c r="E52" s="240">
        <v>4</v>
      </c>
      <c r="F52" s="239">
        <v>3</v>
      </c>
      <c r="G52" s="241">
        <v>5</v>
      </c>
    </row>
    <row r="53" spans="1:7">
      <c r="A53" s="218" t="s">
        <v>83</v>
      </c>
      <c r="B53" s="220">
        <v>3244</v>
      </c>
      <c r="C53" s="220">
        <v>1279</v>
      </c>
      <c r="D53" s="220">
        <v>1368</v>
      </c>
      <c r="E53" s="219">
        <v>955</v>
      </c>
      <c r="F53" s="219">
        <v>134</v>
      </c>
      <c r="G53" s="219">
        <v>614</v>
      </c>
    </row>
    <row r="54" ht="19" spans="1:7">
      <c r="A54" s="242" t="s">
        <v>84</v>
      </c>
      <c r="B54" s="243" t="s">
        <v>85</v>
      </c>
      <c r="C54" s="243" t="s">
        <v>86</v>
      </c>
      <c r="D54" s="243" t="s">
        <v>87</v>
      </c>
      <c r="E54" s="243" t="s">
        <v>88</v>
      </c>
      <c r="F54" s="243" t="s">
        <v>89</v>
      </c>
      <c r="G54" s="243" t="s">
        <v>90</v>
      </c>
    </row>
    <row r="55" ht="19" spans="1:7">
      <c r="A55" s="244"/>
      <c r="B55" s="245" t="s">
        <v>91</v>
      </c>
      <c r="C55" s="245" t="s">
        <v>92</v>
      </c>
      <c r="D55" s="245" t="s">
        <v>93</v>
      </c>
      <c r="E55" s="245" t="s">
        <v>94</v>
      </c>
      <c r="F55" s="245" t="s">
        <v>95</v>
      </c>
      <c r="G55" s="245" t="s">
        <v>96</v>
      </c>
    </row>
    <row r="56" ht="19" spans="1:7">
      <c r="A56" s="246"/>
      <c r="B56" s="247" t="s">
        <v>97</v>
      </c>
      <c r="C56" s="247" t="s">
        <v>98</v>
      </c>
      <c r="D56" s="247" t="s">
        <v>99</v>
      </c>
      <c r="E56" s="247" t="s">
        <v>100</v>
      </c>
      <c r="F56" s="247" t="s">
        <v>101</v>
      </c>
      <c r="G56" s="247" t="s">
        <v>102</v>
      </c>
    </row>
    <row r="57" spans="1:7">
      <c r="A57" s="242" t="s">
        <v>103</v>
      </c>
      <c r="B57" s="243" t="s">
        <v>104</v>
      </c>
      <c r="C57" s="243" t="s">
        <v>105</v>
      </c>
      <c r="D57" s="243" t="s">
        <v>106</v>
      </c>
      <c r="E57" s="243" t="s">
        <v>107</v>
      </c>
      <c r="F57" s="243" t="s">
        <v>108</v>
      </c>
      <c r="G57" s="243" t="s">
        <v>109</v>
      </c>
    </row>
    <row r="58" spans="1:7">
      <c r="A58" s="246"/>
      <c r="B58" s="247" t="s">
        <v>110</v>
      </c>
      <c r="C58" s="247" t="s">
        <v>111</v>
      </c>
      <c r="D58" s="247" t="s">
        <v>112</v>
      </c>
      <c r="E58" s="247" t="s">
        <v>113</v>
      </c>
      <c r="F58" s="247" t="s">
        <v>114</v>
      </c>
      <c r="G58" s="247" t="s">
        <v>115</v>
      </c>
    </row>
    <row r="59" spans="1:7">
      <c r="A59" s="242" t="s">
        <v>116</v>
      </c>
      <c r="B59" s="243" t="s">
        <v>117</v>
      </c>
      <c r="C59" s="243" t="s">
        <v>118</v>
      </c>
      <c r="D59" s="243" t="s">
        <v>119</v>
      </c>
      <c r="E59" s="243" t="s">
        <v>120</v>
      </c>
      <c r="F59" s="243" t="s">
        <v>121</v>
      </c>
      <c r="G59" s="243" t="s">
        <v>122</v>
      </c>
    </row>
    <row r="60" spans="1:7">
      <c r="A60" s="244"/>
      <c r="B60" s="245" t="s">
        <v>123</v>
      </c>
      <c r="C60" s="245" t="s">
        <v>124</v>
      </c>
      <c r="D60" s="245" t="s">
        <v>125</v>
      </c>
      <c r="E60" s="245" t="s">
        <v>126</v>
      </c>
      <c r="F60" s="245" t="s">
        <v>127</v>
      </c>
      <c r="G60" s="245" t="s">
        <v>128</v>
      </c>
    </row>
    <row r="61" spans="1:7">
      <c r="A61" s="246"/>
      <c r="B61" s="247" t="s">
        <v>129</v>
      </c>
      <c r="C61" s="247" t="s">
        <v>130</v>
      </c>
      <c r="D61" s="247" t="s">
        <v>131</v>
      </c>
      <c r="E61" s="247" t="s">
        <v>132</v>
      </c>
      <c r="F61" s="247" t="s">
        <v>133</v>
      </c>
      <c r="G61" s="247" t="s">
        <v>134</v>
      </c>
    </row>
    <row r="62" spans="1:7">
      <c r="A62" s="242" t="s">
        <v>135</v>
      </c>
      <c r="B62" s="243" t="s">
        <v>136</v>
      </c>
      <c r="C62" s="243" t="s">
        <v>137</v>
      </c>
      <c r="D62" s="243" t="s">
        <v>138</v>
      </c>
      <c r="E62" s="243" t="s">
        <v>139</v>
      </c>
      <c r="F62" s="243" t="s">
        <v>140</v>
      </c>
      <c r="G62" s="243" t="s">
        <v>141</v>
      </c>
    </row>
    <row r="63" ht="19" spans="1:7">
      <c r="A63" s="244"/>
      <c r="B63" s="245" t="s">
        <v>142</v>
      </c>
      <c r="C63" s="245" t="s">
        <v>143</v>
      </c>
      <c r="D63" s="245" t="s">
        <v>144</v>
      </c>
      <c r="E63" s="245" t="s">
        <v>145</v>
      </c>
      <c r="F63" s="245" t="s">
        <v>146</v>
      </c>
      <c r="G63" s="245" t="s">
        <v>147</v>
      </c>
    </row>
    <row r="64" spans="1:7">
      <c r="A64" s="246"/>
      <c r="B64" s="247" t="s">
        <v>148</v>
      </c>
      <c r="C64" s="247" t="s">
        <v>149</v>
      </c>
      <c r="D64" s="247" t="s">
        <v>150</v>
      </c>
      <c r="E64" s="247" t="s">
        <v>151</v>
      </c>
      <c r="F64" s="247" t="s">
        <v>152</v>
      </c>
      <c r="G64" s="247" t="s">
        <v>153</v>
      </c>
    </row>
    <row r="65" spans="1:7">
      <c r="A65" s="242" t="s">
        <v>154</v>
      </c>
      <c r="B65" s="243" t="s">
        <v>155</v>
      </c>
      <c r="C65" s="243" t="s">
        <v>156</v>
      </c>
      <c r="D65" s="243" t="s">
        <v>157</v>
      </c>
      <c r="E65" s="243" t="s">
        <v>158</v>
      </c>
      <c r="F65" s="243" t="s">
        <v>159</v>
      </c>
      <c r="G65" s="243" t="s">
        <v>160</v>
      </c>
    </row>
    <row r="66" spans="1:7">
      <c r="A66" s="244"/>
      <c r="B66" s="245" t="s">
        <v>161</v>
      </c>
      <c r="C66" s="245" t="s">
        <v>162</v>
      </c>
      <c r="D66" s="245" t="s">
        <v>163</v>
      </c>
      <c r="E66" s="245" t="s">
        <v>164</v>
      </c>
      <c r="F66" s="245" t="s">
        <v>165</v>
      </c>
      <c r="G66" s="245" t="s">
        <v>166</v>
      </c>
    </row>
    <row r="67" spans="1:7">
      <c r="A67" s="246"/>
      <c r="B67" s="247" t="s">
        <v>167</v>
      </c>
      <c r="C67" s="247" t="s">
        <v>168</v>
      </c>
      <c r="D67" s="247" t="s">
        <v>169</v>
      </c>
      <c r="E67" s="247" t="s">
        <v>170</v>
      </c>
      <c r="F67" s="247" t="s">
        <v>171</v>
      </c>
      <c r="G67" s="247" t="s">
        <v>172</v>
      </c>
    </row>
  </sheetData>
  <sheetProtection formatCells="0" formatColumns="0" formatRows="0" insertRows="0" insertColumns="0" insertHyperlinks="0" deleteColumns="0" deleteRows="0" sort="0" autoFilter="0" pivotTables="0"/>
  <mergeCells count="8">
    <mergeCell ref="A1:O1"/>
    <mergeCell ref="A25:O25"/>
    <mergeCell ref="A39:G39"/>
    <mergeCell ref="A54:A56"/>
    <mergeCell ref="A57:A58"/>
    <mergeCell ref="A59:A61"/>
    <mergeCell ref="A62:A64"/>
    <mergeCell ref="A65:A67"/>
  </mergeCells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e82ac8a2-acae-43b8-bb88-4ee5b5f0228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C14:O14</xm:sqref>
        </x14:conditionalFormatting>
        <x14:conditionalFormatting xmlns:xm="http://schemas.microsoft.com/office/excel/2006/main">
          <x14:cfRule type="iconSet" priority="1" id="{d9c65c11-0da3-4e54-a38b-09f9c585fb5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O22</xm:sqref>
        </x14:conditionalFormatting>
        <x14:conditionalFormatting xmlns:xm="http://schemas.microsoft.com/office/excel/2006/main">
          <x14:cfRule type="iconSet" priority="2" id="{bae14d6c-4190-4608-8a54-6c5c999f5a2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J19 J22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9"/>
  <sheetViews>
    <sheetView tabSelected="1" zoomScale="80" zoomScaleNormal="80" workbookViewId="0">
      <pane ySplit="1" topLeftCell="A52" activePane="bottomLeft" state="frozen"/>
      <selection/>
      <selection pane="bottomLeft" activeCell="X77" sqref="X77"/>
    </sheetView>
  </sheetViews>
  <sheetFormatPr defaultColWidth="8.66666666666667" defaultRowHeight="14.5"/>
  <cols>
    <col min="1" max="1" width="11.6666666666667" style="75" customWidth="1"/>
    <col min="2" max="2" width="12.6666666666667" style="75"/>
    <col min="3" max="3" width="11.5833333333333" style="75"/>
    <col min="4" max="5" width="11.8666666666667" style="15" customWidth="1"/>
    <col min="6" max="6" width="11.4583333333333" style="75" customWidth="1"/>
    <col min="7" max="15" width="11.4583333333333" style="75" hidden="1" customWidth="1"/>
    <col min="16" max="16" width="12.6666666666667" style="75"/>
    <col min="17" max="17" width="12" style="75"/>
    <col min="18" max="18" width="12.6666666666667" style="98"/>
    <col min="19" max="19" width="12.6666666666667" style="75"/>
    <col min="20" max="16384" width="8.66666666666667" style="75"/>
  </cols>
  <sheetData>
    <row r="1" spans="1:19">
      <c r="A1" s="59" t="s">
        <v>173</v>
      </c>
      <c r="B1" s="90"/>
      <c r="C1" s="78"/>
      <c r="D1" s="55" t="s">
        <v>174</v>
      </c>
      <c r="E1" s="55" t="s">
        <v>175</v>
      </c>
      <c r="F1" s="79" t="s">
        <v>176</v>
      </c>
      <c r="G1" s="79" t="s">
        <v>177</v>
      </c>
      <c r="H1" s="79" t="s">
        <v>178</v>
      </c>
      <c r="I1" s="79" t="s">
        <v>179</v>
      </c>
      <c r="J1" s="79" t="s">
        <v>180</v>
      </c>
      <c r="K1" s="79" t="s">
        <v>181</v>
      </c>
      <c r="L1" s="79" t="s">
        <v>182</v>
      </c>
      <c r="M1" s="79" t="s">
        <v>183</v>
      </c>
      <c r="N1" s="79" t="s">
        <v>184</v>
      </c>
      <c r="O1" s="79" t="s">
        <v>185</v>
      </c>
      <c r="P1" s="79" t="s">
        <v>186</v>
      </c>
      <c r="Q1" s="79" t="s">
        <v>187</v>
      </c>
    </row>
    <row r="2" spans="1:19">
      <c r="A2" s="99" t="s">
        <v>188</v>
      </c>
      <c r="B2" s="80" t="s">
        <v>189</v>
      </c>
      <c r="C2" s="80" t="s">
        <v>2</v>
      </c>
      <c r="D2" s="100">
        <f>SUMIF('GXG-日报'!$D:$D,D$1,'GXG-日报'!$F:$F)</f>
        <v>18651172.5</v>
      </c>
      <c r="E2" s="100">
        <f>SUMIF('GXG-日报'!$D:$D,E$1,'GXG-日报'!$F:$F)</f>
        <v>15084424.01</v>
      </c>
      <c r="F2" s="100">
        <f>SUMIF('GXG-日报'!$D:$D,F$1,'GXG-日报'!$F:$F)</f>
        <v>2140928.6</v>
      </c>
      <c r="G2" s="86"/>
      <c r="H2" s="86"/>
      <c r="I2" s="86"/>
      <c r="J2" s="86"/>
      <c r="K2" s="86"/>
      <c r="L2" s="86"/>
      <c r="M2" s="86"/>
      <c r="N2" s="86"/>
      <c r="O2" s="86"/>
      <c r="P2" s="101">
        <f t="shared" ref="P2:P7" si="0">SUM(D2:F2)</f>
        <v>35876525.11</v>
      </c>
      <c r="Q2" s="101">
        <f>SUM(D2:O2)</f>
        <v>35876525.11</v>
      </c>
      <c r="S2" s="102"/>
    </row>
    <row r="3" spans="1:19">
      <c r="A3" s="103"/>
      <c r="B3" s="80"/>
      <c r="C3" s="80" t="s">
        <v>190</v>
      </c>
      <c r="D3" s="100">
        <f>SUMIF('GXG-日报'!$D:$D,D$1,'GXG-日报'!$H:$H)</f>
        <v>8286015.47</v>
      </c>
      <c r="E3" s="100">
        <f>SUMIF('GXG-日报'!$D:$D,E$1,'GXG-日报'!$H:$H)</f>
        <v>5733417.11</v>
      </c>
      <c r="F3" s="100">
        <f>SUMIF('GXG-日报'!$D:$D,F$1,'GXG-日报'!$H:$H)</f>
        <v>996198.25</v>
      </c>
      <c r="G3" s="86"/>
      <c r="H3" s="86"/>
      <c r="I3" s="86"/>
      <c r="J3" s="86"/>
      <c r="K3" s="86"/>
      <c r="L3" s="86"/>
      <c r="M3" s="86"/>
      <c r="N3" s="86"/>
      <c r="O3" s="86"/>
      <c r="P3" s="101">
        <f t="shared" si="0"/>
        <v>15015630.83</v>
      </c>
      <c r="Q3" s="101">
        <f t="shared" ref="Q2:Q5" si="1">SUM(D3:O3)</f>
        <v>15015630.83</v>
      </c>
      <c r="S3" s="102"/>
    </row>
    <row r="4" spans="1:19">
      <c r="A4" s="103"/>
      <c r="B4" s="80"/>
      <c r="C4" s="80" t="s">
        <v>46</v>
      </c>
      <c r="D4" s="104">
        <f t="shared" ref="D4:F4" si="2">1-D3/D2</f>
        <v>0.555737556445848</v>
      </c>
      <c r="E4" s="104">
        <f t="shared" si="2"/>
        <v>0.619911432733586</v>
      </c>
      <c r="F4" s="104">
        <f t="shared" si="2"/>
        <v>0.534688709375922</v>
      </c>
      <c r="G4" s="86"/>
      <c r="H4" s="86"/>
      <c r="I4" s="86"/>
      <c r="J4" s="86"/>
      <c r="K4" s="86"/>
      <c r="L4" s="86"/>
      <c r="M4" s="86"/>
      <c r="N4" s="86"/>
      <c r="O4" s="86"/>
      <c r="P4" s="105">
        <f>1-P3/P2</f>
        <v>0.581463623247764</v>
      </c>
      <c r="Q4" s="105">
        <f>1-Q3/Q2</f>
        <v>0.581463623247764</v>
      </c>
    </row>
    <row r="5" spans="1:19">
      <c r="A5" s="103"/>
      <c r="B5" s="80"/>
      <c r="C5" s="80" t="s">
        <v>191</v>
      </c>
      <c r="D5" s="100">
        <f>SUMIF('GXG-日报'!$D:$D,D$1,'GXG-日报'!$I:$I)</f>
        <v>2723069.87</v>
      </c>
      <c r="E5" s="100">
        <f>SUMIF('GXG-日报'!$D:$D,E$1,'GXG-日报'!$I:$I)</f>
        <v>2451956.51</v>
      </c>
      <c r="F5" s="100">
        <f>SUMIF('GXG-日报'!$D:$D,F$1,'GXG-日报'!$I:$I)</f>
        <v>261475.9</v>
      </c>
      <c r="G5" s="86"/>
      <c r="H5" s="86"/>
      <c r="I5" s="86"/>
      <c r="J5" s="86"/>
      <c r="K5" s="86"/>
      <c r="L5" s="86"/>
      <c r="M5" s="86"/>
      <c r="N5" s="86"/>
      <c r="O5" s="86"/>
      <c r="P5" s="101">
        <f t="shared" si="0"/>
        <v>5436502.28</v>
      </c>
      <c r="Q5" s="101">
        <f t="shared" si="1"/>
        <v>5436502.28</v>
      </c>
    </row>
    <row r="6" spans="1:19">
      <c r="A6" s="103"/>
      <c r="B6" s="80"/>
      <c r="C6" s="80" t="s">
        <v>192</v>
      </c>
      <c r="D6" s="104">
        <f t="shared" ref="D6:F6" si="3">D5/D2</f>
        <v>0.145999929495049</v>
      </c>
      <c r="E6" s="104">
        <f t="shared" si="3"/>
        <v>0.162548898676841</v>
      </c>
      <c r="F6" s="104">
        <f t="shared" si="3"/>
        <v>0.122132003841697</v>
      </c>
      <c r="G6" s="86"/>
      <c r="H6" s="86"/>
      <c r="I6" s="86"/>
      <c r="J6" s="86"/>
      <c r="K6" s="86"/>
      <c r="L6" s="86"/>
      <c r="M6" s="86"/>
      <c r="N6" s="86"/>
      <c r="O6" s="86"/>
      <c r="P6" s="105">
        <f>P5/P2</f>
        <v>0.151533691273926</v>
      </c>
      <c r="Q6" s="105">
        <f>Q5/Q2</f>
        <v>0.151533691273926</v>
      </c>
    </row>
    <row r="7" spans="1:19">
      <c r="A7" s="103"/>
      <c r="B7" s="80"/>
      <c r="C7" s="80" t="s">
        <v>193</v>
      </c>
      <c r="D7" s="100">
        <f>SUMIF('GXG-日报'!$D:$D,D$1,'GXG-日报'!$K:$K)</f>
        <v>549643.94</v>
      </c>
      <c r="E7" s="100">
        <f>SUMIF('GXG-日报'!$D:$D,E$1,'GXG-日报'!$K:$K)</f>
        <v>400283.8</v>
      </c>
      <c r="F7" s="100">
        <f>SUMIF('GXG-日报'!$D:$D,F$1,'GXG-日报'!$K:$K)</f>
        <v>63607.54</v>
      </c>
      <c r="G7" s="86"/>
      <c r="H7" s="86"/>
      <c r="I7" s="86"/>
      <c r="J7" s="86"/>
      <c r="K7" s="86"/>
      <c r="L7" s="86"/>
      <c r="M7" s="86"/>
      <c r="N7" s="86"/>
      <c r="O7" s="86"/>
      <c r="P7" s="101">
        <f t="shared" si="0"/>
        <v>1013535.28</v>
      </c>
      <c r="Q7" s="101">
        <f t="shared" ref="Q7:Q10" si="4">SUM(D7:O7)</f>
        <v>1013535.28</v>
      </c>
    </row>
    <row r="8" spans="1:19">
      <c r="A8" s="103"/>
      <c r="B8" s="80"/>
      <c r="C8" s="80" t="s">
        <v>194</v>
      </c>
      <c r="D8" s="106">
        <f t="shared" ref="D8:F8" si="5">D7/D3</f>
        <v>0.0663339263594206</v>
      </c>
      <c r="E8" s="106">
        <f t="shared" si="5"/>
        <v>0.0698159216956047</v>
      </c>
      <c r="F8" s="106">
        <f t="shared" si="5"/>
        <v>0.0638502828126831</v>
      </c>
      <c r="G8" s="86"/>
      <c r="H8" s="86"/>
      <c r="I8" s="86"/>
      <c r="J8" s="86"/>
      <c r="K8" s="86"/>
      <c r="L8" s="86"/>
      <c r="M8" s="86"/>
      <c r="N8" s="86"/>
      <c r="O8" s="86"/>
      <c r="P8" s="107">
        <f>P7/P3</f>
        <v>0.067498681305819</v>
      </c>
      <c r="Q8" s="107">
        <f>Q7/Q3</f>
        <v>0.067498681305819</v>
      </c>
    </row>
    <row r="9" spans="1:19">
      <c r="A9" s="103"/>
      <c r="B9" s="80" t="s">
        <v>195</v>
      </c>
      <c r="C9" s="80" t="s">
        <v>2</v>
      </c>
      <c r="D9" s="108">
        <v>15000000</v>
      </c>
      <c r="E9" s="108">
        <v>9000000</v>
      </c>
      <c r="F9" s="108">
        <v>4600000</v>
      </c>
      <c r="G9" s="108">
        <v>5400000</v>
      </c>
      <c r="H9" s="108">
        <v>6500000</v>
      </c>
      <c r="I9" s="108">
        <v>6500000</v>
      </c>
      <c r="J9" s="108">
        <v>6000000</v>
      </c>
      <c r="K9" s="108">
        <v>6500000</v>
      </c>
      <c r="L9" s="108">
        <v>7000000</v>
      </c>
      <c r="M9" s="108">
        <v>12000000</v>
      </c>
      <c r="N9" s="108">
        <v>16000000</v>
      </c>
      <c r="O9" s="108">
        <v>15000000</v>
      </c>
      <c r="P9" s="101">
        <f>SUM(D9:F9)</f>
        <v>28600000</v>
      </c>
      <c r="Q9" s="101">
        <f t="shared" si="4"/>
        <v>109500000</v>
      </c>
    </row>
    <row r="10" spans="1:19">
      <c r="A10" s="103"/>
      <c r="B10" s="80"/>
      <c r="C10" s="80" t="s">
        <v>190</v>
      </c>
      <c r="D10" s="108">
        <v>6750000</v>
      </c>
      <c r="E10" s="108">
        <v>3870000</v>
      </c>
      <c r="F10" s="108">
        <v>2162000</v>
      </c>
      <c r="G10" s="108">
        <v>2808000</v>
      </c>
      <c r="H10" s="108">
        <v>3380000</v>
      </c>
      <c r="I10" s="108">
        <v>3380000</v>
      </c>
      <c r="J10" s="108">
        <v>3120000</v>
      </c>
      <c r="K10" s="108">
        <v>3250000</v>
      </c>
      <c r="L10" s="108">
        <v>3500000</v>
      </c>
      <c r="M10" s="108">
        <v>5400000</v>
      </c>
      <c r="N10" s="108">
        <v>6400000</v>
      </c>
      <c r="O10" s="108">
        <v>6000000</v>
      </c>
      <c r="P10" s="101">
        <f>SUM(D10:F10)</f>
        <v>12782000</v>
      </c>
      <c r="Q10" s="101">
        <f t="shared" si="4"/>
        <v>50020000</v>
      </c>
    </row>
    <row r="11" spans="1:19">
      <c r="A11" s="103"/>
      <c r="B11" s="80"/>
      <c r="C11" s="80" t="s">
        <v>46</v>
      </c>
      <c r="D11" s="104">
        <f>1-D10/D9</f>
        <v>0.55</v>
      </c>
      <c r="E11" s="104">
        <f t="shared" ref="E11:Q11" si="6">1-E10/E9</f>
        <v>0.57</v>
      </c>
      <c r="F11" s="87">
        <f t="shared" si="6"/>
        <v>0.53</v>
      </c>
      <c r="G11" s="87">
        <f t="shared" si="6"/>
        <v>0.48</v>
      </c>
      <c r="H11" s="87">
        <f t="shared" si="6"/>
        <v>0.48</v>
      </c>
      <c r="I11" s="87">
        <f t="shared" si="6"/>
        <v>0.48</v>
      </c>
      <c r="J11" s="87">
        <f t="shared" si="6"/>
        <v>0.48</v>
      </c>
      <c r="K11" s="87">
        <f t="shared" si="6"/>
        <v>0.5</v>
      </c>
      <c r="L11" s="87">
        <f t="shared" si="6"/>
        <v>0.5</v>
      </c>
      <c r="M11" s="87">
        <f t="shared" si="6"/>
        <v>0.55</v>
      </c>
      <c r="N11" s="87">
        <f t="shared" si="6"/>
        <v>0.6</v>
      </c>
      <c r="O11" s="87">
        <f t="shared" si="6"/>
        <v>0.6</v>
      </c>
      <c r="P11" s="105">
        <f t="shared" si="6"/>
        <v>0.553076923076923</v>
      </c>
      <c r="Q11" s="105">
        <f t="shared" si="6"/>
        <v>0.543196347031963</v>
      </c>
    </row>
    <row r="12" spans="1:19">
      <c r="A12" s="103"/>
      <c r="B12" s="80"/>
      <c r="C12" s="80" t="s">
        <v>194</v>
      </c>
      <c r="D12" s="109">
        <v>0.06</v>
      </c>
      <c r="E12" s="109">
        <v>0.06</v>
      </c>
      <c r="F12" s="89">
        <v>0.06</v>
      </c>
      <c r="G12" s="89">
        <v>0.06</v>
      </c>
      <c r="H12" s="89">
        <v>0.06</v>
      </c>
      <c r="I12" s="89">
        <v>0.06</v>
      </c>
      <c r="J12" s="89">
        <v>0.06</v>
      </c>
      <c r="K12" s="89">
        <v>0.06</v>
      </c>
      <c r="L12" s="89">
        <v>0.06</v>
      </c>
      <c r="M12" s="89">
        <v>0.06</v>
      </c>
      <c r="N12" s="89">
        <v>0.06</v>
      </c>
      <c r="O12" s="89">
        <v>0.06</v>
      </c>
      <c r="P12" s="110">
        <v>0.06</v>
      </c>
      <c r="Q12" s="110">
        <v>0.06</v>
      </c>
    </row>
    <row r="13" spans="1:19">
      <c r="A13" s="103"/>
      <c r="B13" s="80" t="s">
        <v>196</v>
      </c>
      <c r="C13" s="80" t="s">
        <v>2</v>
      </c>
      <c r="D13" s="104">
        <f t="shared" ref="D13:D15" si="7">D2/D9</f>
        <v>1.2434115</v>
      </c>
      <c r="E13" s="104">
        <f t="shared" ref="E13:O13" si="8">E2/E9</f>
        <v>1.67604711222222</v>
      </c>
      <c r="F13" s="87">
        <f t="shared" si="8"/>
        <v>0.465419260869565</v>
      </c>
      <c r="G13" s="87">
        <f t="shared" si="8"/>
        <v>0</v>
      </c>
      <c r="H13" s="87">
        <f t="shared" si="8"/>
        <v>0</v>
      </c>
      <c r="I13" s="87">
        <f t="shared" si="8"/>
        <v>0</v>
      </c>
      <c r="J13" s="87">
        <f t="shared" si="8"/>
        <v>0</v>
      </c>
      <c r="K13" s="87">
        <f t="shared" si="8"/>
        <v>0</v>
      </c>
      <c r="L13" s="87">
        <f t="shared" si="8"/>
        <v>0</v>
      </c>
      <c r="M13" s="87">
        <f t="shared" si="8"/>
        <v>0</v>
      </c>
      <c r="N13" s="87">
        <f t="shared" si="8"/>
        <v>0</v>
      </c>
      <c r="O13" s="87">
        <f t="shared" si="8"/>
        <v>0</v>
      </c>
      <c r="P13" s="105">
        <f t="shared" ref="P13:P15" si="9">P2/P9</f>
        <v>1.2544239548951</v>
      </c>
      <c r="Q13" s="105">
        <f t="shared" ref="Q13:Q15" si="10">Q2/Q9</f>
        <v>0.327639498721461</v>
      </c>
    </row>
    <row r="14" spans="1:19">
      <c r="A14" s="103"/>
      <c r="B14" s="80"/>
      <c r="C14" s="80" t="s">
        <v>190</v>
      </c>
      <c r="D14" s="104">
        <f t="shared" si="7"/>
        <v>1.22755784740741</v>
      </c>
      <c r="E14" s="104">
        <f t="shared" ref="E14:O14" si="11">E3/E10</f>
        <v>1.48150312919897</v>
      </c>
      <c r="F14" s="87">
        <f t="shared" si="11"/>
        <v>0.460776248843663</v>
      </c>
      <c r="G14" s="87">
        <f t="shared" si="11"/>
        <v>0</v>
      </c>
      <c r="H14" s="87">
        <f t="shared" si="11"/>
        <v>0</v>
      </c>
      <c r="I14" s="87">
        <f t="shared" si="11"/>
        <v>0</v>
      </c>
      <c r="J14" s="87">
        <f t="shared" si="11"/>
        <v>0</v>
      </c>
      <c r="K14" s="87">
        <f t="shared" si="11"/>
        <v>0</v>
      </c>
      <c r="L14" s="87">
        <f t="shared" si="11"/>
        <v>0</v>
      </c>
      <c r="M14" s="87">
        <f t="shared" si="11"/>
        <v>0</v>
      </c>
      <c r="N14" s="87">
        <f t="shared" si="11"/>
        <v>0</v>
      </c>
      <c r="O14" s="87">
        <f t="shared" si="11"/>
        <v>0</v>
      </c>
      <c r="P14" s="105">
        <f t="shared" si="9"/>
        <v>1.17474814817712</v>
      </c>
      <c r="Q14" s="105">
        <f t="shared" si="10"/>
        <v>0.300192539584166</v>
      </c>
    </row>
    <row r="15" spans="1:19">
      <c r="A15" s="103"/>
      <c r="B15" s="80"/>
      <c r="C15" s="80" t="s">
        <v>46</v>
      </c>
      <c r="D15" s="104">
        <f t="shared" si="7"/>
        <v>1.01043192081063</v>
      </c>
      <c r="E15" s="104">
        <f t="shared" ref="E15:O15" si="12">E4/E11</f>
        <v>1.08756391707647</v>
      </c>
      <c r="F15" s="87">
        <f t="shared" si="12"/>
        <v>1.008846621464</v>
      </c>
      <c r="G15" s="87">
        <f t="shared" si="12"/>
        <v>0</v>
      </c>
      <c r="H15" s="87">
        <f t="shared" si="12"/>
        <v>0</v>
      </c>
      <c r="I15" s="87">
        <f t="shared" si="12"/>
        <v>0</v>
      </c>
      <c r="J15" s="87">
        <f t="shared" si="12"/>
        <v>0</v>
      </c>
      <c r="K15" s="87">
        <f t="shared" si="12"/>
        <v>0</v>
      </c>
      <c r="L15" s="87">
        <f t="shared" si="12"/>
        <v>0</v>
      </c>
      <c r="M15" s="87">
        <f t="shared" si="12"/>
        <v>0</v>
      </c>
      <c r="N15" s="87">
        <f t="shared" si="12"/>
        <v>0</v>
      </c>
      <c r="O15" s="87">
        <f t="shared" si="12"/>
        <v>0</v>
      </c>
      <c r="P15" s="105">
        <f t="shared" si="9"/>
        <v>1.05132504898761</v>
      </c>
      <c r="Q15" s="105">
        <f t="shared" si="10"/>
        <v>1.07044833129842</v>
      </c>
    </row>
    <row r="16" spans="1:19">
      <c r="A16" s="103"/>
      <c r="B16" s="80"/>
      <c r="C16" s="80" t="s">
        <v>194</v>
      </c>
      <c r="D16" s="104">
        <f>D8/D12</f>
        <v>1.10556543932368</v>
      </c>
      <c r="E16" s="104">
        <f t="shared" ref="E16:Q16" si="13">E8/E12</f>
        <v>1.16359869492674</v>
      </c>
      <c r="F16" s="87">
        <f t="shared" si="13"/>
        <v>1.06417138021139</v>
      </c>
      <c r="G16" s="87">
        <f t="shared" si="13"/>
        <v>0</v>
      </c>
      <c r="H16" s="87">
        <f t="shared" si="13"/>
        <v>0</v>
      </c>
      <c r="I16" s="87">
        <f t="shared" si="13"/>
        <v>0</v>
      </c>
      <c r="J16" s="87">
        <f t="shared" si="13"/>
        <v>0</v>
      </c>
      <c r="K16" s="87">
        <f t="shared" si="13"/>
        <v>0</v>
      </c>
      <c r="L16" s="87">
        <f t="shared" si="13"/>
        <v>0</v>
      </c>
      <c r="M16" s="87">
        <f t="shared" si="13"/>
        <v>0</v>
      </c>
      <c r="N16" s="87">
        <f t="shared" si="13"/>
        <v>0</v>
      </c>
      <c r="O16" s="87">
        <f t="shared" si="13"/>
        <v>0</v>
      </c>
      <c r="P16" s="105">
        <f t="shared" si="13"/>
        <v>1.12497802176365</v>
      </c>
      <c r="Q16" s="105">
        <f t="shared" si="13"/>
        <v>1.12497802176365</v>
      </c>
    </row>
    <row r="17" spans="1:19">
      <c r="A17" s="103"/>
      <c r="B17" s="99" t="s">
        <v>197</v>
      </c>
      <c r="C17" s="80" t="s">
        <v>2</v>
      </c>
      <c r="D17" s="104">
        <f>D2/D80-1</f>
        <v>0.240447800613678</v>
      </c>
      <c r="E17" s="104">
        <f t="shared" ref="E17:Q17" si="14">E2/E80-1</f>
        <v>1.46960936887793</v>
      </c>
      <c r="F17" s="104">
        <f t="shared" si="14"/>
        <v>-0.666987591830067</v>
      </c>
      <c r="G17" s="104">
        <f t="shared" si="14"/>
        <v>-1</v>
      </c>
      <c r="H17" s="104">
        <f t="shared" si="14"/>
        <v>-1</v>
      </c>
      <c r="I17" s="104">
        <f t="shared" si="14"/>
        <v>-1</v>
      </c>
      <c r="J17" s="104">
        <f t="shared" si="14"/>
        <v>-1</v>
      </c>
      <c r="K17" s="104">
        <f t="shared" si="14"/>
        <v>-1</v>
      </c>
      <c r="L17" s="104">
        <f t="shared" si="14"/>
        <v>-1</v>
      </c>
      <c r="M17" s="104">
        <f t="shared" si="14"/>
        <v>-1</v>
      </c>
      <c r="N17" s="104">
        <f t="shared" si="14"/>
        <v>-1</v>
      </c>
      <c r="O17" s="104">
        <f t="shared" si="14"/>
        <v>-1</v>
      </c>
      <c r="P17" s="105">
        <f t="shared" si="14"/>
        <v>0.696782311989082</v>
      </c>
      <c r="Q17" s="105">
        <f t="shared" si="14"/>
        <v>-0.644292758259218</v>
      </c>
    </row>
    <row r="18" spans="1:19">
      <c r="A18" s="103"/>
      <c r="B18" s="103"/>
      <c r="C18" s="80" t="s">
        <v>190</v>
      </c>
      <c r="D18" s="104">
        <f>D3/D81-1</f>
        <v>0.176292209802894</v>
      </c>
      <c r="E18" s="104">
        <f t="shared" ref="E18:Q18" si="15">E3/E81-1</f>
        <v>0.816039069575396</v>
      </c>
      <c r="F18" s="104">
        <f t="shared" si="15"/>
        <v>-0.697313467569911</v>
      </c>
      <c r="G18" s="104">
        <f t="shared" si="15"/>
        <v>-1</v>
      </c>
      <c r="H18" s="104">
        <f t="shared" si="15"/>
        <v>-1</v>
      </c>
      <c r="I18" s="104">
        <f t="shared" si="15"/>
        <v>-1</v>
      </c>
      <c r="J18" s="104">
        <f t="shared" si="15"/>
        <v>-1</v>
      </c>
      <c r="K18" s="104">
        <f t="shared" si="15"/>
        <v>-1</v>
      </c>
      <c r="L18" s="104">
        <f t="shared" si="15"/>
        <v>-1</v>
      </c>
      <c r="M18" s="104">
        <f t="shared" si="15"/>
        <v>-1</v>
      </c>
      <c r="N18" s="104">
        <f t="shared" si="15"/>
        <v>-1</v>
      </c>
      <c r="O18" s="104">
        <f t="shared" si="15"/>
        <v>-1</v>
      </c>
      <c r="P18" s="105">
        <f t="shared" si="15"/>
        <v>0.471935769942875</v>
      </c>
      <c r="Q18" s="105">
        <f t="shared" si="15"/>
        <v>-0.701632011741548</v>
      </c>
    </row>
    <row r="19" spans="1:19">
      <c r="A19" s="111"/>
      <c r="B19" s="111"/>
      <c r="C19" s="80" t="s">
        <v>46</v>
      </c>
      <c r="D19" s="104">
        <f>D4-D82</f>
        <v>0.0242303054493879</v>
      </c>
      <c r="E19" s="104">
        <f t="shared" ref="E19:Q19" si="16">E4-E82</f>
        <v>0.136789236989192</v>
      </c>
      <c r="F19" s="104">
        <f t="shared" si="16"/>
        <v>0.0466190955591043</v>
      </c>
      <c r="G19" s="104">
        <f t="shared" si="16"/>
        <v>-0.361431451460337</v>
      </c>
      <c r="H19" s="104">
        <f t="shared" si="16"/>
        <v>-0.437054561812487</v>
      </c>
      <c r="I19" s="104">
        <f t="shared" si="16"/>
        <v>-0.360906673809514</v>
      </c>
      <c r="J19" s="104">
        <f t="shared" si="16"/>
        <v>-0.356111346286471</v>
      </c>
      <c r="K19" s="104">
        <f t="shared" si="16"/>
        <v>-0.487039711445318</v>
      </c>
      <c r="L19" s="104">
        <f t="shared" si="16"/>
        <v>-0.435782155263014</v>
      </c>
      <c r="M19" s="104">
        <f t="shared" si="16"/>
        <v>-0.561847958814003</v>
      </c>
      <c r="N19" s="104">
        <f t="shared" si="16"/>
        <v>-0.614780211189633</v>
      </c>
      <c r="O19" s="104">
        <f t="shared" si="16"/>
        <v>-0.51834349502644</v>
      </c>
      <c r="P19" s="105">
        <f t="shared" si="16"/>
        <v>0.0639338067291758</v>
      </c>
      <c r="Q19" s="105">
        <f t="shared" si="16"/>
        <v>0.080432768737189</v>
      </c>
    </row>
    <row r="20" spans="1:19">
      <c r="A20" s="112" t="s">
        <v>198</v>
      </c>
      <c r="B20" s="92" t="s">
        <v>189</v>
      </c>
      <c r="C20" s="92" t="s">
        <v>2</v>
      </c>
      <c r="D20" s="100">
        <f>SUMIF('DAZZLE-日报'!$D:$D,D$1,'DAZZLE-日报'!$F:$F)</f>
        <v>22583187.15</v>
      </c>
      <c r="E20" s="100">
        <f>SUMIF('DAZZLE-日报'!$D:$D,E$1,'DAZZLE-日报'!$F:$F)</f>
        <v>15289695.68</v>
      </c>
      <c r="F20" s="100">
        <f>SUMIF('DAZZLE-日报'!$D:$D,F$1,'DAZZLE-日报'!$F:$F)</f>
        <v>4755169.01</v>
      </c>
      <c r="G20" s="86"/>
      <c r="H20" s="86"/>
      <c r="I20" s="86"/>
      <c r="J20" s="86"/>
      <c r="K20" s="86"/>
      <c r="L20" s="86"/>
      <c r="M20" s="86"/>
      <c r="N20" s="86"/>
      <c r="O20" s="86"/>
      <c r="P20" s="101">
        <f t="shared" ref="P20:P23" si="17">SUM(D20:F20)</f>
        <v>42628051.84</v>
      </c>
      <c r="Q20" s="101">
        <f t="shared" ref="Q20:Q23" si="18">SUM(D20:O20)</f>
        <v>42628051.84</v>
      </c>
      <c r="S20" s="102"/>
    </row>
    <row r="21" spans="1:19">
      <c r="A21" s="113"/>
      <c r="B21" s="92"/>
      <c r="C21" s="92" t="s">
        <v>190</v>
      </c>
      <c r="D21" s="100">
        <f>SUMIF('DAZZLE-日报'!$D:$D,D$1,'DAZZLE-日报'!$H:$H)</f>
        <v>3027474.25</v>
      </c>
      <c r="E21" s="100">
        <f>SUMIF('DAZZLE-日报'!$D:$D,E$1,'DAZZLE-日报'!$H:$H)</f>
        <v>2171222.55</v>
      </c>
      <c r="F21" s="100">
        <f>SUMIF('DAZZLE-日报'!$D:$D,F$1,'DAZZLE-日报'!$H:$H)</f>
        <v>726221.35</v>
      </c>
      <c r="G21" s="86"/>
      <c r="H21" s="86"/>
      <c r="I21" s="86"/>
      <c r="J21" s="86"/>
      <c r="K21" s="86"/>
      <c r="L21" s="86"/>
      <c r="M21" s="86"/>
      <c r="N21" s="86"/>
      <c r="O21" s="86"/>
      <c r="P21" s="101">
        <f t="shared" si="17"/>
        <v>5924918.15</v>
      </c>
      <c r="Q21" s="101">
        <f t="shared" si="18"/>
        <v>5924918.15</v>
      </c>
      <c r="S21" s="102"/>
    </row>
    <row r="22" spans="1:19">
      <c r="A22" s="113"/>
      <c r="B22" s="92"/>
      <c r="C22" s="92" t="s">
        <v>46</v>
      </c>
      <c r="D22" s="104">
        <f t="shared" ref="D22:F22" si="19">1-D21/D20</f>
        <v>0.865941231860181</v>
      </c>
      <c r="E22" s="104">
        <f t="shared" si="19"/>
        <v>0.857994390768672</v>
      </c>
      <c r="F22" s="104">
        <f t="shared" si="19"/>
        <v>0.84727748930211</v>
      </c>
      <c r="G22" s="86"/>
      <c r="H22" s="86"/>
      <c r="I22" s="86"/>
      <c r="J22" s="86"/>
      <c r="K22" s="86"/>
      <c r="L22" s="86"/>
      <c r="M22" s="86"/>
      <c r="N22" s="86"/>
      <c r="O22" s="86"/>
      <c r="P22" s="105">
        <f>1-P21/P20</f>
        <v>0.861008939084559</v>
      </c>
      <c r="Q22" s="105">
        <f>1-Q21/Q20</f>
        <v>0.861008939084559</v>
      </c>
    </row>
    <row r="23" spans="1:19">
      <c r="A23" s="113"/>
      <c r="B23" s="92"/>
      <c r="C23" s="92" t="s">
        <v>191</v>
      </c>
      <c r="D23" s="100">
        <f>SUMIF('DAZZLE-日报'!$D:$D,D$1,'DAZZLE-日报'!$I:$I)</f>
        <v>6885434.3</v>
      </c>
      <c r="E23" s="100">
        <f>SUMIF('DAZZLE-日报'!$D:$D,E$1,'DAZZLE-日报'!$I:$I)</f>
        <v>5390649.46</v>
      </c>
      <c r="F23" s="100">
        <f>SUMIF('DAZZLE-日报'!$D:$D,F$1,'DAZZLE-日报'!$I:$I)</f>
        <v>1824750.84</v>
      </c>
      <c r="G23" s="86"/>
      <c r="H23" s="86"/>
      <c r="I23" s="86"/>
      <c r="J23" s="86"/>
      <c r="K23" s="86"/>
      <c r="L23" s="86"/>
      <c r="M23" s="86"/>
      <c r="N23" s="86"/>
      <c r="O23" s="86"/>
      <c r="P23" s="101">
        <f t="shared" si="17"/>
        <v>14100834.6</v>
      </c>
      <c r="Q23" s="101">
        <f t="shared" si="18"/>
        <v>14100834.6</v>
      </c>
    </row>
    <row r="24" spans="1:19">
      <c r="A24" s="113"/>
      <c r="B24" s="92"/>
      <c r="C24" s="92" t="s">
        <v>192</v>
      </c>
      <c r="D24" s="104">
        <f t="shared" ref="D24:F24" si="20">D23/D20</f>
        <v>0.304892053290184</v>
      </c>
      <c r="E24" s="104">
        <f t="shared" si="20"/>
        <v>0.352567478962407</v>
      </c>
      <c r="F24" s="104">
        <f t="shared" si="20"/>
        <v>0.383740480340992</v>
      </c>
      <c r="G24" s="86"/>
      <c r="H24" s="86"/>
      <c r="I24" s="86"/>
      <c r="J24" s="86"/>
      <c r="K24" s="86"/>
      <c r="L24" s="86"/>
      <c r="M24" s="86"/>
      <c r="N24" s="86"/>
      <c r="O24" s="86"/>
      <c r="P24" s="105">
        <f>P23/P20</f>
        <v>0.330787685370329</v>
      </c>
      <c r="Q24" s="105">
        <f>Q23/Q20</f>
        <v>0.330787685370329</v>
      </c>
    </row>
    <row r="25" spans="1:19">
      <c r="A25" s="113"/>
      <c r="B25" s="92"/>
      <c r="C25" s="92" t="s">
        <v>193</v>
      </c>
      <c r="D25" s="100">
        <f>SUMIF('DAZZLE-日报'!$D:$D,D$1,'DAZZLE-日报'!$K:$K)</f>
        <v>72623.55</v>
      </c>
      <c r="E25" s="100">
        <f>SUMIF('DAZZLE-日报'!$D:$D,E$1,'DAZZLE-日报'!$K:$K)</f>
        <v>45510.23</v>
      </c>
      <c r="F25" s="100">
        <f>SUMIF('DAZZLE-日报'!$D:$D,F$1,'DAZZLE-日报'!$K:$K)</f>
        <v>12451.32</v>
      </c>
      <c r="G25" s="86"/>
      <c r="H25" s="86"/>
      <c r="I25" s="86"/>
      <c r="J25" s="86"/>
      <c r="K25" s="86"/>
      <c r="L25" s="86"/>
      <c r="M25" s="86"/>
      <c r="N25" s="86"/>
      <c r="O25" s="86"/>
      <c r="P25" s="101">
        <f t="shared" ref="P25:P28" si="21">SUM(D25:F25)</f>
        <v>130585.1</v>
      </c>
      <c r="Q25" s="101">
        <f>SUM(D25:O25)</f>
        <v>130585.1</v>
      </c>
    </row>
    <row r="26" spans="1:19">
      <c r="A26" s="113"/>
      <c r="B26" s="92"/>
      <c r="C26" s="92" t="s">
        <v>194</v>
      </c>
      <c r="D26" s="106">
        <f t="shared" ref="D26:F26" si="22">D25/D21</f>
        <v>0.023988164391489</v>
      </c>
      <c r="E26" s="106">
        <f t="shared" si="22"/>
        <v>0.0209606472629902</v>
      </c>
      <c r="F26" s="106">
        <f t="shared" si="22"/>
        <v>0.0171453510696153</v>
      </c>
      <c r="G26" s="86"/>
      <c r="H26" s="86"/>
      <c r="I26" s="86"/>
      <c r="J26" s="86"/>
      <c r="K26" s="86"/>
      <c r="L26" s="86"/>
      <c r="M26" s="86"/>
      <c r="N26" s="86"/>
      <c r="O26" s="86"/>
      <c r="P26" s="107">
        <f>P25/P21</f>
        <v>0.0220399837928563</v>
      </c>
      <c r="Q26" s="107">
        <f>Q25/Q21</f>
        <v>0.0220399837928563</v>
      </c>
    </row>
    <row r="27" spans="1:19">
      <c r="A27" s="113"/>
      <c r="B27" s="92" t="s">
        <v>195</v>
      </c>
      <c r="C27" s="92" t="s">
        <v>2</v>
      </c>
      <c r="D27" s="108">
        <v>18860000</v>
      </c>
      <c r="E27" s="108">
        <v>11527500</v>
      </c>
      <c r="F27" s="108">
        <v>17240000</v>
      </c>
      <c r="G27" s="108">
        <v>13590882</v>
      </c>
      <c r="H27" s="108">
        <v>16215000</v>
      </c>
      <c r="I27" s="108">
        <v>18470333</v>
      </c>
      <c r="J27" s="108">
        <v>15457500</v>
      </c>
      <c r="K27" s="108">
        <v>12551667</v>
      </c>
      <c r="L27" s="108">
        <v>13434294</v>
      </c>
      <c r="M27" s="108">
        <v>17610882</v>
      </c>
      <c r="N27" s="108">
        <v>21693000</v>
      </c>
      <c r="O27" s="108">
        <v>20075677</v>
      </c>
      <c r="P27" s="101">
        <f t="shared" si="21"/>
        <v>47627500</v>
      </c>
      <c r="Q27" s="101">
        <f>SUM(D27:O27)</f>
        <v>196726735</v>
      </c>
    </row>
    <row r="28" spans="1:19">
      <c r="A28" s="113"/>
      <c r="B28" s="92"/>
      <c r="C28" s="92" t="s">
        <v>190</v>
      </c>
      <c r="D28" s="108">
        <v>3041200</v>
      </c>
      <c r="E28" s="108">
        <v>1773800</v>
      </c>
      <c r="F28" s="108">
        <v>3033600</v>
      </c>
      <c r="G28" s="108">
        <v>2211000</v>
      </c>
      <c r="H28" s="108">
        <v>2602600</v>
      </c>
      <c r="I28" s="108">
        <v>2687800</v>
      </c>
      <c r="J28" s="108">
        <v>2477400</v>
      </c>
      <c r="K28" s="108">
        <v>2000600</v>
      </c>
      <c r="L28" s="108">
        <v>2258190</v>
      </c>
      <c r="M28" s="108">
        <v>2784150</v>
      </c>
      <c r="N28" s="108">
        <v>3051370</v>
      </c>
      <c r="O28" s="108">
        <v>3089940</v>
      </c>
      <c r="P28" s="101">
        <f t="shared" si="21"/>
        <v>7848600</v>
      </c>
      <c r="Q28" s="101">
        <f>SUM(D28:O28)</f>
        <v>31011650</v>
      </c>
    </row>
    <row r="29" spans="1:19">
      <c r="A29" s="113"/>
      <c r="B29" s="92"/>
      <c r="C29" s="92" t="s">
        <v>46</v>
      </c>
      <c r="D29" s="104">
        <f>1-D28/D27</f>
        <v>0.838748674443266</v>
      </c>
      <c r="E29" s="104">
        <f t="shared" ref="E29:Q29" si="23">1-E28/E27</f>
        <v>0.846124484927348</v>
      </c>
      <c r="F29" s="87">
        <f t="shared" si="23"/>
        <v>0.824037122969838</v>
      </c>
      <c r="G29" s="87">
        <f t="shared" si="23"/>
        <v>0.837317401475489</v>
      </c>
      <c r="H29" s="87">
        <f t="shared" si="23"/>
        <v>0.839494295405489</v>
      </c>
      <c r="I29" s="87">
        <f t="shared" si="23"/>
        <v>0.854480154743285</v>
      </c>
      <c r="J29" s="87">
        <f t="shared" si="23"/>
        <v>0.839728287239204</v>
      </c>
      <c r="K29" s="87">
        <f t="shared" si="23"/>
        <v>0.840610812890431</v>
      </c>
      <c r="L29" s="87">
        <f t="shared" si="23"/>
        <v>0.83190854688754</v>
      </c>
      <c r="M29" s="87">
        <f t="shared" si="23"/>
        <v>0.841907407022544</v>
      </c>
      <c r="N29" s="87">
        <f t="shared" si="23"/>
        <v>0.859338496289126</v>
      </c>
      <c r="O29" s="87">
        <f t="shared" si="23"/>
        <v>0.846085389797814</v>
      </c>
      <c r="P29" s="105">
        <f t="shared" si="23"/>
        <v>0.835208650464543</v>
      </c>
      <c r="Q29" s="105">
        <f t="shared" si="23"/>
        <v>0.842361791853049</v>
      </c>
    </row>
    <row r="30" spans="1:19">
      <c r="A30" s="113"/>
      <c r="B30" s="92"/>
      <c r="C30" s="92" t="s">
        <v>194</v>
      </c>
      <c r="D30" s="109">
        <v>0.03</v>
      </c>
      <c r="E30" s="109">
        <v>0.03</v>
      </c>
      <c r="F30" s="89">
        <v>0.03</v>
      </c>
      <c r="G30" s="89">
        <v>0.03</v>
      </c>
      <c r="H30" s="89">
        <v>0.03</v>
      </c>
      <c r="I30" s="89">
        <v>0.03</v>
      </c>
      <c r="J30" s="89">
        <v>0.03</v>
      </c>
      <c r="K30" s="89">
        <v>0.03</v>
      </c>
      <c r="L30" s="89">
        <v>0.03</v>
      </c>
      <c r="M30" s="89">
        <v>0.03</v>
      </c>
      <c r="N30" s="89">
        <v>0.03</v>
      </c>
      <c r="O30" s="89">
        <v>0.03</v>
      </c>
      <c r="P30" s="110">
        <v>0.03</v>
      </c>
      <c r="Q30" s="110">
        <v>0.03</v>
      </c>
    </row>
    <row r="31" spans="1:19">
      <c r="A31" s="113"/>
      <c r="B31" s="92" t="s">
        <v>196</v>
      </c>
      <c r="C31" s="92" t="s">
        <v>2</v>
      </c>
      <c r="D31" s="104">
        <f t="shared" ref="D31:D33" si="24">D20/D27</f>
        <v>1.19741183191941</v>
      </c>
      <c r="E31" s="104">
        <f>E20/E27</f>
        <v>1.32636700759054</v>
      </c>
      <c r="F31" s="104">
        <f>F20/F27</f>
        <v>0.275821868329466</v>
      </c>
      <c r="G31" s="86"/>
      <c r="H31" s="86"/>
      <c r="I31" s="86"/>
      <c r="J31" s="86"/>
      <c r="K31" s="86"/>
      <c r="L31" s="86"/>
      <c r="M31" s="86"/>
      <c r="N31" s="86"/>
      <c r="O31" s="86"/>
      <c r="P31" s="105">
        <f t="shared" ref="P31:P33" si="25">P20/P27</f>
        <v>0.895030220775812</v>
      </c>
      <c r="Q31" s="105">
        <f t="shared" ref="Q31:Q33" si="26">Q20/Q27</f>
        <v>0.216686622893426</v>
      </c>
    </row>
    <row r="32" spans="1:19">
      <c r="A32" s="113"/>
      <c r="B32" s="92"/>
      <c r="C32" s="92" t="s">
        <v>190</v>
      </c>
      <c r="D32" s="104">
        <f t="shared" si="24"/>
        <v>0.995486732210969</v>
      </c>
      <c r="E32" s="104">
        <f>E21/E28</f>
        <v>1.22405149960537</v>
      </c>
      <c r="F32" s="104">
        <f>F21/F28</f>
        <v>0.239392586366034</v>
      </c>
      <c r="G32" s="86"/>
      <c r="H32" s="86"/>
      <c r="I32" s="86"/>
      <c r="J32" s="86"/>
      <c r="K32" s="86"/>
      <c r="L32" s="86"/>
      <c r="M32" s="86"/>
      <c r="N32" s="86"/>
      <c r="O32" s="86"/>
      <c r="P32" s="105">
        <f t="shared" si="25"/>
        <v>0.754901275386693</v>
      </c>
      <c r="Q32" s="105">
        <f t="shared" si="26"/>
        <v>0.191054592387055</v>
      </c>
    </row>
    <row r="33" spans="1:17">
      <c r="A33" s="113"/>
      <c r="B33" s="92"/>
      <c r="C33" s="92" t="s">
        <v>46</v>
      </c>
      <c r="D33" s="104">
        <f t="shared" si="24"/>
        <v>1.03242038794871</v>
      </c>
      <c r="E33" s="104">
        <f>E22/E29</f>
        <v>1.01402855732551</v>
      </c>
      <c r="F33" s="104">
        <f>F22/F29</f>
        <v>1.02820305746483</v>
      </c>
      <c r="G33" s="86"/>
      <c r="H33" s="86"/>
      <c r="I33" s="86"/>
      <c r="J33" s="86"/>
      <c r="K33" s="86"/>
      <c r="L33" s="86"/>
      <c r="M33" s="86"/>
      <c r="N33" s="86"/>
      <c r="O33" s="86"/>
      <c r="P33" s="105">
        <f t="shared" si="25"/>
        <v>1.03089083022029</v>
      </c>
      <c r="Q33" s="105">
        <f t="shared" si="26"/>
        <v>1.02213674386927</v>
      </c>
    </row>
    <row r="34" spans="1:17">
      <c r="A34" s="113"/>
      <c r="B34" s="92"/>
      <c r="C34" s="92" t="s">
        <v>194</v>
      </c>
      <c r="D34" s="104">
        <f>D26/D30</f>
        <v>0.799605479716302</v>
      </c>
      <c r="E34" s="104">
        <f>E26/E30</f>
        <v>0.698688242099672</v>
      </c>
      <c r="F34" s="104">
        <f>F26/F30</f>
        <v>0.571511702320511</v>
      </c>
      <c r="G34" s="86"/>
      <c r="H34" s="86"/>
      <c r="I34" s="86"/>
      <c r="J34" s="86"/>
      <c r="K34" s="86"/>
      <c r="L34" s="86"/>
      <c r="M34" s="86"/>
      <c r="N34" s="86"/>
      <c r="O34" s="86"/>
      <c r="P34" s="105">
        <f>P26/P30</f>
        <v>0.734666126428543</v>
      </c>
      <c r="Q34" s="105">
        <f>Q26/Q30</f>
        <v>0.734666126428543</v>
      </c>
    </row>
    <row r="35" spans="1:17">
      <c r="A35" s="113"/>
      <c r="B35" s="114" t="s">
        <v>197</v>
      </c>
      <c r="C35" s="92" t="s">
        <v>2</v>
      </c>
      <c r="D35" s="104">
        <f t="shared" ref="D35:F35" si="27">D20/D84-1</f>
        <v>0.603245648111549</v>
      </c>
      <c r="E35" s="104">
        <f t="shared" si="27"/>
        <v>0.312971015185213</v>
      </c>
      <c r="F35" s="104">
        <f t="shared" si="27"/>
        <v>-0.648687258250938</v>
      </c>
      <c r="G35" s="104">
        <f t="shared" ref="E35:Q35" si="28">G20/G84-1</f>
        <v>-1</v>
      </c>
      <c r="H35" s="104">
        <f t="shared" si="28"/>
        <v>-1</v>
      </c>
      <c r="I35" s="104">
        <f t="shared" si="28"/>
        <v>-1</v>
      </c>
      <c r="J35" s="104">
        <f t="shared" si="28"/>
        <v>-1</v>
      </c>
      <c r="K35" s="104">
        <f t="shared" si="28"/>
        <v>-1</v>
      </c>
      <c r="L35" s="104">
        <f t="shared" si="28"/>
        <v>-1</v>
      </c>
      <c r="M35" s="104">
        <f t="shared" si="28"/>
        <v>-1</v>
      </c>
      <c r="N35" s="104">
        <f t="shared" si="28"/>
        <v>-1</v>
      </c>
      <c r="O35" s="104">
        <f t="shared" si="28"/>
        <v>-1</v>
      </c>
      <c r="P35" s="105">
        <f t="shared" si="28"/>
        <v>0.656678724146925</v>
      </c>
      <c r="Q35" s="105">
        <f t="shared" si="28"/>
        <v>-0.787739209339471</v>
      </c>
    </row>
    <row r="36" spans="1:17">
      <c r="A36" s="113"/>
      <c r="B36" s="115"/>
      <c r="C36" s="92" t="s">
        <v>190</v>
      </c>
      <c r="D36" s="106">
        <f t="shared" ref="D36:F36" si="29">D21/D85-1</f>
        <v>0.295914768482461</v>
      </c>
      <c r="E36" s="106">
        <f t="shared" si="29"/>
        <v>0.0184294079131873</v>
      </c>
      <c r="F36" s="106">
        <f t="shared" si="29"/>
        <v>-0.524680081202833</v>
      </c>
      <c r="G36" s="104">
        <f t="shared" ref="E36:Q36" si="30">G28/G85-1</f>
        <v>-0.0271794447372586</v>
      </c>
      <c r="H36" s="104">
        <f t="shared" si="30"/>
        <v>-0.222681918221275</v>
      </c>
      <c r="I36" s="104">
        <f t="shared" si="30"/>
        <v>0.391157185281056</v>
      </c>
      <c r="J36" s="104">
        <f t="shared" si="30"/>
        <v>0.664721669140499</v>
      </c>
      <c r="K36" s="104">
        <f t="shared" si="30"/>
        <v>0.104847046722196</v>
      </c>
      <c r="L36" s="104">
        <f t="shared" si="30"/>
        <v>-0.0383805476579466</v>
      </c>
      <c r="M36" s="104">
        <f t="shared" si="30"/>
        <v>-0.236606846839369</v>
      </c>
      <c r="N36" s="104">
        <f t="shared" si="30"/>
        <v>0.700374334564717</v>
      </c>
      <c r="O36" s="104">
        <f t="shared" si="30"/>
        <v>-0.264758426622151</v>
      </c>
      <c r="P36" s="105">
        <f>P21/P85-1</f>
        <v>0.326048683663979</v>
      </c>
      <c r="Q36" s="105">
        <f>Q21/Q85-1</f>
        <v>-0.794562105158298</v>
      </c>
    </row>
    <row r="37" spans="1:17">
      <c r="A37" s="116"/>
      <c r="B37" s="117"/>
      <c r="C37" s="92" t="s">
        <v>46</v>
      </c>
      <c r="D37" s="104">
        <f>D22-D86</f>
        <v>0.0317925222679952</v>
      </c>
      <c r="E37" s="104">
        <f t="shared" ref="E37:Q37" si="31">E22-E86</f>
        <v>0.0410696706709825</v>
      </c>
      <c r="F37" s="104">
        <f t="shared" si="31"/>
        <v>-0.0398440853715328</v>
      </c>
      <c r="G37" s="104">
        <f t="shared" si="31"/>
        <v>-0.7961605872425</v>
      </c>
      <c r="H37" s="104">
        <f t="shared" si="31"/>
        <v>-0.847826123849858</v>
      </c>
      <c r="I37" s="104">
        <f t="shared" si="31"/>
        <v>-0.88915967653758</v>
      </c>
      <c r="J37" s="104">
        <f t="shared" si="31"/>
        <v>-0.906040283753441</v>
      </c>
      <c r="K37" s="104">
        <f t="shared" si="31"/>
        <v>-0.835125474515705</v>
      </c>
      <c r="L37" s="104">
        <f t="shared" si="31"/>
        <v>-0.835996474247947</v>
      </c>
      <c r="M37" s="104">
        <f t="shared" si="31"/>
        <v>-0.847824850218913</v>
      </c>
      <c r="N37" s="104">
        <f t="shared" si="31"/>
        <v>-0.910713859219158</v>
      </c>
      <c r="O37" s="104">
        <f t="shared" si="31"/>
        <v>-0.836945888754722</v>
      </c>
      <c r="P37" s="105">
        <f t="shared" si="31"/>
        <v>0.0346553038839144</v>
      </c>
      <c r="Q37" s="105">
        <f t="shared" si="31"/>
        <v>0.00461609835471188</v>
      </c>
    </row>
    <row r="38" spans="1:17">
      <c r="A38" s="118" t="s">
        <v>199</v>
      </c>
      <c r="B38" s="94" t="s">
        <v>189</v>
      </c>
      <c r="C38" s="94" t="s">
        <v>2</v>
      </c>
      <c r="D38" s="108">
        <f>SUMIF('DAZZLE（视频号）-日报'!$D:$D,D$1,'DAZZLE（视频号）-日报'!$F:$F)</f>
        <v>1667428</v>
      </c>
      <c r="E38" s="108">
        <f>SUMIF('DAZZLE（视频号）-日报'!$D:$D,E$1,'DAZZLE（视频号）-日报'!$F:$F)</f>
        <v>1281220</v>
      </c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101">
        <f t="shared" ref="P38:P41" si="32">SUM(D38:F38)</f>
        <v>2948648</v>
      </c>
      <c r="Q38" s="101">
        <f>SUM(D38:O38)</f>
        <v>2948648</v>
      </c>
    </row>
    <row r="39" spans="1:17">
      <c r="A39" s="119"/>
      <c r="B39" s="94"/>
      <c r="C39" s="94" t="s">
        <v>190</v>
      </c>
      <c r="D39" s="108">
        <f>SUMIF('DAZZLE（视频号）-日报'!$D:$D,D$1,'DAZZLE（视频号）-日报'!$G:$G)</f>
        <v>210107.6</v>
      </c>
      <c r="E39" s="108">
        <f>SUMIF('DAZZLE（视频号）-日报'!$D:$D,E$1,'DAZZLE（视频号）-日报'!$G:$G)</f>
        <v>347192.51</v>
      </c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101">
        <f t="shared" si="32"/>
        <v>557300.11</v>
      </c>
      <c r="Q39" s="101">
        <f>SUM(D39:O39)</f>
        <v>557300.11</v>
      </c>
    </row>
    <row r="40" spans="1:17">
      <c r="A40" s="119"/>
      <c r="B40" s="94"/>
      <c r="C40" s="94" t="s">
        <v>46</v>
      </c>
      <c r="D40" s="104">
        <f>1-D39/D38</f>
        <v>0.873992999997601</v>
      </c>
      <c r="E40" s="104">
        <f>1-E39/E38</f>
        <v>0.729014134965111</v>
      </c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105">
        <f>1-P39/P38</f>
        <v>0.810998087937251</v>
      </c>
      <c r="Q40" s="105">
        <f>1-Q39/Q38</f>
        <v>0.810998087937251</v>
      </c>
    </row>
    <row r="41" spans="1:17">
      <c r="A41" s="119"/>
      <c r="B41" s="94" t="s">
        <v>195</v>
      </c>
      <c r="C41" s="94" t="s">
        <v>2</v>
      </c>
      <c r="D41" s="108">
        <v>3000000</v>
      </c>
      <c r="E41" s="108">
        <v>2550000</v>
      </c>
      <c r="F41" s="108">
        <v>3400000</v>
      </c>
      <c r="G41" s="108">
        <v>3150000</v>
      </c>
      <c r="H41" s="108">
        <v>3950000</v>
      </c>
      <c r="I41" s="108">
        <v>3650000</v>
      </c>
      <c r="J41" s="108">
        <v>3050000</v>
      </c>
      <c r="K41" s="108">
        <v>3850000</v>
      </c>
      <c r="L41" s="108">
        <v>3280000</v>
      </c>
      <c r="M41" s="108">
        <v>3850000</v>
      </c>
      <c r="N41" s="108">
        <v>3550000</v>
      </c>
      <c r="O41" s="108">
        <v>2880000</v>
      </c>
      <c r="P41" s="101">
        <f>SUM(D41:F41)</f>
        <v>8950000</v>
      </c>
      <c r="Q41" s="101">
        <f>SUM(D41:O41)</f>
        <v>40160000</v>
      </c>
    </row>
    <row r="42" spans="1:17">
      <c r="A42" s="119"/>
      <c r="B42" s="94"/>
      <c r="C42" s="94" t="s">
        <v>190</v>
      </c>
      <c r="D42" s="108">
        <v>700000</v>
      </c>
      <c r="E42" s="108">
        <v>550000</v>
      </c>
      <c r="F42" s="108">
        <v>730000</v>
      </c>
      <c r="G42" s="108">
        <v>720000</v>
      </c>
      <c r="H42" s="108">
        <v>900000</v>
      </c>
      <c r="I42" s="108">
        <v>800000</v>
      </c>
      <c r="J42" s="108">
        <v>600000</v>
      </c>
      <c r="K42" s="108">
        <v>800000</v>
      </c>
      <c r="L42" s="108">
        <v>700000</v>
      </c>
      <c r="M42" s="108">
        <v>1000000</v>
      </c>
      <c r="N42" s="108">
        <v>900000</v>
      </c>
      <c r="O42" s="108">
        <v>600000</v>
      </c>
      <c r="P42" s="101">
        <f>SUM(D42:F42)</f>
        <v>1980000</v>
      </c>
      <c r="Q42" s="101">
        <f>SUM(D42:O42)</f>
        <v>9000000</v>
      </c>
    </row>
    <row r="43" spans="1:17">
      <c r="A43" s="119"/>
      <c r="B43" s="94"/>
      <c r="C43" s="94" t="s">
        <v>46</v>
      </c>
      <c r="D43" s="104">
        <f t="shared" ref="D43:Q43" si="33">1-D42/D41</f>
        <v>0.766666666666667</v>
      </c>
      <c r="E43" s="104">
        <f t="shared" si="33"/>
        <v>0.784313725490196</v>
      </c>
      <c r="F43" s="87">
        <f t="shared" si="33"/>
        <v>0.785294117647059</v>
      </c>
      <c r="G43" s="87">
        <f t="shared" si="33"/>
        <v>0.771428571428571</v>
      </c>
      <c r="H43" s="87">
        <f t="shared" si="33"/>
        <v>0.772151898734177</v>
      </c>
      <c r="I43" s="87">
        <f t="shared" si="33"/>
        <v>0.780821917808219</v>
      </c>
      <c r="J43" s="87">
        <f t="shared" si="33"/>
        <v>0.80327868852459</v>
      </c>
      <c r="K43" s="87">
        <f t="shared" si="33"/>
        <v>0.792207792207792</v>
      </c>
      <c r="L43" s="87">
        <f t="shared" si="33"/>
        <v>0.786585365853659</v>
      </c>
      <c r="M43" s="87">
        <f t="shared" si="33"/>
        <v>0.74025974025974</v>
      </c>
      <c r="N43" s="87">
        <f t="shared" si="33"/>
        <v>0.746478873239437</v>
      </c>
      <c r="O43" s="87">
        <f t="shared" si="33"/>
        <v>0.791666666666667</v>
      </c>
      <c r="P43" s="105">
        <f t="shared" si="33"/>
        <v>0.77877094972067</v>
      </c>
      <c r="Q43" s="105">
        <f t="shared" si="33"/>
        <v>0.775896414342629</v>
      </c>
    </row>
    <row r="44" spans="1:17">
      <c r="A44" s="119"/>
      <c r="B44" s="94" t="s">
        <v>196</v>
      </c>
      <c r="C44" s="94" t="s">
        <v>2</v>
      </c>
      <c r="D44" s="104">
        <f>D38/D41</f>
        <v>0.555809333333333</v>
      </c>
      <c r="E44" s="104">
        <f t="shared" ref="E44:O44" si="34">E38/E41</f>
        <v>0.502439215686274</v>
      </c>
      <c r="F44" s="87">
        <f t="shared" si="34"/>
        <v>0</v>
      </c>
      <c r="G44" s="87">
        <f t="shared" si="34"/>
        <v>0</v>
      </c>
      <c r="H44" s="87">
        <f t="shared" si="34"/>
        <v>0</v>
      </c>
      <c r="I44" s="87">
        <f t="shared" si="34"/>
        <v>0</v>
      </c>
      <c r="J44" s="87">
        <f t="shared" si="34"/>
        <v>0</v>
      </c>
      <c r="K44" s="87">
        <f t="shared" si="34"/>
        <v>0</v>
      </c>
      <c r="L44" s="87">
        <f t="shared" si="34"/>
        <v>0</v>
      </c>
      <c r="M44" s="87">
        <f t="shared" si="34"/>
        <v>0</v>
      </c>
      <c r="N44" s="87">
        <f t="shared" si="34"/>
        <v>0</v>
      </c>
      <c r="O44" s="87">
        <f t="shared" si="34"/>
        <v>0</v>
      </c>
      <c r="P44" s="105">
        <f t="shared" ref="P44:P46" si="35">P38/P41</f>
        <v>0.329457877094972</v>
      </c>
      <c r="Q44" s="105">
        <f t="shared" ref="Q44:Q46" si="36">Q38/Q41</f>
        <v>0.0734225099601594</v>
      </c>
    </row>
    <row r="45" spans="1:17">
      <c r="A45" s="119"/>
      <c r="B45" s="94"/>
      <c r="C45" s="94" t="s">
        <v>190</v>
      </c>
      <c r="D45" s="104">
        <f t="shared" ref="D44:D46" si="37">D39/D42</f>
        <v>0.300153714285714</v>
      </c>
      <c r="E45" s="104">
        <f t="shared" ref="E45:O45" si="38">E39/E42</f>
        <v>0.631259109090909</v>
      </c>
      <c r="F45" s="87">
        <f t="shared" si="38"/>
        <v>0</v>
      </c>
      <c r="G45" s="87">
        <f t="shared" si="38"/>
        <v>0</v>
      </c>
      <c r="H45" s="87">
        <f t="shared" si="38"/>
        <v>0</v>
      </c>
      <c r="I45" s="87">
        <f t="shared" si="38"/>
        <v>0</v>
      </c>
      <c r="J45" s="87">
        <f t="shared" si="38"/>
        <v>0</v>
      </c>
      <c r="K45" s="87">
        <f t="shared" si="38"/>
        <v>0</v>
      </c>
      <c r="L45" s="87">
        <f t="shared" si="38"/>
        <v>0</v>
      </c>
      <c r="M45" s="87">
        <f t="shared" si="38"/>
        <v>0</v>
      </c>
      <c r="N45" s="87">
        <f t="shared" si="38"/>
        <v>0</v>
      </c>
      <c r="O45" s="87">
        <f t="shared" si="38"/>
        <v>0</v>
      </c>
      <c r="P45" s="105">
        <f t="shared" si="35"/>
        <v>0.281464702020202</v>
      </c>
      <c r="Q45" s="105">
        <f t="shared" si="36"/>
        <v>0.0619222344444444</v>
      </c>
    </row>
    <row r="46" spans="1:17">
      <c r="A46" s="119"/>
      <c r="B46" s="94"/>
      <c r="C46" s="94" t="s">
        <v>46</v>
      </c>
      <c r="D46" s="104">
        <f t="shared" si="37"/>
        <v>1.13999086956209</v>
      </c>
      <c r="E46" s="104">
        <f t="shared" ref="E46:O46" si="39">E40/E43</f>
        <v>0.929493022080517</v>
      </c>
      <c r="F46" s="87">
        <f t="shared" si="39"/>
        <v>0</v>
      </c>
      <c r="G46" s="87">
        <f t="shared" si="39"/>
        <v>0</v>
      </c>
      <c r="H46" s="87">
        <f t="shared" si="39"/>
        <v>0</v>
      </c>
      <c r="I46" s="87">
        <f t="shared" si="39"/>
        <v>0</v>
      </c>
      <c r="J46" s="87">
        <f t="shared" si="39"/>
        <v>0</v>
      </c>
      <c r="K46" s="87">
        <f t="shared" si="39"/>
        <v>0</v>
      </c>
      <c r="L46" s="87">
        <f t="shared" si="39"/>
        <v>0</v>
      </c>
      <c r="M46" s="87">
        <f t="shared" si="39"/>
        <v>0</v>
      </c>
      <c r="N46" s="87">
        <f t="shared" si="39"/>
        <v>0</v>
      </c>
      <c r="O46" s="87">
        <f t="shared" si="39"/>
        <v>0</v>
      </c>
      <c r="P46" s="105">
        <f t="shared" si="35"/>
        <v>1.0413820497903</v>
      </c>
      <c r="Q46" s="105">
        <f t="shared" si="36"/>
        <v>1.04524015441463</v>
      </c>
    </row>
    <row r="47" spans="1:17">
      <c r="A47" s="119"/>
      <c r="B47" s="94" t="s">
        <v>197</v>
      </c>
      <c r="C47" s="94" t="s">
        <v>2</v>
      </c>
      <c r="D47" s="104" t="e">
        <f>D38/D87-1</f>
        <v>#DIV/0!</v>
      </c>
      <c r="E47" s="104" t="e">
        <f t="shared" ref="E47:Q47" si="40">E38/E87-1</f>
        <v>#DIV/0!</v>
      </c>
      <c r="F47" s="104" t="e">
        <f t="shared" si="40"/>
        <v>#DIV/0!</v>
      </c>
      <c r="G47" s="104" t="e">
        <f t="shared" si="40"/>
        <v>#DIV/0!</v>
      </c>
      <c r="H47" s="104" t="e">
        <f t="shared" si="40"/>
        <v>#DIV/0!</v>
      </c>
      <c r="I47" s="104" t="e">
        <f t="shared" si="40"/>
        <v>#DIV/0!</v>
      </c>
      <c r="J47" s="104">
        <f t="shared" si="40"/>
        <v>-1</v>
      </c>
      <c r="K47" s="104">
        <f t="shared" si="40"/>
        <v>-1</v>
      </c>
      <c r="L47" s="104">
        <f t="shared" si="40"/>
        <v>-1</v>
      </c>
      <c r="M47" s="104">
        <f t="shared" si="40"/>
        <v>-1</v>
      </c>
      <c r="N47" s="104">
        <f t="shared" si="40"/>
        <v>-1</v>
      </c>
      <c r="O47" s="104">
        <f t="shared" si="40"/>
        <v>-1</v>
      </c>
      <c r="P47" s="105" t="e">
        <f t="shared" si="40"/>
        <v>#DIV/0!</v>
      </c>
      <c r="Q47" s="105">
        <f t="shared" si="40"/>
        <v>-0.807459324599776</v>
      </c>
    </row>
    <row r="48" spans="1:17">
      <c r="A48" s="119"/>
      <c r="B48" s="94"/>
      <c r="C48" s="94" t="s">
        <v>190</v>
      </c>
      <c r="D48" s="104" t="e">
        <f>D39/D88-1</f>
        <v>#DIV/0!</v>
      </c>
      <c r="E48" s="104" t="e">
        <f t="shared" ref="E48:Q48" si="41">E39/E88-1</f>
        <v>#DIV/0!</v>
      </c>
      <c r="F48" s="104" t="e">
        <f t="shared" si="41"/>
        <v>#DIV/0!</v>
      </c>
      <c r="G48" s="104" t="e">
        <f t="shared" si="41"/>
        <v>#DIV/0!</v>
      </c>
      <c r="H48" s="104" t="e">
        <f t="shared" si="41"/>
        <v>#DIV/0!</v>
      </c>
      <c r="I48" s="104" t="e">
        <f t="shared" si="41"/>
        <v>#DIV/0!</v>
      </c>
      <c r="J48" s="104">
        <f t="shared" si="41"/>
        <v>-1</v>
      </c>
      <c r="K48" s="104">
        <f t="shared" si="41"/>
        <v>-1</v>
      </c>
      <c r="L48" s="104">
        <f t="shared" si="41"/>
        <v>-1</v>
      </c>
      <c r="M48" s="104">
        <f t="shared" si="41"/>
        <v>-1</v>
      </c>
      <c r="N48" s="104">
        <f t="shared" si="41"/>
        <v>-1</v>
      </c>
      <c r="O48" s="104">
        <f t="shared" si="41"/>
        <v>-1</v>
      </c>
      <c r="P48" s="105" t="e">
        <f t="shared" si="41"/>
        <v>#DIV/0!</v>
      </c>
      <c r="Q48" s="105">
        <f t="shared" si="41"/>
        <v>-0.842478747495715</v>
      </c>
    </row>
    <row r="49" spans="1:17">
      <c r="A49" s="120"/>
      <c r="B49" s="94"/>
      <c r="C49" s="94" t="s">
        <v>46</v>
      </c>
      <c r="D49" s="104">
        <f>D40-D89</f>
        <v>0.873992999997601</v>
      </c>
      <c r="E49" s="104">
        <f t="shared" ref="E49:Q49" si="42">E40-E89</f>
        <v>0.729014134965111</v>
      </c>
      <c r="F49" s="104">
        <f t="shared" si="42"/>
        <v>0</v>
      </c>
      <c r="G49" s="104">
        <f t="shared" si="42"/>
        <v>0</v>
      </c>
      <c r="H49" s="104">
        <f t="shared" si="42"/>
        <v>0</v>
      </c>
      <c r="I49" s="104">
        <f t="shared" si="42"/>
        <v>0</v>
      </c>
      <c r="J49" s="104">
        <f t="shared" si="42"/>
        <v>-0.730798380686545</v>
      </c>
      <c r="K49" s="104">
        <f t="shared" si="42"/>
        <v>-0.765770995733303</v>
      </c>
      <c r="L49" s="104">
        <f t="shared" si="42"/>
        <v>-0.755654804691525</v>
      </c>
      <c r="M49" s="104">
        <f t="shared" si="42"/>
        <v>-0.874949108359387</v>
      </c>
      <c r="N49" s="104">
        <f t="shared" si="42"/>
        <v>-0.646547667577592</v>
      </c>
      <c r="O49" s="104">
        <f t="shared" si="42"/>
        <v>-0.830081367758068</v>
      </c>
      <c r="P49" s="105" t="e">
        <f t="shared" si="42"/>
        <v>#DIV/0!</v>
      </c>
      <c r="Q49" s="105">
        <f t="shared" si="42"/>
        <v>0.0420180628419422</v>
      </c>
    </row>
    <row r="50" spans="1:17">
      <c r="A50" s="95" t="s">
        <v>200</v>
      </c>
      <c r="B50" s="96" t="s">
        <v>189</v>
      </c>
      <c r="C50" s="96" t="s">
        <v>2</v>
      </c>
      <c r="D50" s="100">
        <f>SUMIF('Champion-日报'!$D:$D,D$1,'Champion-日报'!$F:$F)</f>
        <v>3661346.95</v>
      </c>
      <c r="E50" s="100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101">
        <f>SUM(D50:E50)</f>
        <v>3661346.95</v>
      </c>
      <c r="Q50" s="101">
        <f t="shared" ref="Q50:Q53" si="43">SUM(D50:O50)</f>
        <v>3661346.95</v>
      </c>
    </row>
    <row r="51" spans="1:17">
      <c r="A51" s="96"/>
      <c r="B51" s="96"/>
      <c r="C51" s="96" t="s">
        <v>190</v>
      </c>
      <c r="D51" s="100">
        <f>SUMIF('Champion-日报'!$D:$D,D$1,'Champion-日报'!$G:$G)</f>
        <v>1513024.87</v>
      </c>
      <c r="E51" s="100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101">
        <f t="shared" ref="P51:P55" si="44">SUM(D51)</f>
        <v>1513024.87</v>
      </c>
      <c r="Q51" s="101">
        <f t="shared" si="43"/>
        <v>1513024.87</v>
      </c>
    </row>
    <row r="52" spans="1:17">
      <c r="A52" s="96"/>
      <c r="B52" s="96"/>
      <c r="C52" s="96" t="s">
        <v>46</v>
      </c>
      <c r="D52" s="104">
        <f>1-D51/D50</f>
        <v>0.586757307990165</v>
      </c>
      <c r="E52" s="104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105">
        <f>1-P51/P50</f>
        <v>0.586757307990165</v>
      </c>
      <c r="Q52" s="105">
        <f>1-Q51/Q50</f>
        <v>0.586757307990165</v>
      </c>
    </row>
    <row r="53" spans="1:17">
      <c r="A53" s="96"/>
      <c r="B53" s="96"/>
      <c r="C53" s="96" t="s">
        <v>191</v>
      </c>
      <c r="D53" s="100">
        <f>SUMIF('Champion-日报'!$D:$D,D$1,'Champion-日报'!$H:$H)</f>
        <v>1362881.51</v>
      </c>
      <c r="E53" s="100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101">
        <f t="shared" si="44"/>
        <v>1362881.51</v>
      </c>
      <c r="Q53" s="101">
        <f t="shared" si="43"/>
        <v>1362881.51</v>
      </c>
    </row>
    <row r="54" spans="1:17">
      <c r="A54" s="96"/>
      <c r="B54" s="96"/>
      <c r="C54" s="96" t="s">
        <v>192</v>
      </c>
      <c r="D54" s="104">
        <f>D53/D50</f>
        <v>0.37223500766569</v>
      </c>
      <c r="E54" s="104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105">
        <f>P53/P50</f>
        <v>0.37223500766569</v>
      </c>
      <c r="Q54" s="105">
        <f>Q53/Q50</f>
        <v>0.37223500766569</v>
      </c>
    </row>
    <row r="55" spans="1:17">
      <c r="A55" s="96"/>
      <c r="B55" s="96"/>
      <c r="C55" s="96" t="s">
        <v>193</v>
      </c>
      <c r="D55" s="100">
        <f>SUMIF('Champion-日报'!$D:$D,D$1,'Champion-日报'!$J:$J)</f>
        <v>87894.11</v>
      </c>
      <c r="E55" s="100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1">
        <f t="shared" si="44"/>
        <v>87894.11</v>
      </c>
      <c r="Q55" s="101">
        <f t="shared" ref="Q55:Q58" si="45">SUM(D55:O55)</f>
        <v>87894.11</v>
      </c>
    </row>
    <row r="56" spans="1:17">
      <c r="A56" s="96"/>
      <c r="B56" s="96"/>
      <c r="C56" s="96" t="s">
        <v>194</v>
      </c>
      <c r="D56" s="106">
        <f>D55/D51</f>
        <v>0.0580916492139353</v>
      </c>
      <c r="E56" s="10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07">
        <f>P55/P51</f>
        <v>0.0580916492139353</v>
      </c>
      <c r="Q56" s="107">
        <f>Q55/Q51</f>
        <v>0.0580916492139353</v>
      </c>
    </row>
    <row r="57" spans="1:17">
      <c r="A57" s="96"/>
      <c r="B57" s="96" t="s">
        <v>195</v>
      </c>
      <c r="C57" s="96" t="s">
        <v>2</v>
      </c>
      <c r="D57" s="108">
        <v>7000000</v>
      </c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1">
        <f>SUM(D57)</f>
        <v>7000000</v>
      </c>
      <c r="Q57" s="101">
        <f>SUM(D57:O57)</f>
        <v>7000000</v>
      </c>
    </row>
    <row r="58" spans="1:17">
      <c r="A58" s="96"/>
      <c r="B58" s="96"/>
      <c r="C58" s="96" t="s">
        <v>190</v>
      </c>
      <c r="D58" s="108">
        <f>D57*40%</f>
        <v>2800000</v>
      </c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1">
        <f>SUM(D58)</f>
        <v>2800000</v>
      </c>
      <c r="Q58" s="101">
        <f t="shared" si="45"/>
        <v>2800000</v>
      </c>
    </row>
    <row r="59" spans="1:17">
      <c r="A59" s="96"/>
      <c r="B59" s="96"/>
      <c r="C59" s="96" t="s">
        <v>46</v>
      </c>
      <c r="D59" s="104">
        <f t="shared" ref="D59:Q59" si="46">1-D58/D57</f>
        <v>0.6</v>
      </c>
      <c r="E59" s="104" t="e">
        <f t="shared" si="46"/>
        <v>#DIV/0!</v>
      </c>
      <c r="F59" s="87" t="e">
        <f t="shared" si="46"/>
        <v>#DIV/0!</v>
      </c>
      <c r="G59" s="87" t="e">
        <f t="shared" si="46"/>
        <v>#DIV/0!</v>
      </c>
      <c r="H59" s="87" t="e">
        <f t="shared" si="46"/>
        <v>#DIV/0!</v>
      </c>
      <c r="I59" s="87" t="e">
        <f t="shared" si="46"/>
        <v>#DIV/0!</v>
      </c>
      <c r="J59" s="87" t="e">
        <f t="shared" si="46"/>
        <v>#DIV/0!</v>
      </c>
      <c r="K59" s="87" t="e">
        <f t="shared" si="46"/>
        <v>#DIV/0!</v>
      </c>
      <c r="L59" s="87" t="e">
        <f t="shared" si="46"/>
        <v>#DIV/0!</v>
      </c>
      <c r="M59" s="87" t="e">
        <f t="shared" si="46"/>
        <v>#DIV/0!</v>
      </c>
      <c r="N59" s="87" t="e">
        <f t="shared" si="46"/>
        <v>#DIV/0!</v>
      </c>
      <c r="O59" s="87" t="e">
        <f t="shared" si="46"/>
        <v>#DIV/0!</v>
      </c>
      <c r="P59" s="105">
        <f t="shared" si="46"/>
        <v>0.6</v>
      </c>
      <c r="Q59" s="105">
        <f t="shared" si="46"/>
        <v>0.6</v>
      </c>
    </row>
    <row r="60" spans="1:17">
      <c r="A60" s="96"/>
      <c r="B60" s="96"/>
      <c r="C60" s="96" t="s">
        <v>194</v>
      </c>
      <c r="D60" s="109">
        <v>0.05</v>
      </c>
      <c r="E60" s="109">
        <v>0</v>
      </c>
      <c r="F60" s="89">
        <v>0</v>
      </c>
      <c r="G60" s="89">
        <v>0</v>
      </c>
      <c r="H60" s="89">
        <v>0</v>
      </c>
      <c r="I60" s="89">
        <v>0</v>
      </c>
      <c r="J60" s="89">
        <v>0</v>
      </c>
      <c r="K60" s="89">
        <v>0</v>
      </c>
      <c r="L60" s="89">
        <v>0</v>
      </c>
      <c r="M60" s="89">
        <v>0</v>
      </c>
      <c r="N60" s="89">
        <v>0</v>
      </c>
      <c r="O60" s="89">
        <v>0</v>
      </c>
      <c r="P60" s="110">
        <v>0</v>
      </c>
      <c r="Q60" s="110">
        <v>0</v>
      </c>
    </row>
    <row r="61" spans="1:17">
      <c r="A61" s="96"/>
      <c r="B61" s="96" t="s">
        <v>196</v>
      </c>
      <c r="C61" s="96" t="s">
        <v>2</v>
      </c>
      <c r="D61" s="104">
        <f t="shared" ref="D61:Q61" si="47">D50/D57</f>
        <v>0.523049564285714</v>
      </c>
      <c r="E61" s="104" t="e">
        <f t="shared" si="47"/>
        <v>#DIV/0!</v>
      </c>
      <c r="F61" s="87" t="e">
        <f t="shared" si="47"/>
        <v>#DIV/0!</v>
      </c>
      <c r="G61" s="87" t="e">
        <f t="shared" si="47"/>
        <v>#DIV/0!</v>
      </c>
      <c r="H61" s="87" t="e">
        <f t="shared" si="47"/>
        <v>#DIV/0!</v>
      </c>
      <c r="I61" s="87" t="e">
        <f t="shared" si="47"/>
        <v>#DIV/0!</v>
      </c>
      <c r="J61" s="87" t="e">
        <f t="shared" si="47"/>
        <v>#DIV/0!</v>
      </c>
      <c r="K61" s="87" t="e">
        <f t="shared" si="47"/>
        <v>#DIV/0!</v>
      </c>
      <c r="L61" s="87" t="e">
        <f t="shared" si="47"/>
        <v>#DIV/0!</v>
      </c>
      <c r="M61" s="87" t="e">
        <f t="shared" si="47"/>
        <v>#DIV/0!</v>
      </c>
      <c r="N61" s="87" t="e">
        <f t="shared" si="47"/>
        <v>#DIV/0!</v>
      </c>
      <c r="O61" s="87" t="e">
        <f t="shared" si="47"/>
        <v>#DIV/0!</v>
      </c>
      <c r="P61" s="105">
        <f t="shared" si="47"/>
        <v>0.523049564285714</v>
      </c>
      <c r="Q61" s="105">
        <f t="shared" si="47"/>
        <v>0.523049564285714</v>
      </c>
    </row>
    <row r="62" spans="1:17">
      <c r="A62" s="96"/>
      <c r="B62" s="96"/>
      <c r="C62" s="96" t="s">
        <v>190</v>
      </c>
      <c r="D62" s="104">
        <f t="shared" ref="D62:Q62" si="48">D51/D58</f>
        <v>0.540366025</v>
      </c>
      <c r="E62" s="104" t="e">
        <f t="shared" si="48"/>
        <v>#DIV/0!</v>
      </c>
      <c r="F62" s="87" t="e">
        <f t="shared" si="48"/>
        <v>#DIV/0!</v>
      </c>
      <c r="G62" s="87" t="e">
        <f t="shared" si="48"/>
        <v>#DIV/0!</v>
      </c>
      <c r="H62" s="87" t="e">
        <f t="shared" si="48"/>
        <v>#DIV/0!</v>
      </c>
      <c r="I62" s="87" t="e">
        <f t="shared" si="48"/>
        <v>#DIV/0!</v>
      </c>
      <c r="J62" s="87" t="e">
        <f t="shared" si="48"/>
        <v>#DIV/0!</v>
      </c>
      <c r="K62" s="87" t="e">
        <f t="shared" si="48"/>
        <v>#DIV/0!</v>
      </c>
      <c r="L62" s="87" t="e">
        <f t="shared" si="48"/>
        <v>#DIV/0!</v>
      </c>
      <c r="M62" s="87" t="e">
        <f t="shared" si="48"/>
        <v>#DIV/0!</v>
      </c>
      <c r="N62" s="87" t="e">
        <f t="shared" si="48"/>
        <v>#DIV/0!</v>
      </c>
      <c r="O62" s="87" t="e">
        <f t="shared" si="48"/>
        <v>#DIV/0!</v>
      </c>
      <c r="P62" s="105">
        <f t="shared" si="48"/>
        <v>0.540366025</v>
      </c>
      <c r="Q62" s="105">
        <f t="shared" si="48"/>
        <v>0.540366025</v>
      </c>
    </row>
    <row r="63" spans="1:17">
      <c r="A63" s="96"/>
      <c r="B63" s="96"/>
      <c r="C63" s="96" t="s">
        <v>46</v>
      </c>
      <c r="D63" s="104">
        <f t="shared" ref="D63:Q63" si="49">D52/D59</f>
        <v>0.977928846650275</v>
      </c>
      <c r="E63" s="104" t="e">
        <f t="shared" si="49"/>
        <v>#DIV/0!</v>
      </c>
      <c r="F63" s="87" t="e">
        <f t="shared" si="49"/>
        <v>#DIV/0!</v>
      </c>
      <c r="G63" s="87" t="e">
        <f t="shared" si="49"/>
        <v>#DIV/0!</v>
      </c>
      <c r="H63" s="87" t="e">
        <f t="shared" si="49"/>
        <v>#DIV/0!</v>
      </c>
      <c r="I63" s="87" t="e">
        <f t="shared" si="49"/>
        <v>#DIV/0!</v>
      </c>
      <c r="J63" s="87" t="e">
        <f t="shared" si="49"/>
        <v>#DIV/0!</v>
      </c>
      <c r="K63" s="87" t="e">
        <f t="shared" si="49"/>
        <v>#DIV/0!</v>
      </c>
      <c r="L63" s="87" t="e">
        <f t="shared" si="49"/>
        <v>#DIV/0!</v>
      </c>
      <c r="M63" s="87" t="e">
        <f t="shared" si="49"/>
        <v>#DIV/0!</v>
      </c>
      <c r="N63" s="87" t="e">
        <f t="shared" si="49"/>
        <v>#DIV/0!</v>
      </c>
      <c r="O63" s="87" t="e">
        <f t="shared" si="49"/>
        <v>#DIV/0!</v>
      </c>
      <c r="P63" s="105">
        <f t="shared" si="49"/>
        <v>0.977928846650274</v>
      </c>
      <c r="Q63" s="105">
        <f t="shared" si="49"/>
        <v>0.977928846650274</v>
      </c>
    </row>
    <row r="64" spans="1:17">
      <c r="A64" s="96"/>
      <c r="B64" s="96"/>
      <c r="C64" s="96" t="s">
        <v>194</v>
      </c>
      <c r="D64" s="104">
        <f t="shared" ref="D64:Q64" si="50">D56/D60</f>
        <v>1.16183298427871</v>
      </c>
      <c r="E64" s="104" t="e">
        <f t="shared" si="50"/>
        <v>#DIV/0!</v>
      </c>
      <c r="F64" s="87" t="e">
        <f t="shared" si="50"/>
        <v>#DIV/0!</v>
      </c>
      <c r="G64" s="87" t="e">
        <f t="shared" si="50"/>
        <v>#DIV/0!</v>
      </c>
      <c r="H64" s="87" t="e">
        <f t="shared" si="50"/>
        <v>#DIV/0!</v>
      </c>
      <c r="I64" s="87" t="e">
        <f t="shared" si="50"/>
        <v>#DIV/0!</v>
      </c>
      <c r="J64" s="87" t="e">
        <f t="shared" si="50"/>
        <v>#DIV/0!</v>
      </c>
      <c r="K64" s="87" t="e">
        <f t="shared" si="50"/>
        <v>#DIV/0!</v>
      </c>
      <c r="L64" s="87" t="e">
        <f t="shared" si="50"/>
        <v>#DIV/0!</v>
      </c>
      <c r="M64" s="87" t="e">
        <f t="shared" si="50"/>
        <v>#DIV/0!</v>
      </c>
      <c r="N64" s="87" t="e">
        <f t="shared" si="50"/>
        <v>#DIV/0!</v>
      </c>
      <c r="O64" s="87" t="e">
        <f t="shared" si="50"/>
        <v>#DIV/0!</v>
      </c>
      <c r="P64" s="105" t="e">
        <f t="shared" si="50"/>
        <v>#DIV/0!</v>
      </c>
      <c r="Q64" s="105" t="e">
        <f t="shared" si="50"/>
        <v>#DIV/0!</v>
      </c>
    </row>
    <row r="65" spans="1:18">
      <c r="A65" s="121" t="s">
        <v>187</v>
      </c>
      <c r="B65" s="121" t="s">
        <v>189</v>
      </c>
      <c r="C65" s="121" t="s">
        <v>2</v>
      </c>
      <c r="D65" s="100">
        <f>D2+D20+D38+D50</f>
        <v>46563134.6</v>
      </c>
      <c r="E65" s="100">
        <f>E2+E20+E38+E50</f>
        <v>31655339.69</v>
      </c>
      <c r="F65" s="81">
        <f t="shared" ref="E65:O65" si="51">F2+F20</f>
        <v>6896097.61</v>
      </c>
      <c r="G65" s="81">
        <f t="shared" si="51"/>
        <v>0</v>
      </c>
      <c r="H65" s="81">
        <f t="shared" si="51"/>
        <v>0</v>
      </c>
      <c r="I65" s="81">
        <f t="shared" si="51"/>
        <v>0</v>
      </c>
      <c r="J65" s="81">
        <f t="shared" si="51"/>
        <v>0</v>
      </c>
      <c r="K65" s="81">
        <f t="shared" si="51"/>
        <v>0</v>
      </c>
      <c r="L65" s="81">
        <f t="shared" si="51"/>
        <v>0</v>
      </c>
      <c r="M65" s="81">
        <f t="shared" si="51"/>
        <v>0</v>
      </c>
      <c r="N65" s="81">
        <f t="shared" si="51"/>
        <v>0</v>
      </c>
      <c r="O65" s="81">
        <f t="shared" si="51"/>
        <v>0</v>
      </c>
      <c r="P65" s="101">
        <f t="shared" ref="P65:P68" si="52">SUM(D65:E65)</f>
        <v>78218474.29</v>
      </c>
      <c r="Q65" s="101">
        <f t="shared" ref="Q65:Q70" si="53">Q2+Q20</f>
        <v>78504576.95</v>
      </c>
    </row>
    <row r="66" spans="1:18">
      <c r="A66" s="121"/>
      <c r="B66" s="121"/>
      <c r="C66" s="121" t="s">
        <v>190</v>
      </c>
      <c r="D66" s="100">
        <f>D3+D21+D39+D51</f>
        <v>13036622.19</v>
      </c>
      <c r="E66" s="100">
        <f>E3+E21+E39+E51</f>
        <v>8251832.17</v>
      </c>
      <c r="F66" s="81">
        <f t="shared" ref="E66:O66" si="54">F3+F21</f>
        <v>1722419.6</v>
      </c>
      <c r="G66" s="81">
        <f t="shared" si="54"/>
        <v>0</v>
      </c>
      <c r="H66" s="81">
        <f t="shared" si="54"/>
        <v>0</v>
      </c>
      <c r="I66" s="81">
        <f t="shared" si="54"/>
        <v>0</v>
      </c>
      <c r="J66" s="81">
        <f t="shared" si="54"/>
        <v>0</v>
      </c>
      <c r="K66" s="81">
        <f t="shared" si="54"/>
        <v>0</v>
      </c>
      <c r="L66" s="81">
        <f t="shared" si="54"/>
        <v>0</v>
      </c>
      <c r="M66" s="81">
        <f t="shared" si="54"/>
        <v>0</v>
      </c>
      <c r="N66" s="81">
        <f t="shared" si="54"/>
        <v>0</v>
      </c>
      <c r="O66" s="81">
        <f t="shared" si="54"/>
        <v>0</v>
      </c>
      <c r="P66" s="101">
        <f t="shared" si="52"/>
        <v>21288454.36</v>
      </c>
      <c r="Q66" s="101">
        <f t="shared" si="53"/>
        <v>20940548.98</v>
      </c>
    </row>
    <row r="67" spans="1:18">
      <c r="A67" s="121"/>
      <c r="B67" s="121"/>
      <c r="C67" s="121" t="s">
        <v>46</v>
      </c>
      <c r="D67" s="104">
        <f>1-D66/D65</f>
        <v>0.720022668104479</v>
      </c>
      <c r="E67" s="104">
        <f t="shared" ref="E67:Q67" si="55">1-E66/E65</f>
        <v>0.739322583462696</v>
      </c>
      <c r="F67" s="87">
        <f t="shared" si="55"/>
        <v>0.750232711685762</v>
      </c>
      <c r="G67" s="87" t="e">
        <f t="shared" si="55"/>
        <v>#DIV/0!</v>
      </c>
      <c r="H67" s="87" t="e">
        <f t="shared" si="55"/>
        <v>#DIV/0!</v>
      </c>
      <c r="I67" s="87" t="e">
        <f t="shared" si="55"/>
        <v>#DIV/0!</v>
      </c>
      <c r="J67" s="87" t="e">
        <f t="shared" si="55"/>
        <v>#DIV/0!</v>
      </c>
      <c r="K67" s="87" t="e">
        <f t="shared" si="55"/>
        <v>#DIV/0!</v>
      </c>
      <c r="L67" s="87" t="e">
        <f t="shared" si="55"/>
        <v>#DIV/0!</v>
      </c>
      <c r="M67" s="87" t="e">
        <f t="shared" si="55"/>
        <v>#DIV/0!</v>
      </c>
      <c r="N67" s="87" t="e">
        <f t="shared" si="55"/>
        <v>#DIV/0!</v>
      </c>
      <c r="O67" s="87" t="e">
        <f t="shared" si="55"/>
        <v>#DIV/0!</v>
      </c>
      <c r="P67" s="105">
        <f t="shared" si="55"/>
        <v>0.727833423583901</v>
      </c>
      <c r="Q67" s="105">
        <f t="shared" si="55"/>
        <v>0.733256966745555</v>
      </c>
    </row>
    <row r="68" spans="1:18">
      <c r="A68" s="121"/>
      <c r="B68" s="121"/>
      <c r="C68" s="121" t="s">
        <v>191</v>
      </c>
      <c r="D68" s="100">
        <f>D5+D23++D53</f>
        <v>10971385.68</v>
      </c>
      <c r="E68" s="100">
        <f>E5+E23++E53</f>
        <v>7842605.97</v>
      </c>
      <c r="F68" s="81">
        <f t="shared" ref="E68:O68" si="56">F5+F23</f>
        <v>2086226.74</v>
      </c>
      <c r="G68" s="81">
        <f t="shared" si="56"/>
        <v>0</v>
      </c>
      <c r="H68" s="81">
        <f t="shared" si="56"/>
        <v>0</v>
      </c>
      <c r="I68" s="81">
        <f t="shared" si="56"/>
        <v>0</v>
      </c>
      <c r="J68" s="81">
        <f t="shared" si="56"/>
        <v>0</v>
      </c>
      <c r="K68" s="81">
        <f t="shared" si="56"/>
        <v>0</v>
      </c>
      <c r="L68" s="81">
        <f t="shared" si="56"/>
        <v>0</v>
      </c>
      <c r="M68" s="81">
        <f t="shared" si="56"/>
        <v>0</v>
      </c>
      <c r="N68" s="81">
        <f t="shared" si="56"/>
        <v>0</v>
      </c>
      <c r="O68" s="81">
        <f t="shared" si="56"/>
        <v>0</v>
      </c>
      <c r="P68" s="101">
        <f t="shared" si="52"/>
        <v>18813991.65</v>
      </c>
      <c r="Q68" s="101">
        <f>Q5+Q23</f>
        <v>19537336.88</v>
      </c>
    </row>
    <row r="69" spans="1:18">
      <c r="A69" s="121"/>
      <c r="B69" s="121"/>
      <c r="C69" s="121" t="s">
        <v>192</v>
      </c>
      <c r="D69" s="104">
        <f>D68/D65</f>
        <v>0.235623863690655</v>
      </c>
      <c r="E69" s="104">
        <f t="shared" ref="E69:Q69" si="57">E68/E65</f>
        <v>0.247749859796245</v>
      </c>
      <c r="F69" s="87">
        <f t="shared" si="57"/>
        <v>0.302522797382504</v>
      </c>
      <c r="G69" s="87" t="e">
        <f t="shared" si="57"/>
        <v>#DIV/0!</v>
      </c>
      <c r="H69" s="87" t="e">
        <f t="shared" si="57"/>
        <v>#DIV/0!</v>
      </c>
      <c r="I69" s="87" t="e">
        <f t="shared" si="57"/>
        <v>#DIV/0!</v>
      </c>
      <c r="J69" s="87" t="e">
        <f t="shared" si="57"/>
        <v>#DIV/0!</v>
      </c>
      <c r="K69" s="87" t="e">
        <f t="shared" si="57"/>
        <v>#DIV/0!</v>
      </c>
      <c r="L69" s="87" t="e">
        <f t="shared" si="57"/>
        <v>#DIV/0!</v>
      </c>
      <c r="M69" s="87" t="e">
        <f t="shared" si="57"/>
        <v>#DIV/0!</v>
      </c>
      <c r="N69" s="87" t="e">
        <f t="shared" si="57"/>
        <v>#DIV/0!</v>
      </c>
      <c r="O69" s="87" t="e">
        <f t="shared" si="57"/>
        <v>#DIV/0!</v>
      </c>
      <c r="P69" s="105">
        <f t="shared" si="57"/>
        <v>0.240531304410847</v>
      </c>
      <c r="Q69" s="105">
        <f t="shared" si="57"/>
        <v>0.24886876203974</v>
      </c>
    </row>
    <row r="70" spans="1:18">
      <c r="A70" s="121"/>
      <c r="B70" s="121"/>
      <c r="C70" s="121" t="s">
        <v>193</v>
      </c>
      <c r="D70" s="100">
        <f>D7+D25+D55</f>
        <v>710161.6</v>
      </c>
      <c r="E70" s="100">
        <f>E7+E25+E55</f>
        <v>445794.03</v>
      </c>
      <c r="F70" s="81">
        <f t="shared" ref="E70:O70" si="58">F7+F25</f>
        <v>76058.86</v>
      </c>
      <c r="G70" s="81">
        <f t="shared" si="58"/>
        <v>0</v>
      </c>
      <c r="H70" s="81">
        <f t="shared" si="58"/>
        <v>0</v>
      </c>
      <c r="I70" s="81">
        <f t="shared" si="58"/>
        <v>0</v>
      </c>
      <c r="J70" s="81">
        <f t="shared" si="58"/>
        <v>0</v>
      </c>
      <c r="K70" s="81">
        <f t="shared" si="58"/>
        <v>0</v>
      </c>
      <c r="L70" s="81">
        <f t="shared" si="58"/>
        <v>0</v>
      </c>
      <c r="M70" s="81">
        <f t="shared" si="58"/>
        <v>0</v>
      </c>
      <c r="N70" s="81">
        <f t="shared" si="58"/>
        <v>0</v>
      </c>
      <c r="O70" s="81">
        <f t="shared" si="58"/>
        <v>0</v>
      </c>
      <c r="P70" s="101">
        <f t="shared" ref="P70:P73" si="59">SUM(D70:E70)</f>
        <v>1155955.63</v>
      </c>
      <c r="Q70" s="101">
        <f t="shared" si="53"/>
        <v>1144120.38</v>
      </c>
    </row>
    <row r="71" spans="1:18">
      <c r="A71" s="121"/>
      <c r="B71" s="121"/>
      <c r="C71" s="121" t="s">
        <v>194</v>
      </c>
      <c r="D71" s="106">
        <f>D70/D66</f>
        <v>0.0544743561368791</v>
      </c>
      <c r="E71" s="106">
        <f t="shared" ref="E71:Q71" si="60">E70/E66</f>
        <v>0.0540236423640206</v>
      </c>
      <c r="F71" s="88">
        <f t="shared" si="60"/>
        <v>0.0441581482235804</v>
      </c>
      <c r="G71" s="88" t="e">
        <f t="shared" si="60"/>
        <v>#DIV/0!</v>
      </c>
      <c r="H71" s="88" t="e">
        <f t="shared" si="60"/>
        <v>#DIV/0!</v>
      </c>
      <c r="I71" s="88" t="e">
        <f t="shared" si="60"/>
        <v>#DIV/0!</v>
      </c>
      <c r="J71" s="88" t="e">
        <f t="shared" si="60"/>
        <v>#DIV/0!</v>
      </c>
      <c r="K71" s="88" t="e">
        <f t="shared" si="60"/>
        <v>#DIV/0!</v>
      </c>
      <c r="L71" s="88" t="e">
        <f t="shared" si="60"/>
        <v>#DIV/0!</v>
      </c>
      <c r="M71" s="88" t="e">
        <f t="shared" si="60"/>
        <v>#DIV/0!</v>
      </c>
      <c r="N71" s="88" t="e">
        <f t="shared" si="60"/>
        <v>#DIV/0!</v>
      </c>
      <c r="O71" s="88" t="e">
        <f t="shared" si="60"/>
        <v>#DIV/0!</v>
      </c>
      <c r="P71" s="107">
        <f t="shared" si="60"/>
        <v>0.0542996504326771</v>
      </c>
      <c r="Q71" s="107">
        <f t="shared" si="60"/>
        <v>0.0546365991212901</v>
      </c>
    </row>
    <row r="72" spans="1:18">
      <c r="A72" s="121"/>
      <c r="B72" s="121" t="s">
        <v>195</v>
      </c>
      <c r="C72" s="121" t="s">
        <v>2</v>
      </c>
      <c r="D72" s="100">
        <f>D9+D27+D41+D57</f>
        <v>43860000</v>
      </c>
      <c r="E72" s="100">
        <f>E9+E27+E41+E57</f>
        <v>23077500</v>
      </c>
      <c r="F72" s="100">
        <f t="shared" ref="E72:O72" si="61">F9+F27+F41+F57</f>
        <v>25240000</v>
      </c>
      <c r="G72" s="100">
        <f t="shared" si="61"/>
        <v>22140882</v>
      </c>
      <c r="H72" s="100">
        <f t="shared" si="61"/>
        <v>26665000</v>
      </c>
      <c r="I72" s="100">
        <f t="shared" si="61"/>
        <v>28620333</v>
      </c>
      <c r="J72" s="100">
        <f t="shared" si="61"/>
        <v>24507500</v>
      </c>
      <c r="K72" s="100">
        <f t="shared" si="61"/>
        <v>22901667</v>
      </c>
      <c r="L72" s="100">
        <f t="shared" si="61"/>
        <v>23714294</v>
      </c>
      <c r="M72" s="100">
        <f t="shared" si="61"/>
        <v>33460882</v>
      </c>
      <c r="N72" s="100">
        <f t="shared" si="61"/>
        <v>41243000</v>
      </c>
      <c r="O72" s="100">
        <f t="shared" si="61"/>
        <v>37955677</v>
      </c>
      <c r="P72" s="101">
        <f>SUM(D72:E72)</f>
        <v>66937500</v>
      </c>
      <c r="Q72" s="101">
        <f>Q9+Q27</f>
        <v>306226735</v>
      </c>
    </row>
    <row r="73" spans="1:18">
      <c r="A73" s="121"/>
      <c r="B73" s="121"/>
      <c r="C73" s="121" t="s">
        <v>190</v>
      </c>
      <c r="D73" s="100">
        <f>D10+D28+D42+D58</f>
        <v>13291200</v>
      </c>
      <c r="E73" s="100">
        <f>E10+E28+E42+E58</f>
        <v>6193800</v>
      </c>
      <c r="F73" s="100">
        <f t="shared" ref="E73:O73" si="62">F10+F28+F42+F58</f>
        <v>5925600</v>
      </c>
      <c r="G73" s="100">
        <f t="shared" si="62"/>
        <v>5739000</v>
      </c>
      <c r="H73" s="100">
        <f t="shared" si="62"/>
        <v>6882600</v>
      </c>
      <c r="I73" s="100">
        <f t="shared" si="62"/>
        <v>6867800</v>
      </c>
      <c r="J73" s="100">
        <f t="shared" si="62"/>
        <v>6197400</v>
      </c>
      <c r="K73" s="100">
        <f t="shared" si="62"/>
        <v>6050600</v>
      </c>
      <c r="L73" s="100">
        <f t="shared" si="62"/>
        <v>6458190</v>
      </c>
      <c r="M73" s="100">
        <f t="shared" si="62"/>
        <v>9184150</v>
      </c>
      <c r="N73" s="100">
        <f t="shared" si="62"/>
        <v>10351370</v>
      </c>
      <c r="O73" s="100">
        <f t="shared" si="62"/>
        <v>9689940</v>
      </c>
      <c r="P73" s="101">
        <f t="shared" si="59"/>
        <v>19485000</v>
      </c>
      <c r="Q73" s="101">
        <f>Q10+Q28</f>
        <v>81031650</v>
      </c>
    </row>
    <row r="74" spans="1:18">
      <c r="A74" s="121"/>
      <c r="B74" s="121"/>
      <c r="C74" s="121" t="s">
        <v>46</v>
      </c>
      <c r="D74" s="104">
        <f>1-D73/D72</f>
        <v>0.696963064295486</v>
      </c>
      <c r="E74" s="104">
        <f t="shared" ref="E74:Q74" si="63">1-E73/E72</f>
        <v>0.731608709782255</v>
      </c>
      <c r="F74" s="87">
        <f t="shared" si="63"/>
        <v>0.765229793977813</v>
      </c>
      <c r="G74" s="87">
        <f t="shared" si="63"/>
        <v>0.74079623386277</v>
      </c>
      <c r="H74" s="87">
        <f t="shared" si="63"/>
        <v>0.741886367897994</v>
      </c>
      <c r="I74" s="87">
        <f t="shared" si="63"/>
        <v>0.760037732614781</v>
      </c>
      <c r="J74" s="87">
        <f t="shared" si="63"/>
        <v>0.747122309497093</v>
      </c>
      <c r="K74" s="87">
        <f t="shared" si="63"/>
        <v>0.735800891699281</v>
      </c>
      <c r="L74" s="87">
        <f t="shared" si="63"/>
        <v>0.727666781899558</v>
      </c>
      <c r="M74" s="87">
        <f t="shared" si="63"/>
        <v>0.725525764682473</v>
      </c>
      <c r="N74" s="87">
        <f t="shared" si="63"/>
        <v>0.749015105593676</v>
      </c>
      <c r="O74" s="87">
        <f t="shared" si="63"/>
        <v>0.744703802806626</v>
      </c>
      <c r="P74" s="105">
        <f t="shared" si="63"/>
        <v>0.70890756302521</v>
      </c>
      <c r="Q74" s="105">
        <f t="shared" si="63"/>
        <v>0.735386755176683</v>
      </c>
    </row>
    <row r="75" spans="1:18">
      <c r="A75" s="121"/>
      <c r="B75" s="121"/>
      <c r="C75" s="121" t="s">
        <v>194</v>
      </c>
      <c r="D75" s="109">
        <f>(D10*D12+D28*D30+D58*D60)/D73</f>
        <v>0.0478689659323462</v>
      </c>
      <c r="E75" s="109">
        <f t="shared" ref="E75:Q75" si="64">(E10*E12+E28*E30+E58*E60)/E73</f>
        <v>0.046080596725758</v>
      </c>
      <c r="F75" s="89">
        <f t="shared" si="64"/>
        <v>0.0372498987444309</v>
      </c>
      <c r="G75" s="89">
        <f t="shared" si="64"/>
        <v>0.0409147935180345</v>
      </c>
      <c r="H75" s="89">
        <f t="shared" si="64"/>
        <v>0.0408098683636998</v>
      </c>
      <c r="I75" s="89">
        <f t="shared" si="64"/>
        <v>0.0412699845656542</v>
      </c>
      <c r="J75" s="89">
        <f t="shared" si="64"/>
        <v>0.0421986639558525</v>
      </c>
      <c r="K75" s="89">
        <f t="shared" si="64"/>
        <v>0.0421475556143192</v>
      </c>
      <c r="L75" s="89">
        <f t="shared" si="64"/>
        <v>0.043006740278623</v>
      </c>
      <c r="M75" s="89">
        <f t="shared" si="64"/>
        <v>0.0443725875557346</v>
      </c>
      <c r="N75" s="89">
        <f t="shared" si="64"/>
        <v>0.0459399190638534</v>
      </c>
      <c r="O75" s="89">
        <f t="shared" si="64"/>
        <v>0.0467183697731875</v>
      </c>
      <c r="P75" s="105">
        <f t="shared" si="64"/>
        <v>0.051443571978445</v>
      </c>
      <c r="Q75" s="105">
        <f t="shared" si="64"/>
        <v>0.0485186899193093</v>
      </c>
    </row>
    <row r="76" spans="1:18">
      <c r="A76" s="121"/>
      <c r="B76" s="121" t="s">
        <v>196</v>
      </c>
      <c r="C76" s="121" t="s">
        <v>2</v>
      </c>
      <c r="D76" s="104">
        <f>D65/D72</f>
        <v>1.06163097583219</v>
      </c>
      <c r="E76" s="104">
        <f t="shared" ref="E76:O76" si="65">E65/E72</f>
        <v>1.37169709413931</v>
      </c>
      <c r="F76" s="87">
        <f t="shared" si="65"/>
        <v>0.27322098296355</v>
      </c>
      <c r="G76" s="87">
        <f t="shared" si="65"/>
        <v>0</v>
      </c>
      <c r="H76" s="87">
        <f t="shared" si="65"/>
        <v>0</v>
      </c>
      <c r="I76" s="87">
        <f t="shared" si="65"/>
        <v>0</v>
      </c>
      <c r="J76" s="87">
        <f t="shared" si="65"/>
        <v>0</v>
      </c>
      <c r="K76" s="87">
        <f t="shared" si="65"/>
        <v>0</v>
      </c>
      <c r="L76" s="87">
        <f t="shared" si="65"/>
        <v>0</v>
      </c>
      <c r="M76" s="87">
        <f t="shared" si="65"/>
        <v>0</v>
      </c>
      <c r="N76" s="87">
        <f t="shared" si="65"/>
        <v>0</v>
      </c>
      <c r="O76" s="87">
        <f t="shared" si="65"/>
        <v>0</v>
      </c>
      <c r="P76" s="105">
        <f t="shared" ref="P76:P78" si="66">P65/P72</f>
        <v>1.16852996138189</v>
      </c>
      <c r="Q76" s="105">
        <f t="shared" ref="Q76:Q78" si="67">Q65/Q72</f>
        <v>0.256360950816394</v>
      </c>
    </row>
    <row r="77" spans="1:18">
      <c r="A77" s="121"/>
      <c r="B77" s="121"/>
      <c r="C77" s="121" t="s">
        <v>190</v>
      </c>
      <c r="D77" s="104">
        <f>D66/D73</f>
        <v>0.980846138046226</v>
      </c>
      <c r="E77" s="104">
        <f t="shared" ref="E77:O77" si="68">E66/E73</f>
        <v>1.33227294552617</v>
      </c>
      <c r="F77" s="87">
        <f t="shared" si="68"/>
        <v>0.290674294586202</v>
      </c>
      <c r="G77" s="87">
        <f t="shared" si="68"/>
        <v>0</v>
      </c>
      <c r="H77" s="87">
        <f t="shared" si="68"/>
        <v>0</v>
      </c>
      <c r="I77" s="87">
        <f t="shared" si="68"/>
        <v>0</v>
      </c>
      <c r="J77" s="87">
        <f t="shared" si="68"/>
        <v>0</v>
      </c>
      <c r="K77" s="87">
        <f t="shared" si="68"/>
        <v>0</v>
      </c>
      <c r="L77" s="87">
        <f t="shared" si="68"/>
        <v>0</v>
      </c>
      <c r="M77" s="87">
        <f t="shared" si="68"/>
        <v>0</v>
      </c>
      <c r="N77" s="87">
        <f t="shared" si="68"/>
        <v>0</v>
      </c>
      <c r="O77" s="87">
        <f t="shared" si="68"/>
        <v>0</v>
      </c>
      <c r="P77" s="105">
        <f t="shared" si="66"/>
        <v>1.09255603592507</v>
      </c>
      <c r="Q77" s="105">
        <f t="shared" si="67"/>
        <v>0.258424319139497</v>
      </c>
    </row>
    <row r="78" spans="1:18">
      <c r="A78" s="121"/>
      <c r="B78" s="121"/>
      <c r="C78" s="121" t="s">
        <v>46</v>
      </c>
      <c r="D78" s="104">
        <f>D67/D74</f>
        <v>1.03308583336809</v>
      </c>
      <c r="E78" s="104">
        <f t="shared" ref="E78:O78" si="69">E67/E74</f>
        <v>1.01054371493573</v>
      </c>
      <c r="F78" s="87">
        <f t="shared" si="69"/>
        <v>0.98040185783398</v>
      </c>
      <c r="G78" s="87" t="e">
        <f t="shared" si="69"/>
        <v>#DIV/0!</v>
      </c>
      <c r="H78" s="87" t="e">
        <f t="shared" si="69"/>
        <v>#DIV/0!</v>
      </c>
      <c r="I78" s="87" t="e">
        <f t="shared" si="69"/>
        <v>#DIV/0!</v>
      </c>
      <c r="J78" s="87" t="e">
        <f t="shared" si="69"/>
        <v>#DIV/0!</v>
      </c>
      <c r="K78" s="87" t="e">
        <f t="shared" si="69"/>
        <v>#DIV/0!</v>
      </c>
      <c r="L78" s="87" t="e">
        <f t="shared" si="69"/>
        <v>#DIV/0!</v>
      </c>
      <c r="M78" s="87" t="e">
        <f t="shared" si="69"/>
        <v>#DIV/0!</v>
      </c>
      <c r="N78" s="87" t="e">
        <f t="shared" si="69"/>
        <v>#DIV/0!</v>
      </c>
      <c r="O78" s="87" t="e">
        <f t="shared" si="69"/>
        <v>#DIV/0!</v>
      </c>
      <c r="P78" s="105">
        <f t="shared" si="66"/>
        <v>1.02669721913803</v>
      </c>
      <c r="Q78" s="105">
        <f t="shared" si="67"/>
        <v>0.997103852610703</v>
      </c>
    </row>
    <row r="79" spans="1:18">
      <c r="A79" s="121"/>
      <c r="B79" s="121"/>
      <c r="C79" s="121" t="s">
        <v>194</v>
      </c>
      <c r="D79" s="104">
        <f>D71/D75</f>
        <v>1.13798898881309</v>
      </c>
      <c r="E79" s="104">
        <f t="shared" ref="E79:Q79" si="70">E71/E75</f>
        <v>1.17237289016751</v>
      </c>
      <c r="F79" s="87">
        <f t="shared" si="70"/>
        <v>1.18545686597825</v>
      </c>
      <c r="G79" s="87" t="e">
        <f t="shared" si="70"/>
        <v>#DIV/0!</v>
      </c>
      <c r="H79" s="87" t="e">
        <f t="shared" si="70"/>
        <v>#DIV/0!</v>
      </c>
      <c r="I79" s="87" t="e">
        <f t="shared" si="70"/>
        <v>#DIV/0!</v>
      </c>
      <c r="J79" s="87" t="e">
        <f t="shared" si="70"/>
        <v>#DIV/0!</v>
      </c>
      <c r="K79" s="87" t="e">
        <f t="shared" si="70"/>
        <v>#DIV/0!</v>
      </c>
      <c r="L79" s="87" t="e">
        <f t="shared" si="70"/>
        <v>#DIV/0!</v>
      </c>
      <c r="M79" s="87" t="e">
        <f t="shared" si="70"/>
        <v>#DIV/0!</v>
      </c>
      <c r="N79" s="87" t="e">
        <f t="shared" si="70"/>
        <v>#DIV/0!</v>
      </c>
      <c r="O79" s="87" t="e">
        <f t="shared" si="70"/>
        <v>#DIV/0!</v>
      </c>
      <c r="P79" s="105">
        <f t="shared" si="70"/>
        <v>1.05551866529464</v>
      </c>
      <c r="Q79" s="105">
        <f t="shared" si="70"/>
        <v>1.12609386634626</v>
      </c>
    </row>
    <row r="80" s="15" customFormat="1" ht="13.5" spans="1:18">
      <c r="A80" s="122" t="s">
        <v>188</v>
      </c>
      <c r="B80" s="122" t="s">
        <v>201</v>
      </c>
      <c r="C80" s="123" t="s">
        <v>2</v>
      </c>
      <c r="D80" s="124">
        <v>15035838.26</v>
      </c>
      <c r="E80" s="124">
        <v>6108020.24</v>
      </c>
      <c r="F80" s="124">
        <v>6428975.46</v>
      </c>
      <c r="G80" s="124">
        <v>5542270.22</v>
      </c>
      <c r="H80" s="124">
        <v>4632434.27</v>
      </c>
      <c r="I80" s="124">
        <v>4093008.49</v>
      </c>
      <c r="J80" s="124">
        <v>5168530.88</v>
      </c>
      <c r="K80" s="124">
        <v>3702757.45</v>
      </c>
      <c r="L80" s="124">
        <v>6335151.26</v>
      </c>
      <c r="M80" s="124">
        <v>8528298.51</v>
      </c>
      <c r="N80" s="124">
        <v>15167700.05</v>
      </c>
      <c r="O80" s="124">
        <v>20116713.28</v>
      </c>
      <c r="P80" s="125">
        <f>SUM(D80:E80)</f>
        <v>21143858.5</v>
      </c>
      <c r="Q80" s="125">
        <f>SUM(D80:O80)</f>
        <v>100859698.37</v>
      </c>
      <c r="R80" s="126"/>
    </row>
    <row r="81" s="15" customFormat="1" ht="14" spans="1:18">
      <c r="A81" s="127"/>
      <c r="B81" s="127"/>
      <c r="C81" s="123" t="s">
        <v>190</v>
      </c>
      <c r="D81" s="128">
        <v>7044181.2</v>
      </c>
      <c r="E81" s="128">
        <v>3157100.09</v>
      </c>
      <c r="F81" s="128">
        <v>3291187.89</v>
      </c>
      <c r="G81" s="128">
        <v>3539119.45</v>
      </c>
      <c r="H81" s="128">
        <v>2607807.74</v>
      </c>
      <c r="I81" s="128">
        <v>2615814.41</v>
      </c>
      <c r="J81" s="128">
        <v>3327958.39</v>
      </c>
      <c r="K81" s="128">
        <v>1899367.53</v>
      </c>
      <c r="L81" s="128">
        <v>3574405.39</v>
      </c>
      <c r="M81" s="128">
        <v>3736691.4</v>
      </c>
      <c r="N81" s="128">
        <v>5842898.21</v>
      </c>
      <c r="O81" s="128">
        <v>9689345.81</v>
      </c>
      <c r="P81" s="125">
        <f t="shared" ref="P80:P85" si="71">SUM(D81:E81)</f>
        <v>10201281.29</v>
      </c>
      <c r="Q81" s="125">
        <f>SUM(D81:O81)</f>
        <v>50325877.51</v>
      </c>
      <c r="R81"/>
    </row>
    <row r="82" s="15" customFormat="1" ht="13.5" spans="1:18">
      <c r="A82" s="127"/>
      <c r="B82" s="127"/>
      <c r="C82" s="123" t="s">
        <v>46</v>
      </c>
      <c r="D82" s="104">
        <f>1-D81/D80</f>
        <v>0.53150725099646</v>
      </c>
      <c r="E82" s="104">
        <f t="shared" ref="E82:Q82" si="72">1-E81/E80</f>
        <v>0.483122195744394</v>
      </c>
      <c r="F82" s="104">
        <f t="shared" si="72"/>
        <v>0.488069613816818</v>
      </c>
      <c r="G82" s="104">
        <f t="shared" si="72"/>
        <v>0.361431451460337</v>
      </c>
      <c r="H82" s="104">
        <f t="shared" si="72"/>
        <v>0.437054561812487</v>
      </c>
      <c r="I82" s="104">
        <f t="shared" si="72"/>
        <v>0.360906673809514</v>
      </c>
      <c r="J82" s="104">
        <f t="shared" si="72"/>
        <v>0.356111346286471</v>
      </c>
      <c r="K82" s="104">
        <f t="shared" si="72"/>
        <v>0.487039711445318</v>
      </c>
      <c r="L82" s="104">
        <f t="shared" si="72"/>
        <v>0.435782155263014</v>
      </c>
      <c r="M82" s="104">
        <f t="shared" si="72"/>
        <v>0.561847958814003</v>
      </c>
      <c r="N82" s="104">
        <f t="shared" si="72"/>
        <v>0.614780211189633</v>
      </c>
      <c r="O82" s="104">
        <f t="shared" si="72"/>
        <v>0.51834349502644</v>
      </c>
      <c r="P82" s="129">
        <f t="shared" si="72"/>
        <v>0.517529816518589</v>
      </c>
      <c r="Q82" s="129">
        <f t="shared" si="72"/>
        <v>0.501030854510575</v>
      </c>
      <c r="R82" s="126"/>
    </row>
    <row r="83" s="15" customFormat="1" ht="13.5" spans="1:18">
      <c r="A83" s="130"/>
      <c r="B83" s="130"/>
      <c r="C83" s="123" t="s">
        <v>202</v>
      </c>
      <c r="D83" s="124">
        <f>D80-D81</f>
        <v>7991657.06</v>
      </c>
      <c r="E83" s="124">
        <f t="shared" ref="E83:O83" si="73">E80-E81</f>
        <v>2950920.15</v>
      </c>
      <c r="F83" s="124">
        <f t="shared" si="73"/>
        <v>3137787.57</v>
      </c>
      <c r="G83" s="124">
        <f t="shared" si="73"/>
        <v>2003150.77</v>
      </c>
      <c r="H83" s="124">
        <f t="shared" si="73"/>
        <v>2024626.53</v>
      </c>
      <c r="I83" s="124">
        <f t="shared" si="73"/>
        <v>1477194.08</v>
      </c>
      <c r="J83" s="124">
        <f t="shared" si="73"/>
        <v>1840572.49</v>
      </c>
      <c r="K83" s="124">
        <f t="shared" si="73"/>
        <v>1803389.92</v>
      </c>
      <c r="L83" s="124">
        <f t="shared" si="73"/>
        <v>2760745.87</v>
      </c>
      <c r="M83" s="124">
        <f t="shared" si="73"/>
        <v>4791607.11</v>
      </c>
      <c r="N83" s="124">
        <f t="shared" si="73"/>
        <v>9324801.84</v>
      </c>
      <c r="O83" s="124">
        <f t="shared" si="73"/>
        <v>10427367.47</v>
      </c>
      <c r="P83" s="125">
        <f t="shared" si="71"/>
        <v>10942577.21</v>
      </c>
      <c r="Q83" s="125">
        <f>SUM(D83:O83)</f>
        <v>50533820.86</v>
      </c>
      <c r="R83" s="126"/>
    </row>
    <row r="84" s="15" customFormat="1" ht="13.5" spans="1:18">
      <c r="A84" s="131" t="s">
        <v>203</v>
      </c>
      <c r="B84" s="131" t="s">
        <v>201</v>
      </c>
      <c r="C84" s="123" t="s">
        <v>2</v>
      </c>
      <c r="D84" s="124">
        <v>14085918.26</v>
      </c>
      <c r="E84" s="124">
        <v>11645112.88</v>
      </c>
      <c r="F84" s="124">
        <v>13535429.96</v>
      </c>
      <c r="G84" s="124">
        <v>11149819.7</v>
      </c>
      <c r="H84" s="124">
        <v>22002323.82</v>
      </c>
      <c r="I84" s="124">
        <v>17431026.45</v>
      </c>
      <c r="J84" s="124">
        <v>15838454.6</v>
      </c>
      <c r="K84" s="124">
        <v>10982584.33</v>
      </c>
      <c r="L84" s="124">
        <v>14318715.34</v>
      </c>
      <c r="M84" s="124">
        <v>23966280.14</v>
      </c>
      <c r="N84" s="124">
        <v>20098621.85</v>
      </c>
      <c r="O84" s="124">
        <v>25774380.59</v>
      </c>
      <c r="P84" s="125">
        <f t="shared" si="71"/>
        <v>25731031.14</v>
      </c>
      <c r="Q84" s="125">
        <f>SUM(D84:O84)</f>
        <v>200828667.92</v>
      </c>
      <c r="R84" s="126"/>
    </row>
    <row r="85" s="15" customFormat="1" ht="13.5" spans="1:18">
      <c r="A85" s="131"/>
      <c r="B85" s="131"/>
      <c r="C85" s="123" t="s">
        <v>190</v>
      </c>
      <c r="D85" s="124">
        <v>2336167.72</v>
      </c>
      <c r="E85" s="124">
        <v>2131932.3</v>
      </c>
      <c r="F85" s="124">
        <v>1527858.02</v>
      </c>
      <c r="G85" s="124">
        <v>2272772.7</v>
      </c>
      <c r="H85" s="124">
        <v>3348178.9</v>
      </c>
      <c r="I85" s="124">
        <v>1932060.61</v>
      </c>
      <c r="J85" s="124">
        <v>1488176.7</v>
      </c>
      <c r="K85" s="124">
        <v>1810748.38</v>
      </c>
      <c r="L85" s="124">
        <v>2348319.8</v>
      </c>
      <c r="M85" s="124">
        <v>3647072.27</v>
      </c>
      <c r="N85" s="124">
        <v>1794528.38</v>
      </c>
      <c r="O85" s="124">
        <v>4202618.72</v>
      </c>
      <c r="P85" s="125">
        <f t="shared" si="71"/>
        <v>4468100.02</v>
      </c>
      <c r="Q85" s="125">
        <f>SUM(D85:O85)</f>
        <v>28840434.5</v>
      </c>
      <c r="R85" s="126"/>
    </row>
    <row r="86" s="15" customFormat="1" ht="13.5" spans="1:18">
      <c r="A86" s="131"/>
      <c r="B86" s="131"/>
      <c r="C86" s="123" t="s">
        <v>46</v>
      </c>
      <c r="D86" s="104">
        <f>1-D85/D84</f>
        <v>0.834148709592185</v>
      </c>
      <c r="E86" s="104">
        <f t="shared" ref="E86:Q86" si="74">1-E85/E84</f>
        <v>0.81692472009769</v>
      </c>
      <c r="F86" s="104">
        <f t="shared" si="74"/>
        <v>0.887121574673643</v>
      </c>
      <c r="G86" s="104">
        <f t="shared" si="74"/>
        <v>0.7961605872425</v>
      </c>
      <c r="H86" s="104">
        <f t="shared" si="74"/>
        <v>0.847826123849858</v>
      </c>
      <c r="I86" s="104">
        <f t="shared" si="74"/>
        <v>0.88915967653758</v>
      </c>
      <c r="J86" s="104">
        <f t="shared" si="74"/>
        <v>0.906040283753441</v>
      </c>
      <c r="K86" s="104">
        <f t="shared" si="74"/>
        <v>0.835125474515705</v>
      </c>
      <c r="L86" s="104">
        <f t="shared" si="74"/>
        <v>0.835996474247947</v>
      </c>
      <c r="M86" s="104">
        <f t="shared" si="74"/>
        <v>0.847824850218913</v>
      </c>
      <c r="N86" s="104">
        <f t="shared" si="74"/>
        <v>0.910713859219158</v>
      </c>
      <c r="O86" s="104">
        <f t="shared" si="74"/>
        <v>0.836945888754722</v>
      </c>
      <c r="P86" s="129">
        <f t="shared" si="74"/>
        <v>0.826353635200645</v>
      </c>
      <c r="Q86" s="129">
        <f t="shared" si="74"/>
        <v>0.856392840729848</v>
      </c>
      <c r="R86" s="126"/>
    </row>
    <row r="87" s="15" customFormat="1" ht="13.5" spans="1:18">
      <c r="A87" s="131" t="s">
        <v>204</v>
      </c>
      <c r="B87" s="131" t="s">
        <v>201</v>
      </c>
      <c r="C87" s="123" t="s">
        <v>2</v>
      </c>
      <c r="D87" s="132"/>
      <c r="E87" s="132"/>
      <c r="F87" s="132"/>
      <c r="G87" s="132"/>
      <c r="H87" s="132"/>
      <c r="I87" s="132"/>
      <c r="J87" s="124">
        <v>3191723</v>
      </c>
      <c r="K87" s="124">
        <v>2911151</v>
      </c>
      <c r="L87" s="124">
        <v>3144052</v>
      </c>
      <c r="M87" s="124">
        <v>2097594</v>
      </c>
      <c r="N87" s="124">
        <v>1589592</v>
      </c>
      <c r="O87" s="124">
        <v>2380304</v>
      </c>
      <c r="P87" s="125">
        <f>SUM(D87:E87)</f>
        <v>0</v>
      </c>
      <c r="Q87" s="125">
        <f>SUM(D87:O87)</f>
        <v>15314416</v>
      </c>
      <c r="R87" s="126"/>
    </row>
    <row r="88" s="15" customFormat="1" ht="13.5" spans="1:18">
      <c r="A88" s="131"/>
      <c r="B88" s="131"/>
      <c r="C88" s="123" t="s">
        <v>190</v>
      </c>
      <c r="D88" s="133"/>
      <c r="E88" s="133"/>
      <c r="F88" s="133"/>
      <c r="G88" s="133"/>
      <c r="H88" s="133"/>
      <c r="I88" s="133"/>
      <c r="J88" s="124">
        <v>859217</v>
      </c>
      <c r="K88" s="124">
        <v>681876</v>
      </c>
      <c r="L88" s="124">
        <v>768234</v>
      </c>
      <c r="M88" s="124">
        <v>262306</v>
      </c>
      <c r="N88" s="124">
        <v>561845</v>
      </c>
      <c r="O88" s="124">
        <v>404458</v>
      </c>
      <c r="P88" s="125">
        <f>SUM(D88:E88)</f>
        <v>0</v>
      </c>
      <c r="Q88" s="125">
        <f>SUM(D88:O88)</f>
        <v>3537936</v>
      </c>
      <c r="R88" s="126"/>
    </row>
    <row r="89" s="15" customFormat="1" ht="13.5" spans="1:18">
      <c r="A89" s="131"/>
      <c r="B89" s="131"/>
      <c r="C89" s="123" t="s">
        <v>46</v>
      </c>
      <c r="D89" s="66"/>
      <c r="E89" s="66"/>
      <c r="F89" s="66"/>
      <c r="G89" s="66"/>
      <c r="H89" s="66"/>
      <c r="I89" s="66"/>
      <c r="J89" s="104">
        <f t="shared" ref="J89:Q89" si="75">1-J88/J87</f>
        <v>0.730798380686545</v>
      </c>
      <c r="K89" s="104">
        <f t="shared" si="75"/>
        <v>0.765770995733303</v>
      </c>
      <c r="L89" s="104">
        <f t="shared" si="75"/>
        <v>0.755654804691525</v>
      </c>
      <c r="M89" s="104">
        <f t="shared" si="75"/>
        <v>0.874949108359387</v>
      </c>
      <c r="N89" s="104">
        <f t="shared" si="75"/>
        <v>0.646547667577592</v>
      </c>
      <c r="O89" s="104">
        <f t="shared" si="75"/>
        <v>0.830081367758068</v>
      </c>
      <c r="P89" s="129" t="e">
        <f t="shared" si="75"/>
        <v>#DIV/0!</v>
      </c>
      <c r="Q89" s="129">
        <f t="shared" si="75"/>
        <v>0.768980025095309</v>
      </c>
      <c r="R89" s="126"/>
    </row>
  </sheetData>
  <mergeCells count="30">
    <mergeCell ref="A1:C1"/>
    <mergeCell ref="A2:A19"/>
    <mergeCell ref="A20:A37"/>
    <mergeCell ref="A38:A49"/>
    <mergeCell ref="A50:A64"/>
    <mergeCell ref="A65:A79"/>
    <mergeCell ref="A80:A83"/>
    <mergeCell ref="A84:A86"/>
    <mergeCell ref="A87:A89"/>
    <mergeCell ref="B2:B8"/>
    <mergeCell ref="B9:B12"/>
    <mergeCell ref="B13:B16"/>
    <mergeCell ref="B17:B19"/>
    <mergeCell ref="B20:B26"/>
    <mergeCell ref="B27:B30"/>
    <mergeCell ref="B31:B34"/>
    <mergeCell ref="B35:B37"/>
    <mergeCell ref="B38:B40"/>
    <mergeCell ref="B41:B43"/>
    <mergeCell ref="B44:B46"/>
    <mergeCell ref="B47:B49"/>
    <mergeCell ref="B50:B56"/>
    <mergeCell ref="B57:B60"/>
    <mergeCell ref="B61:B64"/>
    <mergeCell ref="B65:B71"/>
    <mergeCell ref="B72:B75"/>
    <mergeCell ref="B76:B79"/>
    <mergeCell ref="B80:B83"/>
    <mergeCell ref="B84:B86"/>
    <mergeCell ref="B87:B8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2"/>
  <sheetViews>
    <sheetView zoomScale="80" zoomScaleNormal="80" topLeftCell="A2" workbookViewId="0">
      <selection activeCell="P19" sqref="P19:P33"/>
    </sheetView>
  </sheetViews>
  <sheetFormatPr defaultColWidth="8.66666666666667" defaultRowHeight="14.5"/>
  <cols>
    <col min="1" max="1" width="10.6166666666667" style="75" customWidth="1"/>
    <col min="2" max="2" width="12.6666666666667" style="75"/>
    <col min="3" max="3" width="11.5833333333333" style="75"/>
    <col min="4" max="5" width="12.6666666666667" style="75" hidden="1" customWidth="1"/>
    <col min="6" max="6" width="11.3333333333333" style="75" hidden="1" customWidth="1"/>
    <col min="7" max="7" width="13.6666666666667" style="75" customWidth="1"/>
    <col min="8" max="13" width="12.6666666666667" style="75" customWidth="1"/>
    <col min="14" max="14" width="12.6666666666667" style="74"/>
    <col min="15" max="15" width="26.6583333333333" style="75" customWidth="1"/>
    <col min="16" max="16" width="26.875" style="75" customWidth="1"/>
    <col min="17" max="17" width="5.94166666666667" style="75" customWidth="1"/>
    <col min="18" max="18" width="66.2416666666667" style="75" customWidth="1"/>
    <col min="19" max="19" width="5.625" style="75" customWidth="1"/>
    <col min="20" max="20" width="31.5583333333333" style="75" customWidth="1"/>
    <col min="21" max="16384" width="8.66666666666667" style="75"/>
  </cols>
  <sheetData>
    <row r="1" spans="1:20">
      <c r="A1" s="76" t="s">
        <v>205</v>
      </c>
      <c r="B1" s="76"/>
      <c r="C1" s="76"/>
      <c r="D1" s="54" t="s">
        <v>206</v>
      </c>
      <c r="E1" s="55" t="s">
        <v>207</v>
      </c>
      <c r="F1" s="55" t="s">
        <v>208</v>
      </c>
      <c r="G1" s="55" t="s">
        <v>209</v>
      </c>
      <c r="H1" s="70" t="s">
        <v>210</v>
      </c>
      <c r="I1" s="70" t="s">
        <v>211</v>
      </c>
      <c r="J1" s="53" t="s">
        <v>212</v>
      </c>
      <c r="K1" s="53" t="s">
        <v>213</v>
      </c>
      <c r="L1" s="53" t="s">
        <v>214</v>
      </c>
      <c r="M1" s="53" t="s">
        <v>215</v>
      </c>
      <c r="N1" s="76" t="s">
        <v>216</v>
      </c>
      <c r="O1" s="53" t="s">
        <v>217</v>
      </c>
      <c r="P1" s="53" t="s">
        <v>218</v>
      </c>
      <c r="Q1" s="76" t="s">
        <v>219</v>
      </c>
      <c r="R1" s="76"/>
      <c r="S1" s="76" t="s">
        <v>220</v>
      </c>
      <c r="T1" s="76"/>
    </row>
    <row r="2" s="74" customFormat="1" spans="1:20">
      <c r="A2" s="77"/>
      <c r="B2" s="77"/>
      <c r="C2" s="77"/>
      <c r="D2" s="78" t="s">
        <v>221</v>
      </c>
      <c r="E2" s="79" t="s">
        <v>222</v>
      </c>
      <c r="F2" s="79" t="s">
        <v>223</v>
      </c>
      <c r="G2" s="79" t="s">
        <v>224</v>
      </c>
      <c r="H2" s="59" t="s">
        <v>225</v>
      </c>
      <c r="I2" s="59" t="s">
        <v>226</v>
      </c>
      <c r="J2" s="59" t="s">
        <v>227</v>
      </c>
      <c r="K2" s="59" t="s">
        <v>228</v>
      </c>
      <c r="L2" s="59" t="s">
        <v>229</v>
      </c>
      <c r="M2" s="59" t="s">
        <v>230</v>
      </c>
      <c r="N2" s="77"/>
      <c r="O2" s="58"/>
      <c r="P2" s="58"/>
      <c r="Q2" s="77"/>
      <c r="R2" s="77"/>
      <c r="S2" s="77"/>
      <c r="T2" s="77"/>
    </row>
    <row r="3" spans="1:20">
      <c r="A3" s="80" t="s">
        <v>188</v>
      </c>
      <c r="B3" s="80" t="s">
        <v>189</v>
      </c>
      <c r="C3" s="80" t="s">
        <v>2</v>
      </c>
      <c r="D3" s="81">
        <f>SUMIF('GXG-日报'!$E:$E,D$2,'GXG-日报'!$F:$F)</f>
        <v>2454809.41</v>
      </c>
      <c r="E3" s="81">
        <f>SUMIF('GXG-日报'!$E:$E,E$2,'GXG-日报'!$F:$F)</f>
        <v>4472122.12</v>
      </c>
      <c r="F3" s="81">
        <f>SUMIF('GXG-日报'!$E:$E,F$2,'GXG-日报'!$F:$F)</f>
        <v>2967577.68</v>
      </c>
      <c r="G3" s="81">
        <f>SUMIF('GXG-日报'!$E:$E,G$2,'GXG-日报'!$F:$F)</f>
        <v>4606145.79</v>
      </c>
      <c r="H3" s="81">
        <f>SUMIF('GXG-日报'!$E:$E,H$2,'GXG-日报'!$F:$F)</f>
        <v>4816637.9</v>
      </c>
      <c r="I3" s="81">
        <f>SUMIF('GXG-日报'!$E:$E,I$2,'GXG-日报'!$F:$F)</f>
        <v>8272352.01</v>
      </c>
      <c r="J3" s="81">
        <f>SUMIF('GXG-日报'!$E:$E,J$2,'GXG-日报'!$F:$F)</f>
        <v>4130552.9</v>
      </c>
      <c r="K3" s="81">
        <f>SUMIF('GXG-日报'!$E:$E,K$2,'GXG-日报'!$F:$F)</f>
        <v>331005.2</v>
      </c>
      <c r="L3" s="81">
        <f>SUMIF('GXG-日报'!$E:$E,L$2,'GXG-日报'!$F:$F)</f>
        <v>1910415.8</v>
      </c>
      <c r="M3" s="81">
        <f>SUMIF('GXG-日报'!$E:$E,M$2,'GXG-日报'!$F:$F)</f>
        <v>1914906.3</v>
      </c>
      <c r="N3" s="82">
        <f>M3/L3-1</f>
        <v>0.00235053541747265</v>
      </c>
      <c r="O3" s="83" t="s">
        <v>231</v>
      </c>
      <c r="P3" s="83" t="s">
        <v>232</v>
      </c>
      <c r="Q3" s="84">
        <v>1</v>
      </c>
      <c r="R3" s="85" t="s">
        <v>233</v>
      </c>
      <c r="S3" s="84">
        <v>1</v>
      </c>
      <c r="T3" s="85" t="s">
        <v>234</v>
      </c>
    </row>
    <row r="4" spans="1:20">
      <c r="A4" s="80"/>
      <c r="B4" s="80"/>
      <c r="C4" s="80" t="s">
        <v>190</v>
      </c>
      <c r="D4" s="81">
        <f>SUMIF('GXG-日报'!$E:$E,D$2,'GXG-日报'!$H:$H)</f>
        <v>1136394.94</v>
      </c>
      <c r="E4" s="81">
        <f>SUMIF('GXG-日报'!$E:$E,E$2,'GXG-日报'!$H:$H)</f>
        <v>1962965.17</v>
      </c>
      <c r="F4" s="81">
        <f>SUMIF('GXG-日报'!$E:$E,F$2,'GXG-日报'!$H:$H)</f>
        <v>884420.8</v>
      </c>
      <c r="G4" s="81">
        <f>SUMIF('GXG-日报'!$E:$E,G$2,'GXG-日报'!$H:$H)</f>
        <v>2449130.42</v>
      </c>
      <c r="H4" s="81">
        <f>SUMIF('GXG-日报'!$E:$E,H$2,'GXG-日报'!$H:$H)</f>
        <v>2081978.26</v>
      </c>
      <c r="I4" s="81">
        <f>SUMIF('GXG-日报'!$E:$E,I$2,'GXG-日报'!$H:$H)</f>
        <v>3898600.92</v>
      </c>
      <c r="J4" s="81">
        <f>SUMIF('GXG-日报'!$E:$E,J$2,'GXG-日报'!$H:$H)</f>
        <v>961150.59</v>
      </c>
      <c r="K4" s="81">
        <f>SUMIF('GXG-日报'!$E:$E,K$2,'GXG-日报'!$H:$H)</f>
        <v>-157222.28</v>
      </c>
      <c r="L4" s="81">
        <f>SUMIF('GXG-日报'!$E:$E,L$2,'GXG-日报'!$H:$H)</f>
        <v>893906.28</v>
      </c>
      <c r="M4" s="81">
        <f>SUMIF('GXG-日报'!$E:$E,M$2,'GXG-日报'!$H:$H)</f>
        <v>904305.73</v>
      </c>
      <c r="N4" s="82">
        <f t="shared" ref="N4:N17" si="0">M4/L4-1</f>
        <v>0.0116337139951628</v>
      </c>
      <c r="O4" s="83"/>
      <c r="P4" s="86"/>
      <c r="Q4" s="84">
        <v>2</v>
      </c>
      <c r="R4" s="85"/>
      <c r="S4" s="84">
        <v>2</v>
      </c>
      <c r="T4" s="85" t="s">
        <v>235</v>
      </c>
    </row>
    <row r="5" spans="1:20">
      <c r="A5" s="80"/>
      <c r="B5" s="80"/>
      <c r="C5" s="80" t="s">
        <v>46</v>
      </c>
      <c r="D5" s="87">
        <f t="shared" ref="D5:M5" si="1">1-D4/D3</f>
        <v>0.537074065558515</v>
      </c>
      <c r="E5" s="87">
        <f t="shared" si="1"/>
        <v>0.561066286356241</v>
      </c>
      <c r="F5" s="87">
        <f t="shared" si="1"/>
        <v>0.701972148543724</v>
      </c>
      <c r="G5" s="87">
        <f t="shared" si="1"/>
        <v>0.468290729026187</v>
      </c>
      <c r="H5" s="87">
        <f t="shared" si="1"/>
        <v>0.567752797028815</v>
      </c>
      <c r="I5" s="87">
        <f t="shared" si="1"/>
        <v>0.528719170160168</v>
      </c>
      <c r="J5" s="87">
        <f t="shared" si="1"/>
        <v>0.767307037757584</v>
      </c>
      <c r="K5" s="87">
        <f t="shared" si="1"/>
        <v>1.47498432048802</v>
      </c>
      <c r="L5" s="87">
        <f t="shared" si="1"/>
        <v>0.532088103542695</v>
      </c>
      <c r="M5" s="87">
        <f t="shared" si="1"/>
        <v>0.527754579949943</v>
      </c>
      <c r="N5" s="82">
        <f t="shared" si="0"/>
        <v>-0.0081443722644774</v>
      </c>
      <c r="O5" s="83"/>
      <c r="P5" s="86"/>
      <c r="Q5" s="84">
        <v>3</v>
      </c>
      <c r="R5" s="85"/>
      <c r="S5" s="84">
        <v>3</v>
      </c>
      <c r="T5" s="85" t="s">
        <v>236</v>
      </c>
    </row>
    <row r="6" spans="1:20">
      <c r="A6" s="80"/>
      <c r="B6" s="80"/>
      <c r="C6" s="80" t="s">
        <v>191</v>
      </c>
      <c r="D6" s="81">
        <f>SUMIF('GXG-日报'!$E:$E,D$2,'GXG-日报'!$I:$I)</f>
        <v>249797.42</v>
      </c>
      <c r="E6" s="81">
        <f>SUMIF('GXG-日报'!$E:$E,E$2,'GXG-日报'!$I:$I)</f>
        <v>419091.35</v>
      </c>
      <c r="F6" s="81">
        <f>SUMIF('GXG-日报'!$E:$E,F$2,'GXG-日报'!$I:$I)</f>
        <v>475345.5</v>
      </c>
      <c r="G6" s="81">
        <f>SUMIF('GXG-日报'!$E:$E,G$2,'GXG-日报'!$I:$I)</f>
        <v>766161.6</v>
      </c>
      <c r="H6" s="81">
        <f>SUMIF('GXG-日报'!$E:$E,H$2,'GXG-日报'!$I:$I)</f>
        <v>984376.4</v>
      </c>
      <c r="I6" s="81">
        <f>SUMIF('GXG-日报'!$E:$E,I$2,'GXG-日报'!$I:$I)</f>
        <v>1423772.51</v>
      </c>
      <c r="J6" s="81">
        <f>SUMIF('GXG-日报'!$E:$E,J$2,'GXG-日报'!$I:$I)</f>
        <v>614786.3</v>
      </c>
      <c r="K6" s="81">
        <f>SUMIF('GXG-日报'!$E:$E,K$2,'GXG-日报'!$I:$I)</f>
        <v>74016.2</v>
      </c>
      <c r="L6" s="81">
        <f>SUMIF('GXG-日报'!$E:$E,L$2,'GXG-日报'!$I:$I)</f>
        <v>188510.4</v>
      </c>
      <c r="M6" s="81">
        <f>SUMIF('GXG-日报'!$E:$E,M$2,'GXG-日报'!$I:$I)</f>
        <v>240644.6</v>
      </c>
      <c r="N6" s="82">
        <f t="shared" si="0"/>
        <v>0.276558746891418</v>
      </c>
      <c r="O6" s="83"/>
      <c r="P6" s="86"/>
      <c r="Q6" s="84">
        <v>4</v>
      </c>
      <c r="R6" s="85"/>
      <c r="S6" s="84">
        <v>4</v>
      </c>
      <c r="T6" s="85" t="s">
        <v>237</v>
      </c>
    </row>
    <row r="7" spans="1:20">
      <c r="A7" s="80"/>
      <c r="B7" s="80"/>
      <c r="C7" s="80" t="s">
        <v>192</v>
      </c>
      <c r="D7" s="87">
        <f t="shared" ref="D7:M7" si="2">D6/D3</f>
        <v>0.101758376427276</v>
      </c>
      <c r="E7" s="87">
        <f t="shared" si="2"/>
        <v>0.0937119646455451</v>
      </c>
      <c r="F7" s="87">
        <f t="shared" si="2"/>
        <v>0.160179631759462</v>
      </c>
      <c r="G7" s="87">
        <f t="shared" si="2"/>
        <v>0.166334639616346</v>
      </c>
      <c r="H7" s="87">
        <f t="shared" si="2"/>
        <v>0.204370023331004</v>
      </c>
      <c r="I7" s="87">
        <f t="shared" si="2"/>
        <v>0.172112176594864</v>
      </c>
      <c r="J7" s="87">
        <f t="shared" si="2"/>
        <v>0.148838742629346</v>
      </c>
      <c r="K7" s="87">
        <f t="shared" si="2"/>
        <v>0.223610384368584</v>
      </c>
      <c r="L7" s="87">
        <f t="shared" si="2"/>
        <v>0.0986750633029731</v>
      </c>
      <c r="M7" s="87">
        <f t="shared" si="2"/>
        <v>0.12566912542927</v>
      </c>
      <c r="N7" s="82">
        <f t="shared" si="0"/>
        <v>0.273565186813353</v>
      </c>
      <c r="O7" s="83"/>
      <c r="P7" s="86"/>
      <c r="Q7" s="84">
        <v>5</v>
      </c>
      <c r="R7" s="86"/>
      <c r="S7" s="84">
        <v>5</v>
      </c>
      <c r="T7" s="86"/>
    </row>
    <row r="8" spans="1:20">
      <c r="A8" s="80"/>
      <c r="B8" s="80"/>
      <c r="C8" s="80" t="s">
        <v>193</v>
      </c>
      <c r="D8" s="81">
        <f>SUMIF('GXG-日报'!$E:$E,D$2,'GXG-日报'!$K:$K)</f>
        <v>81402.31</v>
      </c>
      <c r="E8" s="81">
        <f>SUMIF('GXG-日报'!$E:$E,E$2,'GXG-日报'!$K:$K)</f>
        <v>145657.56</v>
      </c>
      <c r="F8" s="81">
        <f>SUMIF('GXG-日报'!$E:$E,F$2,'GXG-日报'!$K:$K)</f>
        <v>80162.01</v>
      </c>
      <c r="G8" s="81">
        <f>SUMIF('GXG-日报'!$E:$E,G$2,'GXG-日报'!$K:$K)</f>
        <v>127649.27</v>
      </c>
      <c r="H8" s="81">
        <f>SUMIF('GXG-日报'!$E:$E,H$2,'GXG-日报'!$K:$K)</f>
        <v>130671.33</v>
      </c>
      <c r="I8" s="81">
        <f>SUMIF('GXG-日报'!$E:$E,I$2,'GXG-日报'!$K:$K)</f>
        <v>219375.53</v>
      </c>
      <c r="J8" s="81">
        <f>SUMIF('GXG-日报'!$E:$E,J$2,'GXG-日报'!$K:$K)</f>
        <v>108471.95</v>
      </c>
      <c r="K8" s="81">
        <f>SUMIF('GXG-日报'!$E:$E,K$2,'GXG-日报'!$K:$K)</f>
        <v>7787.9</v>
      </c>
      <c r="L8" s="81">
        <f>SUMIF('GXG-日报'!$E:$E,L$2,'GXG-日报'!$K:$K)</f>
        <v>55983.61</v>
      </c>
      <c r="M8" s="81">
        <f>SUMIF('GXG-日报'!$E:$E,M$2,'GXG-日报'!$K:$K)</f>
        <v>56373.81</v>
      </c>
      <c r="N8" s="82">
        <f t="shared" si="0"/>
        <v>0.00696989708237816</v>
      </c>
      <c r="O8" s="83"/>
      <c r="P8" s="86"/>
      <c r="Q8" s="84">
        <v>6</v>
      </c>
      <c r="R8" s="86"/>
      <c r="S8" s="84">
        <v>6</v>
      </c>
      <c r="T8" s="86"/>
    </row>
    <row r="9" spans="1:20">
      <c r="A9" s="80"/>
      <c r="B9" s="80"/>
      <c r="C9" s="80" t="s">
        <v>194</v>
      </c>
      <c r="D9" s="88">
        <f t="shared" ref="D9:M9" si="3">D8/D4</f>
        <v>0.0716320595373295</v>
      </c>
      <c r="E9" s="88">
        <f t="shared" si="3"/>
        <v>0.0742028244953526</v>
      </c>
      <c r="F9" s="88">
        <f t="shared" si="3"/>
        <v>0.0906378615247403</v>
      </c>
      <c r="G9" s="88">
        <f t="shared" si="3"/>
        <v>0.0521202419265202</v>
      </c>
      <c r="H9" s="88">
        <f t="shared" si="3"/>
        <v>0.0627630617045924</v>
      </c>
      <c r="I9" s="88">
        <f t="shared" si="3"/>
        <v>0.0562703222262616</v>
      </c>
      <c r="J9" s="88">
        <f t="shared" si="3"/>
        <v>0.11285635271784</v>
      </c>
      <c r="K9" s="88">
        <f t="shared" si="3"/>
        <v>-0.0495343280863247</v>
      </c>
      <c r="L9" s="88">
        <f t="shared" si="3"/>
        <v>0.0626280531332658</v>
      </c>
      <c r="M9" s="88">
        <f t="shared" si="3"/>
        <v>0.0623393263249587</v>
      </c>
      <c r="N9" s="82">
        <f t="shared" si="0"/>
        <v>-0.00461018335813068</v>
      </c>
      <c r="O9" s="83"/>
      <c r="P9" s="86"/>
      <c r="Q9" s="84">
        <v>7</v>
      </c>
      <c r="R9" s="86"/>
      <c r="S9" s="84">
        <v>7</v>
      </c>
      <c r="T9" s="86"/>
    </row>
    <row r="10" spans="1:20">
      <c r="A10" s="80"/>
      <c r="B10" s="80" t="s">
        <v>195</v>
      </c>
      <c r="C10" s="80" t="s">
        <v>2</v>
      </c>
      <c r="D10" s="81">
        <v>2000000</v>
      </c>
      <c r="E10" s="81">
        <v>3500000</v>
      </c>
      <c r="F10" s="81">
        <v>3500000</v>
      </c>
      <c r="G10" s="81">
        <v>3500000</v>
      </c>
      <c r="H10" s="81">
        <v>3500000</v>
      </c>
      <c r="I10" s="81">
        <v>3500000</v>
      </c>
      <c r="J10" s="81">
        <v>3500000</v>
      </c>
      <c r="K10" s="81">
        <v>3500000</v>
      </c>
      <c r="L10" s="81">
        <v>3500000</v>
      </c>
      <c r="M10" s="81">
        <v>2000000</v>
      </c>
      <c r="N10" s="82">
        <f t="shared" si="0"/>
        <v>-0.428571428571429</v>
      </c>
      <c r="O10" s="83"/>
      <c r="P10" s="86"/>
      <c r="Q10" s="84">
        <v>8</v>
      </c>
      <c r="R10" s="86"/>
      <c r="S10" s="84">
        <v>8</v>
      </c>
      <c r="T10" s="86"/>
    </row>
    <row r="11" spans="1:20">
      <c r="A11" s="80"/>
      <c r="B11" s="80"/>
      <c r="C11" s="80" t="s">
        <v>190</v>
      </c>
      <c r="D11" s="81">
        <f t="shared" ref="D11:M11" si="4">D10*(1-55%)</f>
        <v>900000</v>
      </c>
      <c r="E11" s="81">
        <f t="shared" si="4"/>
        <v>1575000</v>
      </c>
      <c r="F11" s="81">
        <f t="shared" si="4"/>
        <v>1575000</v>
      </c>
      <c r="G11" s="81">
        <f t="shared" si="4"/>
        <v>1575000</v>
      </c>
      <c r="H11" s="81">
        <f t="shared" si="4"/>
        <v>1575000</v>
      </c>
      <c r="I11" s="81">
        <f t="shared" si="4"/>
        <v>1575000</v>
      </c>
      <c r="J11" s="81">
        <f t="shared" si="4"/>
        <v>1575000</v>
      </c>
      <c r="K11" s="81">
        <f t="shared" si="4"/>
        <v>1575000</v>
      </c>
      <c r="L11" s="81">
        <f t="shared" si="4"/>
        <v>1575000</v>
      </c>
      <c r="M11" s="81">
        <f t="shared" si="4"/>
        <v>900000</v>
      </c>
      <c r="N11" s="82">
        <f t="shared" si="0"/>
        <v>-0.428571428571429</v>
      </c>
      <c r="O11" s="83"/>
      <c r="P11" s="86"/>
      <c r="Q11" s="84">
        <v>9</v>
      </c>
      <c r="R11" s="86"/>
      <c r="S11" s="84">
        <v>9</v>
      </c>
      <c r="T11" s="86"/>
    </row>
    <row r="12" spans="1:20">
      <c r="A12" s="80"/>
      <c r="B12" s="80"/>
      <c r="C12" s="80" t="s">
        <v>46</v>
      </c>
      <c r="D12" s="87">
        <f t="shared" ref="D12:M12" si="5">1-D11/D10</f>
        <v>0.55</v>
      </c>
      <c r="E12" s="87">
        <f t="shared" si="5"/>
        <v>0.55</v>
      </c>
      <c r="F12" s="87">
        <f t="shared" si="5"/>
        <v>0.55</v>
      </c>
      <c r="G12" s="87">
        <f t="shared" si="5"/>
        <v>0.55</v>
      </c>
      <c r="H12" s="87">
        <f t="shared" si="5"/>
        <v>0.55</v>
      </c>
      <c r="I12" s="87">
        <f t="shared" si="5"/>
        <v>0.55</v>
      </c>
      <c r="J12" s="87">
        <f t="shared" si="5"/>
        <v>0.55</v>
      </c>
      <c r="K12" s="87">
        <f t="shared" si="5"/>
        <v>0.55</v>
      </c>
      <c r="L12" s="87">
        <f t="shared" si="5"/>
        <v>0.55</v>
      </c>
      <c r="M12" s="87">
        <f t="shared" si="5"/>
        <v>0.55</v>
      </c>
      <c r="N12" s="82">
        <f t="shared" si="0"/>
        <v>0</v>
      </c>
      <c r="O12" s="83"/>
      <c r="P12" s="86"/>
      <c r="Q12" s="84">
        <v>10</v>
      </c>
      <c r="R12" s="86"/>
      <c r="S12" s="84">
        <v>10</v>
      </c>
      <c r="T12" s="86"/>
    </row>
    <row r="13" spans="1:20">
      <c r="A13" s="80"/>
      <c r="B13" s="80"/>
      <c r="C13" s="80" t="s">
        <v>194</v>
      </c>
      <c r="D13" s="89">
        <v>0.05</v>
      </c>
      <c r="E13" s="89">
        <v>0.05</v>
      </c>
      <c r="F13" s="89">
        <v>0.05</v>
      </c>
      <c r="G13" s="89">
        <v>0.05</v>
      </c>
      <c r="H13" s="89">
        <v>0.05</v>
      </c>
      <c r="I13" s="89">
        <v>0.05</v>
      </c>
      <c r="J13" s="89">
        <v>0.05</v>
      </c>
      <c r="K13" s="89">
        <v>0.05</v>
      </c>
      <c r="L13" s="89">
        <v>0.05</v>
      </c>
      <c r="M13" s="89">
        <v>0.05</v>
      </c>
      <c r="N13" s="82">
        <f t="shared" si="0"/>
        <v>0</v>
      </c>
      <c r="O13" s="83"/>
      <c r="P13" s="86"/>
      <c r="Q13" s="84">
        <v>11</v>
      </c>
      <c r="R13" s="86"/>
      <c r="S13" s="84">
        <v>11</v>
      </c>
      <c r="T13" s="86"/>
    </row>
    <row r="14" spans="1:20">
      <c r="A14" s="80"/>
      <c r="B14" s="80" t="s">
        <v>196</v>
      </c>
      <c r="C14" s="80" t="s">
        <v>2</v>
      </c>
      <c r="D14" s="87">
        <f t="shared" ref="D14:M14" si="6">D3/D10</f>
        <v>1.227404705</v>
      </c>
      <c r="E14" s="87">
        <f t="shared" si="6"/>
        <v>1.27774917714286</v>
      </c>
      <c r="F14" s="87">
        <f t="shared" si="6"/>
        <v>0.847879337142857</v>
      </c>
      <c r="G14" s="87">
        <f t="shared" si="6"/>
        <v>1.31604165428571</v>
      </c>
      <c r="H14" s="87">
        <f t="shared" si="6"/>
        <v>1.37618225714286</v>
      </c>
      <c r="I14" s="87">
        <f t="shared" si="6"/>
        <v>2.36352914571429</v>
      </c>
      <c r="J14" s="87">
        <f t="shared" si="6"/>
        <v>1.18015797142857</v>
      </c>
      <c r="K14" s="87">
        <f t="shared" si="6"/>
        <v>0.0945729142857143</v>
      </c>
      <c r="L14" s="87">
        <f t="shared" si="6"/>
        <v>0.545833085714286</v>
      </c>
      <c r="M14" s="87">
        <f t="shared" si="6"/>
        <v>0.95745315</v>
      </c>
      <c r="N14" s="82">
        <f t="shared" si="0"/>
        <v>0.754113436980577</v>
      </c>
      <c r="O14" s="83"/>
      <c r="P14" s="86"/>
      <c r="Q14" s="84">
        <v>12</v>
      </c>
      <c r="R14" s="86"/>
      <c r="S14" s="84">
        <v>12</v>
      </c>
      <c r="T14" s="86"/>
    </row>
    <row r="15" spans="1:20">
      <c r="A15" s="80"/>
      <c r="B15" s="80"/>
      <c r="C15" s="80" t="s">
        <v>190</v>
      </c>
      <c r="D15" s="87">
        <f t="shared" ref="D15:M15" si="7">D4/D11</f>
        <v>1.26266104444444</v>
      </c>
      <c r="E15" s="87">
        <f t="shared" si="7"/>
        <v>1.24632709206349</v>
      </c>
      <c r="F15" s="87">
        <f t="shared" si="7"/>
        <v>0.561537015873016</v>
      </c>
      <c r="G15" s="87">
        <f t="shared" si="7"/>
        <v>1.55500344126984</v>
      </c>
      <c r="H15" s="87">
        <f t="shared" si="7"/>
        <v>1.32189095873016</v>
      </c>
      <c r="I15" s="87">
        <f t="shared" si="7"/>
        <v>2.47530217142857</v>
      </c>
      <c r="J15" s="87">
        <f t="shared" si="7"/>
        <v>0.610254342857143</v>
      </c>
      <c r="K15" s="87">
        <f t="shared" si="7"/>
        <v>-0.0998236698412698</v>
      </c>
      <c r="L15" s="87">
        <f t="shared" si="7"/>
        <v>0.567559542857143</v>
      </c>
      <c r="M15" s="87">
        <f t="shared" si="7"/>
        <v>1.00478414444444</v>
      </c>
      <c r="N15" s="82">
        <f t="shared" si="0"/>
        <v>0.770358999491535</v>
      </c>
      <c r="O15" s="83"/>
      <c r="P15" s="86"/>
      <c r="Q15" s="84">
        <v>13</v>
      </c>
      <c r="R15" s="86"/>
      <c r="S15" s="84">
        <v>13</v>
      </c>
      <c r="T15" s="86"/>
    </row>
    <row r="16" spans="1:20">
      <c r="A16" s="80"/>
      <c r="B16" s="80"/>
      <c r="C16" s="80" t="s">
        <v>46</v>
      </c>
      <c r="D16" s="87">
        <f t="shared" ref="D16:M16" si="8">D5/D12</f>
        <v>0.976498301015482</v>
      </c>
      <c r="E16" s="87">
        <f t="shared" si="8"/>
        <v>1.02012052064771</v>
      </c>
      <c r="F16" s="87">
        <f t="shared" si="8"/>
        <v>1.27631299735223</v>
      </c>
      <c r="G16" s="87">
        <f t="shared" si="8"/>
        <v>0.851437689138521</v>
      </c>
      <c r="H16" s="87">
        <f t="shared" si="8"/>
        <v>1.03227781277966</v>
      </c>
      <c r="I16" s="87">
        <f t="shared" si="8"/>
        <v>0.961307582109397</v>
      </c>
      <c r="J16" s="87">
        <f t="shared" si="8"/>
        <v>1.39510370501379</v>
      </c>
      <c r="K16" s="87">
        <f t="shared" si="8"/>
        <v>2.68178967361457</v>
      </c>
      <c r="L16" s="87">
        <f t="shared" si="8"/>
        <v>0.967432915532172</v>
      </c>
      <c r="M16" s="87">
        <f t="shared" si="8"/>
        <v>0.959553781727169</v>
      </c>
      <c r="N16" s="82">
        <f t="shared" si="0"/>
        <v>-0.00814437226447751</v>
      </c>
      <c r="O16" s="83"/>
      <c r="P16" s="86"/>
      <c r="Q16" s="84">
        <v>14</v>
      </c>
      <c r="R16" s="86"/>
      <c r="S16" s="84">
        <v>14</v>
      </c>
      <c r="T16" s="86"/>
    </row>
    <row r="17" s="75" customFormat="1" spans="1:20">
      <c r="A17" s="80"/>
      <c r="B17" s="80"/>
      <c r="C17" s="80" t="s">
        <v>194</v>
      </c>
      <c r="D17" s="87">
        <f t="shared" ref="D17:M17" si="9">D9/D13</f>
        <v>1.43264119074659</v>
      </c>
      <c r="E17" s="87">
        <f t="shared" si="9"/>
        <v>1.48405648990705</v>
      </c>
      <c r="F17" s="87">
        <f t="shared" si="9"/>
        <v>1.8127572304948</v>
      </c>
      <c r="G17" s="87">
        <f t="shared" si="9"/>
        <v>1.0424048385304</v>
      </c>
      <c r="H17" s="87">
        <f t="shared" si="9"/>
        <v>1.25526123409185</v>
      </c>
      <c r="I17" s="87">
        <f t="shared" si="9"/>
        <v>1.12540644452523</v>
      </c>
      <c r="J17" s="87">
        <f t="shared" si="9"/>
        <v>2.2571270543568</v>
      </c>
      <c r="K17" s="87">
        <f t="shared" si="9"/>
        <v>-0.990686561726493</v>
      </c>
      <c r="L17" s="87">
        <f t="shared" si="9"/>
        <v>1.25256106266532</v>
      </c>
      <c r="M17" s="87">
        <f t="shared" si="9"/>
        <v>1.24678652649917</v>
      </c>
      <c r="N17" s="82">
        <f t="shared" si="0"/>
        <v>-0.00461018335813068</v>
      </c>
      <c r="O17" s="83"/>
      <c r="P17" s="86"/>
      <c r="Q17" s="84">
        <v>15</v>
      </c>
      <c r="R17" s="86"/>
      <c r="S17" s="84">
        <v>15</v>
      </c>
      <c r="T17" s="86"/>
    </row>
    <row r="18" s="74" customFormat="1" spans="1:20">
      <c r="A18" s="59" t="s">
        <v>205</v>
      </c>
      <c r="B18" s="90"/>
      <c r="C18" s="78"/>
      <c r="D18" s="79" t="s">
        <v>221</v>
      </c>
      <c r="E18" s="79" t="s">
        <v>222</v>
      </c>
      <c r="F18" s="79" t="s">
        <v>223</v>
      </c>
      <c r="G18" s="79" t="s">
        <v>224</v>
      </c>
      <c r="H18" s="79" t="s">
        <v>225</v>
      </c>
      <c r="I18" s="79" t="s">
        <v>226</v>
      </c>
      <c r="J18" s="59" t="s">
        <v>227</v>
      </c>
      <c r="K18" s="59" t="s">
        <v>228</v>
      </c>
      <c r="L18" s="59" t="s">
        <v>229</v>
      </c>
      <c r="M18" s="59" t="s">
        <v>230</v>
      </c>
      <c r="N18" s="79" t="s">
        <v>216</v>
      </c>
      <c r="O18" s="55" t="s">
        <v>217</v>
      </c>
      <c r="P18" s="55" t="s">
        <v>218</v>
      </c>
      <c r="Q18" s="59" t="s">
        <v>219</v>
      </c>
      <c r="R18" s="78"/>
      <c r="S18" s="90" t="s">
        <v>220</v>
      </c>
      <c r="T18" s="78"/>
    </row>
    <row r="19" spans="1:20">
      <c r="A19" s="91" t="s">
        <v>198</v>
      </c>
      <c r="B19" s="92" t="s">
        <v>189</v>
      </c>
      <c r="C19" s="92" t="s">
        <v>2</v>
      </c>
      <c r="D19" s="81">
        <f>SUMIF('DAZZLE-日报'!$E:$E,D$18,'DAZZLE-日报'!$F:$F)</f>
        <v>2304116</v>
      </c>
      <c r="E19" s="81">
        <f>SUMIF('DAZZLE-日报'!$E:$E,E$18,'DAZZLE-日报'!$F:$F)</f>
        <v>4544258</v>
      </c>
      <c r="F19" s="81">
        <f>SUMIF('DAZZLE-日报'!$E:$E,F$18,'DAZZLE-日报'!$F:$F)</f>
        <v>5227052</v>
      </c>
      <c r="G19" s="81">
        <f>SUMIF('DAZZLE-日报'!$E:$E,G$18,'DAZZLE-日报'!$F:$F)</f>
        <v>5660742.61</v>
      </c>
      <c r="H19" s="81">
        <f>SUMIF('DAZZLE-日报'!$E:$E,H$18,'DAZZLE-日报'!$F:$F)</f>
        <v>5716888.54</v>
      </c>
      <c r="I19" s="81">
        <f>SUMIF('DAZZLE-日报'!$E:$E,I$18,'DAZZLE-日报'!$F:$F)</f>
        <v>5612308.38</v>
      </c>
      <c r="J19" s="81">
        <f>SUMIF('DAZZLE-日报'!$E:$E,J$18,'DAZZLE-日报'!$F:$F)</f>
        <v>4373896.62</v>
      </c>
      <c r="K19" s="81">
        <f>SUMIF('DAZZLE-日报'!$E:$E,K$18,'DAZZLE-日报'!$F:$F)</f>
        <v>1286931.67</v>
      </c>
      <c r="L19" s="81">
        <f>SUMIF('DAZZLE-日报'!$E:$E,L$18,'DAZZLE-日报'!$F:$F)</f>
        <v>3703139.18</v>
      </c>
      <c r="M19" s="81">
        <f>SUMIF('DAZZLE-日报'!$E:$E,M$18,'DAZZLE-日报'!$F:$F)</f>
        <v>4198718.84</v>
      </c>
      <c r="N19" s="82">
        <f>M19/L19-1</f>
        <v>0.133826906284414</v>
      </c>
      <c r="O19" s="83"/>
      <c r="P19" s="86"/>
      <c r="Q19" s="84">
        <v>1</v>
      </c>
      <c r="R19" s="85" t="s">
        <v>238</v>
      </c>
      <c r="S19" s="84">
        <v>1</v>
      </c>
      <c r="T19" s="85" t="s">
        <v>234</v>
      </c>
    </row>
    <row r="20" spans="1:20">
      <c r="A20" s="92"/>
      <c r="B20" s="92"/>
      <c r="C20" s="92" t="s">
        <v>190</v>
      </c>
      <c r="D20" s="81">
        <f>SUMIF('DAZZLE-日报'!$E:$E,D$18,'DAZZLE-日报'!$H:$H)</f>
        <v>-12713.3000000002</v>
      </c>
      <c r="E20" s="81">
        <f>SUMIF('DAZZLE-日报'!$E:$E,E$18,'DAZZLE-日报'!$H:$H)</f>
        <v>834747.6</v>
      </c>
      <c r="F20" s="81">
        <f>SUMIF('DAZZLE-日报'!$E:$E,F$18,'DAZZLE-日报'!$H:$H)</f>
        <v>1003570.07</v>
      </c>
      <c r="G20" s="81">
        <f>SUMIF('DAZZLE-日报'!$E:$E,G$18,'DAZZLE-日报'!$H:$H)</f>
        <v>462810.78</v>
      </c>
      <c r="H20" s="81">
        <f>SUMIF('DAZZLE-日报'!$E:$E,H$18,'DAZZLE-日报'!$H:$H)</f>
        <v>889985.41</v>
      </c>
      <c r="I20" s="81">
        <f>SUMIF('DAZZLE-日报'!$E:$E,I$18,'DAZZLE-日报'!$H:$H)</f>
        <v>770013.94</v>
      </c>
      <c r="J20" s="81">
        <f>SUMIF('DAZZLE-日报'!$E:$E,J$18,'DAZZLE-日报'!$H:$H)</f>
        <v>616238.78</v>
      </c>
      <c r="K20" s="81">
        <f>SUMIF('DAZZLE-日报'!$E:$E,K$18,'DAZZLE-日报'!$H:$H)</f>
        <v>705347.45</v>
      </c>
      <c r="L20" s="81">
        <f>SUMIF('DAZZLE-日报'!$E:$E,L$18,'DAZZLE-日报'!$H:$H)</f>
        <v>115981.19</v>
      </c>
      <c r="M20" s="81">
        <f>SUMIF('DAZZLE-日报'!$E:$E,M$18,'DAZZLE-日报'!$H:$H)</f>
        <v>538936.23</v>
      </c>
      <c r="N20" s="82">
        <f t="shared" ref="N20:N33" si="10">M20/L20-1</f>
        <v>3.64675547819436</v>
      </c>
      <c r="O20" s="83"/>
      <c r="P20" s="86"/>
      <c r="Q20" s="84">
        <v>2</v>
      </c>
      <c r="R20" s="85" t="s">
        <v>239</v>
      </c>
      <c r="S20" s="84">
        <v>2</v>
      </c>
      <c r="T20" s="85" t="s">
        <v>240</v>
      </c>
    </row>
    <row r="21" spans="1:20">
      <c r="A21" s="92"/>
      <c r="B21" s="92"/>
      <c r="C21" s="92" t="s">
        <v>46</v>
      </c>
      <c r="D21" s="87">
        <f t="shared" ref="D21:M21" si="11">1-D20/D19</f>
        <v>1.005517647549</v>
      </c>
      <c r="E21" s="87">
        <f t="shared" si="11"/>
        <v>0.816307172700142</v>
      </c>
      <c r="F21" s="87">
        <f t="shared" si="11"/>
        <v>0.80800457504536</v>
      </c>
      <c r="G21" s="87">
        <f t="shared" si="11"/>
        <v>0.918242037858704</v>
      </c>
      <c r="H21" s="87">
        <f t="shared" si="11"/>
        <v>0.844323463056357</v>
      </c>
      <c r="I21" s="87">
        <f t="shared" si="11"/>
        <v>0.862799068072592</v>
      </c>
      <c r="J21" s="87">
        <f t="shared" si="11"/>
        <v>0.859109889067291</v>
      </c>
      <c r="K21" s="87">
        <f t="shared" si="11"/>
        <v>0.451915384132244</v>
      </c>
      <c r="L21" s="87">
        <f t="shared" si="11"/>
        <v>0.968680304908227</v>
      </c>
      <c r="M21" s="87">
        <f t="shared" si="11"/>
        <v>0.871642696132518</v>
      </c>
      <c r="N21" s="82">
        <f t="shared" si="10"/>
        <v>-0.10017506114662</v>
      </c>
      <c r="O21" s="83"/>
      <c r="P21" s="86"/>
      <c r="Q21" s="84">
        <v>3</v>
      </c>
      <c r="R21" s="86"/>
      <c r="S21" s="84">
        <v>3</v>
      </c>
      <c r="T21" s="85" t="s">
        <v>241</v>
      </c>
    </row>
    <row r="22" spans="1:20">
      <c r="A22" s="92"/>
      <c r="B22" s="92"/>
      <c r="C22" s="92" t="s">
        <v>191</v>
      </c>
      <c r="D22" s="81">
        <f>SUMIF('DAZZLE-日报'!$E:$E,D$18,'DAZZLE-日报'!$I:$I)</f>
        <v>649679.93</v>
      </c>
      <c r="E22" s="81">
        <f>SUMIF('DAZZLE-日报'!$E:$E,E$18,'DAZZLE-日报'!$I:$I)</f>
        <v>971970.08</v>
      </c>
      <c r="F22" s="81">
        <f>SUMIF('DAZZLE-日报'!$E:$E,F$18,'DAZZLE-日报'!$I:$I)</f>
        <v>1371054.37</v>
      </c>
      <c r="G22" s="81">
        <f>SUMIF('DAZZLE-日报'!$E:$E,G$18,'DAZZLE-日报'!$I:$I)</f>
        <v>2123815.62</v>
      </c>
      <c r="H22" s="81">
        <f>SUMIF('DAZZLE-日报'!$E:$E,H$18,'DAZZLE-日报'!$I:$I)</f>
        <v>2063634.99</v>
      </c>
      <c r="I22" s="81">
        <f>SUMIF('DAZZLE-日报'!$E:$E,I$18,'DAZZLE-日报'!$I:$I)</f>
        <v>2236801.15</v>
      </c>
      <c r="J22" s="81">
        <f>SUMIF('DAZZLE-日报'!$E:$E,J$18,'DAZZLE-日报'!$I:$I)</f>
        <v>1415399.32</v>
      </c>
      <c r="K22" s="81">
        <f>SUMIF('DAZZLE-日报'!$E:$E,K$18,'DAZZLE-日报'!$I:$I)</f>
        <v>595333.78</v>
      </c>
      <c r="L22" s="81">
        <f>SUMIF('DAZZLE-日报'!$E:$E,L$18,'DAZZLE-日报'!$I:$I)</f>
        <v>1016540.79</v>
      </c>
      <c r="M22" s="81">
        <f>SUMIF('DAZZLE-日报'!$E:$E,M$18,'DAZZLE-日报'!$I:$I)</f>
        <v>1656604.57</v>
      </c>
      <c r="N22" s="82">
        <f t="shared" si="10"/>
        <v>0.629648889937806</v>
      </c>
      <c r="O22" s="83"/>
      <c r="P22" s="86"/>
      <c r="Q22" s="84">
        <v>4</v>
      </c>
      <c r="R22" s="86"/>
      <c r="S22" s="84">
        <v>4</v>
      </c>
      <c r="T22" s="86"/>
    </row>
    <row r="23" spans="1:20">
      <c r="A23" s="92"/>
      <c r="B23" s="92"/>
      <c r="C23" s="92" t="s">
        <v>192</v>
      </c>
      <c r="D23" s="87">
        <f t="shared" ref="D23:M23" si="12">D22/D19</f>
        <v>0.281964940133222</v>
      </c>
      <c r="E23" s="87">
        <f t="shared" si="12"/>
        <v>0.213889721930401</v>
      </c>
      <c r="F23" s="87">
        <f t="shared" si="12"/>
        <v>0.262299737978501</v>
      </c>
      <c r="G23" s="87">
        <f t="shared" si="12"/>
        <v>0.375183216464951</v>
      </c>
      <c r="H23" s="87">
        <f t="shared" si="12"/>
        <v>0.360971702624799</v>
      </c>
      <c r="I23" s="87">
        <f t="shared" si="12"/>
        <v>0.398552787649919</v>
      </c>
      <c r="J23" s="87">
        <f t="shared" si="12"/>
        <v>0.323601457228772</v>
      </c>
      <c r="K23" s="87">
        <f t="shared" si="12"/>
        <v>0.462599370174797</v>
      </c>
      <c r="L23" s="87">
        <f t="shared" si="12"/>
        <v>0.274507854171444</v>
      </c>
      <c r="M23" s="87">
        <f t="shared" si="12"/>
        <v>0.39455001230804</v>
      </c>
      <c r="N23" s="82">
        <f t="shared" si="10"/>
        <v>0.437299539202343</v>
      </c>
      <c r="O23" s="83"/>
      <c r="P23" s="86"/>
      <c r="Q23" s="84">
        <v>5</v>
      </c>
      <c r="R23" s="86"/>
      <c r="S23" s="84">
        <v>5</v>
      </c>
      <c r="T23" s="86"/>
    </row>
    <row r="24" spans="1:20">
      <c r="A24" s="92"/>
      <c r="B24" s="92"/>
      <c r="C24" s="92" t="s">
        <v>193</v>
      </c>
      <c r="D24" s="81">
        <f>SUMIF('DAZZLE-日报'!$E:$E,D$18,'DAZZLE-日报'!$K:$K)</f>
        <v>8995.83</v>
      </c>
      <c r="E24" s="81">
        <f>SUMIF('DAZZLE-日报'!$E:$E,E$18,'DAZZLE-日报'!$K:$K)</f>
        <v>16811.44</v>
      </c>
      <c r="F24" s="81">
        <f>SUMIF('DAZZLE-日报'!$E:$E,F$18,'DAZZLE-日报'!$K:$K)</f>
        <v>16632.25</v>
      </c>
      <c r="G24" s="81">
        <f>SUMIF('DAZZLE-日报'!$E:$E,G$18,'DAZZLE-日报'!$K:$K)</f>
        <v>14811.17</v>
      </c>
      <c r="H24" s="81">
        <f>SUMIF('DAZZLE-日报'!$E:$E,H$18,'DAZZLE-日报'!$K:$K)</f>
        <v>17959.67</v>
      </c>
      <c r="I24" s="81">
        <f>SUMIF('DAZZLE-日报'!$E:$E,I$18,'DAZZLE-日报'!$K:$K)</f>
        <v>15945.6</v>
      </c>
      <c r="J24" s="81">
        <f>SUMIF('DAZZLE-日报'!$E:$E,J$18,'DAZZLE-日报'!$K:$K)</f>
        <v>13574.59</v>
      </c>
      <c r="K24" s="81">
        <f>SUMIF('DAZZLE-日报'!$E:$E,K$18,'DAZZLE-日报'!$K:$K)</f>
        <v>3247.74</v>
      </c>
      <c r="L24" s="81">
        <f>SUMIF('DAZZLE-日报'!$E:$E,L$18,'DAZZLE-日报'!$K:$K)</f>
        <v>12018.76</v>
      </c>
      <c r="M24" s="81">
        <f>SUMIF('DAZZLE-日报'!$E:$E,M$18,'DAZZLE-日报'!$K:$K)</f>
        <v>10588.05</v>
      </c>
      <c r="N24" s="82">
        <f t="shared" si="10"/>
        <v>-0.119039734548323</v>
      </c>
      <c r="O24" s="83"/>
      <c r="P24" s="86"/>
      <c r="Q24" s="84">
        <v>6</v>
      </c>
      <c r="R24" s="86"/>
      <c r="S24" s="84">
        <v>6</v>
      </c>
      <c r="T24" s="86"/>
    </row>
    <row r="25" spans="1:20">
      <c r="A25" s="92"/>
      <c r="B25" s="92"/>
      <c r="C25" s="92" t="s">
        <v>194</v>
      </c>
      <c r="D25" s="88">
        <f t="shared" ref="D25:M25" si="13">D24/D20</f>
        <v>-0.707592049271227</v>
      </c>
      <c r="E25" s="88">
        <f t="shared" si="13"/>
        <v>0.0201395487689932</v>
      </c>
      <c r="F25" s="88">
        <f t="shared" si="13"/>
        <v>0.0165730829338105</v>
      </c>
      <c r="G25" s="88">
        <f t="shared" si="13"/>
        <v>0.0320026469564948</v>
      </c>
      <c r="H25" s="88">
        <f t="shared" si="13"/>
        <v>0.0201797353059979</v>
      </c>
      <c r="I25" s="88">
        <f t="shared" si="13"/>
        <v>0.020708196529533</v>
      </c>
      <c r="J25" s="88">
        <f t="shared" si="13"/>
        <v>0.0220281333154658</v>
      </c>
      <c r="K25" s="88">
        <f t="shared" si="13"/>
        <v>0.00460445415943589</v>
      </c>
      <c r="L25" s="88">
        <f t="shared" si="13"/>
        <v>0.103626803622208</v>
      </c>
      <c r="M25" s="88">
        <f t="shared" si="13"/>
        <v>0.0196462019263392</v>
      </c>
      <c r="N25" s="82">
        <f t="shared" si="10"/>
        <v>-0.810413896408855</v>
      </c>
      <c r="O25" s="83"/>
      <c r="P25" s="86"/>
      <c r="Q25" s="84">
        <v>7</v>
      </c>
      <c r="R25" s="86"/>
      <c r="S25" s="84">
        <v>7</v>
      </c>
      <c r="T25" s="86"/>
    </row>
    <row r="26" spans="1:20">
      <c r="A26" s="92"/>
      <c r="B26" s="92" t="s">
        <v>195</v>
      </c>
      <c r="C26" s="92" t="s">
        <v>2</v>
      </c>
      <c r="D26" s="81">
        <v>2400000</v>
      </c>
      <c r="E26" s="81">
        <v>4200000</v>
      </c>
      <c r="F26" s="81">
        <v>4200000</v>
      </c>
      <c r="G26" s="81">
        <v>4200000</v>
      </c>
      <c r="H26" s="81">
        <v>4200000</v>
      </c>
      <c r="I26" s="81">
        <v>3000000</v>
      </c>
      <c r="J26" s="81">
        <v>3000000</v>
      </c>
      <c r="K26" s="81">
        <v>2000000</v>
      </c>
      <c r="L26" s="81">
        <v>3000000</v>
      </c>
      <c r="M26" s="81">
        <v>4000000</v>
      </c>
      <c r="N26" s="82">
        <f t="shared" si="10"/>
        <v>0.333333333333333</v>
      </c>
      <c r="O26" s="83"/>
      <c r="P26" s="86"/>
      <c r="Q26" s="84">
        <v>8</v>
      </c>
      <c r="R26" s="86"/>
      <c r="S26" s="84">
        <v>8</v>
      </c>
      <c r="T26" s="86"/>
    </row>
    <row r="27" spans="1:20">
      <c r="A27" s="92"/>
      <c r="B27" s="92"/>
      <c r="C27" s="92" t="s">
        <v>190</v>
      </c>
      <c r="D27" s="81">
        <f t="shared" ref="D27:L27" si="14">D26*(1-84%)</f>
        <v>384000</v>
      </c>
      <c r="E27" s="81">
        <f t="shared" si="14"/>
        <v>672000</v>
      </c>
      <c r="F27" s="81">
        <f t="shared" si="14"/>
        <v>672000</v>
      </c>
      <c r="G27" s="81">
        <f t="shared" si="14"/>
        <v>672000</v>
      </c>
      <c r="H27" s="81">
        <f t="shared" si="14"/>
        <v>672000</v>
      </c>
      <c r="I27" s="81">
        <f t="shared" ref="I27:M27" si="15">I26*(1-85%)</f>
        <v>450000</v>
      </c>
      <c r="J27" s="81">
        <f t="shared" si="15"/>
        <v>450000</v>
      </c>
      <c r="K27" s="81">
        <f t="shared" si="15"/>
        <v>300000</v>
      </c>
      <c r="L27" s="81">
        <f t="shared" si="15"/>
        <v>450000</v>
      </c>
      <c r="M27" s="81">
        <f t="shared" si="15"/>
        <v>600000</v>
      </c>
      <c r="N27" s="82">
        <f t="shared" si="10"/>
        <v>0.333333333333333</v>
      </c>
      <c r="O27" s="83"/>
      <c r="P27" s="86"/>
      <c r="Q27" s="84">
        <v>9</v>
      </c>
      <c r="R27" s="86"/>
      <c r="S27" s="84">
        <v>9</v>
      </c>
      <c r="T27" s="86"/>
    </row>
    <row r="28" spans="1:20">
      <c r="A28" s="92"/>
      <c r="B28" s="92"/>
      <c r="C28" s="92" t="s">
        <v>46</v>
      </c>
      <c r="D28" s="87">
        <f t="shared" ref="D28:M28" si="16">1-D27/D26</f>
        <v>0.84</v>
      </c>
      <c r="E28" s="87">
        <f t="shared" si="16"/>
        <v>0.84</v>
      </c>
      <c r="F28" s="87">
        <f t="shared" si="16"/>
        <v>0.84</v>
      </c>
      <c r="G28" s="87">
        <f t="shared" si="16"/>
        <v>0.84</v>
      </c>
      <c r="H28" s="87">
        <f t="shared" si="16"/>
        <v>0.84</v>
      </c>
      <c r="I28" s="87">
        <f t="shared" si="16"/>
        <v>0.85</v>
      </c>
      <c r="J28" s="87">
        <f t="shared" si="16"/>
        <v>0.85</v>
      </c>
      <c r="K28" s="87">
        <f t="shared" si="16"/>
        <v>0.85</v>
      </c>
      <c r="L28" s="87">
        <f t="shared" si="16"/>
        <v>0.85</v>
      </c>
      <c r="M28" s="87">
        <f t="shared" si="16"/>
        <v>0.85</v>
      </c>
      <c r="N28" s="82">
        <f t="shared" si="10"/>
        <v>0</v>
      </c>
      <c r="O28" s="83"/>
      <c r="P28" s="86"/>
      <c r="Q28" s="84">
        <v>10</v>
      </c>
      <c r="R28" s="86"/>
      <c r="S28" s="84">
        <v>10</v>
      </c>
      <c r="T28" s="86"/>
    </row>
    <row r="29" spans="1:20">
      <c r="A29" s="92"/>
      <c r="B29" s="92"/>
      <c r="C29" s="92" t="s">
        <v>194</v>
      </c>
      <c r="D29" s="89">
        <v>0.03</v>
      </c>
      <c r="E29" s="89">
        <v>0.03</v>
      </c>
      <c r="F29" s="89">
        <v>0.03</v>
      </c>
      <c r="G29" s="89">
        <v>0.03</v>
      </c>
      <c r="H29" s="89">
        <v>0.03</v>
      </c>
      <c r="I29" s="89">
        <v>0.03</v>
      </c>
      <c r="J29" s="89">
        <v>0.03</v>
      </c>
      <c r="K29" s="89">
        <v>0.03</v>
      </c>
      <c r="L29" s="89">
        <v>0.03</v>
      </c>
      <c r="M29" s="89">
        <v>0.03</v>
      </c>
      <c r="N29" s="82">
        <f t="shared" si="10"/>
        <v>0</v>
      </c>
      <c r="O29" s="83"/>
      <c r="P29" s="86"/>
      <c r="Q29" s="84">
        <v>11</v>
      </c>
      <c r="R29" s="86"/>
      <c r="S29" s="84">
        <v>11</v>
      </c>
      <c r="T29" s="86"/>
    </row>
    <row r="30" spans="1:20">
      <c r="A30" s="92"/>
      <c r="B30" s="92" t="s">
        <v>196</v>
      </c>
      <c r="C30" s="92" t="s">
        <v>2</v>
      </c>
      <c r="D30" s="87">
        <f t="shared" ref="D30:D32" si="17">D19/D26</f>
        <v>0.960048333333333</v>
      </c>
      <c r="E30" s="87">
        <f t="shared" ref="E30:E32" si="18">E19/E26</f>
        <v>1.08196619047619</v>
      </c>
      <c r="F30" s="87">
        <f t="shared" ref="F30:M30" si="19">F19/F26</f>
        <v>1.24453619047619</v>
      </c>
      <c r="G30" s="87">
        <f t="shared" si="19"/>
        <v>1.34779585952381</v>
      </c>
      <c r="H30" s="87">
        <f t="shared" si="19"/>
        <v>1.36116393809524</v>
      </c>
      <c r="I30" s="87">
        <f t="shared" si="19"/>
        <v>1.87076946</v>
      </c>
      <c r="J30" s="87">
        <f t="shared" si="19"/>
        <v>1.45796554</v>
      </c>
      <c r="K30" s="87">
        <f t="shared" si="19"/>
        <v>0.643465835</v>
      </c>
      <c r="L30" s="87">
        <f t="shared" si="19"/>
        <v>1.23437972666667</v>
      </c>
      <c r="M30" s="87">
        <f t="shared" si="19"/>
        <v>1.04967971</v>
      </c>
      <c r="N30" s="82">
        <f t="shared" si="10"/>
        <v>-0.14962982028669</v>
      </c>
      <c r="O30" s="83"/>
      <c r="P30" s="86"/>
      <c r="Q30" s="84">
        <v>12</v>
      </c>
      <c r="R30" s="86"/>
      <c r="S30" s="84">
        <v>12</v>
      </c>
      <c r="T30" s="86"/>
    </row>
    <row r="31" spans="1:20">
      <c r="A31" s="92"/>
      <c r="B31" s="92"/>
      <c r="C31" s="92" t="s">
        <v>190</v>
      </c>
      <c r="D31" s="87">
        <f t="shared" si="17"/>
        <v>-0.0331075520833338</v>
      </c>
      <c r="E31" s="87">
        <f t="shared" si="18"/>
        <v>1.24218392857143</v>
      </c>
      <c r="F31" s="87">
        <f t="shared" ref="F31:M31" si="20">F20/F27</f>
        <v>1.4934078422619</v>
      </c>
      <c r="G31" s="87">
        <f t="shared" si="20"/>
        <v>0.688706517857143</v>
      </c>
      <c r="H31" s="87">
        <f t="shared" si="20"/>
        <v>1.32438305059524</v>
      </c>
      <c r="I31" s="87">
        <f t="shared" si="20"/>
        <v>1.71114208888889</v>
      </c>
      <c r="J31" s="87">
        <f t="shared" si="20"/>
        <v>1.36941951111111</v>
      </c>
      <c r="K31" s="87">
        <f t="shared" si="20"/>
        <v>2.35115816666667</v>
      </c>
      <c r="L31" s="87">
        <f t="shared" si="20"/>
        <v>0.257735977777777</v>
      </c>
      <c r="M31" s="87">
        <f t="shared" si="20"/>
        <v>0.89822705</v>
      </c>
      <c r="N31" s="82">
        <f t="shared" si="10"/>
        <v>2.48506660864577</v>
      </c>
      <c r="O31" s="83"/>
      <c r="P31" s="86"/>
      <c r="Q31" s="84">
        <v>13</v>
      </c>
      <c r="R31" s="86"/>
      <c r="S31" s="84">
        <v>13</v>
      </c>
      <c r="T31" s="86"/>
    </row>
    <row r="32" spans="1:20">
      <c r="A32" s="92"/>
      <c r="B32" s="92"/>
      <c r="C32" s="92" t="s">
        <v>46</v>
      </c>
      <c r="D32" s="87">
        <f t="shared" si="17"/>
        <v>1.19704481851071</v>
      </c>
      <c r="E32" s="87">
        <f t="shared" si="18"/>
        <v>0.971794253214454</v>
      </c>
      <c r="F32" s="87">
        <f t="shared" ref="F32:M32" si="21">F21/F28</f>
        <v>0.961910208387334</v>
      </c>
      <c r="G32" s="87">
        <f t="shared" si="21"/>
        <v>1.09314528316512</v>
      </c>
      <c r="H32" s="87">
        <f t="shared" si="21"/>
        <v>1.005146979829</v>
      </c>
      <c r="I32" s="87">
        <f t="shared" si="21"/>
        <v>1.01505772714423</v>
      </c>
      <c r="J32" s="87">
        <f t="shared" si="21"/>
        <v>1.01071751654975</v>
      </c>
      <c r="K32" s="87">
        <f t="shared" si="21"/>
        <v>0.53166515780264</v>
      </c>
      <c r="L32" s="87">
        <f t="shared" si="21"/>
        <v>1.13962388812733</v>
      </c>
      <c r="M32" s="87">
        <f t="shared" si="21"/>
        <v>1.02546199545002</v>
      </c>
      <c r="N32" s="82">
        <f t="shared" si="10"/>
        <v>-0.10017506114662</v>
      </c>
      <c r="O32" s="83"/>
      <c r="P32" s="86"/>
      <c r="Q32" s="84">
        <v>14</v>
      </c>
      <c r="R32" s="86"/>
      <c r="S32" s="84">
        <v>14</v>
      </c>
      <c r="T32" s="86"/>
    </row>
    <row r="33" spans="1:20">
      <c r="A33" s="92"/>
      <c r="B33" s="92"/>
      <c r="C33" s="92" t="s">
        <v>194</v>
      </c>
      <c r="D33" s="87">
        <f t="shared" ref="D33:M33" si="22">D25/D29</f>
        <v>-23.5864016423742</v>
      </c>
      <c r="E33" s="87">
        <f t="shared" si="22"/>
        <v>0.671318292299772</v>
      </c>
      <c r="F33" s="87">
        <f t="shared" si="22"/>
        <v>0.552436097793683</v>
      </c>
      <c r="G33" s="87">
        <f t="shared" si="22"/>
        <v>1.06675489854983</v>
      </c>
      <c r="H33" s="87">
        <f t="shared" si="22"/>
        <v>0.672657843533263</v>
      </c>
      <c r="I33" s="87">
        <f t="shared" si="22"/>
        <v>0.690273217651099</v>
      </c>
      <c r="J33" s="87">
        <f t="shared" si="22"/>
        <v>0.734271110515527</v>
      </c>
      <c r="K33" s="87">
        <f t="shared" si="22"/>
        <v>0.15348180531453</v>
      </c>
      <c r="L33" s="87">
        <f t="shared" si="22"/>
        <v>3.45422678740694</v>
      </c>
      <c r="M33" s="87">
        <f t="shared" si="22"/>
        <v>0.654873397544641</v>
      </c>
      <c r="N33" s="82">
        <f t="shared" si="10"/>
        <v>-0.810413896408855</v>
      </c>
      <c r="O33" s="83"/>
      <c r="P33" s="86"/>
      <c r="Q33" s="84">
        <v>15</v>
      </c>
      <c r="R33" s="86"/>
      <c r="S33" s="84">
        <v>15</v>
      </c>
      <c r="T33" s="86"/>
    </row>
    <row r="34" spans="1:20">
      <c r="A34" s="59" t="s">
        <v>205</v>
      </c>
      <c r="B34" s="90"/>
      <c r="C34" s="78"/>
      <c r="D34" s="79" t="s">
        <v>221</v>
      </c>
      <c r="E34" s="79" t="s">
        <v>222</v>
      </c>
      <c r="F34" s="79" t="s">
        <v>223</v>
      </c>
      <c r="G34" s="79" t="s">
        <v>224</v>
      </c>
      <c r="H34" s="79" t="s">
        <v>225</v>
      </c>
      <c r="I34" s="79" t="s">
        <v>226</v>
      </c>
      <c r="J34" s="59" t="s">
        <v>227</v>
      </c>
      <c r="K34" s="59" t="s">
        <v>228</v>
      </c>
      <c r="L34" s="59" t="s">
        <v>229</v>
      </c>
      <c r="M34" s="59" t="s">
        <v>230</v>
      </c>
      <c r="N34" s="79" t="s">
        <v>216</v>
      </c>
      <c r="O34" s="55" t="s">
        <v>217</v>
      </c>
      <c r="P34" s="55" t="s">
        <v>218</v>
      </c>
      <c r="Q34" s="59" t="s">
        <v>219</v>
      </c>
      <c r="R34" s="78"/>
      <c r="S34" s="90" t="s">
        <v>220</v>
      </c>
      <c r="T34" s="78"/>
    </row>
    <row r="35" spans="1:20">
      <c r="A35" s="93" t="s">
        <v>199</v>
      </c>
      <c r="B35" s="94" t="s">
        <v>189</v>
      </c>
      <c r="C35" s="94" t="s">
        <v>2</v>
      </c>
      <c r="D35" s="81">
        <f>SUMIF('DAZZLE（视频号）-日报'!$E:$E,D$34,'DAZZLE（视频号）-日报'!$F:$F)</f>
        <v>168425</v>
      </c>
      <c r="E35" s="81">
        <f>SUMIF('DAZZLE（视频号）-日报'!$E:$E,E$34,'DAZZLE（视频号）-日报'!$F:$F)</f>
        <v>451947</v>
      </c>
      <c r="F35" s="81">
        <f>SUMIF('DAZZLE（视频号）-日报'!$E:$E,F$34,'DAZZLE（视频号）-日报'!$F:$F)</f>
        <v>451358</v>
      </c>
      <c r="G35" s="81">
        <f>SUMIF('DAZZLE（视频号）-日报'!$E:$E,G$34,'DAZZLE（视频号）-日报'!$F:$F)</f>
        <v>362779</v>
      </c>
      <c r="H35" s="81">
        <f>SUMIF('DAZZLE（视频号）-日报'!$E:$E,H$34,'DAZZLE（视频号）-日报'!$F:$F)</f>
        <v>328764</v>
      </c>
      <c r="I35" s="81">
        <f>SUMIF('DAZZLE（视频号）-日报'!$E:$E,I$34,'DAZZLE（视频号）-日报'!$F:$F)</f>
        <v>297402</v>
      </c>
      <c r="J35" s="81">
        <f>SUMIF('DAZZLE（视频号）-日报'!$E:$E,J$34,'DAZZLE（视频号）-日报'!$F:$F)</f>
        <v>378348</v>
      </c>
      <c r="K35" s="81">
        <f>SUMIF('DAZZLE（视频号）-日报'!$E:$E,K$34,'DAZZLE（视频号）-日报'!$F:$F)</f>
        <v>195708</v>
      </c>
      <c r="L35" s="81">
        <f>SUMIF('DAZZLE（视频号）-日报'!$E:$E,L$34,'DAZZLE（视频号）-日报'!$F:$F)</f>
        <v>357478</v>
      </c>
      <c r="M35" s="81">
        <f>SUMIF('DAZZLE（视频号）-日报'!$E:$E,M$34,'DAZZLE（视频号）-日报'!$F:$F)</f>
        <v>430167</v>
      </c>
      <c r="N35" s="82">
        <f>M35/L35-1</f>
        <v>0.203338387257398</v>
      </c>
      <c r="O35" s="86"/>
      <c r="P35" s="86"/>
      <c r="Q35" s="84">
        <v>1</v>
      </c>
      <c r="R35" s="86"/>
      <c r="S35" s="84">
        <v>1</v>
      </c>
      <c r="T35" s="86"/>
    </row>
    <row r="36" spans="1:20">
      <c r="A36" s="94"/>
      <c r="B36" s="94"/>
      <c r="C36" s="94" t="s">
        <v>190</v>
      </c>
      <c r="D36" s="81">
        <f>SUMIF('DAZZLE（视频号）-日报'!$E:$E,D$34,'DAZZLE（视频号）-日报'!$G:$G)</f>
        <v>7352.03</v>
      </c>
      <c r="E36" s="81">
        <f>SUMIF('DAZZLE（视频号）-日报'!$E:$E,E$34,'DAZZLE（视频号）-日报'!$G:$G)</f>
        <v>125929</v>
      </c>
      <c r="F36" s="81">
        <f>SUMIF('DAZZLE（视频号）-日报'!$E:$E,F$34,'DAZZLE（视频号）-日报'!$G:$G)</f>
        <v>53154</v>
      </c>
      <c r="G36" s="81">
        <f>SUMIF('DAZZLE（视频号）-日报'!$E:$E,G$34,'DAZZLE（视频号）-日报'!$G:$G)</f>
        <v>21738.25</v>
      </c>
      <c r="H36" s="81">
        <f>SUMIF('DAZZLE（视频号）-日报'!$E:$E,H$34,'DAZZLE（视频号）-日报'!$G:$G)</f>
        <v>58085.32</v>
      </c>
      <c r="I36" s="81">
        <f>SUMIF('DAZZLE（视频号）-日报'!$E:$E,I$34,'DAZZLE（视频号）-日报'!$G:$G)</f>
        <v>37837.39</v>
      </c>
      <c r="J36" s="81">
        <f>SUMIF('DAZZLE（视频号）-日报'!$E:$E,J$34,'DAZZLE（视频号）-日报'!$G:$G)</f>
        <v>107610.75</v>
      </c>
      <c r="K36" s="81">
        <f>SUMIF('DAZZLE（视频号）-日报'!$E:$E,K$34,'DAZZLE（视频号）-日报'!$G:$G)</f>
        <v>130656</v>
      </c>
      <c r="L36" s="81">
        <f>SUMIF('DAZZLE（视频号）-日报'!$E:$E,L$34,'DAZZLE（视频号）-日报'!$G:$G)</f>
        <v>39763.37</v>
      </c>
      <c r="M36" s="81">
        <f>SUMIF('DAZZLE（视频号）-日报'!$E:$E,M$34,'DAZZLE（视频号）-日报'!$G:$G)</f>
        <v>118456</v>
      </c>
      <c r="N36" s="82">
        <f t="shared" ref="N36:N43" si="23">M36/L36-1</f>
        <v>1.97902315623651</v>
      </c>
      <c r="O36" s="86"/>
      <c r="P36" s="86"/>
      <c r="Q36" s="84">
        <v>2</v>
      </c>
      <c r="R36" s="86"/>
      <c r="S36" s="84">
        <v>2</v>
      </c>
      <c r="T36" s="86"/>
    </row>
    <row r="37" spans="1:20">
      <c r="A37" s="94"/>
      <c r="B37" s="94"/>
      <c r="C37" s="94" t="s">
        <v>46</v>
      </c>
      <c r="D37" s="87">
        <f t="shared" ref="D37:M37" si="24">1-D36/D35</f>
        <v>0.956348344960665</v>
      </c>
      <c r="E37" s="87">
        <f t="shared" si="24"/>
        <v>0.72136334570204</v>
      </c>
      <c r="F37" s="87">
        <f t="shared" si="24"/>
        <v>0.88223538743082</v>
      </c>
      <c r="G37" s="87">
        <f t="shared" si="24"/>
        <v>0.94007853266038</v>
      </c>
      <c r="H37" s="87">
        <f t="shared" si="24"/>
        <v>0.823322139893662</v>
      </c>
      <c r="I37" s="87">
        <f t="shared" si="24"/>
        <v>0.87277358592074</v>
      </c>
      <c r="J37" s="87">
        <f t="shared" si="24"/>
        <v>0.715577325636715</v>
      </c>
      <c r="K37" s="87">
        <f t="shared" si="24"/>
        <v>0.332393157152493</v>
      </c>
      <c r="L37" s="87">
        <f t="shared" si="24"/>
        <v>0.888766945098719</v>
      </c>
      <c r="M37" s="87">
        <f t="shared" si="24"/>
        <v>0.724627877080297</v>
      </c>
      <c r="N37" s="82">
        <f t="shared" si="23"/>
        <v>-0.1846817874175</v>
      </c>
      <c r="O37" s="86"/>
      <c r="P37" s="86"/>
      <c r="Q37" s="84">
        <v>3</v>
      </c>
      <c r="R37" s="86"/>
      <c r="S37" s="84">
        <v>3</v>
      </c>
      <c r="T37" s="86"/>
    </row>
    <row r="38" spans="1:20">
      <c r="A38" s="94"/>
      <c r="B38" s="94" t="s">
        <v>195</v>
      </c>
      <c r="C38" s="94" t="s">
        <v>2</v>
      </c>
      <c r="D38" s="81">
        <v>800000</v>
      </c>
      <c r="E38" s="81">
        <v>1400000</v>
      </c>
      <c r="F38" s="81">
        <v>1400000</v>
      </c>
      <c r="G38" s="81">
        <v>1400000</v>
      </c>
      <c r="H38" s="81">
        <v>1400000</v>
      </c>
      <c r="I38" s="81">
        <v>650000</v>
      </c>
      <c r="J38" s="81">
        <v>650000</v>
      </c>
      <c r="K38" s="81">
        <v>650000</v>
      </c>
      <c r="L38" s="81">
        <v>650000</v>
      </c>
      <c r="M38" s="81">
        <v>650000</v>
      </c>
      <c r="N38" s="82">
        <f t="shared" si="23"/>
        <v>0</v>
      </c>
      <c r="O38" s="86"/>
      <c r="P38" s="86"/>
      <c r="Q38" s="84">
        <v>8</v>
      </c>
      <c r="R38" s="86"/>
      <c r="S38" s="84">
        <v>8</v>
      </c>
      <c r="T38" s="86"/>
    </row>
    <row r="39" spans="1:20">
      <c r="A39" s="94"/>
      <c r="B39" s="94"/>
      <c r="C39" s="94" t="s">
        <v>190</v>
      </c>
      <c r="D39" s="81">
        <f>D38*0.2</f>
        <v>160000</v>
      </c>
      <c r="E39" s="81">
        <f>E38*0.2</f>
        <v>280000</v>
      </c>
      <c r="F39" s="81">
        <f>F38*0.2</f>
        <v>280000</v>
      </c>
      <c r="G39" s="81">
        <f>G38*0.23</f>
        <v>322000</v>
      </c>
      <c r="H39" s="81">
        <f>H38*0.23</f>
        <v>322000</v>
      </c>
      <c r="I39" s="81">
        <f t="shared" ref="I39:M39" si="25">I38*0.22</f>
        <v>143000</v>
      </c>
      <c r="J39" s="81">
        <f t="shared" si="25"/>
        <v>143000</v>
      </c>
      <c r="K39" s="81">
        <f t="shared" si="25"/>
        <v>143000</v>
      </c>
      <c r="L39" s="81">
        <f t="shared" si="25"/>
        <v>143000</v>
      </c>
      <c r="M39" s="81">
        <f t="shared" si="25"/>
        <v>143000</v>
      </c>
      <c r="N39" s="82">
        <f t="shared" si="23"/>
        <v>0</v>
      </c>
      <c r="O39" s="86"/>
      <c r="P39" s="86"/>
      <c r="Q39" s="84">
        <v>9</v>
      </c>
      <c r="R39" s="86"/>
      <c r="S39" s="84">
        <v>9</v>
      </c>
      <c r="T39" s="86"/>
    </row>
    <row r="40" spans="1:20">
      <c r="A40" s="94"/>
      <c r="B40" s="94"/>
      <c r="C40" s="94" t="s">
        <v>46</v>
      </c>
      <c r="D40" s="87">
        <f t="shared" ref="D40:M40" si="26">1-D39/D38</f>
        <v>0.8</v>
      </c>
      <c r="E40" s="87">
        <f t="shared" si="26"/>
        <v>0.8</v>
      </c>
      <c r="F40" s="87">
        <f t="shared" si="26"/>
        <v>0.8</v>
      </c>
      <c r="G40" s="87">
        <f t="shared" si="26"/>
        <v>0.77</v>
      </c>
      <c r="H40" s="87">
        <f t="shared" si="26"/>
        <v>0.77</v>
      </c>
      <c r="I40" s="87">
        <f t="shared" si="26"/>
        <v>0.78</v>
      </c>
      <c r="J40" s="87">
        <f t="shared" si="26"/>
        <v>0.78</v>
      </c>
      <c r="K40" s="87">
        <f t="shared" si="26"/>
        <v>0.78</v>
      </c>
      <c r="L40" s="87">
        <f t="shared" si="26"/>
        <v>0.78</v>
      </c>
      <c r="M40" s="87">
        <f t="shared" si="26"/>
        <v>0.78</v>
      </c>
      <c r="N40" s="82">
        <f t="shared" si="23"/>
        <v>0</v>
      </c>
      <c r="O40" s="86"/>
      <c r="P40" s="86"/>
      <c r="Q40" s="84">
        <v>10</v>
      </c>
      <c r="R40" s="86"/>
      <c r="S40" s="84">
        <v>10</v>
      </c>
      <c r="T40" s="86"/>
    </row>
    <row r="41" spans="1:20">
      <c r="A41" s="94"/>
      <c r="B41" s="94" t="s">
        <v>196</v>
      </c>
      <c r="C41" s="94" t="s">
        <v>2</v>
      </c>
      <c r="D41" s="87">
        <f t="shared" ref="D41:M41" si="27">D35/D38</f>
        <v>0.21053125</v>
      </c>
      <c r="E41" s="87">
        <f t="shared" si="27"/>
        <v>0.322819285714286</v>
      </c>
      <c r="F41" s="87">
        <f t="shared" si="27"/>
        <v>0.322398571428571</v>
      </c>
      <c r="G41" s="87">
        <f t="shared" si="27"/>
        <v>0.259127857142857</v>
      </c>
      <c r="H41" s="87">
        <f t="shared" si="27"/>
        <v>0.234831428571429</v>
      </c>
      <c r="I41" s="87">
        <f t="shared" si="27"/>
        <v>0.457541538461538</v>
      </c>
      <c r="J41" s="87">
        <f t="shared" si="27"/>
        <v>0.582073846153846</v>
      </c>
      <c r="K41" s="87">
        <f t="shared" si="27"/>
        <v>0.301089230769231</v>
      </c>
      <c r="L41" s="87">
        <f t="shared" si="27"/>
        <v>0.549966153846154</v>
      </c>
      <c r="M41" s="87">
        <f t="shared" si="27"/>
        <v>0.661795384615385</v>
      </c>
      <c r="N41" s="82">
        <f t="shared" si="23"/>
        <v>0.203338387257398</v>
      </c>
      <c r="O41" s="86"/>
      <c r="P41" s="86"/>
      <c r="Q41" s="84">
        <v>12</v>
      </c>
      <c r="R41" s="86"/>
      <c r="S41" s="84">
        <v>12</v>
      </c>
      <c r="T41" s="86"/>
    </row>
    <row r="42" spans="1:20">
      <c r="A42" s="94"/>
      <c r="B42" s="94"/>
      <c r="C42" s="94" t="s">
        <v>190</v>
      </c>
      <c r="D42" s="87">
        <f t="shared" ref="D42:M42" si="28">D36/D39</f>
        <v>0.0459501875</v>
      </c>
      <c r="E42" s="87">
        <f t="shared" si="28"/>
        <v>0.449746428571429</v>
      </c>
      <c r="F42" s="87">
        <f t="shared" si="28"/>
        <v>0.189835714285714</v>
      </c>
      <c r="G42" s="87">
        <f t="shared" si="28"/>
        <v>0.0675100931677019</v>
      </c>
      <c r="H42" s="87">
        <f t="shared" si="28"/>
        <v>0.180389192546584</v>
      </c>
      <c r="I42" s="87">
        <f t="shared" si="28"/>
        <v>0.264597132867133</v>
      </c>
      <c r="J42" s="87">
        <f t="shared" si="28"/>
        <v>0.752522727272727</v>
      </c>
      <c r="K42" s="87">
        <f t="shared" si="28"/>
        <v>0.913678321678322</v>
      </c>
      <c r="L42" s="87">
        <f t="shared" si="28"/>
        <v>0.278065524475525</v>
      </c>
      <c r="M42" s="87">
        <f t="shared" si="28"/>
        <v>0.828363636363636</v>
      </c>
      <c r="N42" s="82">
        <f t="shared" si="23"/>
        <v>1.97902315623651</v>
      </c>
      <c r="O42" s="86"/>
      <c r="P42" s="86"/>
      <c r="Q42" s="84">
        <v>13</v>
      </c>
      <c r="R42" s="86"/>
      <c r="S42" s="84">
        <v>13</v>
      </c>
      <c r="T42" s="86"/>
    </row>
    <row r="43" spans="1:20">
      <c r="A43" s="94"/>
      <c r="B43" s="94"/>
      <c r="C43" s="94" t="s">
        <v>46</v>
      </c>
      <c r="D43" s="87">
        <f t="shared" ref="D43:M43" si="29">D37/D40</f>
        <v>1.19543543120083</v>
      </c>
      <c r="E43" s="87">
        <f t="shared" si="29"/>
        <v>0.90170418212755</v>
      </c>
      <c r="F43" s="87">
        <f t="shared" si="29"/>
        <v>1.10279423428852</v>
      </c>
      <c r="G43" s="87">
        <f t="shared" si="29"/>
        <v>1.22088121124725</v>
      </c>
      <c r="H43" s="87">
        <f t="shared" si="29"/>
        <v>1.06924953232943</v>
      </c>
      <c r="I43" s="87">
        <f t="shared" si="29"/>
        <v>1.11894049477018</v>
      </c>
      <c r="J43" s="87">
        <f t="shared" si="29"/>
        <v>0.917406827739379</v>
      </c>
      <c r="K43" s="87">
        <f t="shared" si="29"/>
        <v>0.426145073272426</v>
      </c>
      <c r="L43" s="87">
        <f t="shared" si="29"/>
        <v>1.13944480140861</v>
      </c>
      <c r="M43" s="87">
        <f t="shared" si="29"/>
        <v>0.929010098820893</v>
      </c>
      <c r="N43" s="82">
        <f t="shared" si="23"/>
        <v>-0.1846817874175</v>
      </c>
      <c r="O43" s="86"/>
      <c r="P43" s="86"/>
      <c r="Q43" s="84">
        <v>14</v>
      </c>
      <c r="R43" s="86"/>
      <c r="S43" s="84">
        <v>14</v>
      </c>
      <c r="T43" s="86"/>
    </row>
    <row r="44" hidden="1" spans="1:20">
      <c r="A44" s="59" t="s">
        <v>205</v>
      </c>
      <c r="B44" s="90"/>
      <c r="C44" s="78"/>
      <c r="D44" s="79" t="s">
        <v>221</v>
      </c>
      <c r="E44" s="79" t="s">
        <v>222</v>
      </c>
      <c r="F44" s="79" t="s">
        <v>223</v>
      </c>
      <c r="G44" s="79" t="s">
        <v>224</v>
      </c>
      <c r="H44" s="79" t="s">
        <v>225</v>
      </c>
      <c r="I44" s="79"/>
      <c r="J44" s="79"/>
      <c r="K44" s="79"/>
      <c r="L44" s="79"/>
      <c r="M44" s="79"/>
      <c r="N44" s="82" t="e">
        <f t="shared" ref="N36:N59" si="30">L44/K44-1</f>
        <v>#DIV/0!</v>
      </c>
      <c r="O44" s="55" t="s">
        <v>217</v>
      </c>
      <c r="P44" s="55" t="s">
        <v>218</v>
      </c>
      <c r="Q44" s="59" t="s">
        <v>242</v>
      </c>
      <c r="R44" s="78"/>
      <c r="S44" s="90" t="s">
        <v>243</v>
      </c>
      <c r="T44" s="78"/>
    </row>
    <row r="45" hidden="1" spans="1:20">
      <c r="A45" s="95" t="s">
        <v>200</v>
      </c>
      <c r="B45" s="96" t="s">
        <v>189</v>
      </c>
      <c r="C45" s="96" t="s">
        <v>2</v>
      </c>
      <c r="D45" s="81">
        <f>SUMIF('Champion-日报'!$E:$E,D$44,'Champion-日报'!$F:$F)</f>
        <v>603443.24</v>
      </c>
      <c r="E45" s="81">
        <f>SUMIF('Champion-日报'!$E:$E,E$44,'Champion-日报'!$F:$F)</f>
        <v>846358.68</v>
      </c>
      <c r="F45" s="81">
        <f>SUMIF('Champion-日报'!$E:$E,F$44,'Champion-日报'!$F:$F)</f>
        <v>905616.29</v>
      </c>
      <c r="G45" s="81">
        <f>SUMIF('Champion-日报'!$E:$E,G$44,'Champion-日报'!$F:$F)</f>
        <v>1305928.74</v>
      </c>
      <c r="H45" s="81">
        <f>SUMIF('Champion-日报'!$E:$E,H$44,'Champion-日报'!$F:$F)</f>
        <v>0</v>
      </c>
      <c r="I45" s="81"/>
      <c r="J45" s="81"/>
      <c r="K45" s="81"/>
      <c r="L45" s="81"/>
      <c r="M45" s="81"/>
      <c r="N45" s="82" t="e">
        <f t="shared" si="30"/>
        <v>#DIV/0!</v>
      </c>
      <c r="O45" s="86"/>
      <c r="P45" s="86"/>
      <c r="Q45" s="84">
        <v>1</v>
      </c>
      <c r="R45" s="85" t="s">
        <v>244</v>
      </c>
      <c r="S45" s="84">
        <v>1</v>
      </c>
      <c r="T45" s="85" t="s">
        <v>245</v>
      </c>
    </row>
    <row r="46" hidden="1" spans="1:20">
      <c r="A46" s="96"/>
      <c r="B46" s="96"/>
      <c r="C46" s="96" t="s">
        <v>190</v>
      </c>
      <c r="D46" s="81">
        <f>SUMIF('Champion-日报'!$E:$E,D$44,'Champion-日报'!$G:$G)</f>
        <v>136313.43</v>
      </c>
      <c r="E46" s="81">
        <f>SUMIF('Champion-日报'!$E:$E,E$44,'Champion-日报'!$G:$G)</f>
        <v>280852.65</v>
      </c>
      <c r="F46" s="81">
        <f>SUMIF('Champion-日报'!$E:$E,F$44,'Champion-日报'!$G:$G)</f>
        <v>357770.29</v>
      </c>
      <c r="G46" s="81">
        <f>SUMIF('Champion-日报'!$E:$E,G$44,'Champion-日报'!$G:$G)</f>
        <v>738088.5</v>
      </c>
      <c r="H46" s="81">
        <f>SUMIF('Champion-日报'!$E:$E,H$44,'Champion-日报'!$G:$G)</f>
        <v>0</v>
      </c>
      <c r="I46" s="81"/>
      <c r="J46" s="81"/>
      <c r="K46" s="81"/>
      <c r="L46" s="81"/>
      <c r="M46" s="81"/>
      <c r="N46" s="82" t="e">
        <f t="shared" si="30"/>
        <v>#DIV/0!</v>
      </c>
      <c r="O46" s="86"/>
      <c r="P46" s="86"/>
      <c r="Q46" s="84">
        <v>2</v>
      </c>
      <c r="R46" s="85" t="s">
        <v>246</v>
      </c>
      <c r="S46" s="84">
        <v>2</v>
      </c>
      <c r="T46" s="86"/>
    </row>
    <row r="47" hidden="1" spans="1:20">
      <c r="A47" s="96"/>
      <c r="B47" s="96"/>
      <c r="C47" s="96" t="s">
        <v>46</v>
      </c>
      <c r="D47" s="87">
        <f t="shared" ref="D47:H47" si="31">1-D46/D45</f>
        <v>0.774107288035905</v>
      </c>
      <c r="E47" s="87">
        <f t="shared" si="31"/>
        <v>0.668163561576517</v>
      </c>
      <c r="F47" s="87">
        <f t="shared" si="31"/>
        <v>0.604942740153228</v>
      </c>
      <c r="G47" s="87">
        <f t="shared" si="31"/>
        <v>0.4348171708052</v>
      </c>
      <c r="H47" s="87" t="e">
        <f t="shared" si="31"/>
        <v>#DIV/0!</v>
      </c>
      <c r="I47" s="87"/>
      <c r="J47" s="87"/>
      <c r="K47" s="87"/>
      <c r="L47" s="87"/>
      <c r="M47" s="87"/>
      <c r="N47" s="82" t="e">
        <f t="shared" si="30"/>
        <v>#DIV/0!</v>
      </c>
      <c r="O47" s="86"/>
      <c r="P47" s="86"/>
      <c r="Q47" s="84">
        <v>3</v>
      </c>
      <c r="R47" s="85" t="s">
        <v>247</v>
      </c>
      <c r="S47" s="84">
        <v>3</v>
      </c>
      <c r="T47" s="86"/>
    </row>
    <row r="48" hidden="1" spans="1:20">
      <c r="A48" s="96"/>
      <c r="B48" s="96"/>
      <c r="C48" s="96" t="s">
        <v>191</v>
      </c>
      <c r="D48" s="81">
        <f>SUMIF('Champion-日报'!$E:$E,D$44,'Champion-日报'!$H:$H)</f>
        <v>153151.92</v>
      </c>
      <c r="E48" s="81">
        <f>SUMIF('Champion-日报'!$E:$E,E$44,'Champion-日报'!$H:$H)</f>
        <v>249218.73</v>
      </c>
      <c r="F48" s="81">
        <f>SUMIF('Champion-日报'!$E:$E,F$44,'Champion-日报'!$H:$H)</f>
        <v>355414.28</v>
      </c>
      <c r="G48" s="81">
        <f>SUMIF('Champion-日报'!$E:$E,G$44,'Champion-日报'!$H:$H)</f>
        <v>605096.58</v>
      </c>
      <c r="H48" s="81">
        <f>SUMIF('Champion-日报'!$E:$E,H$44,'Champion-日报'!$H:$H)</f>
        <v>0</v>
      </c>
      <c r="I48" s="81"/>
      <c r="J48" s="81"/>
      <c r="K48" s="81"/>
      <c r="L48" s="81"/>
      <c r="M48" s="81"/>
      <c r="N48" s="82" t="e">
        <f t="shared" si="30"/>
        <v>#DIV/0!</v>
      </c>
      <c r="O48" s="86"/>
      <c r="P48" s="86"/>
      <c r="Q48" s="84">
        <v>4</v>
      </c>
      <c r="R48" s="86"/>
      <c r="S48" s="84">
        <v>4</v>
      </c>
      <c r="T48" s="86"/>
    </row>
    <row r="49" hidden="1" spans="1:20">
      <c r="A49" s="96"/>
      <c r="B49" s="96"/>
      <c r="C49" s="96" t="s">
        <v>192</v>
      </c>
      <c r="D49" s="87">
        <f t="shared" ref="D49:H49" si="32">D48/D45</f>
        <v>0.253796728255668</v>
      </c>
      <c r="E49" s="87">
        <f t="shared" si="32"/>
        <v>0.294459944571018</v>
      </c>
      <c r="F49" s="87">
        <f t="shared" si="32"/>
        <v>0.392455705495315</v>
      </c>
      <c r="G49" s="87">
        <f t="shared" si="32"/>
        <v>0.463345787152215</v>
      </c>
      <c r="H49" s="87" t="e">
        <f t="shared" si="32"/>
        <v>#DIV/0!</v>
      </c>
      <c r="I49" s="87"/>
      <c r="J49" s="87"/>
      <c r="K49" s="87"/>
      <c r="L49" s="87"/>
      <c r="M49" s="87"/>
      <c r="N49" s="82" t="e">
        <f t="shared" si="30"/>
        <v>#DIV/0!</v>
      </c>
      <c r="O49" s="86"/>
      <c r="P49" s="86"/>
      <c r="Q49" s="84">
        <v>5</v>
      </c>
      <c r="R49" s="86"/>
      <c r="S49" s="84">
        <v>5</v>
      </c>
      <c r="T49" s="86"/>
    </row>
    <row r="50" hidden="1" spans="1:20">
      <c r="A50" s="96"/>
      <c r="B50" s="96"/>
      <c r="C50" s="96" t="s">
        <v>193</v>
      </c>
      <c r="D50" s="81">
        <f>SUMIF('Champion-日报'!$E:$E,D$44,'Champion-日报'!$J:$J)</f>
        <v>17188.36</v>
      </c>
      <c r="E50" s="81">
        <f>SUMIF('Champion-日报'!$E:$E,E$44,'Champion-日报'!$J:$J)</f>
        <v>20407.47</v>
      </c>
      <c r="F50" s="81">
        <f>SUMIF('Champion-日报'!$E:$E,F$44,'Champion-日报'!$J:$J)</f>
        <v>18302.11</v>
      </c>
      <c r="G50" s="81">
        <f>SUMIF('Champion-日报'!$E:$E,G$44,'Champion-日报'!$J:$J)</f>
        <v>31996.17</v>
      </c>
      <c r="H50" s="81">
        <f>SUMIF('Champion-日报'!$E:$E,H$44,'Champion-日报'!$J:$J)</f>
        <v>0</v>
      </c>
      <c r="I50" s="81"/>
      <c r="J50" s="81"/>
      <c r="K50" s="81"/>
      <c r="L50" s="81"/>
      <c r="M50" s="81"/>
      <c r="N50" s="82" t="e">
        <f t="shared" si="30"/>
        <v>#DIV/0!</v>
      </c>
      <c r="O50" s="86"/>
      <c r="P50" s="86"/>
      <c r="Q50" s="84">
        <v>6</v>
      </c>
      <c r="R50" s="86"/>
      <c r="S50" s="84">
        <v>6</v>
      </c>
      <c r="T50" s="86"/>
    </row>
    <row r="51" hidden="1" spans="1:20">
      <c r="A51" s="96"/>
      <c r="B51" s="96"/>
      <c r="C51" s="96" t="s">
        <v>194</v>
      </c>
      <c r="D51" s="88">
        <f>D50/D46</f>
        <v>0.126094398769072</v>
      </c>
      <c r="E51" s="88">
        <f t="shared" ref="D51:H51" si="33">E50/E46</f>
        <v>0.0726625509853655</v>
      </c>
      <c r="F51" s="88">
        <f t="shared" si="33"/>
        <v>0.0511560364612724</v>
      </c>
      <c r="G51" s="88">
        <f t="shared" si="33"/>
        <v>0.0433500454213824</v>
      </c>
      <c r="H51" s="88" t="e">
        <f t="shared" si="33"/>
        <v>#DIV/0!</v>
      </c>
      <c r="I51" s="88"/>
      <c r="J51" s="88"/>
      <c r="K51" s="88"/>
      <c r="L51" s="88"/>
      <c r="M51" s="88"/>
      <c r="N51" s="82" t="e">
        <f t="shared" si="30"/>
        <v>#DIV/0!</v>
      </c>
      <c r="O51" s="86"/>
      <c r="P51" s="86"/>
      <c r="Q51" s="84">
        <v>7</v>
      </c>
      <c r="R51" s="86"/>
      <c r="S51" s="84">
        <v>7</v>
      </c>
      <c r="T51" s="86"/>
    </row>
    <row r="52" hidden="1" spans="1:20">
      <c r="A52" s="96"/>
      <c r="B52" s="96" t="s">
        <v>195</v>
      </c>
      <c r="C52" s="96" t="s">
        <v>2</v>
      </c>
      <c r="D52" s="81">
        <v>500000</v>
      </c>
      <c r="E52" s="81">
        <v>2000000</v>
      </c>
      <c r="F52" s="81">
        <v>2400000</v>
      </c>
      <c r="G52" s="81">
        <v>2400000</v>
      </c>
      <c r="H52" s="81">
        <v>2400000</v>
      </c>
      <c r="I52" s="81"/>
      <c r="J52" s="81"/>
      <c r="K52" s="81"/>
      <c r="L52" s="81"/>
      <c r="M52" s="81"/>
      <c r="N52" s="82" t="e">
        <f t="shared" si="30"/>
        <v>#DIV/0!</v>
      </c>
      <c r="O52" s="86"/>
      <c r="P52" s="86"/>
      <c r="Q52" s="84">
        <v>8</v>
      </c>
      <c r="R52" s="86"/>
      <c r="S52" s="84">
        <v>8</v>
      </c>
      <c r="T52" s="86"/>
    </row>
    <row r="53" hidden="1" spans="1:20">
      <c r="A53" s="96"/>
      <c r="B53" s="96"/>
      <c r="C53" s="96" t="s">
        <v>190</v>
      </c>
      <c r="D53" s="81">
        <f t="shared" ref="D53:H53" si="34">D52*40%</f>
        <v>200000</v>
      </c>
      <c r="E53" s="81">
        <f t="shared" si="34"/>
        <v>800000</v>
      </c>
      <c r="F53" s="81">
        <f t="shared" si="34"/>
        <v>960000</v>
      </c>
      <c r="G53" s="81">
        <f t="shared" si="34"/>
        <v>960000</v>
      </c>
      <c r="H53" s="81">
        <f t="shared" si="34"/>
        <v>960000</v>
      </c>
      <c r="I53" s="81"/>
      <c r="J53" s="81"/>
      <c r="K53" s="81"/>
      <c r="L53" s="81"/>
      <c r="M53" s="81"/>
      <c r="N53" s="82" t="e">
        <f t="shared" si="30"/>
        <v>#DIV/0!</v>
      </c>
      <c r="O53" s="86"/>
      <c r="P53" s="86"/>
      <c r="Q53" s="84">
        <v>9</v>
      </c>
      <c r="R53" s="86"/>
      <c r="S53" s="84">
        <v>9</v>
      </c>
      <c r="T53" s="86"/>
    </row>
    <row r="54" hidden="1" spans="1:20">
      <c r="A54" s="96"/>
      <c r="B54" s="96"/>
      <c r="C54" s="96" t="s">
        <v>46</v>
      </c>
      <c r="D54" s="87">
        <f t="shared" ref="D54:H54" si="35">1-D53/D52</f>
        <v>0.6</v>
      </c>
      <c r="E54" s="87">
        <f t="shared" si="35"/>
        <v>0.6</v>
      </c>
      <c r="F54" s="87">
        <f t="shared" si="35"/>
        <v>0.6</v>
      </c>
      <c r="G54" s="87">
        <f t="shared" si="35"/>
        <v>0.6</v>
      </c>
      <c r="H54" s="87">
        <f t="shared" si="35"/>
        <v>0.6</v>
      </c>
      <c r="I54" s="87"/>
      <c r="J54" s="87"/>
      <c r="K54" s="87"/>
      <c r="L54" s="87"/>
      <c r="M54" s="87"/>
      <c r="N54" s="82" t="e">
        <f t="shared" si="30"/>
        <v>#DIV/0!</v>
      </c>
      <c r="O54" s="86"/>
      <c r="P54" s="86"/>
      <c r="Q54" s="84">
        <v>10</v>
      </c>
      <c r="R54" s="86"/>
      <c r="S54" s="84">
        <v>10</v>
      </c>
      <c r="T54" s="86"/>
    </row>
    <row r="55" hidden="1" spans="1:20">
      <c r="A55" s="96"/>
      <c r="B55" s="96"/>
      <c r="C55" s="96" t="s">
        <v>194</v>
      </c>
      <c r="D55" s="89">
        <v>0.05</v>
      </c>
      <c r="E55" s="89">
        <v>0.05</v>
      </c>
      <c r="F55" s="89">
        <v>0.05</v>
      </c>
      <c r="G55" s="89">
        <v>0.05</v>
      </c>
      <c r="H55" s="89">
        <v>0.05</v>
      </c>
      <c r="I55" s="89"/>
      <c r="J55" s="89"/>
      <c r="K55" s="89"/>
      <c r="L55" s="89"/>
      <c r="M55" s="89"/>
      <c r="N55" s="82" t="e">
        <f t="shared" si="30"/>
        <v>#DIV/0!</v>
      </c>
      <c r="O55" s="86"/>
      <c r="P55" s="86"/>
      <c r="Q55" s="84">
        <v>11</v>
      </c>
      <c r="R55" s="86"/>
      <c r="S55" s="84">
        <v>11</v>
      </c>
      <c r="T55" s="86"/>
    </row>
    <row r="56" hidden="1" spans="1:20">
      <c r="A56" s="96"/>
      <c r="B56" s="96" t="s">
        <v>196</v>
      </c>
      <c r="C56" s="96" t="s">
        <v>2</v>
      </c>
      <c r="D56" s="87">
        <f t="shared" ref="D56:H56" si="36">D45/D52</f>
        <v>1.20688648</v>
      </c>
      <c r="E56" s="87">
        <f t="shared" si="36"/>
        <v>0.42317934</v>
      </c>
      <c r="F56" s="87">
        <f t="shared" si="36"/>
        <v>0.377340120833333</v>
      </c>
      <c r="G56" s="87">
        <f t="shared" si="36"/>
        <v>0.544136975</v>
      </c>
      <c r="H56" s="87">
        <f t="shared" si="36"/>
        <v>0</v>
      </c>
      <c r="I56" s="87"/>
      <c r="J56" s="87"/>
      <c r="K56" s="87"/>
      <c r="L56" s="87"/>
      <c r="M56" s="87"/>
      <c r="N56" s="82" t="e">
        <f t="shared" si="30"/>
        <v>#DIV/0!</v>
      </c>
      <c r="O56" s="86"/>
      <c r="P56" s="86"/>
      <c r="Q56" s="84">
        <v>12</v>
      </c>
      <c r="R56" s="86"/>
      <c r="S56" s="84">
        <v>12</v>
      </c>
      <c r="T56" s="86"/>
    </row>
    <row r="57" hidden="1" spans="1:20">
      <c r="A57" s="96"/>
      <c r="B57" s="96"/>
      <c r="C57" s="96" t="s">
        <v>190</v>
      </c>
      <c r="D57" s="87">
        <f t="shared" ref="D57:H57" si="37">D46/D53</f>
        <v>0.68156715</v>
      </c>
      <c r="E57" s="87">
        <f t="shared" si="37"/>
        <v>0.3510658125</v>
      </c>
      <c r="F57" s="87">
        <f t="shared" si="37"/>
        <v>0.372677385416667</v>
      </c>
      <c r="G57" s="87">
        <f t="shared" si="37"/>
        <v>0.7688421875</v>
      </c>
      <c r="H57" s="87">
        <f t="shared" si="37"/>
        <v>0</v>
      </c>
      <c r="I57" s="87"/>
      <c r="J57" s="87"/>
      <c r="K57" s="87"/>
      <c r="L57" s="87"/>
      <c r="M57" s="87"/>
      <c r="N57" s="82" t="e">
        <f t="shared" si="30"/>
        <v>#DIV/0!</v>
      </c>
      <c r="O57" s="86"/>
      <c r="P57" s="86"/>
      <c r="Q57" s="84">
        <v>13</v>
      </c>
      <c r="R57" s="86"/>
      <c r="S57" s="84">
        <v>13</v>
      </c>
      <c r="T57" s="86"/>
    </row>
    <row r="58" hidden="1" spans="1:20">
      <c r="A58" s="96"/>
      <c r="B58" s="96"/>
      <c r="C58" s="96" t="s">
        <v>46</v>
      </c>
      <c r="D58" s="87">
        <f t="shared" ref="D58:H58" si="38">D47/D54</f>
        <v>1.29017881339318</v>
      </c>
      <c r="E58" s="87">
        <f t="shared" si="38"/>
        <v>1.11360593596086</v>
      </c>
      <c r="F58" s="87">
        <f t="shared" si="38"/>
        <v>1.00823790025538</v>
      </c>
      <c r="G58" s="87">
        <f t="shared" si="38"/>
        <v>0.724695284675334</v>
      </c>
      <c r="H58" s="87" t="e">
        <f t="shared" si="38"/>
        <v>#DIV/0!</v>
      </c>
      <c r="I58" s="87"/>
      <c r="J58" s="87"/>
      <c r="K58" s="87"/>
      <c r="L58" s="87"/>
      <c r="M58" s="87"/>
      <c r="N58" s="82" t="e">
        <f t="shared" si="30"/>
        <v>#DIV/0!</v>
      </c>
      <c r="O58" s="86"/>
      <c r="P58" s="86"/>
      <c r="Q58" s="84">
        <v>14</v>
      </c>
      <c r="R58" s="86"/>
      <c r="S58" s="84">
        <v>14</v>
      </c>
      <c r="T58" s="86"/>
    </row>
    <row r="59" hidden="1" spans="1:20">
      <c r="A59" s="96"/>
      <c r="B59" s="96"/>
      <c r="C59" s="96" t="s">
        <v>194</v>
      </c>
      <c r="D59" s="87">
        <f t="shared" ref="D59:H59" si="39">D51/D55</f>
        <v>2.52188797538144</v>
      </c>
      <c r="E59" s="87">
        <f t="shared" si="39"/>
        <v>1.45325101970731</v>
      </c>
      <c r="F59" s="87">
        <f t="shared" si="39"/>
        <v>1.02312072922545</v>
      </c>
      <c r="G59" s="87">
        <f t="shared" si="39"/>
        <v>0.867000908427648</v>
      </c>
      <c r="H59" s="87" t="e">
        <f t="shared" si="39"/>
        <v>#DIV/0!</v>
      </c>
      <c r="I59" s="87"/>
      <c r="J59" s="87"/>
      <c r="K59" s="87"/>
      <c r="L59" s="87"/>
      <c r="M59" s="87"/>
      <c r="N59" s="82" t="e">
        <f t="shared" si="30"/>
        <v>#DIV/0!</v>
      </c>
      <c r="O59" s="86"/>
      <c r="P59" s="86"/>
      <c r="Q59" s="84">
        <v>15</v>
      </c>
      <c r="R59" s="86"/>
      <c r="S59" s="84">
        <v>15</v>
      </c>
      <c r="T59" s="86"/>
    </row>
    <row r="62" spans="1:20">
      <c r="F62" s="97"/>
    </row>
  </sheetData>
  <mergeCells count="39">
    <mergeCell ref="A18:C18"/>
    <mergeCell ref="Q18:R18"/>
    <mergeCell ref="S18:T18"/>
    <mergeCell ref="A34:C34"/>
    <mergeCell ref="Q34:R34"/>
    <mergeCell ref="S34:T34"/>
    <mergeCell ref="A44:C44"/>
    <mergeCell ref="Q44:R44"/>
    <mergeCell ref="S44:T44"/>
    <mergeCell ref="A3:A17"/>
    <mergeCell ref="A19:A33"/>
    <mergeCell ref="A35:A43"/>
    <mergeCell ref="A45:A59"/>
    <mergeCell ref="B3:B9"/>
    <mergeCell ref="B10:B13"/>
    <mergeCell ref="B14:B17"/>
    <mergeCell ref="B19:B25"/>
    <mergeCell ref="B26:B29"/>
    <mergeCell ref="B30:B33"/>
    <mergeCell ref="B35:B37"/>
    <mergeCell ref="B38:B40"/>
    <mergeCell ref="B41:B43"/>
    <mergeCell ref="B45:B51"/>
    <mergeCell ref="B52:B55"/>
    <mergeCell ref="B56:B59"/>
    <mergeCell ref="N1:N2"/>
    <mergeCell ref="O1:O2"/>
    <mergeCell ref="O3:O17"/>
    <mergeCell ref="O19:O33"/>
    <mergeCell ref="O35:O43"/>
    <mergeCell ref="O45:O59"/>
    <mergeCell ref="P1:P2"/>
    <mergeCell ref="P3:P17"/>
    <mergeCell ref="P19:P33"/>
    <mergeCell ref="P35:P43"/>
    <mergeCell ref="P45:P59"/>
    <mergeCell ref="A1:C2"/>
    <mergeCell ref="Q1:R2"/>
    <mergeCell ref="S1:T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pane xSplit="2" ySplit="2" topLeftCell="G30" activePane="bottomRight" state="frozen"/>
      <selection/>
      <selection pane="topRight"/>
      <selection pane="bottomLeft"/>
      <selection pane="bottomRight" activeCell="N50" sqref="N50"/>
    </sheetView>
  </sheetViews>
  <sheetFormatPr defaultColWidth="8.66666666666667" defaultRowHeight="13"/>
  <cols>
    <col min="1" max="1" width="20.6666666666667" style="45" customWidth="1"/>
    <col min="2" max="2" width="20.1666666666667" style="45" customWidth="1"/>
    <col min="3" max="5" width="11.6666666666667" style="45" hidden="1" customWidth="1"/>
    <col min="6" max="12" width="11.6666666666667" style="45"/>
    <col min="13" max="13" width="10.25" style="45" customWidth="1"/>
    <col min="14" max="15" width="56.9166666666667" style="45" customWidth="1"/>
    <col min="16" max="16384" width="8.66666666666667" style="45"/>
  </cols>
  <sheetData>
    <row r="1" ht="13.5" spans="1:14">
      <c r="A1" s="53" t="s">
        <v>248</v>
      </c>
      <c r="B1" s="53" t="s">
        <v>249</v>
      </c>
      <c r="C1" s="54" t="s">
        <v>206</v>
      </c>
      <c r="D1" s="55" t="s">
        <v>207</v>
      </c>
      <c r="E1" s="55" t="s">
        <v>208</v>
      </c>
      <c r="F1" s="55" t="s">
        <v>209</v>
      </c>
      <c r="G1" s="55" t="s">
        <v>210</v>
      </c>
      <c r="H1" s="55" t="s">
        <v>211</v>
      </c>
      <c r="I1" s="53" t="s">
        <v>212</v>
      </c>
      <c r="J1" s="53" t="s">
        <v>213</v>
      </c>
      <c r="K1" s="53" t="s">
        <v>214</v>
      </c>
      <c r="L1" s="53" t="s">
        <v>215</v>
      </c>
      <c r="M1" s="56" t="s">
        <v>216</v>
      </c>
      <c r="N1" s="57" t="s">
        <v>250</v>
      </c>
    </row>
    <row r="2" ht="14.5" spans="1:14">
      <c r="A2" s="58"/>
      <c r="B2" s="58"/>
      <c r="C2" s="54" t="s">
        <v>221</v>
      </c>
      <c r="D2" s="55" t="s">
        <v>222</v>
      </c>
      <c r="E2" s="55" t="s">
        <v>223</v>
      </c>
      <c r="F2" s="55" t="s">
        <v>224</v>
      </c>
      <c r="G2" s="55" t="s">
        <v>225</v>
      </c>
      <c r="H2" s="55" t="s">
        <v>226</v>
      </c>
      <c r="I2" s="59" t="s">
        <v>227</v>
      </c>
      <c r="J2" s="59" t="s">
        <v>228</v>
      </c>
      <c r="K2" s="59" t="s">
        <v>229</v>
      </c>
      <c r="L2" s="59" t="s">
        <v>230</v>
      </c>
      <c r="M2" s="60"/>
      <c r="N2" s="61"/>
    </row>
    <row r="3" s="15" customFormat="1" ht="13.5" spans="1:14">
      <c r="A3" s="62" t="s">
        <v>251</v>
      </c>
      <c r="B3" s="63" t="s">
        <v>252</v>
      </c>
      <c r="C3" s="64">
        <f>SUMIF('女装-品类销售明细'!$C:$C,C$2,'女装-品类销售明细'!$I:$I)</f>
        <v>15774030819.11</v>
      </c>
      <c r="D3" s="64">
        <f>SUMIF('女装-品类销售明细'!$C:$C,D$2,'女装-品类销售明细'!$I:$I)</f>
        <v>29456159251.28</v>
      </c>
      <c r="E3" s="64">
        <f>SUMIF('女装-品类销售明细'!$C:$C,E$2,'女装-品类销售明细'!$I:$I)</f>
        <v>28343910848.62</v>
      </c>
      <c r="F3" s="64">
        <f>SUMIF('女装-品类销售明细'!$C:$C,F$2,'女装-品类销售明细'!$I:$I)</f>
        <v>26033952890.05</v>
      </c>
      <c r="G3" s="64">
        <f>SUMIF('女装-品类销售明细'!$C:$C,G$2,'女装-品类销售明细'!$I:$I)</f>
        <v>23243439017.83</v>
      </c>
      <c r="H3" s="64">
        <f>SUMIF('女装-品类销售明细'!$C:$C,H$2,'女装-品类销售明细'!$I:$I)</f>
        <v>20999516312.45</v>
      </c>
      <c r="I3" s="64">
        <f>SUMIF('女装-品类销售明细'!$C:$C,I$2,'女装-品类销售明细'!$I:$I)</f>
        <v>10780144022.99</v>
      </c>
      <c r="J3" s="64">
        <f>SUMIF('女装-品类销售明细'!$C:$C,J$2,'女装-品类销售明细'!$I:$I)</f>
        <v>7182079296.83</v>
      </c>
      <c r="K3" s="64">
        <f>SUMIF('女装-品类销售明细'!$C:$C,K$2,'女装-品类销售明细'!$I:$I)</f>
        <v>13114260374.86</v>
      </c>
      <c r="L3" s="64">
        <f>SUMIF('女装-品类销售明细'!$C:$C,L$2,'女装-品类销售明细'!$I:$I)</f>
        <v>11240004142.65</v>
      </c>
      <c r="M3" s="65">
        <f>L3/K3-1</f>
        <v>-0.142917418034717</v>
      </c>
      <c r="N3" s="66" t="s">
        <v>253</v>
      </c>
    </row>
    <row r="4" s="15" customFormat="1" ht="13.5" spans="1:14">
      <c r="A4" s="62"/>
      <c r="B4" s="62" t="s">
        <v>254</v>
      </c>
      <c r="C4" s="64">
        <f>SUMIFS('女装-品类销售明细'!$I:$I,'女装-品类销售明细'!$C:$C,C$2,'女装-品类销售明细'!$G:$G,$B4)</f>
        <v>3690994337.75</v>
      </c>
      <c r="D4" s="64">
        <f>SUMIFS('女装-品类销售明细'!$I:$I,'女装-品类销售明细'!$C:$C,D$2,'女装-品类销售明细'!$G:$G,$B4)</f>
        <v>6554340688.72</v>
      </c>
      <c r="E4" s="64">
        <f>SUMIFS('女装-品类销售明细'!$I:$I,'女装-品类销售明细'!$C:$C,E$2,'女装-品类销售明细'!$G:$G,$B4)</f>
        <v>5787327247.57</v>
      </c>
      <c r="F4" s="64">
        <f>SUMIFS('女装-品类销售明细'!$I:$I,'女装-品类销售明细'!$C:$C,F$2,'女装-品类销售明细'!$G:$G,$B4)</f>
        <v>6015449998.75</v>
      </c>
      <c r="G4" s="64">
        <f>SUMIFS('女装-品类销售明细'!$I:$I,'女装-品类销售明细'!$C:$C,G$2,'女装-品类销售明细'!$G:$G,$B4)</f>
        <v>4547416671.11</v>
      </c>
      <c r="H4" s="64">
        <f>SUMIFS('女装-品类销售明细'!$I:$I,'女装-品类销售明细'!$C:$C,H$2,'女装-品类销售明细'!$G:$G,$B4)</f>
        <v>3570633515.23</v>
      </c>
      <c r="I4" s="64">
        <f>SUMIFS('女装-品类销售明细'!$I:$I,'女装-品类销售明细'!$C:$C,I$2,'女装-品类销售明细'!$G:$G,$B4)</f>
        <v>1504221108.75</v>
      </c>
      <c r="J4" s="64">
        <f>SUMIFS('女装-品类销售明细'!$I:$I,'女装-品类销售明细'!$C:$C,J$2,'女装-品类销售明细'!$G:$G,$B4)</f>
        <v>368590328.25</v>
      </c>
      <c r="K4" s="64">
        <f>SUMIFS('女装-品类销售明细'!$I:$I,'女装-品类销售明细'!$C:$C,K$2,'女装-品类销售明细'!$G:$G,$B4)</f>
        <v>574763772.91</v>
      </c>
      <c r="L4" s="64">
        <f>SUMIFS('女装-品类销售明细'!$I:$I,'女装-品类销售明细'!$C:$C,L$2,'女装-品类销售明细'!$G:$G,$B4)</f>
        <v>464377904.16</v>
      </c>
      <c r="M4" s="65">
        <f t="shared" ref="M4:M23" si="0">L4/K4-1</f>
        <v>-0.192054325538163</v>
      </c>
      <c r="N4" s="66"/>
    </row>
    <row r="5" s="15" customFormat="1" ht="13.5" spans="1:14">
      <c r="A5" s="62"/>
      <c r="B5" s="62" t="s">
        <v>255</v>
      </c>
      <c r="C5" s="64">
        <f>SUMIFS('女装-品类销售明细'!$I:$I,'女装-品类销售明细'!$C:$C,C$2,'女装-品类销售明细'!$G:$G,$B5)</f>
        <v>1992411956.7</v>
      </c>
      <c r="D5" s="64">
        <f>SUMIFS('女装-品类销售明细'!$I:$I,'女装-品类销售明细'!$C:$C,D$2,'女装-品类销售明细'!$G:$G,$B5)</f>
        <v>3653430847.93</v>
      </c>
      <c r="E5" s="64">
        <f>SUMIFS('女装-品类销售明细'!$I:$I,'女装-品类销售明细'!$C:$C,E$2,'女装-品类销售明细'!$G:$G,$B5)</f>
        <v>3382470217.72</v>
      </c>
      <c r="F5" s="64">
        <f>SUMIFS('女装-品类销售明细'!$I:$I,'女装-品类销售明细'!$C:$C,F$2,'女装-品类销售明细'!$G:$G,$B5)</f>
        <v>3023118568.48</v>
      </c>
      <c r="G5" s="64">
        <f>SUMIFS('女装-品类销售明细'!$I:$I,'女装-品类销售明细'!$C:$C,G$2,'女装-品类销售明细'!$G:$G,$B5)</f>
        <v>2755391081.45</v>
      </c>
      <c r="H5" s="64">
        <f>SUMIFS('女装-品类销售明细'!$I:$I,'女装-品类销售明细'!$C:$C,H$2,'女装-品类销售明细'!$G:$G,$B5)</f>
        <v>2500496094.73</v>
      </c>
      <c r="I5" s="64">
        <f>SUMIFS('女装-品类销售明细'!$I:$I,'女装-品类销售明细'!$C:$C,I$2,'女装-品类销售明细'!$G:$G,$B5)</f>
        <v>1177030571.36</v>
      </c>
      <c r="J5" s="64">
        <f>SUMIFS('女装-品类销售明细'!$I:$I,'女装-品类销售明细'!$C:$C,J$2,'女装-品类销售明细'!$G:$G,$B5)</f>
        <v>972690233.15</v>
      </c>
      <c r="K5" s="64">
        <f>SUMIFS('女装-品类销售明细'!$I:$I,'女装-品类销售明细'!$C:$C,K$2,'女装-品类销售明细'!$G:$G,$B5)</f>
        <v>2052512146.66</v>
      </c>
      <c r="L5" s="64">
        <f>SUMIFS('女装-品类销售明细'!$I:$I,'女装-品类销售明细'!$C:$C,L$2,'女装-品类销售明细'!$G:$G,$B5)</f>
        <v>1887543593.18</v>
      </c>
      <c r="M5" s="65">
        <f t="shared" si="0"/>
        <v>-0.080373971841506</v>
      </c>
      <c r="N5" s="66"/>
    </row>
    <row r="6" s="15" customFormat="1" ht="13.5" spans="1:14">
      <c r="A6" s="62"/>
      <c r="B6" s="62" t="s">
        <v>256</v>
      </c>
      <c r="C6" s="64">
        <f>SUMIFS('女装-品类销售明细'!$I:$I,'女装-品类销售明细'!$C:$C,C$2,'女装-品类销售明细'!$G:$G,$B6)</f>
        <v>1763864288.06</v>
      </c>
      <c r="D6" s="64">
        <f>SUMIFS('女装-品类销售明细'!$I:$I,'女装-品类销售明细'!$C:$C,D$2,'女装-品类销售明细'!$G:$G,$B6)</f>
        <v>3494858044.22</v>
      </c>
      <c r="E6" s="64">
        <f>SUMIFS('女装-品类销售明细'!$I:$I,'女装-品类销售明细'!$C:$C,E$2,'女装-品类销售明细'!$G:$G,$B6)</f>
        <v>3307555291.07</v>
      </c>
      <c r="F6" s="64">
        <f>SUMIFS('女装-品类销售明细'!$I:$I,'女装-品类销售明细'!$C:$C,F$2,'女装-品类销售明细'!$G:$G,$B6)</f>
        <v>3096845815.92</v>
      </c>
      <c r="G6" s="64">
        <f>SUMIFS('女装-品类销售明细'!$I:$I,'女装-品类销售明细'!$C:$C,G$2,'女装-品类销售明细'!$G:$G,$B6)</f>
        <v>2592362292.18</v>
      </c>
      <c r="H6" s="64">
        <f>SUMIFS('女装-品类销售明细'!$I:$I,'女装-品类销售明细'!$C:$C,H$2,'女装-品类销售明细'!$G:$G,$B6)</f>
        <v>1968282743.02</v>
      </c>
      <c r="I6" s="64">
        <f>SUMIFS('女装-品类销售明细'!$I:$I,'女装-品类销售明细'!$C:$C,I$2,'女装-品类销售明细'!$G:$G,$B6)</f>
        <v>1041119959.68</v>
      </c>
      <c r="J6" s="64">
        <f>SUMIFS('女装-品类销售明细'!$I:$I,'女装-品类销售明细'!$C:$C,J$2,'女装-品类销售明细'!$G:$G,$B6)</f>
        <v>374017027.61</v>
      </c>
      <c r="K6" s="64">
        <f>SUMIFS('女装-品类销售明细'!$I:$I,'女装-品类销售明细'!$C:$C,K$2,'女装-品类销售明细'!$G:$G,$B6)</f>
        <v>387584866.35</v>
      </c>
      <c r="L6" s="64">
        <f>SUMIFS('女装-品类销售明细'!$I:$I,'女装-品类销售明细'!$C:$C,L$2,'女装-品类销售明细'!$G:$G,$B6)</f>
        <v>289432800.92</v>
      </c>
      <c r="M6" s="65">
        <f t="shared" si="0"/>
        <v>-0.253240190604774</v>
      </c>
      <c r="N6" s="66"/>
    </row>
    <row r="7" s="15" customFormat="1" ht="13.5" spans="1:14">
      <c r="A7" s="62"/>
      <c r="B7" s="62" t="s">
        <v>257</v>
      </c>
      <c r="C7" s="64">
        <f>SUMIFS('女装-品类销售明细'!$I:$I,'女装-品类销售明细'!$C:$C,C$2,'女装-品类销售明细'!$G:$G,$B7)</f>
        <v>1129474933.35</v>
      </c>
      <c r="D7" s="64">
        <f>SUMIFS('女装-品类销售明细'!$I:$I,'女装-品类销售明细'!$C:$C,D$2,'女装-品类销售明细'!$G:$G,$B7)</f>
        <v>2298858746.85</v>
      </c>
      <c r="E7" s="64">
        <f>SUMIFS('女装-品类销售明细'!$I:$I,'女装-品类销售明细'!$C:$C,E$2,'女装-品类销售明细'!$G:$G,$B7)</f>
        <v>2397555675.88</v>
      </c>
      <c r="F7" s="64">
        <f>SUMIFS('女装-品类销售明细'!$I:$I,'女装-品类销售明细'!$C:$C,F$2,'女装-品类销售明细'!$G:$G,$B7)</f>
        <v>2173374915.2</v>
      </c>
      <c r="G7" s="64">
        <f>SUMIFS('女装-品类销售明细'!$I:$I,'女装-品类销售明细'!$C:$C,G$2,'女装-品类销售明细'!$G:$G,$B7)</f>
        <v>2196057209.61</v>
      </c>
      <c r="H7" s="64">
        <f>SUMIFS('女装-品类销售明细'!$I:$I,'女装-品类销售明细'!$C:$C,H$2,'女装-品类销售明细'!$G:$G,$B7)</f>
        <v>2260581669.67</v>
      </c>
      <c r="I7" s="64">
        <f>SUMIFS('女装-品类销售明细'!$I:$I,'女装-品类销售明细'!$C:$C,I$2,'女装-品类销售明细'!$G:$G,$B7)</f>
        <v>1233427113.83</v>
      </c>
      <c r="J7" s="64">
        <f>SUMIFS('女装-品类销售明细'!$I:$I,'女装-品类销售明细'!$C:$C,J$2,'女装-品类销售明细'!$G:$G,$B7)</f>
        <v>504289343.42</v>
      </c>
      <c r="K7" s="64">
        <f>SUMIFS('女装-品类销售明细'!$I:$I,'女装-品类销售明细'!$C:$C,K$2,'女装-品类销售明细'!$G:$G,$B7)</f>
        <v>582537165.68</v>
      </c>
      <c r="L7" s="64">
        <f>SUMIFS('女装-品类销售明细'!$I:$I,'女装-品类销售明细'!$C:$C,L$2,'女装-品类销售明细'!$G:$G,$B7)</f>
        <v>383265098.77</v>
      </c>
      <c r="M7" s="65">
        <f t="shared" si="0"/>
        <v>-0.342076143206053</v>
      </c>
      <c r="N7" s="66"/>
    </row>
    <row r="8" s="15" customFormat="1" ht="13.5" spans="1:14">
      <c r="A8" s="62"/>
      <c r="B8" s="62" t="s">
        <v>258</v>
      </c>
      <c r="C8" s="64">
        <f>SUMIFS('女装-品类销售明细'!$I:$I,'女装-品类销售明细'!$C:$C,C$2,'女装-品类销售明细'!$G:$G,$B8)</f>
        <v>1222389454.93</v>
      </c>
      <c r="D8" s="64">
        <f>SUMIFS('女装-品类销售明细'!$I:$I,'女装-品类销售明细'!$C:$C,D$2,'女装-品类销售明细'!$G:$G,$B8)</f>
        <v>2338940600.89</v>
      </c>
      <c r="E8" s="64">
        <f>SUMIFS('女装-品类销售明细'!$I:$I,'女装-品类销售明细'!$C:$C,E$2,'女装-品类销售明细'!$G:$G,$B8)</f>
        <v>2259297888.01</v>
      </c>
      <c r="F8" s="64">
        <f>SUMIFS('女装-品类销售明细'!$I:$I,'女装-品类销售明细'!$C:$C,F$2,'女装-品类销售明细'!$G:$G,$B8)</f>
        <v>1990741805.46</v>
      </c>
      <c r="G8" s="64">
        <f>SUMIFS('女装-品类销售明细'!$I:$I,'女装-品类销售明细'!$C:$C,G$2,'女装-品类销售明细'!$G:$G,$B8)</f>
        <v>1815416533.58</v>
      </c>
      <c r="H8" s="64">
        <f>SUMIFS('女装-品类销售明细'!$I:$I,'女装-品类销售明细'!$C:$C,H$2,'女装-品类销售明细'!$G:$G,$B8)</f>
        <v>1701943799.05</v>
      </c>
      <c r="I8" s="64">
        <f>SUMIFS('女装-品类销售明细'!$I:$I,'女装-品类销售明细'!$C:$C,I$2,'女装-品类销售明细'!$G:$G,$B8)</f>
        <v>852997121.82</v>
      </c>
      <c r="J8" s="64">
        <f>SUMIFS('女装-品类销售明细'!$I:$I,'女装-品类销售明细'!$C:$C,J$2,'女装-品类销售明细'!$G:$G,$B8)</f>
        <v>604438848.06</v>
      </c>
      <c r="K8" s="64">
        <f>SUMIFS('女装-品类销售明细'!$I:$I,'女装-品类销售明细'!$C:$C,K$2,'女装-品类销售明细'!$G:$G,$B8)</f>
        <v>1016908390.87</v>
      </c>
      <c r="L8" s="64">
        <f>SUMIFS('女装-品类销售明细'!$I:$I,'女装-品类销售明细'!$C:$C,L$2,'女装-品类销售明细'!$G:$G,$B8)</f>
        <v>878563314.2</v>
      </c>
      <c r="M8" s="65">
        <f t="shared" si="0"/>
        <v>-0.136044778381306</v>
      </c>
      <c r="N8" s="66"/>
    </row>
    <row r="9" s="15" customFormat="1" ht="13.5" spans="1:14">
      <c r="A9" s="62"/>
      <c r="B9" s="62" t="s">
        <v>259</v>
      </c>
      <c r="C9" s="64">
        <f>SUMIFS('女装-品类销售明细'!$I:$I,'女装-品类销售明细'!$C:$C,C$2,'女装-品类销售明细'!$G:$G,$B9)</f>
        <v>835800893.81</v>
      </c>
      <c r="D9" s="64">
        <f>SUMIFS('女装-品类销售明细'!$I:$I,'女装-品类销售明细'!$C:$C,D$2,'女装-品类销售明细'!$G:$G,$B9)</f>
        <v>1527179454.51</v>
      </c>
      <c r="E9" s="64">
        <f>SUMIFS('女装-品类销售明细'!$I:$I,'女装-品类销售明细'!$C:$C,E$2,'女装-品类销售明细'!$G:$G,$B9)</f>
        <v>1492548445.96</v>
      </c>
      <c r="F9" s="64">
        <f>SUMIFS('女装-品类销售明细'!$I:$I,'女装-品类销售明细'!$C:$C,F$2,'女装-品类销售明细'!$G:$G,$B9)</f>
        <v>1255247232.41</v>
      </c>
      <c r="G9" s="64">
        <f>SUMIFS('女装-品类销售明细'!$I:$I,'女装-品类销售明细'!$C:$C,G$2,'女装-品类销售明细'!$G:$G,$B9)</f>
        <v>1264995578.61</v>
      </c>
      <c r="H9" s="64">
        <f>SUMIFS('女装-品类销售明细'!$I:$I,'女装-品类销售明细'!$C:$C,H$2,'女装-品类销售明细'!$G:$G,$B9)</f>
        <v>1225105044.26</v>
      </c>
      <c r="I9" s="64">
        <f>SUMIFS('女装-品类销售明细'!$I:$I,'女装-品类销售明细'!$C:$C,I$2,'女装-品类销售明细'!$G:$G,$B9)</f>
        <v>605839939.77</v>
      </c>
      <c r="J9" s="64">
        <f>SUMIFS('女装-品类销售明细'!$I:$I,'女装-品类销售明细'!$C:$C,J$2,'女装-品类销售明细'!$G:$G,$B9)</f>
        <v>395714640.63</v>
      </c>
      <c r="K9" s="64">
        <f>SUMIFS('女装-品类销售明细'!$I:$I,'女装-品类销售明细'!$C:$C,K$2,'女装-品类销售明细'!$G:$G,$B9)</f>
        <v>736588325.34</v>
      </c>
      <c r="L9" s="64">
        <f>SUMIFS('女装-品类销售明细'!$I:$I,'女装-品类销售明细'!$C:$C,L$2,'女装-品类销售明细'!$G:$G,$B9)</f>
        <v>666136230.6</v>
      </c>
      <c r="M9" s="65">
        <f t="shared" si="0"/>
        <v>-0.0956464992945417</v>
      </c>
      <c r="N9" s="66"/>
    </row>
    <row r="10" s="15" customFormat="1" ht="13.5" spans="1:14">
      <c r="A10" s="62"/>
      <c r="B10" s="62" t="s">
        <v>260</v>
      </c>
      <c r="C10" s="64">
        <f>SUMIFS('女装-品类销售明细'!$I:$I,'女装-品类销售明细'!$C:$C,C$2,'女装-品类销售明细'!$G:$G,$B10)</f>
        <v>513859349.11</v>
      </c>
      <c r="D10" s="64">
        <f>SUMIFS('女装-品类销售明细'!$I:$I,'女装-品类销售明细'!$C:$C,D$2,'女装-品类销售明细'!$G:$G,$B10)</f>
        <v>1025668382.21</v>
      </c>
      <c r="E10" s="64">
        <f>SUMIFS('女装-品类销售明细'!$I:$I,'女装-品类销售明细'!$C:$C,E$2,'女装-品类销售明细'!$G:$G,$B10)</f>
        <v>1058393409.74</v>
      </c>
      <c r="F10" s="64">
        <f>SUMIFS('女装-品类销售明细'!$I:$I,'女装-品类销售明细'!$C:$C,F$2,'女装-品类销售明细'!$G:$G,$B10)</f>
        <v>874880515.22</v>
      </c>
      <c r="G10" s="64">
        <f>SUMIFS('女装-品类销售明细'!$I:$I,'女装-品类销售明细'!$C:$C,G$2,'女装-品类销售明细'!$G:$G,$B10)</f>
        <v>845530268.51</v>
      </c>
      <c r="H10" s="64">
        <f>SUMIFS('女装-品类销售明细'!$I:$I,'女装-品类销售明细'!$C:$C,H$2,'女装-品类销售明细'!$G:$G,$B10)</f>
        <v>847483738.48</v>
      </c>
      <c r="I10" s="64">
        <f>SUMIFS('女装-品类销售明细'!$I:$I,'女装-品类销售明细'!$C:$C,I$2,'女装-品类销售明细'!$G:$G,$B10)</f>
        <v>484317449.68</v>
      </c>
      <c r="J10" s="64">
        <f>SUMIFS('女装-品类销售明细'!$I:$I,'女装-品类销售明细'!$C:$C,J$2,'女装-品类销售明细'!$G:$G,$B10)</f>
        <v>543552744.97</v>
      </c>
      <c r="K10" s="64">
        <f>SUMIFS('女装-品类销售明细'!$I:$I,'女装-品类销售明细'!$C:$C,K$2,'女装-品类销售明细'!$G:$G,$B10)</f>
        <v>971226560.36</v>
      </c>
      <c r="L10" s="64">
        <f>SUMIFS('女装-品类销售明细'!$I:$I,'女装-品类销售明细'!$C:$C,L$2,'女装-品类销售明细'!$G:$G,$B10)</f>
        <v>862001626.79</v>
      </c>
      <c r="M10" s="65">
        <f t="shared" si="0"/>
        <v>-0.112460818132398</v>
      </c>
      <c r="N10" s="66"/>
    </row>
    <row r="11" s="15" customFormat="1" ht="13.5" spans="1:14">
      <c r="A11" s="62"/>
      <c r="B11" s="62" t="s">
        <v>261</v>
      </c>
      <c r="C11" s="64">
        <f>SUMIFS('女装-品类销售明细'!$I:$I,'女装-品类销售明细'!$C:$C,C$2,'女装-品类销售明细'!$G:$G,$B11)</f>
        <v>447542233.77</v>
      </c>
      <c r="D11" s="64">
        <f>SUMIFS('女装-品类销售明细'!$I:$I,'女装-品类销售明细'!$C:$C,D$2,'女装-品类销售明细'!$G:$G,$B11)</f>
        <v>827956254.74</v>
      </c>
      <c r="E11" s="64">
        <f>SUMIFS('女装-品类销售明细'!$I:$I,'女装-品类销售明细'!$C:$C,E$2,'女装-品类销售明细'!$G:$G,$B11)</f>
        <v>714416608.13</v>
      </c>
      <c r="F11" s="64">
        <f>SUMIFS('女装-品类销售明细'!$I:$I,'女装-品类销售明细'!$C:$C,F$2,'女装-品类销售明细'!$G:$G,$B11)</f>
        <v>653352194.2</v>
      </c>
      <c r="G11" s="64">
        <f>SUMIFS('女装-品类销售明细'!$I:$I,'女装-品类销售明细'!$C:$C,G$2,'女装-品类销售明细'!$G:$G,$B11)</f>
        <v>567810319.9</v>
      </c>
      <c r="H11" s="64">
        <f>SUMIFS('女装-品类销售明细'!$I:$I,'女装-品类销售明细'!$C:$C,H$2,'女装-品类销售明细'!$G:$G,$B11)</f>
        <v>476472336.24</v>
      </c>
      <c r="I11" s="64">
        <f>SUMIFS('女装-品类销售明细'!$I:$I,'女装-品类销售明细'!$C:$C,I$2,'女装-品类销售明细'!$G:$G,$B11)</f>
        <v>209710261.22</v>
      </c>
      <c r="J11" s="64">
        <f>SUMIFS('女装-品类销售明细'!$I:$I,'女装-品类销售明细'!$C:$C,J$2,'女装-品类销售明细'!$G:$G,$B11)</f>
        <v>76072747.76</v>
      </c>
      <c r="K11" s="64">
        <f>SUMIFS('女装-品类销售明细'!$I:$I,'女装-品类销售明细'!$C:$C,K$2,'女装-品类销售明细'!$G:$G,$B11)</f>
        <v>133024598.83</v>
      </c>
      <c r="L11" s="64">
        <f>SUMIFS('女装-品类销售明细'!$I:$I,'女装-品类销售明细'!$C:$C,L$2,'女装-品类销售明细'!$G:$G,$B11)</f>
        <v>102467087.5</v>
      </c>
      <c r="M11" s="65">
        <f t="shared" si="0"/>
        <v>-0.229713237993307</v>
      </c>
      <c r="N11" s="66"/>
    </row>
    <row r="12" s="15" customFormat="1" ht="13.5" spans="1:14">
      <c r="A12" s="62"/>
      <c r="B12" s="62" t="s">
        <v>262</v>
      </c>
      <c r="C12" s="64">
        <f>SUMIFS('女装-品类销售明细'!$I:$I,'女装-品类销售明细'!$C:$C,C$2,'女装-品类销售明细'!$G:$G,$B12)</f>
        <v>375367872.04</v>
      </c>
      <c r="D12" s="64">
        <f>SUMIFS('女装-品类销售明细'!$I:$I,'女装-品类销售明细'!$C:$C,D$2,'女装-品类销售明细'!$G:$G,$B12)</f>
        <v>760123063.75</v>
      </c>
      <c r="E12" s="64">
        <f>SUMIFS('女装-品类销售明细'!$I:$I,'女装-品类销售明细'!$C:$C,E$2,'女装-品类销售明细'!$G:$G,$B12)</f>
        <v>794395375.5</v>
      </c>
      <c r="F12" s="64">
        <f>SUMIFS('女装-品类销售明细'!$I:$I,'女装-品类销售明细'!$C:$C,F$2,'女装-品类销售明细'!$G:$G,$B12)</f>
        <v>670897779.73</v>
      </c>
      <c r="G12" s="64">
        <f>SUMIFS('女装-品类销售明细'!$I:$I,'女装-品类销售明细'!$C:$C,G$2,'女装-品类销售明细'!$G:$G,$B12)</f>
        <v>687504367.33</v>
      </c>
      <c r="H12" s="64">
        <f>SUMIFS('女装-品类销售明细'!$I:$I,'女装-品类销售明细'!$C:$C,H$2,'女装-品类销售明细'!$G:$G,$B12)</f>
        <v>726055117.56</v>
      </c>
      <c r="I12" s="64">
        <f>SUMIFS('女装-品类销售明细'!$I:$I,'女装-品类销售明细'!$C:$C,I$2,'女装-品类销售明细'!$G:$G,$B12)</f>
        <v>484291993.92</v>
      </c>
      <c r="J12" s="64">
        <f>SUMIFS('女装-品类销售明细'!$I:$I,'女装-品类销售明细'!$C:$C,J$2,'女装-品类销售明细'!$G:$G,$B12)</f>
        <v>481332752.97</v>
      </c>
      <c r="K12" s="64">
        <f>SUMIFS('女装-品类销售明细'!$I:$I,'女装-品类销售明细'!$C:$C,K$2,'女装-品类销售明细'!$G:$G,$B12)</f>
        <v>913731383.09</v>
      </c>
      <c r="L12" s="64">
        <f>SUMIFS('女装-品类销售明细'!$I:$I,'女装-品类销售明细'!$C:$C,L$2,'女装-品类销售明细'!$G:$G,$B12)</f>
        <v>827423356.31</v>
      </c>
      <c r="M12" s="65">
        <f t="shared" si="0"/>
        <v>-0.0944566733476189</v>
      </c>
      <c r="N12" s="66"/>
    </row>
    <row r="13" s="15" customFormat="1" ht="13.5" spans="1:14">
      <c r="A13" s="62"/>
      <c r="B13" s="62" t="s">
        <v>263</v>
      </c>
      <c r="C13" s="64">
        <f>SUMIFS('女装-品类销售明细'!$I:$I,'女装-品类销售明细'!$C:$C,C$2,'女装-品类销售明细'!$G:$G,$B13)</f>
        <v>342029605.66</v>
      </c>
      <c r="D13" s="64">
        <f>SUMIFS('女装-品类销售明细'!$I:$I,'女装-品类销售明细'!$C:$C,D$2,'女装-品类销售明细'!$G:$G,$B13)</f>
        <v>569916045.23</v>
      </c>
      <c r="E13" s="64">
        <f>SUMIFS('女装-品类销售明细'!$I:$I,'女装-品类销售明细'!$C:$C,E$2,'女装-品类销售明细'!$G:$G,$B13)</f>
        <v>639740232.34</v>
      </c>
      <c r="F13" s="64">
        <f>SUMIFS('女装-品类销售明细'!$I:$I,'女装-品类销售明细'!$C:$C,F$2,'女装-品类销售明细'!$G:$G,$B13)</f>
        <v>562245725.64</v>
      </c>
      <c r="G13" s="64">
        <f>SUMIFS('女装-品类销售明细'!$I:$I,'女装-品类销售明细'!$C:$C,G$2,'女装-品类销售明细'!$G:$G,$B13)</f>
        <v>413341102.06</v>
      </c>
      <c r="H13" s="64">
        <f>SUMIFS('女装-品类销售明细'!$I:$I,'女装-品类销售明细'!$C:$C,H$2,'女装-品类销售明细'!$G:$G,$B13)</f>
        <v>342573805.52</v>
      </c>
      <c r="I13" s="64">
        <f>SUMIFS('女装-品类销售明细'!$I:$I,'女装-品类销售明细'!$C:$C,I$2,'女装-品类销售明细'!$G:$G,$B13)</f>
        <v>223925019.63</v>
      </c>
      <c r="J13" s="64">
        <f>SUMIFS('女装-品类销售明细'!$I:$I,'女装-品类销售明细'!$C:$C,J$2,'女装-品类销售明细'!$G:$G,$B13)</f>
        <v>261655504.65</v>
      </c>
      <c r="K13" s="64">
        <f>SUMIFS('女装-品类销售明细'!$I:$I,'女装-品类销售明细'!$C:$C,K$2,'女装-品类销售明细'!$G:$G,$B13)</f>
        <v>613107175.17</v>
      </c>
      <c r="L13" s="64">
        <f>SUMIFS('女装-品类销售明细'!$I:$I,'女装-品类销售明细'!$C:$C,L$2,'女装-品类销售明细'!$G:$G,$B13)</f>
        <v>317317984.89</v>
      </c>
      <c r="M13" s="65">
        <f t="shared" si="0"/>
        <v>-0.482442878274887</v>
      </c>
      <c r="N13" s="66"/>
    </row>
    <row r="14" s="15" customFormat="1" ht="13.5" spans="1:14">
      <c r="A14" s="62"/>
      <c r="B14" s="62" t="s">
        <v>264</v>
      </c>
      <c r="C14" s="64">
        <f>SUMIFS('女装-品类销售明细'!$I:$I,'女装-品类销售明细'!$C:$C,C$2,'女装-品类销售明细'!$G:$G,$B14)</f>
        <v>346614704.2</v>
      </c>
      <c r="D14" s="64">
        <f>SUMIFS('女装-品类销售明细'!$I:$I,'女装-品类销售明细'!$C:$C,D$2,'女装-品类销售明细'!$G:$G,$B14)</f>
        <v>645557126.42</v>
      </c>
      <c r="E14" s="64">
        <f>SUMIFS('女装-品类销售明细'!$I:$I,'女装-品类销售明细'!$C:$C,E$2,'女装-品类销售明细'!$G:$G,$B14)</f>
        <v>654851473.49</v>
      </c>
      <c r="F14" s="64">
        <f>SUMIFS('女装-品类销售明细'!$I:$I,'女装-品类销售明细'!$C:$C,F$2,'女装-品类销售明细'!$G:$G,$B14)</f>
        <v>542829197.3</v>
      </c>
      <c r="G14" s="64">
        <f>SUMIFS('女装-品类销售明细'!$I:$I,'女装-品类销售明细'!$C:$C,G$2,'女装-品类销售明细'!$G:$G,$B14)</f>
        <v>552928364.73</v>
      </c>
      <c r="H14" s="64">
        <f>SUMIFS('女装-品类销售明细'!$I:$I,'女装-品类销售明细'!$C:$C,H$2,'女装-品类销售明细'!$G:$G,$B14)</f>
        <v>569208426.12</v>
      </c>
      <c r="I14" s="64">
        <f>SUMIFS('女装-品类销售明细'!$I:$I,'女装-品类销售明细'!$C:$C,I$2,'女装-品类销售明细'!$G:$G,$B14)</f>
        <v>364419378.45</v>
      </c>
      <c r="J14" s="64">
        <f>SUMIFS('女装-品类销售明细'!$I:$I,'女装-品类销售明细'!$C:$C,J$2,'女装-品类销售明细'!$G:$G,$B14)</f>
        <v>389794971.51</v>
      </c>
      <c r="K14" s="64">
        <f>SUMIFS('女装-品类销售明细'!$I:$I,'女装-品类销售明细'!$C:$C,K$2,'女装-品类销售明细'!$G:$G,$B14)</f>
        <v>843792416.32</v>
      </c>
      <c r="L14" s="64">
        <f>SUMIFS('女装-品类销售明细'!$I:$I,'女装-品类销售明细'!$C:$C,L$2,'女装-品类销售明细'!$G:$G,$B14)</f>
        <v>783398255.12</v>
      </c>
      <c r="M14" s="65">
        <f t="shared" si="0"/>
        <v>-0.0715746669819514</v>
      </c>
      <c r="N14" s="66"/>
    </row>
    <row r="15" s="15" customFormat="1" ht="13.5" spans="1:14">
      <c r="A15" s="62"/>
      <c r="B15" s="62" t="s">
        <v>265</v>
      </c>
      <c r="C15" s="64">
        <f>SUMIFS('女装-品类销售明细'!$I:$I,'女装-品类销售明细'!$C:$C,C$2,'女装-品类销售明细'!$G:$G,$B15)</f>
        <v>327113647.61</v>
      </c>
      <c r="D15" s="64">
        <f>SUMIFS('女装-品类销售明细'!$I:$I,'女装-品类销售明细'!$C:$C,D$2,'女装-品类销售明细'!$G:$G,$B15)</f>
        <v>564543220.28</v>
      </c>
      <c r="E15" s="64">
        <f>SUMIFS('女装-品类销售明细'!$I:$I,'女装-品类销售明细'!$C:$C,E$2,'女装-品类销售明细'!$G:$G,$B15)</f>
        <v>540392444.23</v>
      </c>
      <c r="F15" s="64">
        <f>SUMIFS('女装-品类销售明细'!$I:$I,'女装-品类销售明细'!$C:$C,F$2,'女装-品类销售明细'!$G:$G,$B15)</f>
        <v>471504477.14</v>
      </c>
      <c r="G15" s="64">
        <f>SUMIFS('女装-品类销售明细'!$I:$I,'女装-品类销售明细'!$C:$C,G$2,'女装-品类销售明细'!$G:$G,$B15)</f>
        <v>431488722.44</v>
      </c>
      <c r="H15" s="64">
        <f>SUMIFS('女装-品类销售明细'!$I:$I,'女装-品类销售明细'!$C:$C,H$2,'女装-品类销售明细'!$G:$G,$B15)</f>
        <v>367593991.54</v>
      </c>
      <c r="I15" s="64">
        <f>SUMIFS('女装-品类销售明细'!$I:$I,'女装-品类销售明细'!$C:$C,I$2,'女装-品类销售明细'!$G:$G,$B15)</f>
        <v>170744305.78</v>
      </c>
      <c r="J15" s="64">
        <f>SUMIFS('女装-品类销售明细'!$I:$I,'女装-品类销售明细'!$C:$C,J$2,'女装-品类销售明细'!$G:$G,$B15)</f>
        <v>74077572.1</v>
      </c>
      <c r="K15" s="64">
        <f>SUMIFS('女装-品类销售明细'!$I:$I,'女装-品类销售明细'!$C:$C,K$2,'女装-品类销售明细'!$G:$G,$B15)</f>
        <v>148037676.21</v>
      </c>
      <c r="L15" s="64">
        <f>SUMIFS('女装-品类销售明细'!$I:$I,'女装-品类销售明细'!$C:$C,L$2,'女装-品类销售明细'!$G:$G,$B15)</f>
        <v>119698287.52</v>
      </c>
      <c r="M15" s="65">
        <f t="shared" si="0"/>
        <v>-0.19143362295014</v>
      </c>
      <c r="N15" s="66"/>
    </row>
    <row r="16" s="15" customFormat="1" ht="13.5" spans="1:14">
      <c r="A16" s="62"/>
      <c r="B16" s="62" t="s">
        <v>266</v>
      </c>
      <c r="C16" s="64">
        <f>SUMIFS('女装-品类销售明细'!$I:$I,'女装-品类销售明细'!$C:$C,C$2,'女装-品类销售明细'!$G:$G,$B16)</f>
        <v>277475725.2</v>
      </c>
      <c r="D16" s="64">
        <f>SUMIFS('女装-品类销售明细'!$I:$I,'女装-品类销售明细'!$C:$C,D$2,'女装-品类销售明细'!$G:$G,$B16)</f>
        <v>550975804.76</v>
      </c>
      <c r="E16" s="64">
        <f>SUMIFS('女装-品类销售明细'!$I:$I,'女装-品类销售明细'!$C:$C,E$2,'女装-品类销售明细'!$G:$G,$B16)</f>
        <v>553536753.16</v>
      </c>
      <c r="F16" s="64">
        <f>SUMIFS('女装-品类销售明细'!$I:$I,'女装-品类销售明细'!$C:$C,F$2,'女装-品类销售明细'!$G:$G,$B16)</f>
        <v>443502767.09</v>
      </c>
      <c r="G16" s="64">
        <f>SUMIFS('女装-品类销售明细'!$I:$I,'女装-品类销售明细'!$C:$C,G$2,'女装-品类销售明细'!$G:$G,$B16)</f>
        <v>460180463.56</v>
      </c>
      <c r="H16" s="64">
        <f>SUMIFS('女装-品类销售明细'!$I:$I,'女装-品类销售明细'!$C:$C,H$2,'女装-品类销售明细'!$G:$G,$B16)</f>
        <v>459280486.06</v>
      </c>
      <c r="I16" s="64">
        <f>SUMIFS('女装-品类销售明细'!$I:$I,'女装-品类销售明细'!$C:$C,I$2,'女装-品类销售明细'!$G:$G,$B16)</f>
        <v>239397751.55</v>
      </c>
      <c r="J16" s="64">
        <f>SUMIFS('女装-品类销售明细'!$I:$I,'女装-品类销售明细'!$C:$C,J$2,'女装-品类销售明细'!$G:$G,$B16)</f>
        <v>208792707.04</v>
      </c>
      <c r="K16" s="64">
        <f>SUMIFS('女装-品类销售明细'!$I:$I,'女装-品类销售明细'!$C:$C,K$2,'女装-品类销售明细'!$G:$G,$B16)</f>
        <v>454946357.96</v>
      </c>
      <c r="L16" s="64">
        <f>SUMIFS('女装-品类销售明细'!$I:$I,'女装-品类销售明细'!$C:$C,L$2,'女装-品类销售明细'!$G:$G,$B16)</f>
        <v>435328858.28</v>
      </c>
      <c r="M16" s="65">
        <f t="shared" si="0"/>
        <v>-0.0431204675820809</v>
      </c>
      <c r="N16" s="66"/>
    </row>
    <row r="17" s="15" customFormat="1" ht="13.5" spans="1:14">
      <c r="A17" s="62"/>
      <c r="B17" s="62" t="s">
        <v>267</v>
      </c>
      <c r="C17" s="64">
        <f>SUMIFS('女装-品类销售明细'!$I:$I,'女装-品类销售明细'!$C:$C,C$2,'女装-品类销售明细'!$G:$G,$B17)</f>
        <v>243699890.1</v>
      </c>
      <c r="D17" s="64">
        <f>SUMIFS('女装-品类销售明细'!$I:$I,'女装-品类销售明细'!$C:$C,D$2,'女装-品类销售明细'!$G:$G,$B17)</f>
        <v>498391045.92</v>
      </c>
      <c r="E17" s="64">
        <f>SUMIFS('女装-品类销售明细'!$I:$I,'女装-品类销售明细'!$C:$C,E$2,'女装-品类销售明细'!$G:$G,$B17)</f>
        <v>478677898.62</v>
      </c>
      <c r="F17" s="64">
        <f>SUMIFS('女装-品类销售明细'!$I:$I,'女装-品类销售明细'!$C:$C,F$2,'女装-品类销售明细'!$G:$G,$B17)</f>
        <v>408135523.65</v>
      </c>
      <c r="G17" s="64">
        <f>SUMIFS('女装-品类销售明细'!$I:$I,'女装-品类销售明细'!$C:$C,G$2,'女装-品类销售明细'!$G:$G,$B17)</f>
        <v>411653339.13</v>
      </c>
      <c r="H17" s="64">
        <f>SUMIFS('女装-品类销售明细'!$I:$I,'女装-品类销售明细'!$C:$C,H$2,'女装-品类销售明细'!$G:$G,$B17)</f>
        <v>361057766.93</v>
      </c>
      <c r="I17" s="64">
        <f>SUMIFS('女装-品类销售明细'!$I:$I,'女装-品类销售明细'!$C:$C,I$2,'女装-品类销售明细'!$G:$G,$B17)</f>
        <v>175536445.07</v>
      </c>
      <c r="J17" s="64">
        <f>SUMIFS('女装-品类销售明细'!$I:$I,'女装-品类销售明细'!$C:$C,J$2,'女装-品类销售明细'!$G:$G,$B17)</f>
        <v>116975384.93</v>
      </c>
      <c r="K17" s="64">
        <f>SUMIFS('女装-品类销售明细'!$I:$I,'女装-品类销售明细'!$C:$C,K$2,'女装-品类销售明细'!$G:$G,$B17)</f>
        <v>220642487.09</v>
      </c>
      <c r="L17" s="64">
        <f>SUMIFS('女装-品类销售明细'!$I:$I,'女装-品类销售明细'!$C:$C,L$2,'女装-品类销售明细'!$G:$G,$B17)</f>
        <v>171919235.45</v>
      </c>
      <c r="M17" s="65">
        <f t="shared" si="0"/>
        <v>-0.220824430881826</v>
      </c>
      <c r="N17" s="66"/>
    </row>
    <row r="18" s="15" customFormat="1" ht="13.5" spans="1:14">
      <c r="A18" s="62"/>
      <c r="B18" s="62" t="s">
        <v>268</v>
      </c>
      <c r="C18" s="64">
        <f>SUMIFS('女装-品类销售明细'!$I:$I,'女装-品类销售明细'!$C:$C,C$2,'女装-品类销售明细'!$G:$G,$B18)</f>
        <v>262640045.85</v>
      </c>
      <c r="D18" s="64">
        <f>SUMIFS('女装-品类销售明细'!$I:$I,'女装-品类销售明细'!$C:$C,D$2,'女装-品类销售明细'!$G:$G,$B18)</f>
        <v>480426922.73</v>
      </c>
      <c r="E18" s="64">
        <f>SUMIFS('女装-品类销售明细'!$I:$I,'女装-品类销售明细'!$C:$C,E$2,'女装-品类销售明细'!$G:$G,$B18)</f>
        <v>464357947.44</v>
      </c>
      <c r="F18" s="64">
        <f>SUMIFS('女装-品类销售明细'!$I:$I,'女装-品类销售明细'!$C:$C,F$2,'女装-品类销售明细'!$G:$G,$B18)</f>
        <v>427819494.22</v>
      </c>
      <c r="G18" s="64">
        <f>SUMIFS('女装-品类销售明细'!$I:$I,'女装-品类销售明细'!$C:$C,G$2,'女装-品类销售明细'!$G:$G,$B18)</f>
        <v>386731901.59</v>
      </c>
      <c r="H18" s="64">
        <f>SUMIFS('女装-品类销售明细'!$I:$I,'女装-品类销售明细'!$C:$C,H$2,'女装-品类销售明细'!$G:$G,$B18)</f>
        <v>343938887.29</v>
      </c>
      <c r="I18" s="64">
        <f>SUMIFS('女装-品类销售明细'!$I:$I,'女装-品类销售明细'!$C:$C,I$2,'女装-品类销售明细'!$G:$G,$B18)</f>
        <v>153190216.47</v>
      </c>
      <c r="J18" s="64">
        <f>SUMIFS('女装-品类销售明细'!$I:$I,'女装-品类销售明细'!$C:$C,J$2,'女装-品类销售明细'!$G:$G,$B18)</f>
        <v>101013421.26</v>
      </c>
      <c r="K18" s="64">
        <f>SUMIFS('女装-品类销售明细'!$I:$I,'女装-品类销售明细'!$C:$C,K$2,'女装-品类销售明细'!$G:$G,$B18)</f>
        <v>215784365.25</v>
      </c>
      <c r="L18" s="64">
        <f>SUMIFS('女装-品类销售明细'!$I:$I,'女装-品类销售明细'!$C:$C,L$2,'女装-品类销售明细'!$G:$G,$B18)</f>
        <v>212560203.35</v>
      </c>
      <c r="M18" s="65">
        <f t="shared" si="0"/>
        <v>-0.0149415917889352</v>
      </c>
      <c r="N18" s="66"/>
    </row>
    <row r="19" s="15" customFormat="1" ht="13.5" spans="1:14">
      <c r="A19" s="62"/>
      <c r="B19" s="62" t="s">
        <v>269</v>
      </c>
      <c r="C19" s="64">
        <f>SUMIFS('女装-品类销售明细'!$I:$I,'女装-品类销售明细'!$C:$C,C$2,'女装-品类销售明细'!$G:$G,$B19)</f>
        <v>242903390.18</v>
      </c>
      <c r="D19" s="64">
        <f>SUMIFS('女装-品类销售明细'!$I:$I,'女装-品类销售明细'!$C:$C,D$2,'女装-品类销售明细'!$G:$G,$B19)</f>
        <v>413083504.6</v>
      </c>
      <c r="E19" s="64">
        <f>SUMIFS('女装-品类销售明细'!$I:$I,'女装-品类销售明细'!$C:$C,E$2,'女装-品类销售明细'!$G:$G,$B19)</f>
        <v>382831713.2</v>
      </c>
      <c r="F19" s="64">
        <f>SUMIFS('女装-品类销售明细'!$I:$I,'女装-品类销售明细'!$C:$C,F$2,'女装-品类销售明细'!$G:$G,$B19)</f>
        <v>452924307.59</v>
      </c>
      <c r="G19" s="64">
        <f>SUMIFS('女装-品类销售明细'!$I:$I,'女装-品类销售明细'!$C:$C,G$2,'女装-品类销售明细'!$G:$G,$B19)</f>
        <v>411056855.02</v>
      </c>
      <c r="H19" s="64">
        <f>SUMIFS('女装-品类销售明细'!$I:$I,'女装-品类销售明细'!$C:$C,H$2,'女装-品类销售明细'!$G:$G,$B19)</f>
        <v>395143194.77</v>
      </c>
      <c r="I19" s="64">
        <f>SUMIFS('女装-品类销售明细'!$I:$I,'女装-品类销售明细'!$C:$C,I$2,'女装-品类销售明细'!$G:$G,$B19)</f>
        <v>138848092.03</v>
      </c>
      <c r="J19" s="64">
        <f>SUMIFS('女装-品类销售明细'!$I:$I,'女装-品类销售明细'!$C:$C,J$2,'女装-品类销售明细'!$G:$G,$B19)</f>
        <v>53946573.31</v>
      </c>
      <c r="K19" s="64">
        <f>SUMIFS('女装-品类销售明细'!$I:$I,'女装-品类销售明细'!$C:$C,K$2,'女装-品类销售明细'!$G:$G,$B19)</f>
        <v>90190771.13</v>
      </c>
      <c r="L19" s="64">
        <f>SUMIFS('女装-品类销售明细'!$I:$I,'女装-品类销售明细'!$C:$C,L$2,'女装-品类销售明细'!$G:$G,$B19)</f>
        <v>81455888.34</v>
      </c>
      <c r="M19" s="65">
        <f t="shared" si="0"/>
        <v>-0.0968489644845107</v>
      </c>
      <c r="N19" s="66"/>
    </row>
    <row r="20" s="15" customFormat="1" ht="13.5" spans="1:14">
      <c r="A20" s="62"/>
      <c r="B20" s="62" t="s">
        <v>270</v>
      </c>
      <c r="C20" s="64">
        <f>SUMIFS('女装-品类销售明细'!$I:$I,'女装-品类销售明细'!$C:$C,C$2,'女装-品类销售明细'!$G:$G,$B20)</f>
        <v>215232255.98</v>
      </c>
      <c r="D20" s="64">
        <f>SUMIFS('女装-品类销售明细'!$I:$I,'女装-品类销售明细'!$C:$C,D$2,'女装-品类销售明细'!$G:$G,$B20)</f>
        <v>393206983.24</v>
      </c>
      <c r="E20" s="64">
        <f>SUMIFS('女装-品类销售明细'!$I:$I,'女装-品类销售明细'!$C:$C,E$2,'女装-品类销售明细'!$G:$G,$B20)</f>
        <v>372954296.17</v>
      </c>
      <c r="F20" s="64">
        <f>SUMIFS('女装-品类销售明细'!$I:$I,'女装-品类销售明细'!$C:$C,F$2,'女装-品类销售明细'!$G:$G,$B20)</f>
        <v>315005639.6</v>
      </c>
      <c r="G20" s="64">
        <f>SUMIFS('女装-品类销售明细'!$I:$I,'女装-品类销售明细'!$C:$C,G$2,'女装-品类销售明细'!$G:$G,$B20)</f>
        <v>285682632.29</v>
      </c>
      <c r="H20" s="64">
        <f>SUMIFS('女装-品类销售明细'!$I:$I,'女装-品类销售明细'!$C:$C,H$2,'女装-品类销售明细'!$G:$G,$B20)</f>
        <v>247410920.23</v>
      </c>
      <c r="I20" s="64">
        <f>SUMIFS('女装-品类销售明细'!$I:$I,'女装-品类销售明细'!$C:$C,I$2,'女装-品类销售明细'!$G:$G,$B20)</f>
        <v>119902000.41</v>
      </c>
      <c r="J20" s="64">
        <f>SUMIFS('女装-品类销售明细'!$I:$I,'女装-品类销售明细'!$C:$C,J$2,'女装-品类销售明细'!$G:$G,$B20)</f>
        <v>66150562.48</v>
      </c>
      <c r="K20" s="64">
        <f>SUMIFS('女装-品类销售明细'!$I:$I,'女装-品类销售明细'!$C:$C,K$2,'女装-品类销售明细'!$G:$G,$B20)</f>
        <v>127477564.16</v>
      </c>
      <c r="L20" s="64">
        <f>SUMIFS('女装-品类销售明细'!$I:$I,'女装-品类销售明细'!$C:$C,L$2,'女装-品类销售明细'!$G:$G,$B20)</f>
        <v>101061581.38</v>
      </c>
      <c r="M20" s="65">
        <f t="shared" si="0"/>
        <v>-0.207220642738707</v>
      </c>
      <c r="N20" s="66"/>
    </row>
    <row r="21" s="15" customFormat="1" ht="13.5" spans="1:14">
      <c r="A21" s="62"/>
      <c r="B21" s="62" t="s">
        <v>271</v>
      </c>
      <c r="C21" s="64">
        <f>SUMIFS('女装-品类销售明细'!$I:$I,'女装-品类销售明细'!$C:$C,C$2,'女装-品类销售明细'!$G:$G,$B21)</f>
        <v>218086531.39</v>
      </c>
      <c r="D21" s="64">
        <f>SUMIFS('女装-品类销售明细'!$I:$I,'女装-品类销售明细'!$C:$C,D$2,'女装-品类销售明细'!$G:$G,$B21)</f>
        <v>382207445.24</v>
      </c>
      <c r="E21" s="64">
        <f>SUMIFS('女装-品类销售明细'!$I:$I,'女装-品类销售明细'!$C:$C,E$2,'女装-品类销售明细'!$G:$G,$B21)</f>
        <v>374948403.47</v>
      </c>
      <c r="F21" s="64">
        <f>SUMIFS('女装-品类销售明细'!$I:$I,'女装-品类销售明细'!$C:$C,F$2,'女装-品类销售明细'!$G:$G,$B21)</f>
        <v>336348046.97</v>
      </c>
      <c r="G21" s="64">
        <f>SUMIFS('女装-品类销售明细'!$I:$I,'女装-品类销售明细'!$C:$C,G$2,'女装-品类销售明细'!$G:$G,$B21)</f>
        <v>283678898.86</v>
      </c>
      <c r="H21" s="64">
        <f>SUMIFS('女装-品类销售明细'!$I:$I,'女装-品类销售明细'!$C:$C,H$2,'女装-品类销售明细'!$G:$G,$B21)</f>
        <v>259457629.04</v>
      </c>
      <c r="I21" s="64">
        <f>SUMIFS('女装-品类销售明细'!$I:$I,'女装-品类销售明细'!$C:$C,I$2,'女装-品类销售明细'!$G:$G,$B21)</f>
        <v>129126165.41</v>
      </c>
      <c r="J21" s="64">
        <f>SUMIFS('女装-品类销售明细'!$I:$I,'女装-品类销售明细'!$C:$C,J$2,'女装-品类销售明细'!$G:$G,$B21)</f>
        <v>46311126.58</v>
      </c>
      <c r="K21" s="64">
        <f>SUMIFS('女装-品类销售明细'!$I:$I,'女装-品类销售明细'!$C:$C,K$2,'女装-品类销售明细'!$G:$G,$B21)</f>
        <v>80927292.11</v>
      </c>
      <c r="L21" s="64">
        <f>SUMIFS('女装-品类销售明细'!$I:$I,'女装-品类销售明细'!$C:$C,L$2,'女装-品类销售明细'!$G:$G,$B21)</f>
        <v>59955864.68</v>
      </c>
      <c r="M21" s="65">
        <f t="shared" si="0"/>
        <v>-0.259139122083743</v>
      </c>
      <c r="N21" s="66"/>
    </row>
    <row r="22" s="15" customFormat="1" ht="13.5" spans="1:14">
      <c r="A22" s="62"/>
      <c r="B22" s="62" t="s">
        <v>272</v>
      </c>
      <c r="C22" s="64">
        <f>SUMIFS('女装-品类销售明细'!$I:$I,'女装-品类销售明细'!$C:$C,C$2,'女装-品类销售明细'!$G:$G,$B22)</f>
        <v>178786465.69</v>
      </c>
      <c r="D22" s="64">
        <f>SUMIFS('女装-品类销售明细'!$I:$I,'女装-品类销售明细'!$C:$C,D$2,'女装-品类销售明细'!$G:$G,$B22)</f>
        <v>344961319.47</v>
      </c>
      <c r="E22" s="64">
        <f>SUMIFS('女装-品类销售明细'!$I:$I,'女装-品类销售明细'!$C:$C,E$2,'女装-品类销售明细'!$G:$G,$B22)</f>
        <v>406929751.15</v>
      </c>
      <c r="F22" s="64">
        <f>SUMIFS('女装-品类销售明细'!$I:$I,'女装-品类销售明细'!$C:$C,F$2,'女装-品类销售明细'!$G:$G,$B22)</f>
        <v>355633817.81</v>
      </c>
      <c r="G22" s="64">
        <f>SUMIFS('女装-品类销售明细'!$I:$I,'女装-品类销售明细'!$C:$C,G$2,'女装-品类销售明细'!$G:$G,$B22)</f>
        <v>383289307.58</v>
      </c>
      <c r="H22" s="64">
        <f>SUMIFS('女装-品类销售明细'!$I:$I,'女装-品类销售明细'!$C:$C,H$2,'女装-品类销售明细'!$G:$G,$B22)</f>
        <v>378674060.05</v>
      </c>
      <c r="I22" s="64">
        <f>SUMIFS('女装-品类销售明细'!$I:$I,'女装-品类销售明细'!$C:$C,I$2,'女装-品类销售明细'!$G:$G,$B22)</f>
        <v>233586674.94</v>
      </c>
      <c r="J22" s="64">
        <f>SUMIFS('女装-品类销售明细'!$I:$I,'女装-品类销售明细'!$C:$C,J$2,'女装-品类销售明细'!$G:$G,$B22)</f>
        <v>225223224.06</v>
      </c>
      <c r="K22" s="64">
        <f>SUMIFS('女装-品类销售明细'!$I:$I,'女装-品类销售明细'!$C:$C,K$2,'女装-品类销售明细'!$G:$G,$B22)</f>
        <v>436377201.68</v>
      </c>
      <c r="L22" s="64">
        <f>SUMIFS('女装-品类销售明细'!$I:$I,'女装-品类销售明细'!$C:$C,L$2,'女装-品类销售明细'!$G:$G,$B22)</f>
        <v>398154946.37</v>
      </c>
      <c r="M22" s="65">
        <f t="shared" si="0"/>
        <v>-0.0875899454940563</v>
      </c>
      <c r="N22" s="66"/>
    </row>
    <row r="23" s="15" customFormat="1" ht="13.5" spans="1:14">
      <c r="A23" s="62"/>
      <c r="B23" s="62" t="s">
        <v>273</v>
      </c>
      <c r="C23" s="64">
        <f>SUMIFS('女装-品类销售明细'!$I:$I,'女装-品类销售明细'!$C:$C,C$2,'女装-品类销售明细'!$G:$G,$B23)</f>
        <v>177288612.27</v>
      </c>
      <c r="D23" s="64">
        <f>SUMIFS('女装-品类销售明细'!$I:$I,'女装-品类销售明细'!$C:$C,D$2,'女装-品类销售明细'!$G:$G,$B23)</f>
        <v>362541780.2</v>
      </c>
      <c r="E23" s="64">
        <f>SUMIFS('女装-品类销售明细'!$I:$I,'女装-品类销售明细'!$C:$C,E$2,'女装-品类销售明细'!$G:$G,$B23)</f>
        <v>414561805.8</v>
      </c>
      <c r="F23" s="64">
        <f>SUMIFS('女装-品类销售明细'!$I:$I,'女装-品类销售明细'!$C:$C,F$2,'女装-品类销售明细'!$G:$G,$B23)</f>
        <v>342548048.15</v>
      </c>
      <c r="G23" s="64">
        <f>SUMIFS('女装-品类销售明细'!$I:$I,'女装-品类销售明细'!$C:$C,G$2,'女装-品类销售明细'!$G:$G,$B23)</f>
        <v>352166523.82</v>
      </c>
      <c r="H23" s="64">
        <f>SUMIFS('女装-品类销售明细'!$I:$I,'女装-品类销售明细'!$C:$C,H$2,'女装-品类销售明细'!$G:$G,$B23)</f>
        <v>384716556.68</v>
      </c>
      <c r="I23" s="64">
        <f>SUMIFS('女装-品类销售明细'!$I:$I,'女装-品类销售明细'!$C:$C,I$2,'女装-品类销售明细'!$G:$G,$B23)</f>
        <v>256696856.87</v>
      </c>
      <c r="J23" s="64">
        <f>SUMIFS('女装-品类销售明细'!$I:$I,'女装-品类销售明细'!$C:$C,J$2,'女装-品类销售明细'!$G:$G,$B23)</f>
        <v>319176698.67</v>
      </c>
      <c r="K23" s="64">
        <f>SUMIFS('女装-品类销售明细'!$I:$I,'女装-品类销售明细'!$C:$C,K$2,'女装-品类销售明细'!$G:$G,$B23)</f>
        <v>661933812.99</v>
      </c>
      <c r="L23" s="64">
        <f>SUMIFS('女装-品类销售明细'!$I:$I,'女装-品类销售明细'!$C:$C,L$2,'女装-品类销售明细'!$G:$G,$B23)</f>
        <v>577993134.05</v>
      </c>
      <c r="M23" s="65">
        <f t="shared" si="0"/>
        <v>-0.12681128731109</v>
      </c>
      <c r="N23" s="66"/>
    </row>
    <row r="24" ht="13.5" spans="1:14">
      <c r="A24" s="62" t="s">
        <v>274</v>
      </c>
      <c r="B24" s="67" t="s">
        <v>252</v>
      </c>
      <c r="C24" s="64">
        <f>SUMIF('男装-品类销售明细'!$C:$C,C$2,'男装-品类销售明细'!$I:$I)</f>
        <v>3635623394.91</v>
      </c>
      <c r="D24" s="64">
        <f>SUMIF('男装-品类销售明细'!$C:$C,D$2,'男装-品类销售明细'!$I:$I)</f>
        <v>6460990342.19</v>
      </c>
      <c r="E24" s="64">
        <f>SUMIF('男装-品类销售明细'!$C:$C,E$2,'男装-品类销售明细'!$I:$I)</f>
        <v>5824708271.61</v>
      </c>
      <c r="F24" s="64">
        <f>SUMIF('男装-品类销售明细'!$C:$C,F$2,'男装-品类销售明细'!$I:$I)</f>
        <v>6203754236.41</v>
      </c>
      <c r="G24" s="64">
        <f>SUMIF('男装-品类销售明细'!$C:$C,G$2,'男装-品类销售明细'!$I:$I)</f>
        <v>5715387034.78</v>
      </c>
      <c r="H24" s="64">
        <f>SUMIF('男装-品类销售明细'!$C:$C,H$2,'男装-品类销售明细'!$I:$I)</f>
        <v>5817953789.31</v>
      </c>
      <c r="I24" s="64">
        <f>SUMIF('男装-品类销售明细'!$C:$C,I$2,'男装-品类销售明细'!$I:$I)</f>
        <v>2555649022.23</v>
      </c>
      <c r="J24" s="64">
        <f>SUMIF('男装-品类销售明细'!$C:$C,J$2,'男装-品类销售明细'!$I:$I)</f>
        <v>1053962265.81</v>
      </c>
      <c r="K24" s="64">
        <f>SUMIF('男装-品类销售明细'!$C:$C,K$2,'男装-品类销售明细'!$I:$I)</f>
        <v>1934013591.18</v>
      </c>
      <c r="L24" s="64">
        <f>SUMIF('男装-品类销售明细'!$C:$C,L$2,'男装-品类销售明细'!$I:$I)</f>
        <v>1819457387.14</v>
      </c>
      <c r="M24" s="65">
        <f t="shared" ref="M24:M44" si="1">L24/K24-1</f>
        <v>-0.0592323676330033</v>
      </c>
      <c r="N24" s="68" t="s">
        <v>275</v>
      </c>
    </row>
    <row r="25" ht="13.5" spans="1:14">
      <c r="A25" s="62"/>
      <c r="B25" s="69" t="s">
        <v>254</v>
      </c>
      <c r="C25" s="64">
        <f>SUMIFS('男装-品类销售明细'!$I:$I,'男装-品类销售明细'!$C:$C,C$2,'男装-品类销售明细'!$G:$G,$B25)</f>
        <v>1010144979.46</v>
      </c>
      <c r="D25" s="64">
        <f>SUMIFS('男装-品类销售明细'!$I:$I,'男装-品类销售明细'!$C:$C,D$2,'男装-品类销售明细'!$G:$G,$B25)</f>
        <v>1821739264.17</v>
      </c>
      <c r="E25" s="64">
        <f>SUMIFS('男装-品类销售明细'!$I:$I,'男装-品类销售明细'!$C:$C,E$2,'男装-品类销售明细'!$G:$G,$B25)</f>
        <v>1652509396.18</v>
      </c>
      <c r="F25" s="64">
        <f>SUMIFS('男装-品类销售明细'!$I:$I,'男装-品类销售明细'!$C:$C,F$2,'男装-品类销售明细'!$G:$G,$B25)</f>
        <v>1815516260.06</v>
      </c>
      <c r="G25" s="64">
        <f>SUMIFS('男装-品类销售明细'!$I:$I,'男装-品类销售明细'!$C:$C,G$2,'男装-品类销售明细'!$G:$G,$B25)</f>
        <v>1526142070.08</v>
      </c>
      <c r="H25" s="64">
        <f>SUMIFS('男装-品类销售明细'!$I:$I,'男装-品类销售明细'!$C:$C,H$2,'男装-品类销售明细'!$G:$G,$B25)</f>
        <v>1319120239.4</v>
      </c>
      <c r="I25" s="64">
        <f>SUMIFS('男装-品类销售明细'!$I:$I,'男装-品类销售明细'!$C:$C,I$2,'男装-品类销售明细'!$G:$G,$B25)</f>
        <v>482481767.05</v>
      </c>
      <c r="J25" s="64">
        <f>SUMIFS('男装-品类销售明细'!$I:$I,'男装-品类销售明细'!$C:$C,J$2,'男装-品类销售明细'!$G:$G,$B25)</f>
        <v>48873977.65</v>
      </c>
      <c r="K25" s="64">
        <f>SUMIFS('男装-品类销售明细'!$I:$I,'男装-品类销售明细'!$C:$C,K$2,'男装-品类销售明细'!$G:$G,$B25)</f>
        <v>80536235.31</v>
      </c>
      <c r="L25" s="64">
        <f>SUMIFS('男装-品类销售明细'!$I:$I,'男装-品类销售明细'!$C:$C,L$2,'男装-品类销售明细'!$G:$G,$B25)</f>
        <v>69957567.58</v>
      </c>
      <c r="M25" s="65">
        <f t="shared" si="1"/>
        <v>-0.131352895864583</v>
      </c>
      <c r="N25" s="68"/>
    </row>
    <row r="26" ht="13.5" spans="1:14">
      <c r="A26" s="62"/>
      <c r="B26" s="69" t="s">
        <v>276</v>
      </c>
      <c r="C26" s="64">
        <f>SUMIFS('男装-品类销售明细'!$I:$I,'男装-品类销售明细'!$C:$C,C$2,'男装-品类销售明细'!$G:$G,$B26)</f>
        <v>444159254.5</v>
      </c>
      <c r="D26" s="64">
        <f>SUMIFS('男装-品类销售明细'!$I:$I,'男装-品类销售明细'!$C:$C,D$2,'男装-品类销售明细'!$G:$G,$B26)</f>
        <v>755789791.72</v>
      </c>
      <c r="E26" s="64">
        <f>SUMIFS('男装-品类销售明细'!$I:$I,'男装-品类销售明细'!$C:$C,E$2,'男装-品类销售明细'!$G:$G,$B26)</f>
        <v>647525620.73</v>
      </c>
      <c r="F26" s="64">
        <f>SUMIFS('男装-品类销售明细'!$I:$I,'男装-品类销售明细'!$C:$C,F$2,'男装-品类销售明细'!$G:$G,$B26)</f>
        <v>721026515.52</v>
      </c>
      <c r="G26" s="64">
        <f>SUMIFS('男装-品类销售明细'!$I:$I,'男装-品类销售明细'!$C:$C,G$2,'男装-品类销售明细'!$G:$G,$B26)</f>
        <v>651240344.56</v>
      </c>
      <c r="H26" s="64">
        <f>SUMIFS('男装-品类销售明细'!$I:$I,'男装-品类销售明细'!$C:$C,H$2,'男装-品类销售明细'!$G:$G,$B26)</f>
        <v>671905701.2</v>
      </c>
      <c r="I26" s="64">
        <f>SUMIFS('男装-品类销售明细'!$I:$I,'男装-品类销售明细'!$C:$C,I$2,'男装-品类销售明细'!$G:$G,$B26)</f>
        <v>271373579.15</v>
      </c>
      <c r="J26" s="64">
        <f>SUMIFS('男装-品类销售明细'!$I:$I,'男装-品类销售明细'!$C:$C,J$2,'男装-品类销售明细'!$G:$G,$B26)</f>
        <v>113418443.35</v>
      </c>
      <c r="K26" s="64">
        <f>SUMIFS('男装-品类销售明细'!$I:$I,'男装-品类销售明细'!$C:$C,K$2,'男装-品类销售明细'!$G:$G,$B26)</f>
        <v>232307515.48</v>
      </c>
      <c r="L26" s="64">
        <f>SUMIFS('男装-品类销售明细'!$I:$I,'男装-品类销售明细'!$C:$C,L$2,'男装-品类销售明细'!$G:$G,$B26)</f>
        <v>229076440.68</v>
      </c>
      <c r="M26" s="65">
        <f t="shared" si="1"/>
        <v>-0.01390861071939</v>
      </c>
      <c r="N26" s="68"/>
    </row>
    <row r="27" ht="13.5" spans="1:14">
      <c r="A27" s="62"/>
      <c r="B27" s="69" t="s">
        <v>277</v>
      </c>
      <c r="C27" s="64">
        <f>SUMIFS('男装-品类销售明细'!$I:$I,'男装-品类销售明细'!$C:$C,C$2,'男装-品类销售明细'!$G:$G,$B27)</f>
        <v>312209898.25</v>
      </c>
      <c r="D27" s="64">
        <f>SUMIFS('男装-品类销售明细'!$I:$I,'男装-品类销售明细'!$C:$C,D$2,'男装-品类销售明细'!$G:$G,$B27)</f>
        <v>589525658.76</v>
      </c>
      <c r="E27" s="64">
        <f>SUMIFS('男装-品类销售明细'!$I:$I,'男装-品类销售明细'!$C:$C,E$2,'男装-品类销售明细'!$G:$G,$B27)</f>
        <v>558822672.54</v>
      </c>
      <c r="F27" s="64">
        <f>SUMIFS('男装-品类销售明细'!$I:$I,'男装-品类销售明细'!$C:$C,F$2,'男装-品类销售明细'!$G:$G,$B27)</f>
        <v>563337458.37</v>
      </c>
      <c r="G27" s="64">
        <f>SUMIFS('男装-品类销售明细'!$I:$I,'男装-品类销售明细'!$C:$C,G$2,'男装-品类销售明细'!$G:$G,$B27)</f>
        <v>571563171.67</v>
      </c>
      <c r="H27" s="64">
        <f>SUMIFS('男装-品类销售明细'!$I:$I,'男装-品类销售明细'!$C:$C,H$2,'男装-品类销售明细'!$G:$G,$B27)</f>
        <v>671605582.09</v>
      </c>
      <c r="I27" s="64">
        <f>SUMIFS('男装-品类销售明细'!$I:$I,'男装-品类销售明细'!$C:$C,I$2,'男装-品类销售明细'!$G:$G,$B27)</f>
        <v>366286130.81</v>
      </c>
      <c r="J27" s="64">
        <f>SUMIFS('男装-品类销售明细'!$I:$I,'男装-品类销售明细'!$C:$C,J$2,'男装-品类销售明细'!$G:$G,$B27)</f>
        <v>207581334.15</v>
      </c>
      <c r="K27" s="64">
        <f>SUMIFS('男装-品类销售明细'!$I:$I,'男装-品类销售明细'!$C:$C,K$2,'男装-品类销售明细'!$G:$G,$B27)</f>
        <v>405330927.9</v>
      </c>
      <c r="L27" s="64">
        <f>SUMIFS('男装-品类销售明细'!$I:$I,'男装-品类销售明细'!$C:$C,L$2,'男装-品类销售明细'!$G:$G,$B27)</f>
        <v>401932114.38</v>
      </c>
      <c r="M27" s="65">
        <f t="shared" si="1"/>
        <v>-0.00838528048577258</v>
      </c>
      <c r="N27" s="68"/>
    </row>
    <row r="28" ht="13.5" spans="1:14">
      <c r="A28" s="62"/>
      <c r="B28" s="69" t="s">
        <v>278</v>
      </c>
      <c r="C28" s="64">
        <f>SUMIFS('男装-品类销售明细'!$I:$I,'男装-品类销售明细'!$C:$C,C$2,'男装-品类销售明细'!$G:$G,$B28)</f>
        <v>271658652.6</v>
      </c>
      <c r="D28" s="64">
        <f>SUMIFS('男装-品类销售明细'!$I:$I,'男装-品类销售明细'!$C:$C,D$2,'男装-品类销售明细'!$G:$G,$B28)</f>
        <v>477842181.56</v>
      </c>
      <c r="E28" s="64">
        <f>SUMIFS('男装-品类销售明细'!$I:$I,'男装-品类销售明细'!$C:$C,E$2,'男装-品类销售明细'!$G:$G,$B28)</f>
        <v>453387229.01</v>
      </c>
      <c r="F28" s="64">
        <f>SUMIFS('男装-品类销售明细'!$I:$I,'男装-品类销售明细'!$C:$C,F$2,'男装-品类销售明细'!$G:$G,$B28)</f>
        <v>477654622.78</v>
      </c>
      <c r="G28" s="64">
        <f>SUMIFS('男装-品类销售明细'!$I:$I,'男装-品类销售明细'!$C:$C,G$2,'男装-品类销售明细'!$G:$G,$B28)</f>
        <v>504878381.15</v>
      </c>
      <c r="H28" s="64">
        <f>SUMIFS('男装-品类销售明细'!$I:$I,'男装-品类销售明细'!$C:$C,H$2,'男装-品类销售明细'!$G:$G,$B28)</f>
        <v>554385524.35</v>
      </c>
      <c r="I28" s="64">
        <f>SUMIFS('男装-品类销售明细'!$I:$I,'男装-品类销售明细'!$C:$C,I$2,'男装-品类销售明细'!$G:$G,$B28)</f>
        <v>237103863.24</v>
      </c>
      <c r="J28" s="64">
        <f>SUMIFS('男装-品类销售明细'!$I:$I,'男装-品类销售明细'!$C:$C,J$2,'男装-品类销售明细'!$G:$G,$B28)</f>
        <v>106586884.71</v>
      </c>
      <c r="K28" s="64">
        <f>SUMIFS('男装-品类销售明细'!$I:$I,'男装-品类销售明细'!$C:$C,K$2,'男装-品类销售明细'!$G:$G,$B28)</f>
        <v>187811257.8</v>
      </c>
      <c r="L28" s="64">
        <f>SUMIFS('男装-品类销售明细'!$I:$I,'男装-品类销售明细'!$C:$C,L$2,'男装-品类销售明细'!$G:$G,$B28)</f>
        <v>176493558.58</v>
      </c>
      <c r="M28" s="65">
        <f t="shared" si="1"/>
        <v>-0.0602610266954936</v>
      </c>
      <c r="N28" s="68"/>
    </row>
    <row r="29" ht="13.5" spans="1:14">
      <c r="A29" s="62"/>
      <c r="B29" s="69" t="s">
        <v>279</v>
      </c>
      <c r="C29" s="64">
        <f>SUMIFS('男装-品类销售明细'!$I:$I,'男装-品类销售明细'!$C:$C,C$2,'男装-品类销售明细'!$G:$G,$B29)</f>
        <v>243805638.4</v>
      </c>
      <c r="D29" s="64">
        <f>SUMIFS('男装-品类销售明细'!$I:$I,'男装-品类销售明细'!$C:$C,D$2,'男装-品类销售明细'!$G:$G,$B29)</f>
        <v>444730697.38</v>
      </c>
      <c r="E29" s="64">
        <f>SUMIFS('男装-品类销售明细'!$I:$I,'男装-品类销售明细'!$C:$C,E$2,'男装-品类销售明细'!$G:$G,$B29)</f>
        <v>343726968.11</v>
      </c>
      <c r="F29" s="64">
        <f>SUMIFS('男装-品类销售明细'!$I:$I,'男装-品类销售明细'!$C:$C,F$2,'男装-品类销售明细'!$G:$G,$B29)</f>
        <v>384195625.48</v>
      </c>
      <c r="G29" s="64">
        <f>SUMIFS('男装-品类销售明细'!$I:$I,'男装-品类销售明细'!$C:$C,G$2,'男装-品类销售明细'!$G:$G,$B29)</f>
        <v>335440121.78</v>
      </c>
      <c r="H29" s="64">
        <f>SUMIFS('男装-品类销售明细'!$I:$I,'男装-品类销售明细'!$C:$C,H$2,'男装-品类销售明细'!$G:$G,$B29)</f>
        <v>321436377.23</v>
      </c>
      <c r="I29" s="64">
        <f>SUMIFS('男装-品类销售明细'!$I:$I,'男装-品类销售明细'!$C:$C,I$2,'男装-品类销售明细'!$G:$G,$B29)</f>
        <v>124326452.19</v>
      </c>
      <c r="J29" s="64">
        <f>SUMIFS('男装-品类销售明细'!$I:$I,'男装-品类销售明细'!$C:$C,J$2,'男装-品类销售明细'!$G:$G,$B29)</f>
        <v>18969406.34</v>
      </c>
      <c r="K29" s="64">
        <f>SUMIFS('男装-品类销售明细'!$I:$I,'男装-品类销售明细'!$C:$C,K$2,'男装-品类销售明细'!$G:$G,$B29)</f>
        <v>28689479.91</v>
      </c>
      <c r="L29" s="64">
        <f>SUMIFS('男装-品类销售明细'!$I:$I,'男装-品类销售明细'!$C:$C,L$2,'男装-品类销售明细'!$G:$G,$B29)</f>
        <v>25145072.3</v>
      </c>
      <c r="M29" s="65">
        <f t="shared" si="1"/>
        <v>-0.123543808431486</v>
      </c>
      <c r="N29" s="68"/>
    </row>
    <row r="30" ht="13.5" spans="1:14">
      <c r="A30" s="62"/>
      <c r="B30" s="69" t="s">
        <v>280</v>
      </c>
      <c r="C30" s="64">
        <f>SUMIFS('男装-品类销售明细'!$I:$I,'男装-品类销售明细'!$C:$C,C$2,'男装-品类销售明细'!$G:$G,$B30)</f>
        <v>216827300.17</v>
      </c>
      <c r="D30" s="64">
        <f>SUMIFS('男装-品类销售明细'!$I:$I,'男装-品类销售明细'!$C:$C,D$2,'男装-品类销售明细'!$G:$G,$B30)</f>
        <v>383111349.08</v>
      </c>
      <c r="E30" s="64">
        <f>SUMIFS('男装-品类销售明细'!$I:$I,'男装-品类销售明细'!$C:$C,E$2,'男装-品类销售明细'!$G:$G,$B30)</f>
        <v>353111673.01</v>
      </c>
      <c r="F30" s="64">
        <f>SUMIFS('男装-品类销售明细'!$I:$I,'男装-品类销售明细'!$C:$C,F$2,'男装-品类销售明细'!$G:$G,$B30)</f>
        <v>360114161.95</v>
      </c>
      <c r="G30" s="64">
        <f>SUMIFS('男装-品类销售明细'!$I:$I,'男装-品类销售明细'!$C:$C,G$2,'男装-品类销售明细'!$G:$G,$B30)</f>
        <v>336850933.86</v>
      </c>
      <c r="H30" s="64">
        <f>SUMIFS('男装-品类销售明细'!$I:$I,'男装-品类销售明细'!$C:$C,H$2,'男装-品类销售明细'!$G:$G,$B30)</f>
        <v>364275624.09</v>
      </c>
      <c r="I30" s="64">
        <f>SUMIFS('男装-品类销售明细'!$I:$I,'男装-品类销售明细'!$C:$C,I$2,'男装-品类销售明细'!$G:$G,$B30)</f>
        <v>164973710.2</v>
      </c>
      <c r="J30" s="64">
        <f>SUMIFS('男装-品类销售明细'!$I:$I,'男装-品类销售明细'!$C:$C,J$2,'男装-品类销售明细'!$G:$G,$B30)</f>
        <v>75036933.66</v>
      </c>
      <c r="K30" s="64">
        <f>SUMIFS('男装-品类销售明细'!$I:$I,'男装-品类销售明细'!$C:$C,K$2,'男装-品类销售明细'!$G:$G,$B30)</f>
        <v>128118672.84</v>
      </c>
      <c r="L30" s="64">
        <f>SUMIFS('男装-品类销售明细'!$I:$I,'男装-品类销售明细'!$C:$C,L$2,'男装-品类销售明细'!$G:$G,$B30)</f>
        <v>103572969.61</v>
      </c>
      <c r="M30" s="65">
        <f t="shared" si="1"/>
        <v>-0.19158568135227</v>
      </c>
      <c r="N30" s="68"/>
    </row>
    <row r="31" ht="13.5" spans="1:14">
      <c r="A31" s="62"/>
      <c r="B31" s="69" t="s">
        <v>281</v>
      </c>
      <c r="C31" s="64">
        <f>SUMIFS('男装-品类销售明细'!$I:$I,'男装-品类销售明细'!$C:$C,C$2,'男装-品类销售明细'!$G:$G,$B31)</f>
        <v>201595274.41</v>
      </c>
      <c r="D31" s="64">
        <f>SUMIFS('男装-品类销售明细'!$I:$I,'男装-品类销售明细'!$C:$C,D$2,'男装-品类销售明细'!$G:$G,$B31)</f>
        <v>342186909.99</v>
      </c>
      <c r="E31" s="64">
        <f>SUMIFS('男装-品类销售明细'!$I:$I,'男装-品类销售明细'!$C:$C,E$2,'男装-品类销售明细'!$G:$G,$B31)</f>
        <v>312219526.01</v>
      </c>
      <c r="F31" s="64">
        <f>SUMIFS('男装-品类销售明细'!$I:$I,'男装-品类销售明细'!$C:$C,F$2,'男装-品类销售明细'!$G:$G,$B31)</f>
        <v>322061657.26</v>
      </c>
      <c r="G31" s="64">
        <f>SUMIFS('男装-品类销售明细'!$I:$I,'男装-品类销售明细'!$C:$C,G$2,'男装-品类销售明细'!$G:$G,$B31)</f>
        <v>323531448.52</v>
      </c>
      <c r="H31" s="64">
        <f>SUMIFS('男装-品类销售明细'!$I:$I,'男装-品类销售明细'!$C:$C,H$2,'男装-品类销售明细'!$G:$G,$B31)</f>
        <v>341008035.61</v>
      </c>
      <c r="I31" s="64">
        <f>SUMIFS('男装-品类销售明细'!$I:$I,'男装-品类销售明细'!$C:$C,I$2,'男装-品类销售明细'!$G:$G,$B31)</f>
        <v>139267645.74</v>
      </c>
      <c r="J31" s="64">
        <f>SUMIFS('男装-品类销售明细'!$I:$I,'男装-品类销售明细'!$C:$C,J$2,'男装-品类销售明细'!$G:$G,$B31)</f>
        <v>50699283.03</v>
      </c>
      <c r="K31" s="64">
        <f>SUMIFS('男装-品类销售明细'!$I:$I,'男装-品类销售明细'!$C:$C,K$2,'男装-品类销售明细'!$G:$G,$B31)</f>
        <v>63758439.73</v>
      </c>
      <c r="L31" s="64">
        <f>SUMIFS('男装-品类销售明细'!$I:$I,'男装-品类销售明细'!$C:$C,L$2,'男装-品类销售明细'!$G:$G,$B31)</f>
        <v>60287113.48</v>
      </c>
      <c r="M31" s="65">
        <f t="shared" si="1"/>
        <v>-0.0544449686143537</v>
      </c>
      <c r="N31" s="68"/>
    </row>
    <row r="32" ht="13.5" spans="1:14">
      <c r="A32" s="62"/>
      <c r="B32" s="69" t="s">
        <v>264</v>
      </c>
      <c r="C32" s="64">
        <f>SUMIFS('男装-品类销售明细'!$I:$I,'男装-品类销售明细'!$C:$C,C$2,'男装-品类销售明细'!$G:$G,$B32)</f>
        <v>119079075.7</v>
      </c>
      <c r="D32" s="64">
        <f>SUMIFS('男装-品类销售明细'!$I:$I,'男装-品类销售明细'!$C:$C,D$2,'男装-品类销售明细'!$G:$G,$B32)</f>
        <v>220295374.52</v>
      </c>
      <c r="E32" s="64">
        <f>SUMIFS('男装-品类销售明细'!$I:$I,'男装-品类销售明细'!$C:$C,E$2,'男装-品类销售明细'!$G:$G,$B32)</f>
        <v>207242184.75</v>
      </c>
      <c r="F32" s="64">
        <f>SUMIFS('男装-品类销售明细'!$I:$I,'男装-品类销售明细'!$C:$C,F$2,'男装-品类销售明细'!$G:$G,$B32)</f>
        <v>194079766.83</v>
      </c>
      <c r="G32" s="64">
        <f>SUMIFS('男装-品类销售明细'!$I:$I,'男装-品类销售明细'!$C:$C,G$2,'男装-品类销售明细'!$G:$G,$B32)</f>
        <v>204799884.42</v>
      </c>
      <c r="H32" s="64">
        <f>SUMIFS('男装-品类销售明细'!$I:$I,'男装-品类销售明细'!$C:$C,H$2,'男装-品类销售明细'!$G:$G,$B32)</f>
        <v>260873233.68</v>
      </c>
      <c r="I32" s="64">
        <f>SUMIFS('男装-品类销售明细'!$I:$I,'男装-品类销售明细'!$C:$C,I$2,'男装-品类销售明细'!$G:$G,$B32)</f>
        <v>170044683.88</v>
      </c>
      <c r="J32" s="64">
        <f>SUMIFS('男装-品类销售明细'!$I:$I,'男装-品类销售明细'!$C:$C,J$2,'男装-品类销售明细'!$G:$G,$B32)</f>
        <v>160891872.21</v>
      </c>
      <c r="K32" s="64">
        <f>SUMIFS('男装-品类销售明细'!$I:$I,'男装-品类销售明细'!$C:$C,K$2,'男装-品类销售明细'!$G:$G,$B32)</f>
        <v>291436663.52</v>
      </c>
      <c r="L32" s="64">
        <f>SUMIFS('男装-品类销售明细'!$I:$I,'男装-品类销售明细'!$C:$C,L$2,'男装-品类销售明细'!$G:$G,$B32)</f>
        <v>262783012.2</v>
      </c>
      <c r="M32" s="65">
        <f t="shared" si="1"/>
        <v>-0.0983186225573627</v>
      </c>
      <c r="N32" s="68"/>
    </row>
    <row r="33" ht="13.5" spans="1:14">
      <c r="A33" s="62"/>
      <c r="B33" s="69" t="s">
        <v>272</v>
      </c>
      <c r="C33" s="64">
        <f>SUMIFS('男装-品类销售明细'!$I:$I,'男装-品类销售明细'!$C:$C,C$2,'男装-品类销售明细'!$G:$G,$B33)</f>
        <v>103375800.47</v>
      </c>
      <c r="D33" s="64">
        <f>SUMIFS('男装-品类销售明细'!$I:$I,'男装-品类销售明细'!$C:$C,D$2,'男装-品类销售明细'!$G:$G,$B33)</f>
        <v>196092933.77</v>
      </c>
      <c r="E33" s="64">
        <f>SUMIFS('男装-品类销售明细'!$I:$I,'男装-品类销售明细'!$C:$C,E$2,'男装-品类销售明细'!$G:$G,$B33)</f>
        <v>178425304.81</v>
      </c>
      <c r="F33" s="64">
        <f>SUMIFS('男装-品类销售明细'!$I:$I,'男装-品类销售明细'!$C:$C,F$2,'男装-品类销售明细'!$G:$G,$B33)</f>
        <v>183196994.39</v>
      </c>
      <c r="G33" s="64">
        <f>SUMIFS('男装-品类销售明细'!$I:$I,'男装-品类销售明细'!$C:$C,G$2,'男装-品类销售明细'!$G:$G,$B33)</f>
        <v>181475961.98</v>
      </c>
      <c r="H33" s="64">
        <f>SUMIFS('男装-品类销售明细'!$I:$I,'男装-品类销售明细'!$C:$C,H$2,'男装-品类销售明细'!$G:$G,$B33)</f>
        <v>194704042.62</v>
      </c>
      <c r="I33" s="64">
        <f>SUMIFS('男装-品类销售明细'!$I:$I,'男装-品类销售明细'!$C:$C,I$2,'男装-品类销售明细'!$G:$G,$B33)</f>
        <v>113122366.28</v>
      </c>
      <c r="J33" s="64">
        <f>SUMIFS('男装-品类销售明细'!$I:$I,'男装-品类销售明细'!$C:$C,J$2,'男装-品类销售明细'!$G:$G,$B33)</f>
        <v>37343893.76</v>
      </c>
      <c r="K33" s="64">
        <f>SUMIFS('男装-品类销售明细'!$I:$I,'男装-品类销售明细'!$C:$C,K$2,'男装-品类销售明细'!$G:$G,$B33)</f>
        <v>73852260.93</v>
      </c>
      <c r="L33" s="64">
        <f>SUMIFS('男装-品类销售明细'!$I:$I,'男装-品类销售明细'!$C:$C,L$2,'男装-品类销售明细'!$G:$G,$B33)</f>
        <v>65191075.27</v>
      </c>
      <c r="M33" s="65">
        <f t="shared" si="1"/>
        <v>-0.1172771903112</v>
      </c>
      <c r="N33" s="68"/>
    </row>
    <row r="34" ht="13.5" spans="1:14">
      <c r="A34" s="62"/>
      <c r="B34" s="69" t="s">
        <v>282</v>
      </c>
      <c r="C34" s="64">
        <f>SUMIFS('男装-品类销售明细'!$I:$I,'男装-品类销售明细'!$C:$C,C$2,'男装-品类销售明细'!$G:$G,$B34)</f>
        <v>75244751.52</v>
      </c>
      <c r="D34" s="64">
        <f>SUMIFS('男装-品类销售明细'!$I:$I,'男装-品类销售明细'!$C:$C,D$2,'男装-品类销售明细'!$G:$G,$B34)</f>
        <v>141679813.47</v>
      </c>
      <c r="E34" s="64">
        <f>SUMIFS('男装-品类销售明细'!$I:$I,'男装-品类销售明细'!$C:$C,E$2,'男装-品类销售明细'!$G:$G,$B34)</f>
        <v>149845137.19</v>
      </c>
      <c r="F34" s="64">
        <f>SUMIFS('男装-品类销售明细'!$I:$I,'男装-品类销售明细'!$C:$C,F$2,'男装-品类销售明细'!$G:$G,$B34)</f>
        <v>148343808.88</v>
      </c>
      <c r="G34" s="64">
        <f>SUMIFS('男装-品类销售明细'!$I:$I,'男装-品类销售明细'!$C:$C,G$2,'男装-品类销售明细'!$G:$G,$B34)</f>
        <v>159864549.46</v>
      </c>
      <c r="H34" s="64">
        <f>SUMIFS('男装-品类销售明细'!$I:$I,'男装-品类销售明细'!$C:$C,H$2,'男装-品类销售明细'!$G:$G,$B34)</f>
        <v>161418240.48</v>
      </c>
      <c r="I34" s="64">
        <f>SUMIFS('男装-品类销售明细'!$I:$I,'男装-品类销售明细'!$C:$C,I$2,'男装-品类销售明细'!$G:$G,$B34)</f>
        <v>69395325.93</v>
      </c>
      <c r="J34" s="64">
        <f>SUMIFS('男装-品类销售明细'!$I:$I,'男装-品类销售明细'!$C:$C,J$2,'男装-品类销售明细'!$G:$G,$B34)</f>
        <v>11567252.17</v>
      </c>
      <c r="K34" s="64">
        <f>SUMIFS('男装-品类销售明细'!$I:$I,'男装-品类销售明细'!$C:$C,K$2,'男装-品类销售明细'!$G:$G,$B34)</f>
        <v>16096582.23</v>
      </c>
      <c r="L34" s="64">
        <f>SUMIFS('男装-品类销售明细'!$I:$I,'男装-品类销售明细'!$C:$C,L$2,'男装-品类销售明细'!$G:$G,$B34)</f>
        <v>10253205.57</v>
      </c>
      <c r="M34" s="65">
        <f t="shared" si="1"/>
        <v>-0.363019712912062</v>
      </c>
      <c r="N34" s="68"/>
    </row>
    <row r="35" ht="13.5" spans="1:14">
      <c r="A35" s="62"/>
      <c r="B35" s="69" t="s">
        <v>283</v>
      </c>
      <c r="C35" s="64">
        <f>SUMIFS('男装-品类销售明细'!$I:$I,'男装-品类销售明细'!$C:$C,C$2,'男装-品类销售明细'!$G:$G,$B35)</f>
        <v>93877704.15</v>
      </c>
      <c r="D35" s="64">
        <f>SUMIFS('男装-品类销售明细'!$I:$I,'男装-品类销售明细'!$C:$C,D$2,'男装-品类销售明细'!$G:$G,$B35)</f>
        <v>148479384.79</v>
      </c>
      <c r="E35" s="64">
        <f>SUMIFS('男装-品类销售明细'!$I:$I,'男装-品类销售明细'!$C:$C,E$2,'男装-品类销售明细'!$G:$G,$B35)</f>
        <v>122998321.06</v>
      </c>
      <c r="F35" s="64">
        <f>SUMIFS('男装-品类销售明细'!$I:$I,'男装-品类销售明细'!$C:$C,F$2,'男装-品类销售明细'!$G:$G,$B35)</f>
        <v>146634485.34</v>
      </c>
      <c r="G35" s="64">
        <f>SUMIFS('男装-品类销售明细'!$I:$I,'男装-品类销售明细'!$C:$C,G$2,'男装-品类销售明细'!$G:$G,$B35)</f>
        <v>127550820.44</v>
      </c>
      <c r="H35" s="64">
        <f>SUMIFS('男装-品类销售明细'!$I:$I,'男装-品类销售明细'!$C:$C,H$2,'男装-品类销售明细'!$G:$G,$B35)</f>
        <v>129864807.99</v>
      </c>
      <c r="I35" s="64">
        <f>SUMIFS('男装-品类销售明细'!$I:$I,'男装-品类销售明细'!$C:$C,I$2,'男装-品类销售明细'!$G:$G,$B35)</f>
        <v>52329910.31</v>
      </c>
      <c r="J35" s="64">
        <f>SUMIFS('男装-品类销售明细'!$I:$I,'男装-品类销售明细'!$C:$C,J$2,'男装-品类销售明细'!$G:$G,$B35)</f>
        <v>19329587.71</v>
      </c>
      <c r="K35" s="64">
        <f>SUMIFS('男装-品类销售明细'!$I:$I,'男装-品类销售明细'!$C:$C,K$2,'男装-品类销售明细'!$G:$G,$B35)</f>
        <v>30270889.01</v>
      </c>
      <c r="L35" s="64">
        <f>SUMIFS('男装-品类销售明细'!$I:$I,'男装-品类销售明细'!$C:$C,L$2,'男装-品类销售明细'!$G:$G,$B35)</f>
        <v>27203970.09</v>
      </c>
      <c r="M35" s="65">
        <f t="shared" si="1"/>
        <v>-0.101315786232338</v>
      </c>
      <c r="N35" s="68"/>
    </row>
    <row r="36" ht="13.5" spans="1:14">
      <c r="A36" s="62"/>
      <c r="B36" s="69" t="s">
        <v>265</v>
      </c>
      <c r="C36" s="64">
        <f>SUMIFS('男装-品类销售明细'!$I:$I,'男装-品类销售明细'!$C:$C,C$2,'男装-品类销售明细'!$G:$G,$B36)</f>
        <v>81631018.08</v>
      </c>
      <c r="D36" s="64">
        <f>SUMIFS('男装-品类销售明细'!$I:$I,'男装-品类销售明细'!$C:$C,D$2,'男装-品类销售明细'!$G:$G,$B36)</f>
        <v>147307995.15</v>
      </c>
      <c r="E36" s="64">
        <f>SUMIFS('男装-品类销售明细'!$I:$I,'男装-品类销售明细'!$C:$C,E$2,'男装-品类销售明细'!$G:$G,$B36)</f>
        <v>127036201.16</v>
      </c>
      <c r="F36" s="64">
        <f>SUMIFS('男装-品类销售明细'!$I:$I,'男装-品类销售明细'!$C:$C,F$2,'男装-品类销售明细'!$G:$G,$B36)</f>
        <v>120212753.34</v>
      </c>
      <c r="G36" s="64">
        <f>SUMIFS('男装-品类销售明细'!$I:$I,'男装-品类销售明细'!$C:$C,G$2,'男装-品类销售明细'!$G:$G,$B36)</f>
        <v>112033304.22</v>
      </c>
      <c r="H36" s="64">
        <f>SUMIFS('男装-品类销售明细'!$I:$I,'男装-品类销售明细'!$C:$C,H$2,'男装-品类销售明细'!$G:$G,$B36)</f>
        <v>105896397.42</v>
      </c>
      <c r="I36" s="64">
        <f>SUMIFS('男装-品类销售明细'!$I:$I,'男装-品类销售明细'!$C:$C,I$2,'男装-品类销售明细'!$G:$G,$B36)</f>
        <v>42411541.94</v>
      </c>
      <c r="J36" s="64">
        <f>SUMIFS('男装-品类销售明细'!$I:$I,'男装-品类销售明细'!$C:$C,J$2,'男装-品类销售明细'!$G:$G,$B36)</f>
        <v>8019847.18</v>
      </c>
      <c r="K36" s="64">
        <f>SUMIFS('男装-品类销售明细'!$I:$I,'男装-品类销售明细'!$C:$C,K$2,'男装-品类销售明细'!$G:$G,$B36)</f>
        <v>16943576.94</v>
      </c>
      <c r="L36" s="64">
        <f>SUMIFS('男装-品类销售明细'!$I:$I,'男装-品类销售明细'!$C:$C,L$2,'男装-品类销售明细'!$G:$G,$B36)</f>
        <v>15038741.34</v>
      </c>
      <c r="M36" s="65">
        <f t="shared" si="1"/>
        <v>-0.112422282894889</v>
      </c>
      <c r="N36" s="68"/>
    </row>
    <row r="37" ht="13.5" spans="1:14">
      <c r="A37" s="62"/>
      <c r="B37" s="69" t="s">
        <v>284</v>
      </c>
      <c r="C37" s="64">
        <f>SUMIFS('男装-品类销售明细'!$I:$I,'男装-品类销售明细'!$C:$C,C$2,'男装-品类销售明细'!$G:$G,$B37)</f>
        <v>89937250.91</v>
      </c>
      <c r="D37" s="64">
        <f>SUMIFS('男装-品类销售明细'!$I:$I,'男装-品类销售明细'!$C:$C,D$2,'男装-品类销售明细'!$G:$G,$B37)</f>
        <v>137724334.98</v>
      </c>
      <c r="E37" s="64">
        <f>SUMIFS('男装-品类销售明细'!$I:$I,'男装-品类销售明细'!$C:$C,E$2,'男装-品类销售明细'!$G:$G,$B37)</f>
        <v>106135842.78</v>
      </c>
      <c r="F37" s="64">
        <f>SUMIFS('男装-品类销售明细'!$I:$I,'男装-品类销售明细'!$C:$C,F$2,'男装-品类销售明细'!$G:$G,$B37)</f>
        <v>139728252.21</v>
      </c>
      <c r="G37" s="64">
        <f>SUMIFS('男装-品类销售明细'!$I:$I,'男装-品类销售明细'!$C:$C,G$2,'男装-品类销售明细'!$G:$G,$B37)</f>
        <v>112787936.03</v>
      </c>
      <c r="H37" s="64">
        <f>SUMIFS('男装-品类销售明细'!$I:$I,'男装-品类销售明细'!$C:$C,H$2,'男装-品类销售明细'!$G:$G,$B37)</f>
        <v>122870785.1</v>
      </c>
      <c r="I37" s="64">
        <f>SUMIFS('男装-品类销售明细'!$I:$I,'男装-品类销售明细'!$C:$C,I$2,'男装-品类销售明细'!$G:$G,$B37)</f>
        <v>39562140.62</v>
      </c>
      <c r="J37" s="64">
        <f>SUMIFS('男装-品类销售明细'!$I:$I,'男装-品类销售明细'!$C:$C,J$2,'男装-品类销售明细'!$G:$G,$B37)</f>
        <v>6830928.83</v>
      </c>
      <c r="K37" s="64">
        <f>SUMIFS('男装-品类销售明细'!$I:$I,'男装-品类销售明细'!$C:$C,K$2,'男装-品类销售明细'!$G:$G,$B37)</f>
        <v>12575499.62</v>
      </c>
      <c r="L37" s="64">
        <f>SUMIFS('男装-品类销售明细'!$I:$I,'男装-品类销售明细'!$C:$C,L$2,'男装-品类销售明细'!$G:$G,$B37)</f>
        <v>11055090.22</v>
      </c>
      <c r="M37" s="65">
        <f t="shared" si="1"/>
        <v>-0.120902504547966</v>
      </c>
      <c r="N37" s="68"/>
    </row>
    <row r="38" ht="13.5" spans="1:14">
      <c r="A38" s="62"/>
      <c r="B38" s="69" t="s">
        <v>285</v>
      </c>
      <c r="C38" s="64">
        <f>SUMIFS('男装-品类销售明细'!$I:$I,'男装-品类销售明细'!$C:$C,C$2,'男装-品类销售明细'!$G:$G,$B38)</f>
        <v>61580539.91</v>
      </c>
      <c r="D38" s="64">
        <f>SUMIFS('男装-品类销售明细'!$I:$I,'男装-品类销售明细'!$C:$C,D$2,'男装-品类销售明细'!$G:$G,$B38)</f>
        <v>116038383.94</v>
      </c>
      <c r="E38" s="64">
        <f>SUMIFS('男装-品类销售明细'!$I:$I,'男装-品类销售明细'!$C:$C,E$2,'男装-品类销售明细'!$G:$G,$B38)</f>
        <v>125091495.84</v>
      </c>
      <c r="F38" s="64">
        <f>SUMIFS('男装-品类销售明细'!$I:$I,'男装-品类销售明细'!$C:$C,F$2,'男装-品类销售明细'!$G:$G,$B38)</f>
        <v>117526059.89</v>
      </c>
      <c r="G38" s="64">
        <f>SUMIFS('男装-品类销售明细'!$I:$I,'男装-品类销售明细'!$C:$C,G$2,'男装-品类销售明细'!$G:$G,$B38)</f>
        <v>128639446.52</v>
      </c>
      <c r="H38" s="64">
        <f>SUMIFS('男装-品类销售明细'!$I:$I,'男装-品类销售明细'!$C:$C,H$2,'男装-品类销售明细'!$G:$G,$B38)</f>
        <v>142297170.1</v>
      </c>
      <c r="I38" s="64">
        <f>SUMIFS('男装-品类销售明细'!$I:$I,'男装-品类销售明细'!$C:$C,I$2,'男装-品类销售明细'!$G:$G,$B38)</f>
        <v>67839907.02</v>
      </c>
      <c r="J38" s="64">
        <f>SUMIFS('男装-品类销售明细'!$I:$I,'男装-品类销售明细'!$C:$C,J$2,'男装-品类销售明细'!$G:$G,$B38)</f>
        <v>41901613.39</v>
      </c>
      <c r="K38" s="64">
        <f>SUMIFS('男装-品类销售明细'!$I:$I,'男装-品类销售明细'!$C:$C,K$2,'男装-品类销售明细'!$G:$G,$B38)</f>
        <v>83461248.57</v>
      </c>
      <c r="L38" s="64">
        <f>SUMIFS('男装-品类销售明细'!$I:$I,'男装-品类销售明细'!$C:$C,L$2,'男装-品类销售明细'!$G:$G,$B38)</f>
        <v>83977187.58</v>
      </c>
      <c r="M38" s="65">
        <f t="shared" si="1"/>
        <v>0.00618177919501495</v>
      </c>
      <c r="N38" s="68"/>
    </row>
    <row r="39" ht="13.5" spans="1:14">
      <c r="A39" s="62"/>
      <c r="B39" s="69" t="s">
        <v>273</v>
      </c>
      <c r="C39" s="64">
        <f>SUMIFS('男装-品类销售明细'!$I:$I,'男装-品类销售明细'!$C:$C,C$2,'男装-品类销售明细'!$G:$G,$B39)</f>
        <v>37938261.99</v>
      </c>
      <c r="D39" s="64">
        <f>SUMIFS('男装-品类销售明细'!$I:$I,'男装-品类销售明细'!$C:$C,D$2,'男装-品类销售明细'!$G:$G,$B39)</f>
        <v>72569796.44</v>
      </c>
      <c r="E39" s="64">
        <f>SUMIFS('男装-品类销售明细'!$I:$I,'男装-品类销售明细'!$C:$C,E$2,'男装-品类销售明细'!$G:$G,$B39)</f>
        <v>80421456.91</v>
      </c>
      <c r="F39" s="64">
        <f>SUMIFS('男装-品类销售明细'!$I:$I,'男装-品类销售明细'!$C:$C,F$2,'男装-品类销售明细'!$G:$G,$B39)</f>
        <v>71225219.25</v>
      </c>
      <c r="G39" s="64">
        <f>SUMIFS('男装-品类销售明细'!$I:$I,'男装-品类销售明细'!$C:$C,G$2,'男装-品类销售明细'!$G:$G,$B39)</f>
        <v>75772827.41</v>
      </c>
      <c r="H39" s="64">
        <f>SUMIFS('男装-品类销售明细'!$I:$I,'男装-品类销售明细'!$C:$C,H$2,'男装-品类销售明细'!$G:$G,$B39)</f>
        <v>91204093.64</v>
      </c>
      <c r="I39" s="64">
        <f>SUMIFS('男装-品类销售明细'!$I:$I,'男装-品类销售明细'!$C:$C,I$2,'男装-品类销售明细'!$G:$G,$B39)</f>
        <v>49917306.43</v>
      </c>
      <c r="J39" s="64">
        <f>SUMIFS('男装-品类销售明细'!$I:$I,'男装-品类销售明细'!$C:$C,J$2,'男装-品类销售明细'!$G:$G,$B39)</f>
        <v>38685506.5</v>
      </c>
      <c r="K39" s="64">
        <f>SUMIFS('男装-品类销售明细'!$I:$I,'男装-品类销售明细'!$C:$C,K$2,'男装-品类销售明细'!$G:$G,$B39)</f>
        <v>71635283.69</v>
      </c>
      <c r="L39" s="64">
        <f>SUMIFS('男装-品类销售明细'!$I:$I,'男装-品类销售明细'!$C:$C,L$2,'男装-品类销售明细'!$G:$G,$B39)</f>
        <v>74441177.1</v>
      </c>
      <c r="M39" s="65">
        <f t="shared" si="1"/>
        <v>0.0391691533203447</v>
      </c>
      <c r="N39" s="68"/>
    </row>
    <row r="40" ht="13.5" spans="1:14">
      <c r="A40" s="62"/>
      <c r="B40" s="69" t="s">
        <v>256</v>
      </c>
      <c r="C40" s="64">
        <f>SUMIFS('男装-品类销售明细'!$I:$I,'男装-品类销售明细'!$C:$C,C$2,'男装-品类销售明细'!$G:$G,$B40)</f>
        <v>33813791.04</v>
      </c>
      <c r="D40" s="64">
        <f>SUMIFS('男装-品类销售明细'!$I:$I,'男装-品类销售明细'!$C:$C,D$2,'男装-品类销售明细'!$G:$G,$B40)</f>
        <v>63290454.53</v>
      </c>
      <c r="E40" s="64">
        <f>SUMIFS('男装-品类销售明细'!$I:$I,'男装-品类销售明细'!$C:$C,E$2,'男装-品类销售明细'!$G:$G,$B40)</f>
        <v>59179075.58</v>
      </c>
      <c r="F40" s="64">
        <f>SUMIFS('男装-品类销售明细'!$I:$I,'男装-品类销售明细'!$C:$C,F$2,'男装-品类销售明细'!$G:$G,$B40)</f>
        <v>50967574.86</v>
      </c>
      <c r="G40" s="64">
        <f>SUMIFS('男装-品类销售明细'!$I:$I,'男装-品类销售明细'!$C:$C,G$2,'男装-品类销售明细'!$G:$G,$B40)</f>
        <v>40432660.5</v>
      </c>
      <c r="H40" s="64">
        <f>SUMIFS('男装-品类销售明细'!$I:$I,'男装-品类销售明细'!$C:$C,H$2,'男装-品类销售明细'!$G:$G,$B40)</f>
        <v>30796635.47</v>
      </c>
      <c r="I40" s="64">
        <f>SUMIFS('男装-品类销售明细'!$I:$I,'男装-品类销售明细'!$C:$C,I$2,'男装-品类销售明细'!$G:$G,$B40)</f>
        <v>10499934.71</v>
      </c>
      <c r="J40" s="64">
        <f>SUMIFS('男装-品类销售明细'!$I:$I,'男装-品类销售明细'!$C:$C,J$2,'男装-品类销售明细'!$G:$G,$B40)</f>
        <v>1113607.24</v>
      </c>
      <c r="K40" s="64">
        <f>SUMIFS('男装-品类销售明细'!$I:$I,'男装-品类销售明细'!$C:$C,K$2,'男装-品类销售明细'!$G:$G,$B40)</f>
        <v>1674471.21</v>
      </c>
      <c r="L40" s="64">
        <f>SUMIFS('男装-品类销售明细'!$I:$I,'男装-品类销售明细'!$C:$C,L$2,'男装-品类销售明细'!$G:$G,$B40)</f>
        <v>1765355.36</v>
      </c>
      <c r="M40" s="65">
        <f t="shared" si="1"/>
        <v>0.0542763288238319</v>
      </c>
      <c r="N40" s="68"/>
    </row>
    <row r="41" ht="13.5" spans="1:14">
      <c r="A41" s="62"/>
      <c r="B41" s="69" t="s">
        <v>271</v>
      </c>
      <c r="C41" s="64">
        <f>SUMIFS('男装-品类销售明细'!$I:$I,'男装-品类销售明细'!$C:$C,C$2,'男装-品类销售明细'!$G:$G,$B41)</f>
        <v>36189475.47</v>
      </c>
      <c r="D41" s="64">
        <f>SUMIFS('男装-品类销售明细'!$I:$I,'男装-品类销售明细'!$C:$C,D$2,'男装-品类销售明细'!$G:$G,$B41)</f>
        <v>56850986.41</v>
      </c>
      <c r="E41" s="64">
        <f>SUMIFS('男装-品类销售明细'!$I:$I,'男装-品类销售明细'!$C:$C,E$2,'男装-品类销售明细'!$G:$G,$B41)</f>
        <v>52232498.47</v>
      </c>
      <c r="F41" s="64">
        <f>SUMIFS('男装-品类销售明细'!$I:$I,'男装-品类销售明细'!$C:$C,F$2,'男装-品类销售明细'!$G:$G,$B41)</f>
        <v>48619539.41</v>
      </c>
      <c r="G41" s="64">
        <f>SUMIFS('男装-品类销售明细'!$I:$I,'男装-品类销售明细'!$C:$C,G$2,'男装-品类销售明细'!$G:$G,$B41)</f>
        <v>43354947.21</v>
      </c>
      <c r="H41" s="64">
        <f>SUMIFS('男装-品类销售明细'!$I:$I,'男装-品类销售明细'!$C:$C,H$2,'男装-品类销售明细'!$G:$G,$B41)</f>
        <v>38524902.34</v>
      </c>
      <c r="I41" s="64">
        <f>SUMIFS('男装-品类销售明细'!$I:$I,'男装-品类销售明细'!$C:$C,I$2,'男装-品类销售明细'!$G:$G,$B41)</f>
        <v>15094189.2</v>
      </c>
      <c r="J41" s="64">
        <f>SUMIFS('男装-品类销售明细'!$I:$I,'男装-品类销售明细'!$C:$C,J$2,'男装-品类销售明细'!$G:$G,$B41)</f>
        <v>3582603.53</v>
      </c>
      <c r="K41" s="64">
        <f>SUMIFS('男装-品类销售明细'!$I:$I,'男装-品类销售明细'!$C:$C,K$2,'男装-品类销售明细'!$G:$G,$B41)</f>
        <v>5106558.08</v>
      </c>
      <c r="L41" s="64">
        <f>SUMIFS('男装-品类销售明细'!$I:$I,'男装-品类销售明细'!$C:$C,L$2,'男装-品类销售明细'!$G:$G,$B41)</f>
        <v>4322824.84</v>
      </c>
      <c r="M41" s="65">
        <f t="shared" si="1"/>
        <v>-0.153475830044804</v>
      </c>
      <c r="N41" s="68"/>
    </row>
    <row r="42" ht="13.5" spans="1:14">
      <c r="A42" s="62"/>
      <c r="B42" s="69" t="s">
        <v>286</v>
      </c>
      <c r="C42" s="64">
        <f>SUMIFS('男装-品类销售明细'!$I:$I,'男装-品类销售明细'!$C:$C,C$2,'男装-品类销售明细'!$G:$G,$B42)</f>
        <v>30506109.19</v>
      </c>
      <c r="D42" s="64">
        <f>SUMIFS('男装-品类销售明细'!$I:$I,'男装-品类销售明细'!$C:$C,D$2,'男装-品类销售明细'!$G:$G,$B42)</f>
        <v>55312992.83</v>
      </c>
      <c r="E42" s="64">
        <f>SUMIFS('男装-品类销售明细'!$I:$I,'男装-品类销售明细'!$C:$C,E$2,'男装-品类销售明细'!$G:$G,$B42)</f>
        <v>47990162.42</v>
      </c>
      <c r="F42" s="64">
        <f>SUMIFS('男装-品类销售明细'!$I:$I,'男装-品类销售明细'!$C:$C,F$2,'男装-品类销售明细'!$G:$G,$B42)</f>
        <v>58140934.25</v>
      </c>
      <c r="G42" s="64">
        <f>SUMIFS('男装-品类销售明细'!$I:$I,'男装-品类销售明细'!$C:$C,G$2,'男装-品类销售明细'!$G:$G,$B42)</f>
        <v>50928947.75</v>
      </c>
      <c r="H42" s="64">
        <f>SUMIFS('男装-品类销售明细'!$I:$I,'男装-品类销售明细'!$C:$C,H$2,'男装-品类销售明细'!$G:$G,$B42)</f>
        <v>57711756.85</v>
      </c>
      <c r="I42" s="64">
        <f>SUMIFS('男装-品类销售明细'!$I:$I,'男装-品类销售明细'!$C:$C,I$2,'男装-品类销售明细'!$G:$G,$B42)</f>
        <v>27089801.35</v>
      </c>
      <c r="J42" s="64">
        <f>SUMIFS('男装-品类销售明细'!$I:$I,'男装-品类销售明细'!$C:$C,J$2,'男装-品类销售明细'!$G:$G,$B42)</f>
        <v>16801565.22</v>
      </c>
      <c r="K42" s="64">
        <f>SUMIFS('男装-品类销售明细'!$I:$I,'男装-品类销售明细'!$C:$C,K$2,'男装-品类销售明细'!$G:$G,$B42)</f>
        <v>42835128.6</v>
      </c>
      <c r="L42" s="64">
        <f>SUMIFS('男装-品类销售明细'!$I:$I,'男装-品类销售明细'!$C:$C,L$2,'男装-品类销售明细'!$G:$G,$B42)</f>
        <v>50102813.77</v>
      </c>
      <c r="M42" s="65">
        <f t="shared" si="1"/>
        <v>0.169666472531613</v>
      </c>
      <c r="N42" s="68"/>
    </row>
    <row r="43" ht="13.5" spans="1:14">
      <c r="A43" s="62"/>
      <c r="B43" s="69" t="s">
        <v>287</v>
      </c>
      <c r="C43" s="64">
        <f>SUMIFS('男装-品类销售明细'!$I:$I,'男装-品类销售明细'!$C:$C,C$2,'男装-品类销售明细'!$G:$G,$B43)</f>
        <v>20633371.88</v>
      </c>
      <c r="D43" s="64">
        <f>SUMIFS('男装-品类销售明细'!$I:$I,'男装-品类销售明细'!$C:$C,D$2,'男装-品类销售明细'!$G:$G,$B43)</f>
        <v>44602187.82</v>
      </c>
      <c r="E43" s="64">
        <f>SUMIFS('男装-品类销售明细'!$I:$I,'男装-品类销售明细'!$C:$C,E$2,'男装-品类销售明细'!$G:$G,$B43)</f>
        <v>32564147.95</v>
      </c>
      <c r="F43" s="64">
        <f>SUMIFS('男装-品类销售明细'!$I:$I,'男装-品类销售明细'!$C:$C,F$2,'男装-品类销售明细'!$G:$G,$B43)</f>
        <v>38571535.37</v>
      </c>
      <c r="G43" s="64">
        <f>SUMIFS('男装-品类销售明细'!$I:$I,'男装-品类销售明细'!$C:$C,G$2,'男装-品类销售明细'!$G:$G,$B43)</f>
        <v>27288657.65</v>
      </c>
      <c r="H43" s="64">
        <f>SUMIFS('男装-品类销售明细'!$I:$I,'男装-品类销售明细'!$C:$C,H$2,'男装-品类销售明细'!$G:$G,$B43)</f>
        <v>28163784.75</v>
      </c>
      <c r="I43" s="64">
        <f>SUMIFS('男装-品类销售明细'!$I:$I,'男装-品类销售明细'!$C:$C,I$2,'男装-品类销售明细'!$G:$G,$B43)</f>
        <v>16772833.39</v>
      </c>
      <c r="J43" s="64">
        <f>SUMIFS('男装-品类销售明细'!$I:$I,'男装-品类销售明细'!$C:$C,J$2,'男装-品类销售明细'!$G:$G,$B43)</f>
        <v>6961485.44</v>
      </c>
      <c r="K43" s="64">
        <f>SUMIFS('男装-品类销售明细'!$I:$I,'男装-品类销售明细'!$C:$C,K$2,'男装-品类销售明细'!$G:$G,$B43)</f>
        <v>14031310.83</v>
      </c>
      <c r="L43" s="64">
        <f>SUMIFS('男装-品类销售明细'!$I:$I,'男装-品类销售明细'!$C:$C,L$2,'男装-品类销售明细'!$G:$G,$B43)</f>
        <v>15165024.64</v>
      </c>
      <c r="M43" s="65">
        <f t="shared" si="1"/>
        <v>0.0807988522053145</v>
      </c>
      <c r="N43" s="68"/>
    </row>
    <row r="44" ht="13.5" spans="1:14">
      <c r="A44" s="62"/>
      <c r="B44" s="69" t="s">
        <v>288</v>
      </c>
      <c r="C44" s="64">
        <f>SUMIFS('男装-品类销售明细'!$I:$I,'男装-品类销售明细'!$C:$C,C$2,'男装-品类销售明细'!$G:$G,$B44)</f>
        <v>18168047.59</v>
      </c>
      <c r="D44" s="64">
        <f>SUMIFS('男装-品类销售明细'!$I:$I,'男装-品类销售明细'!$C:$C,D$2,'男装-品类销售明细'!$G:$G,$B44)</f>
        <v>29700593.2</v>
      </c>
      <c r="E44" s="64">
        <f>SUMIFS('男装-品类销售明细'!$I:$I,'男装-品类销售明细'!$C:$C,E$2,'男装-品类销售明细'!$G:$G,$B44)</f>
        <v>29706556.39</v>
      </c>
      <c r="F44" s="64">
        <f>SUMIFS('男装-品类销售明细'!$I:$I,'男装-品类销售明细'!$C:$C,F$2,'男装-品类销售明细'!$G:$G,$B44)</f>
        <v>29044564.46</v>
      </c>
      <c r="G44" s="64">
        <f>SUMIFS('男装-品类销售明细'!$I:$I,'男装-品类销售明细'!$C:$C,G$2,'男装-品类销售明细'!$G:$G,$B44)</f>
        <v>30909404.36</v>
      </c>
      <c r="H44" s="64">
        <f>SUMIFS('男装-品类销售明细'!$I:$I,'男装-品类销售明细'!$C:$C,H$2,'男装-品类销售明细'!$G:$G,$B44)</f>
        <v>36815274.25</v>
      </c>
      <c r="I44" s="64">
        <f>SUMIFS('男装-品类销售明细'!$I:$I,'男装-品类销售明细'!$C:$C,I$2,'男装-品类销售明细'!$G:$G,$B44)</f>
        <v>17453938.79</v>
      </c>
      <c r="J44" s="64">
        <f>SUMIFS('男装-品类销售明细'!$I:$I,'男装-品类销售明细'!$C:$C,J$2,'男装-品类销售明细'!$G:$G,$B44)</f>
        <v>30660408.74</v>
      </c>
      <c r="K44" s="64">
        <f>SUMIFS('男装-品类销售明细'!$I:$I,'男装-品类销售明细'!$C:$C,K$2,'男装-品类销售明细'!$G:$G,$B44)</f>
        <v>52533708.62</v>
      </c>
      <c r="L44" s="64">
        <f>SUMIFS('男装-品类销售明细'!$I:$I,'男装-品类销售明细'!$C:$C,L$2,'男装-品类销售明细'!$G:$G,$B44)</f>
        <v>49004631.3</v>
      </c>
      <c r="M44" s="65">
        <f t="shared" si="1"/>
        <v>-0.0671773878659017</v>
      </c>
      <c r="N44" s="68"/>
    </row>
    <row r="45" ht="14.5" spans="1:14">
      <c r="A45" s="70" t="s">
        <v>289</v>
      </c>
      <c r="B45" s="54"/>
      <c r="C45" s="55" t="s">
        <v>221</v>
      </c>
      <c r="D45" s="55" t="s">
        <v>222</v>
      </c>
      <c r="E45" s="55" t="s">
        <v>223</v>
      </c>
      <c r="F45" s="55" t="s">
        <v>224</v>
      </c>
      <c r="G45" s="55" t="s">
        <v>225</v>
      </c>
      <c r="H45" s="55" t="s">
        <v>226</v>
      </c>
      <c r="I45" s="59" t="s">
        <v>227</v>
      </c>
      <c r="J45" s="59" t="s">
        <v>228</v>
      </c>
      <c r="K45" s="59" t="s">
        <v>229</v>
      </c>
      <c r="L45" s="59" t="s">
        <v>230</v>
      </c>
      <c r="M45" s="55"/>
      <c r="N45" s="71" t="s">
        <v>250</v>
      </c>
    </row>
    <row r="46" ht="71" customHeight="1" spans="1:14">
      <c r="A46" s="72" t="s">
        <v>290</v>
      </c>
      <c r="B46" s="62" t="s">
        <v>2</v>
      </c>
      <c r="C46" s="66"/>
      <c r="D46" s="66"/>
      <c r="E46" s="66"/>
      <c r="F46" s="66"/>
      <c r="G46" s="66" t="s">
        <v>291</v>
      </c>
      <c r="H46" s="66" t="s">
        <v>292</v>
      </c>
      <c r="I46" s="66" t="s">
        <v>293</v>
      </c>
      <c r="J46" s="66" t="s">
        <v>294</v>
      </c>
      <c r="K46" s="66" t="s">
        <v>293</v>
      </c>
      <c r="L46" s="66" t="s">
        <v>293</v>
      </c>
      <c r="M46" s="68"/>
      <c r="N46" s="73" t="s">
        <v>295</v>
      </c>
    </row>
    <row r="47" ht="34" customHeight="1" spans="1:14">
      <c r="A47" s="72" t="s">
        <v>296</v>
      </c>
      <c r="B47" s="62" t="s">
        <v>2</v>
      </c>
      <c r="C47" s="66"/>
      <c r="D47" s="66"/>
      <c r="E47" s="66"/>
      <c r="F47" s="66"/>
      <c r="G47" s="66" t="s">
        <v>291</v>
      </c>
      <c r="H47" s="66" t="s">
        <v>291</v>
      </c>
      <c r="I47" s="66" t="s">
        <v>297</v>
      </c>
      <c r="J47" s="66" t="s">
        <v>298</v>
      </c>
      <c r="K47" s="66" t="s">
        <v>299</v>
      </c>
      <c r="L47" s="66" t="s">
        <v>297</v>
      </c>
      <c r="M47" s="68"/>
      <c r="N47" s="73" t="s">
        <v>300</v>
      </c>
    </row>
  </sheetData>
  <mergeCells count="7">
    <mergeCell ref="A45:B45"/>
    <mergeCell ref="A1:A2"/>
    <mergeCell ref="A3:A23"/>
    <mergeCell ref="A24:A44"/>
    <mergeCell ref="B1:B2"/>
    <mergeCell ref="M1:M2"/>
    <mergeCell ref="N1:N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workbookViewId="0">
      <pane ySplit="1" topLeftCell="A44" activePane="bottomLeft" state="frozen"/>
      <selection/>
      <selection pane="bottomLeft" activeCell="I70" sqref="I70"/>
    </sheetView>
  </sheetViews>
  <sheetFormatPr defaultColWidth="8.25" defaultRowHeight="14"/>
  <cols>
    <col min="1" max="1" width="8.25" style="22"/>
    <col min="2" max="2" width="11.1666666666667" style="22" customWidth="1"/>
    <col min="3" max="3" width="11.1666666666667" style="23" customWidth="1"/>
    <col min="4" max="4" width="8.83333333333333" style="23" customWidth="1"/>
    <col min="5" max="5" width="17.3333333333333" style="23" customWidth="1"/>
    <col min="6" max="6" width="10.75" style="24"/>
    <col min="7" max="7" width="20.25" style="24" customWidth="1"/>
    <col min="8" max="8" width="9.66666666666667" style="24"/>
    <col min="9" max="10" width="12.3333333333333" style="24" customWidth="1"/>
    <col min="11" max="12" width="12.1666666666667" style="24" customWidth="1"/>
    <col min="13" max="13" width="8.25" style="22"/>
    <col min="14" max="15" width="10.5833333333333" style="22" customWidth="1"/>
    <col min="16" max="16" width="10.5" style="22"/>
    <col min="17" max="16384" width="8.25" style="22"/>
  </cols>
  <sheetData>
    <row r="1" ht="14.5" spans="1:12">
      <c r="A1" s="25" t="s">
        <v>205</v>
      </c>
      <c r="B1" s="2" t="s">
        <v>301</v>
      </c>
      <c r="C1" s="26" t="s">
        <v>302</v>
      </c>
      <c r="D1" s="26" t="s">
        <v>303</v>
      </c>
      <c r="E1" s="26" t="s">
        <v>304</v>
      </c>
      <c r="F1" s="27" t="s">
        <v>2</v>
      </c>
      <c r="G1" s="51" t="s">
        <v>305</v>
      </c>
      <c r="H1" s="27" t="s">
        <v>190</v>
      </c>
      <c r="I1" s="51" t="s">
        <v>306</v>
      </c>
      <c r="J1" s="51" t="s">
        <v>307</v>
      </c>
      <c r="K1" s="27" t="s">
        <v>193</v>
      </c>
      <c r="L1" s="27" t="s">
        <v>308</v>
      </c>
    </row>
    <row r="2" ht="14.5" spans="1:12">
      <c r="A2" s="22" t="s">
        <v>188</v>
      </c>
      <c r="B2" s="28">
        <v>46023</v>
      </c>
      <c r="C2" s="3" t="str">
        <f>TEXT(YEAR(B2),"0")&amp;"年"</f>
        <v>2026年</v>
      </c>
      <c r="D2" s="3" t="str">
        <f>TEXT(MONTH(B2),"0")&amp;"月"</f>
        <v>1月</v>
      </c>
      <c r="E2" s="4" t="str">
        <f>"W"&amp;TEXT(WEEKNUM(B2,2),"0")</f>
        <v>W1</v>
      </c>
      <c r="F2" s="27">
        <v>473933</v>
      </c>
      <c r="G2" s="27">
        <v>329167.89</v>
      </c>
      <c r="H2" s="27">
        <f>F2-G2</f>
        <v>144765.11</v>
      </c>
      <c r="I2" s="27">
        <v>53339</v>
      </c>
      <c r="J2" s="27">
        <v>413939</v>
      </c>
      <c r="K2" s="27">
        <v>15020.82</v>
      </c>
      <c r="L2" s="27">
        <f>J2/K2</f>
        <v>27.557683268956</v>
      </c>
    </row>
    <row r="3" ht="14.5" spans="1:12">
      <c r="A3" s="22" t="s">
        <v>188</v>
      </c>
      <c r="B3" s="28">
        <v>46024</v>
      </c>
      <c r="C3" s="3" t="str">
        <f t="shared" ref="C3:C26" si="0">TEXT(YEAR(B3),"0")&amp;"年"</f>
        <v>2026年</v>
      </c>
      <c r="D3" s="3" t="str">
        <f t="shared" ref="D3:D26" si="1">TEXT(MONTH(B3),"0")&amp;"月"</f>
        <v>1月</v>
      </c>
      <c r="E3" s="4" t="str">
        <f t="shared" ref="E3:E26" si="2">"W"&amp;TEXT(WEEKNUM(B3,2),"0")</f>
        <v>W1</v>
      </c>
      <c r="F3" s="27">
        <v>444251</v>
      </c>
      <c r="G3" s="27">
        <v>279102.56</v>
      </c>
      <c r="H3" s="27">
        <f t="shared" ref="H3:H34" si="3">F3-G3</f>
        <v>165148.44</v>
      </c>
      <c r="I3" s="27">
        <v>50496</v>
      </c>
      <c r="J3" s="27">
        <v>385950</v>
      </c>
      <c r="K3" s="27">
        <v>14622.86</v>
      </c>
      <c r="L3" s="27">
        <f t="shared" ref="L3:L21" si="4">J3/K3</f>
        <v>26.3936056284475</v>
      </c>
    </row>
    <row r="4" ht="14.5" spans="1:12">
      <c r="A4" s="22" t="s">
        <v>188</v>
      </c>
      <c r="B4" s="28">
        <v>46025</v>
      </c>
      <c r="C4" s="3" t="str">
        <f t="shared" si="0"/>
        <v>2026年</v>
      </c>
      <c r="D4" s="3" t="str">
        <f t="shared" si="1"/>
        <v>1月</v>
      </c>
      <c r="E4" s="4" t="str">
        <f t="shared" si="2"/>
        <v>W1</v>
      </c>
      <c r="F4" s="27">
        <v>674234.99</v>
      </c>
      <c r="G4" s="27">
        <v>346786.75</v>
      </c>
      <c r="H4" s="27">
        <f t="shared" si="3"/>
        <v>327448.24</v>
      </c>
      <c r="I4" s="27">
        <v>72964</v>
      </c>
      <c r="J4" s="27">
        <v>591359.99</v>
      </c>
      <c r="K4" s="27">
        <v>22240.9</v>
      </c>
      <c r="L4" s="27">
        <f t="shared" si="4"/>
        <v>26.5888516202132</v>
      </c>
    </row>
    <row r="5" ht="14.5" spans="1:12">
      <c r="A5" s="22" t="s">
        <v>188</v>
      </c>
      <c r="B5" s="28">
        <v>46026</v>
      </c>
      <c r="C5" s="3" t="str">
        <f t="shared" si="0"/>
        <v>2026年</v>
      </c>
      <c r="D5" s="3" t="str">
        <f t="shared" si="1"/>
        <v>1月</v>
      </c>
      <c r="E5" s="4" t="str">
        <f t="shared" si="2"/>
        <v>W1</v>
      </c>
      <c r="F5" s="27">
        <v>862390.42</v>
      </c>
      <c r="G5" s="27">
        <v>363357.27</v>
      </c>
      <c r="H5" s="27">
        <f t="shared" si="3"/>
        <v>499033.15</v>
      </c>
      <c r="I5" s="27">
        <v>72998.42</v>
      </c>
      <c r="J5" s="27">
        <v>772244</v>
      </c>
      <c r="K5" s="27">
        <v>29517.73</v>
      </c>
      <c r="L5" s="27">
        <f t="shared" si="4"/>
        <v>26.1620388830713</v>
      </c>
    </row>
    <row r="6" ht="14.5" spans="1:12">
      <c r="A6" s="22" t="s">
        <v>188</v>
      </c>
      <c r="B6" s="28">
        <v>46027</v>
      </c>
      <c r="C6" s="3" t="str">
        <f t="shared" si="0"/>
        <v>2026年</v>
      </c>
      <c r="D6" s="3" t="str">
        <f t="shared" si="1"/>
        <v>1月</v>
      </c>
      <c r="E6" s="4" t="str">
        <f t="shared" si="2"/>
        <v>W2</v>
      </c>
      <c r="F6" s="27">
        <v>396291.82</v>
      </c>
      <c r="G6" s="27">
        <v>300916.79</v>
      </c>
      <c r="H6" s="27">
        <f t="shared" si="3"/>
        <v>95375.03</v>
      </c>
      <c r="I6" s="27">
        <v>63297.64</v>
      </c>
      <c r="J6" s="27">
        <v>322043.24</v>
      </c>
      <c r="K6" s="27">
        <v>11563.43</v>
      </c>
      <c r="L6" s="27">
        <f t="shared" si="4"/>
        <v>27.8501482691554</v>
      </c>
    </row>
    <row r="7" ht="14.5" spans="1:12">
      <c r="A7" s="22" t="s">
        <v>188</v>
      </c>
      <c r="B7" s="28">
        <v>46028</v>
      </c>
      <c r="C7" s="3" t="str">
        <f t="shared" si="0"/>
        <v>2026年</v>
      </c>
      <c r="D7" s="3" t="str">
        <f t="shared" si="1"/>
        <v>1月</v>
      </c>
      <c r="E7" s="4" t="str">
        <f t="shared" si="2"/>
        <v>W2</v>
      </c>
      <c r="F7" s="27">
        <v>491573.49</v>
      </c>
      <c r="G7" s="27">
        <v>330114.1</v>
      </c>
      <c r="H7" s="27">
        <f t="shared" si="3"/>
        <v>161459.39</v>
      </c>
      <c r="I7" s="27">
        <v>56931.28</v>
      </c>
      <c r="J7" s="27">
        <v>421440.27</v>
      </c>
      <c r="K7" s="27">
        <v>15404.97</v>
      </c>
      <c r="L7" s="27">
        <f t="shared" si="4"/>
        <v>27.3574223124096</v>
      </c>
    </row>
    <row r="8" ht="14.5" spans="1:12">
      <c r="A8" s="22" t="s">
        <v>188</v>
      </c>
      <c r="B8" s="28">
        <v>46029</v>
      </c>
      <c r="C8" s="3" t="str">
        <f t="shared" si="0"/>
        <v>2026年</v>
      </c>
      <c r="D8" s="3" t="str">
        <f t="shared" si="1"/>
        <v>1月</v>
      </c>
      <c r="E8" s="4" t="str">
        <f t="shared" si="2"/>
        <v>W2</v>
      </c>
      <c r="F8" s="27">
        <v>1055153.35</v>
      </c>
      <c r="G8" s="27">
        <v>435055.56</v>
      </c>
      <c r="H8" s="27">
        <f t="shared" si="3"/>
        <v>620097.79</v>
      </c>
      <c r="I8" s="27">
        <v>74211.01</v>
      </c>
      <c r="J8" s="27">
        <v>969128.7</v>
      </c>
      <c r="K8" s="27">
        <v>37826.72</v>
      </c>
      <c r="L8" s="27">
        <f t="shared" si="4"/>
        <v>25.6202150226084</v>
      </c>
    </row>
    <row r="9" ht="14.5" spans="1:12">
      <c r="A9" s="22" t="s">
        <v>188</v>
      </c>
      <c r="B9" s="28">
        <v>46030</v>
      </c>
      <c r="C9" s="3" t="str">
        <f t="shared" si="0"/>
        <v>2026年</v>
      </c>
      <c r="D9" s="3" t="str">
        <f t="shared" si="1"/>
        <v>1月</v>
      </c>
      <c r="E9" s="4" t="str">
        <f t="shared" si="2"/>
        <v>W2</v>
      </c>
      <c r="F9" s="27">
        <v>690608.71</v>
      </c>
      <c r="G9" s="27">
        <v>343465.27</v>
      </c>
      <c r="H9" s="27">
        <f t="shared" si="3"/>
        <v>347143.44</v>
      </c>
      <c r="I9" s="27">
        <v>57300.58</v>
      </c>
      <c r="J9" s="27">
        <v>623972</v>
      </c>
      <c r="K9" s="27">
        <v>22188.28</v>
      </c>
      <c r="L9" s="27">
        <f t="shared" si="4"/>
        <v>28.1216930740012</v>
      </c>
    </row>
    <row r="10" ht="14.5" spans="1:12">
      <c r="A10" s="22" t="s">
        <v>188</v>
      </c>
      <c r="B10" s="28">
        <v>46031</v>
      </c>
      <c r="C10" s="3" t="str">
        <f t="shared" si="0"/>
        <v>2026年</v>
      </c>
      <c r="D10" s="3" t="str">
        <f t="shared" si="1"/>
        <v>1月</v>
      </c>
      <c r="E10" s="4" t="str">
        <f t="shared" si="2"/>
        <v>W2</v>
      </c>
      <c r="F10" s="27">
        <v>647734.73</v>
      </c>
      <c r="G10" s="27">
        <v>350854.74</v>
      </c>
      <c r="H10" s="27">
        <f t="shared" si="3"/>
        <v>296879.99</v>
      </c>
      <c r="I10" s="27">
        <v>58141.46</v>
      </c>
      <c r="J10" s="27">
        <v>579154.99</v>
      </c>
      <c r="K10" s="27">
        <v>20245.73</v>
      </c>
      <c r="L10" s="27">
        <f t="shared" si="4"/>
        <v>28.6062784597048</v>
      </c>
    </row>
    <row r="11" ht="14.5" spans="1:12">
      <c r="A11" s="22" t="s">
        <v>188</v>
      </c>
      <c r="B11" s="28">
        <v>46032</v>
      </c>
      <c r="C11" s="3" t="str">
        <f t="shared" si="0"/>
        <v>2026年</v>
      </c>
      <c r="D11" s="3" t="str">
        <f t="shared" si="1"/>
        <v>1月</v>
      </c>
      <c r="E11" s="4" t="str">
        <f t="shared" si="2"/>
        <v>W2</v>
      </c>
      <c r="F11" s="27">
        <v>640428.84</v>
      </c>
      <c r="G11" s="27">
        <v>400050.86</v>
      </c>
      <c r="H11" s="27">
        <f t="shared" si="3"/>
        <v>240377.98</v>
      </c>
      <c r="I11" s="27">
        <v>49943.2</v>
      </c>
      <c r="J11" s="27">
        <v>581678.64</v>
      </c>
      <c r="K11" s="27">
        <v>20841.12</v>
      </c>
      <c r="L11" s="27">
        <f t="shared" si="4"/>
        <v>27.910143024943</v>
      </c>
    </row>
    <row r="12" ht="14.5" spans="1:12">
      <c r="A12" s="22" t="s">
        <v>188</v>
      </c>
      <c r="B12" s="28">
        <v>46033</v>
      </c>
      <c r="C12" s="3" t="str">
        <f t="shared" si="0"/>
        <v>2026年</v>
      </c>
      <c r="D12" s="3" t="str">
        <f t="shared" si="1"/>
        <v>1月</v>
      </c>
      <c r="E12" s="4" t="str">
        <f t="shared" si="2"/>
        <v>W2</v>
      </c>
      <c r="F12" s="27">
        <v>550331.18</v>
      </c>
      <c r="G12" s="27">
        <v>348699.63</v>
      </c>
      <c r="H12" s="27">
        <f t="shared" si="3"/>
        <v>201631.55</v>
      </c>
      <c r="I12" s="27">
        <v>59266.18</v>
      </c>
      <c r="J12" s="27">
        <v>483041</v>
      </c>
      <c r="K12" s="27">
        <v>17587.31</v>
      </c>
      <c r="L12" s="27">
        <f t="shared" si="4"/>
        <v>27.4653144795878</v>
      </c>
    </row>
    <row r="13" ht="14.5" spans="1:12">
      <c r="A13" s="22" t="s">
        <v>188</v>
      </c>
      <c r="B13" s="28">
        <v>46034</v>
      </c>
      <c r="C13" s="3" t="str">
        <f t="shared" si="0"/>
        <v>2026年</v>
      </c>
      <c r="D13" s="3" t="str">
        <f t="shared" si="1"/>
        <v>1月</v>
      </c>
      <c r="E13" s="4" t="str">
        <f t="shared" si="2"/>
        <v>W3</v>
      </c>
      <c r="F13" s="27">
        <v>449261</v>
      </c>
      <c r="G13" s="27">
        <v>344754.84</v>
      </c>
      <c r="H13" s="27">
        <f t="shared" si="3"/>
        <v>104506.16</v>
      </c>
      <c r="I13" s="27">
        <v>51530</v>
      </c>
      <c r="J13" s="27">
        <v>389110</v>
      </c>
      <c r="K13" s="27">
        <v>14151.91</v>
      </c>
      <c r="L13" s="27">
        <f t="shared" si="4"/>
        <v>27.4952285592545</v>
      </c>
    </row>
    <row r="14" ht="14.5" spans="1:12">
      <c r="A14" s="22" t="s">
        <v>188</v>
      </c>
      <c r="B14" s="28">
        <v>46035</v>
      </c>
      <c r="C14" s="3" t="str">
        <f t="shared" si="0"/>
        <v>2026年</v>
      </c>
      <c r="D14" s="3" t="str">
        <f t="shared" si="1"/>
        <v>1月</v>
      </c>
      <c r="E14" s="4" t="str">
        <f t="shared" si="2"/>
        <v>W3</v>
      </c>
      <c r="F14" s="27">
        <v>273402.89</v>
      </c>
      <c r="G14" s="27">
        <v>290539.97</v>
      </c>
      <c r="H14" s="27">
        <f t="shared" si="3"/>
        <v>-17137.08</v>
      </c>
      <c r="I14" s="27">
        <v>51055.9</v>
      </c>
      <c r="J14" s="27">
        <v>215163.99</v>
      </c>
      <c r="K14" s="27">
        <v>6702</v>
      </c>
      <c r="L14" s="27">
        <f t="shared" si="4"/>
        <v>32.1044449418084</v>
      </c>
    </row>
    <row r="15" ht="14.5" spans="1:12">
      <c r="A15" s="22" t="s">
        <v>188</v>
      </c>
      <c r="B15" s="28">
        <v>46036</v>
      </c>
      <c r="C15" s="3" t="str">
        <f t="shared" si="0"/>
        <v>2026年</v>
      </c>
      <c r="D15" s="3" t="str">
        <f t="shared" si="1"/>
        <v>1月</v>
      </c>
      <c r="E15" s="4" t="str">
        <f t="shared" si="2"/>
        <v>W3</v>
      </c>
      <c r="F15" s="27">
        <v>216113.7</v>
      </c>
      <c r="G15" s="27">
        <v>249995.59</v>
      </c>
      <c r="H15" s="27">
        <f t="shared" si="3"/>
        <v>-33881.89</v>
      </c>
      <c r="I15" s="27">
        <v>44591.7</v>
      </c>
      <c r="J15" s="27">
        <v>168944</v>
      </c>
      <c r="K15" s="27">
        <v>5825.43</v>
      </c>
      <c r="L15" s="27">
        <f t="shared" si="4"/>
        <v>29.0011209472949</v>
      </c>
    </row>
    <row r="16" ht="14.5" spans="1:12">
      <c r="A16" s="22" t="s">
        <v>188</v>
      </c>
      <c r="B16" s="28">
        <v>46037</v>
      </c>
      <c r="C16" s="3" t="str">
        <f t="shared" si="0"/>
        <v>2026年</v>
      </c>
      <c r="D16" s="3" t="str">
        <f t="shared" si="1"/>
        <v>1月</v>
      </c>
      <c r="E16" s="4" t="str">
        <f t="shared" si="2"/>
        <v>W3</v>
      </c>
      <c r="F16" s="27">
        <v>423184</v>
      </c>
      <c r="G16" s="27">
        <v>268005.6</v>
      </c>
      <c r="H16" s="27">
        <f t="shared" si="3"/>
        <v>155178.4</v>
      </c>
      <c r="I16" s="27">
        <v>33079</v>
      </c>
      <c r="J16" s="27">
        <v>385178</v>
      </c>
      <c r="K16" s="27">
        <v>12891.32</v>
      </c>
      <c r="L16" s="27">
        <f t="shared" si="4"/>
        <v>29.8788642280232</v>
      </c>
    </row>
    <row r="17" ht="14.5" spans="1:16">
      <c r="A17" s="22" t="s">
        <v>188</v>
      </c>
      <c r="B17" s="28">
        <v>46038</v>
      </c>
      <c r="C17" s="3" t="str">
        <f t="shared" si="0"/>
        <v>2026年</v>
      </c>
      <c r="D17" s="3" t="str">
        <f t="shared" si="1"/>
        <v>1月</v>
      </c>
      <c r="E17" s="4" t="str">
        <f t="shared" si="2"/>
        <v>W3</v>
      </c>
      <c r="F17" s="27">
        <v>503257.59</v>
      </c>
      <c r="G17" s="27">
        <v>301079.63</v>
      </c>
      <c r="H17" s="27">
        <f t="shared" si="3"/>
        <v>202177.96</v>
      </c>
      <c r="I17" s="27">
        <v>104577.6</v>
      </c>
      <c r="J17" s="27">
        <v>389497.99</v>
      </c>
      <c r="K17" s="27">
        <v>11909.08</v>
      </c>
      <c r="L17" s="27">
        <f t="shared" si="4"/>
        <v>32.7059680512684</v>
      </c>
    </row>
    <row r="18" ht="14.5" spans="1:16">
      <c r="A18" s="22" t="s">
        <v>188</v>
      </c>
      <c r="B18" s="28">
        <v>46039</v>
      </c>
      <c r="C18" s="3" t="str">
        <f t="shared" si="0"/>
        <v>2026年</v>
      </c>
      <c r="D18" s="3" t="str">
        <f t="shared" si="1"/>
        <v>1月</v>
      </c>
      <c r="E18" s="4" t="str">
        <f t="shared" si="2"/>
        <v>W3</v>
      </c>
      <c r="F18" s="27">
        <v>596578.8</v>
      </c>
      <c r="G18" s="27">
        <v>302519.81</v>
      </c>
      <c r="H18" s="27">
        <f t="shared" si="3"/>
        <v>294058.99</v>
      </c>
      <c r="I18" s="27">
        <v>96995.8</v>
      </c>
      <c r="J18" s="27">
        <v>489332</v>
      </c>
      <c r="K18" s="27">
        <v>15905.26</v>
      </c>
      <c r="L18" s="27">
        <f t="shared" si="4"/>
        <v>30.7654197416452</v>
      </c>
    </row>
    <row r="19" ht="14.5" spans="1:16">
      <c r="A19" s="22" t="s">
        <v>188</v>
      </c>
      <c r="B19" s="28">
        <v>46040</v>
      </c>
      <c r="C19" s="3" t="str">
        <f t="shared" si="0"/>
        <v>2026年</v>
      </c>
      <c r="D19" s="3" t="str">
        <f t="shared" si="1"/>
        <v>1月</v>
      </c>
      <c r="E19" s="4" t="str">
        <f t="shared" si="2"/>
        <v>W3</v>
      </c>
      <c r="F19" s="27">
        <v>505779.7</v>
      </c>
      <c r="G19" s="27">
        <v>326261.44</v>
      </c>
      <c r="H19" s="27">
        <f t="shared" si="3"/>
        <v>179518.26</v>
      </c>
      <c r="I19" s="27">
        <v>93515.5</v>
      </c>
      <c r="J19" s="27">
        <v>408704</v>
      </c>
      <c r="K19" s="27">
        <v>12777.01</v>
      </c>
      <c r="L19" s="27">
        <f t="shared" si="4"/>
        <v>31.987452463448</v>
      </c>
    </row>
    <row r="20" ht="14.5" spans="1:16">
      <c r="A20" s="22" t="s">
        <v>188</v>
      </c>
      <c r="B20" s="28">
        <v>46041</v>
      </c>
      <c r="C20" s="3" t="str">
        <f t="shared" si="0"/>
        <v>2026年</v>
      </c>
      <c r="D20" s="3" t="str">
        <f t="shared" si="1"/>
        <v>1月</v>
      </c>
      <c r="E20" s="4" t="str">
        <f t="shared" si="2"/>
        <v>W4</v>
      </c>
      <c r="F20" s="27">
        <v>388005</v>
      </c>
      <c r="G20" s="27">
        <v>249460.1</v>
      </c>
      <c r="H20" s="27">
        <f t="shared" si="3"/>
        <v>138544.9</v>
      </c>
      <c r="I20" s="27">
        <v>85461</v>
      </c>
      <c r="J20" s="27">
        <v>295683</v>
      </c>
      <c r="K20" s="27">
        <v>9163.25</v>
      </c>
      <c r="L20" s="27">
        <f t="shared" si="4"/>
        <v>32.268354568521</v>
      </c>
    </row>
    <row r="21" ht="14.5" spans="1:16">
      <c r="A21" s="22" t="s">
        <v>188</v>
      </c>
      <c r="B21" s="28">
        <v>46042</v>
      </c>
      <c r="C21" s="3" t="str">
        <f t="shared" si="0"/>
        <v>2026年</v>
      </c>
      <c r="D21" s="3" t="str">
        <f t="shared" si="1"/>
        <v>1月</v>
      </c>
      <c r="E21" s="4" t="str">
        <f t="shared" si="2"/>
        <v>W4</v>
      </c>
      <c r="F21" s="27">
        <v>522199</v>
      </c>
      <c r="G21" s="27">
        <v>273259.92</v>
      </c>
      <c r="H21" s="27">
        <f t="shared" si="3"/>
        <v>248939.08</v>
      </c>
      <c r="I21" s="27">
        <v>83871</v>
      </c>
      <c r="J21" s="27">
        <v>436314</v>
      </c>
      <c r="K21" s="27">
        <v>14265.92</v>
      </c>
      <c r="L21" s="27">
        <f t="shared" si="4"/>
        <v>30.5843576860097</v>
      </c>
      <c r="N21" s="22">
        <v>17949662.33</v>
      </c>
      <c r="O21" s="22">
        <v>118203.42</v>
      </c>
      <c r="P21" s="22">
        <v>583306.75</v>
      </c>
    </row>
    <row r="22" ht="14.5" spans="1:16">
      <c r="A22" s="22" t="s">
        <v>188</v>
      </c>
      <c r="B22" s="28">
        <v>46043</v>
      </c>
      <c r="C22" s="3" t="str">
        <f t="shared" si="0"/>
        <v>2026年</v>
      </c>
      <c r="D22" s="3" t="str">
        <f t="shared" si="1"/>
        <v>1月</v>
      </c>
      <c r="E22" s="4" t="str">
        <f t="shared" si="2"/>
        <v>W4</v>
      </c>
      <c r="F22" s="27">
        <v>613775.7</v>
      </c>
      <c r="G22" s="27">
        <v>293953.68</v>
      </c>
      <c r="H22" s="27">
        <f t="shared" si="3"/>
        <v>319822.02</v>
      </c>
      <c r="I22" s="27">
        <v>101984.5</v>
      </c>
      <c r="J22" s="27">
        <v>506573</v>
      </c>
      <c r="K22" s="27">
        <v>17244.66</v>
      </c>
      <c r="L22" s="27">
        <f t="shared" ref="L22:L27" si="5">J22/K22</f>
        <v>29.3756444023831</v>
      </c>
      <c r="N22" s="22">
        <v>10095222.79</v>
      </c>
      <c r="O22" s="22">
        <v>66131.45</v>
      </c>
      <c r="P22" s="22">
        <v>355400.89</v>
      </c>
    </row>
    <row r="23" ht="14.5" spans="1:16">
      <c r="A23" s="22" t="s">
        <v>188</v>
      </c>
      <c r="B23" s="28">
        <v>46044</v>
      </c>
      <c r="C23" s="3" t="str">
        <f t="shared" si="0"/>
        <v>2026年</v>
      </c>
      <c r="D23" s="3" t="str">
        <f t="shared" si="1"/>
        <v>1月</v>
      </c>
      <c r="E23" s="4" t="str">
        <f t="shared" si="2"/>
        <v>W4</v>
      </c>
      <c r="F23" s="27">
        <v>607412.9</v>
      </c>
      <c r="G23" s="27">
        <v>314737.8</v>
      </c>
      <c r="H23" s="27">
        <f t="shared" si="3"/>
        <v>292675.1</v>
      </c>
      <c r="I23" s="27">
        <v>102105.9</v>
      </c>
      <c r="J23" s="27">
        <v>502171</v>
      </c>
      <c r="K23" s="27">
        <v>16312.17</v>
      </c>
      <c r="L23" s="27">
        <f t="shared" si="5"/>
        <v>30.7850518968353</v>
      </c>
      <c r="N23" s="22">
        <f>N21-N22</f>
        <v>7854439.54</v>
      </c>
      <c r="O23" s="22">
        <f>O21-O22</f>
        <v>52071.97</v>
      </c>
      <c r="P23" s="22">
        <f>P21-P22</f>
        <v>227905.86</v>
      </c>
    </row>
    <row r="24" ht="14.5" spans="1:16">
      <c r="A24" s="22" t="s">
        <v>188</v>
      </c>
      <c r="B24" s="28">
        <v>46045</v>
      </c>
      <c r="C24" s="3" t="str">
        <f t="shared" si="0"/>
        <v>2026年</v>
      </c>
      <c r="D24" s="3" t="str">
        <f t="shared" si="1"/>
        <v>1月</v>
      </c>
      <c r="E24" s="4" t="str">
        <f t="shared" si="2"/>
        <v>W4</v>
      </c>
      <c r="F24" s="27">
        <v>864204.99</v>
      </c>
      <c r="G24" s="27">
        <v>349889.84</v>
      </c>
      <c r="H24" s="27">
        <f t="shared" si="3"/>
        <v>514315.15</v>
      </c>
      <c r="I24" s="27">
        <v>140424</v>
      </c>
      <c r="J24" s="27">
        <v>716530.99</v>
      </c>
      <c r="K24" s="27">
        <v>25100.97</v>
      </c>
      <c r="L24" s="27">
        <f t="shared" si="5"/>
        <v>28.5459482243116</v>
      </c>
      <c r="N24" s="22">
        <f>N23+O23+P23</f>
        <v>8134417.37</v>
      </c>
    </row>
    <row r="25" ht="14.5" spans="1:16">
      <c r="A25" s="22" t="s">
        <v>188</v>
      </c>
      <c r="B25" s="28">
        <v>46046</v>
      </c>
      <c r="C25" s="3" t="str">
        <f t="shared" si="0"/>
        <v>2026年</v>
      </c>
      <c r="D25" s="3" t="str">
        <f t="shared" si="1"/>
        <v>1月</v>
      </c>
      <c r="E25" s="4" t="str">
        <f t="shared" si="2"/>
        <v>W4</v>
      </c>
      <c r="F25" s="27">
        <v>801577</v>
      </c>
      <c r="G25" s="27">
        <v>339401.73</v>
      </c>
      <c r="H25" s="27">
        <f t="shared" si="3"/>
        <v>462175.27</v>
      </c>
      <c r="I25" s="27">
        <v>125083</v>
      </c>
      <c r="J25" s="27">
        <v>669818</v>
      </c>
      <c r="K25" s="27">
        <v>22459.24</v>
      </c>
      <c r="L25" s="27">
        <f t="shared" si="5"/>
        <v>29.8237162076722</v>
      </c>
    </row>
    <row r="26" ht="14.5" spans="1:16">
      <c r="A26" s="22" t="s">
        <v>188</v>
      </c>
      <c r="B26" s="28">
        <v>46047</v>
      </c>
      <c r="C26" s="3" t="str">
        <f t="shared" si="0"/>
        <v>2026年</v>
      </c>
      <c r="D26" s="3" t="str">
        <f t="shared" si="1"/>
        <v>1月</v>
      </c>
      <c r="E26" s="4" t="str">
        <f t="shared" si="2"/>
        <v>W4</v>
      </c>
      <c r="F26" s="27">
        <v>808971.2</v>
      </c>
      <c r="G26" s="27">
        <v>336312.3</v>
      </c>
      <c r="H26" s="27">
        <f t="shared" si="3"/>
        <v>472658.9</v>
      </c>
      <c r="I26" s="27">
        <v>127232.2</v>
      </c>
      <c r="J26" s="27">
        <v>670202</v>
      </c>
      <c r="K26" s="27">
        <v>23103.06</v>
      </c>
      <c r="L26" s="27">
        <f t="shared" si="5"/>
        <v>29.0092308118492</v>
      </c>
    </row>
    <row r="27" ht="14.5" spans="1:16">
      <c r="A27" s="22" t="s">
        <v>188</v>
      </c>
      <c r="B27" s="28">
        <v>46048</v>
      </c>
      <c r="C27" s="3" t="str">
        <f t="shared" ref="C27:C33" si="6">TEXT(YEAR(B27),"0")&amp;"年"</f>
        <v>2026年</v>
      </c>
      <c r="D27" s="3" t="str">
        <f t="shared" ref="D27:D33" si="7">TEXT(MONTH(B27),"0")&amp;"月"</f>
        <v>1月</v>
      </c>
      <c r="E27" s="4" t="str">
        <f t="shared" ref="E27:E33" si="8">"W"&amp;TEXT(WEEKNUM(B27,2),"0")</f>
        <v>W5</v>
      </c>
      <c r="F27" s="27">
        <v>674719.5</v>
      </c>
      <c r="G27" s="27">
        <v>352180.02</v>
      </c>
      <c r="H27" s="27">
        <f t="shared" si="3"/>
        <v>322539.48</v>
      </c>
      <c r="I27" s="27">
        <v>113110.5</v>
      </c>
      <c r="J27" s="27">
        <v>551231</v>
      </c>
      <c r="K27" s="27">
        <v>18427.46</v>
      </c>
      <c r="L27" s="27">
        <f t="shared" ref="L27:L33" si="9">J27/K27</f>
        <v>29.9135637792729</v>
      </c>
    </row>
    <row r="28" ht="14.5" spans="1:16">
      <c r="A28" s="22" t="s">
        <v>188</v>
      </c>
      <c r="B28" s="28">
        <v>46049</v>
      </c>
      <c r="C28" s="3" t="str">
        <f t="shared" si="6"/>
        <v>2026年</v>
      </c>
      <c r="D28" s="3" t="str">
        <f t="shared" si="7"/>
        <v>1月</v>
      </c>
      <c r="E28" s="4" t="str">
        <f t="shared" si="8"/>
        <v>W5</v>
      </c>
      <c r="F28" s="27">
        <v>521175.2</v>
      </c>
      <c r="G28" s="27">
        <v>375825.18</v>
      </c>
      <c r="H28" s="27">
        <f t="shared" si="3"/>
        <v>145350.02</v>
      </c>
      <c r="I28" s="27">
        <v>109705.2</v>
      </c>
      <c r="J28" s="27">
        <v>396472</v>
      </c>
      <c r="K28" s="27">
        <v>13582.51</v>
      </c>
      <c r="L28" s="27">
        <f t="shared" si="9"/>
        <v>29.1898920008158</v>
      </c>
    </row>
    <row r="29" ht="14.5" spans="1:16">
      <c r="A29" s="22" t="s">
        <v>188</v>
      </c>
      <c r="B29" s="28">
        <v>46050</v>
      </c>
      <c r="C29" s="3" t="str">
        <f t="shared" si="6"/>
        <v>2026年</v>
      </c>
      <c r="D29" s="3" t="str">
        <f t="shared" si="7"/>
        <v>1月</v>
      </c>
      <c r="E29" s="4" t="str">
        <f t="shared" si="8"/>
        <v>W5</v>
      </c>
      <c r="F29" s="27">
        <v>535475.5</v>
      </c>
      <c r="G29" s="27">
        <v>342941</v>
      </c>
      <c r="H29" s="27">
        <f t="shared" si="3"/>
        <v>192534.5</v>
      </c>
      <c r="I29" s="27">
        <v>113159.5</v>
      </c>
      <c r="J29" s="27">
        <v>411551</v>
      </c>
      <c r="K29" s="27">
        <v>14263.25</v>
      </c>
      <c r="L29" s="27">
        <f t="shared" si="9"/>
        <v>28.8539428250925</v>
      </c>
    </row>
    <row r="30" ht="14.5" spans="1:16">
      <c r="A30" s="22" t="s">
        <v>188</v>
      </c>
      <c r="B30" s="28">
        <v>46051</v>
      </c>
      <c r="C30" s="3" t="str">
        <f t="shared" si="6"/>
        <v>2026年</v>
      </c>
      <c r="D30" s="3" t="str">
        <f t="shared" si="7"/>
        <v>1月</v>
      </c>
      <c r="E30" s="4" t="str">
        <f t="shared" si="8"/>
        <v>W5</v>
      </c>
      <c r="F30" s="27">
        <v>916667.5</v>
      </c>
      <c r="G30" s="27">
        <v>456802.43</v>
      </c>
      <c r="H30" s="27">
        <f t="shared" si="3"/>
        <v>459865.07</v>
      </c>
      <c r="I30" s="27">
        <v>167016</v>
      </c>
      <c r="J30" s="27">
        <v>732694</v>
      </c>
      <c r="K30" s="27">
        <v>26275.65</v>
      </c>
      <c r="L30" s="27">
        <f t="shared" si="9"/>
        <v>27.8849048453606</v>
      </c>
    </row>
    <row r="31" ht="14.5" spans="1:16">
      <c r="A31" s="22" t="s">
        <v>188</v>
      </c>
      <c r="B31" s="28">
        <v>46052</v>
      </c>
      <c r="C31" s="3" t="str">
        <f t="shared" si="6"/>
        <v>2026年</v>
      </c>
      <c r="D31" s="3" t="str">
        <f t="shared" si="7"/>
        <v>1月</v>
      </c>
      <c r="E31" s="4" t="str">
        <f t="shared" si="8"/>
        <v>W5</v>
      </c>
      <c r="F31" s="27">
        <v>599854</v>
      </c>
      <c r="G31" s="27">
        <v>356815.92</v>
      </c>
      <c r="H31" s="27">
        <f t="shared" si="3"/>
        <v>243038.08</v>
      </c>
      <c r="I31" s="27">
        <v>146623</v>
      </c>
      <c r="J31" s="27">
        <v>441134</v>
      </c>
      <c r="K31" s="27">
        <v>16911.94</v>
      </c>
      <c r="L31" s="27">
        <f t="shared" si="9"/>
        <v>26.0841748492485</v>
      </c>
    </row>
    <row r="32" ht="14.5" spans="1:16">
      <c r="A32" s="22" t="s">
        <v>188</v>
      </c>
      <c r="B32" s="28">
        <v>46053</v>
      </c>
      <c r="C32" s="3" t="str">
        <f t="shared" si="6"/>
        <v>2026年</v>
      </c>
      <c r="D32" s="3" t="str">
        <f t="shared" si="7"/>
        <v>1月</v>
      </c>
      <c r="E32" s="4" t="str">
        <f t="shared" si="8"/>
        <v>W5</v>
      </c>
      <c r="F32" s="27">
        <v>902625.8</v>
      </c>
      <c r="G32" s="27">
        <v>412848.81</v>
      </c>
      <c r="H32" s="27">
        <f t="shared" si="3"/>
        <v>489776.99</v>
      </c>
      <c r="I32" s="27">
        <v>163059.8</v>
      </c>
      <c r="J32" s="27">
        <v>719319</v>
      </c>
      <c r="K32" s="27">
        <v>25311.98</v>
      </c>
      <c r="L32" s="27">
        <f t="shared" si="9"/>
        <v>28.4181245402375</v>
      </c>
    </row>
    <row r="33" ht="14.5" spans="1:12">
      <c r="A33" s="22" t="s">
        <v>188</v>
      </c>
      <c r="B33" s="28">
        <v>46054</v>
      </c>
      <c r="C33" s="3" t="str">
        <f t="shared" si="6"/>
        <v>2026年</v>
      </c>
      <c r="D33" s="3" t="str">
        <f t="shared" si="7"/>
        <v>2月</v>
      </c>
      <c r="E33" s="4" t="str">
        <f t="shared" si="8"/>
        <v>W5</v>
      </c>
      <c r="F33" s="27">
        <v>666120.4</v>
      </c>
      <c r="G33" s="27">
        <v>437246.28</v>
      </c>
      <c r="H33" s="27">
        <f t="shared" si="3"/>
        <v>228874.12</v>
      </c>
      <c r="I33" s="27">
        <v>171702.4</v>
      </c>
      <c r="J33" s="27">
        <v>470865</v>
      </c>
      <c r="K33" s="27">
        <v>15898.54</v>
      </c>
      <c r="L33" s="27">
        <f t="shared" si="9"/>
        <v>29.6168704799309</v>
      </c>
    </row>
    <row r="34" ht="14.5" spans="1:12">
      <c r="A34" s="22" t="s">
        <v>188</v>
      </c>
      <c r="B34" s="28">
        <v>46055</v>
      </c>
      <c r="C34" s="3" t="str">
        <f t="shared" ref="C34:C40" si="10">TEXT(YEAR(B34),"0")&amp;"年"</f>
        <v>2026年</v>
      </c>
      <c r="D34" s="3" t="str">
        <f t="shared" ref="D34:D40" si="11">TEXT(MONTH(B34),"0")&amp;"月"</f>
        <v>2月</v>
      </c>
      <c r="E34" s="4" t="str">
        <f t="shared" ref="E34:E40" si="12">"W"&amp;TEXT(WEEKNUM(B34,2),"0")</f>
        <v>W6</v>
      </c>
      <c r="F34" s="27">
        <v>1496727.9</v>
      </c>
      <c r="G34" s="27">
        <v>613931.51</v>
      </c>
      <c r="H34" s="27">
        <f t="shared" si="3"/>
        <v>882796.39</v>
      </c>
      <c r="I34" s="27">
        <v>224377.6</v>
      </c>
      <c r="J34" s="27">
        <v>1258502</v>
      </c>
      <c r="K34" s="27">
        <v>41250.82</v>
      </c>
      <c r="L34" s="27">
        <f t="shared" ref="L34:L40" si="13">J34/K34</f>
        <v>30.508532921285</v>
      </c>
    </row>
    <row r="35" ht="14.5" spans="1:12">
      <c r="A35" s="22" t="s">
        <v>188</v>
      </c>
      <c r="B35" s="28">
        <v>46056</v>
      </c>
      <c r="C35" s="3" t="str">
        <f t="shared" si="10"/>
        <v>2026年</v>
      </c>
      <c r="D35" s="3" t="str">
        <f t="shared" si="11"/>
        <v>2月</v>
      </c>
      <c r="E35" s="4" t="str">
        <f t="shared" si="12"/>
        <v>W6</v>
      </c>
      <c r="F35" s="27">
        <v>1570124.33</v>
      </c>
      <c r="G35" s="27">
        <v>648252.62</v>
      </c>
      <c r="H35" s="27">
        <f t="shared" ref="H35:H54" si="14">F35-G35</f>
        <v>921871.71</v>
      </c>
      <c r="I35" s="27">
        <v>229940.33</v>
      </c>
      <c r="J35" s="27">
        <v>1327530.1</v>
      </c>
      <c r="K35" s="27">
        <v>44600.68</v>
      </c>
      <c r="L35" s="27">
        <f t="shared" si="13"/>
        <v>29.7647950659048</v>
      </c>
    </row>
    <row r="36" ht="14.5" spans="1:12">
      <c r="A36" s="22" t="s">
        <v>188</v>
      </c>
      <c r="B36" s="28">
        <v>46057</v>
      </c>
      <c r="C36" s="3" t="str">
        <f t="shared" si="10"/>
        <v>2026年</v>
      </c>
      <c r="D36" s="3" t="str">
        <f t="shared" si="11"/>
        <v>2月</v>
      </c>
      <c r="E36" s="4" t="str">
        <f t="shared" si="12"/>
        <v>W6</v>
      </c>
      <c r="F36" s="27">
        <v>914322.48</v>
      </c>
      <c r="G36" s="27">
        <v>567195.86</v>
      </c>
      <c r="H36" s="27">
        <f t="shared" si="14"/>
        <v>347126.62</v>
      </c>
      <c r="I36" s="27">
        <v>202259.38</v>
      </c>
      <c r="J36" s="27">
        <v>697666.3</v>
      </c>
      <c r="K36" s="27">
        <v>23364.95</v>
      </c>
      <c r="L36" s="27">
        <f t="shared" si="13"/>
        <v>29.8595246298409</v>
      </c>
    </row>
    <row r="37" ht="14.5" spans="1:12">
      <c r="A37" s="22" t="s">
        <v>188</v>
      </c>
      <c r="B37" s="28">
        <v>46058</v>
      </c>
      <c r="C37" s="3" t="str">
        <f t="shared" si="10"/>
        <v>2026年</v>
      </c>
      <c r="D37" s="3" t="str">
        <f t="shared" si="11"/>
        <v>2月</v>
      </c>
      <c r="E37" s="4" t="str">
        <f t="shared" si="12"/>
        <v>W6</v>
      </c>
      <c r="F37" s="27">
        <v>660212.2</v>
      </c>
      <c r="G37" s="27">
        <v>547796.55</v>
      </c>
      <c r="H37" s="27">
        <f t="shared" si="14"/>
        <v>112415.65</v>
      </c>
      <c r="I37" s="27">
        <v>158987.9</v>
      </c>
      <c r="J37" s="27">
        <v>488855</v>
      </c>
      <c r="K37" s="27">
        <v>15803.23</v>
      </c>
      <c r="L37" s="27">
        <f t="shared" si="13"/>
        <v>30.9338660514338</v>
      </c>
    </row>
    <row r="38" ht="14.5" spans="1:12">
      <c r="A38" s="22" t="s">
        <v>188</v>
      </c>
      <c r="B38" s="28">
        <v>46059</v>
      </c>
      <c r="C38" s="3" t="str">
        <f t="shared" si="10"/>
        <v>2026年</v>
      </c>
      <c r="D38" s="3" t="str">
        <f t="shared" si="11"/>
        <v>2月</v>
      </c>
      <c r="E38" s="4" t="str">
        <f t="shared" si="12"/>
        <v>W6</v>
      </c>
      <c r="F38" s="27">
        <v>723444.3</v>
      </c>
      <c r="G38" s="27">
        <v>608589.49</v>
      </c>
      <c r="H38" s="27">
        <f t="shared" si="14"/>
        <v>114854.81</v>
      </c>
      <c r="I38" s="27">
        <v>167441.3</v>
      </c>
      <c r="J38" s="27">
        <v>547904</v>
      </c>
      <c r="K38" s="27">
        <v>17771.57</v>
      </c>
      <c r="L38" s="27">
        <f t="shared" si="13"/>
        <v>30.8303655782804</v>
      </c>
    </row>
    <row r="39" ht="14.5" spans="1:12">
      <c r="A39" s="22" t="s">
        <v>188</v>
      </c>
      <c r="B39" s="28">
        <v>46060</v>
      </c>
      <c r="C39" s="3" t="str">
        <f t="shared" si="10"/>
        <v>2026年</v>
      </c>
      <c r="D39" s="3" t="str">
        <f t="shared" si="11"/>
        <v>2月</v>
      </c>
      <c r="E39" s="4" t="str">
        <f t="shared" si="12"/>
        <v>W6</v>
      </c>
      <c r="F39" s="27">
        <v>1338487.2</v>
      </c>
      <c r="G39" s="27">
        <v>682660.11</v>
      </c>
      <c r="H39" s="27">
        <f t="shared" si="14"/>
        <v>655827.09</v>
      </c>
      <c r="I39" s="27">
        <v>193759.4</v>
      </c>
      <c r="J39" s="27">
        <v>1133938</v>
      </c>
      <c r="K39" s="27">
        <v>35611.33</v>
      </c>
      <c r="L39" s="27">
        <f t="shared" si="13"/>
        <v>31.8420570082611</v>
      </c>
    </row>
    <row r="40" ht="14.5" spans="1:12">
      <c r="A40" s="22" t="s">
        <v>188</v>
      </c>
      <c r="B40" s="28">
        <v>46061</v>
      </c>
      <c r="C40" s="3" t="str">
        <f t="shared" si="10"/>
        <v>2026年</v>
      </c>
      <c r="D40" s="3" t="str">
        <f t="shared" si="11"/>
        <v>2月</v>
      </c>
      <c r="E40" s="4" t="str">
        <f t="shared" si="12"/>
        <v>W6</v>
      </c>
      <c r="F40" s="27">
        <v>1569033.6</v>
      </c>
      <c r="G40" s="27">
        <v>705324.95</v>
      </c>
      <c r="H40" s="27">
        <f t="shared" si="14"/>
        <v>863708.65</v>
      </c>
      <c r="I40" s="27">
        <v>247006.6</v>
      </c>
      <c r="J40" s="27">
        <v>1308907</v>
      </c>
      <c r="K40" s="27">
        <v>40972.95</v>
      </c>
      <c r="L40" s="27">
        <f t="shared" si="13"/>
        <v>31.9456373046119</v>
      </c>
    </row>
    <row r="41" ht="14.5" spans="1:12">
      <c r="A41" s="22" t="s">
        <v>188</v>
      </c>
      <c r="B41" s="28">
        <v>46062</v>
      </c>
      <c r="C41" s="3" t="str">
        <f t="shared" ref="C41:C54" si="15">TEXT(YEAR(B41),"0")&amp;"年"</f>
        <v>2026年</v>
      </c>
      <c r="D41" s="3" t="str">
        <f t="shared" ref="D41:D54" si="16">TEXT(MONTH(B41),"0")&amp;"月"</f>
        <v>2月</v>
      </c>
      <c r="E41" s="4" t="str">
        <f t="shared" ref="E41:E54" si="17">"W"&amp;TEXT(WEEKNUM(B41,2),"0")</f>
        <v>W7</v>
      </c>
      <c r="F41" s="27">
        <v>1171659.5</v>
      </c>
      <c r="G41" s="27">
        <v>662201.19</v>
      </c>
      <c r="H41" s="27">
        <f t="shared" si="14"/>
        <v>509458.31</v>
      </c>
      <c r="I41" s="27">
        <v>182576.5</v>
      </c>
      <c r="J41" s="27">
        <v>976860</v>
      </c>
      <c r="K41" s="27">
        <v>29772.5</v>
      </c>
      <c r="L41" s="27">
        <f t="shared" ref="L41:L54" si="18">J41/K41</f>
        <v>32.8108153497355</v>
      </c>
    </row>
    <row r="42" ht="14.5" spans="1:12">
      <c r="A42" s="22" t="s">
        <v>188</v>
      </c>
      <c r="B42" s="28">
        <v>46063</v>
      </c>
      <c r="C42" s="3" t="str">
        <f t="shared" si="15"/>
        <v>2026年</v>
      </c>
      <c r="D42" s="3" t="str">
        <f t="shared" si="16"/>
        <v>2月</v>
      </c>
      <c r="E42" s="4" t="str">
        <f t="shared" si="17"/>
        <v>W7</v>
      </c>
      <c r="F42" s="27">
        <v>861794</v>
      </c>
      <c r="G42" s="27">
        <v>614755.08</v>
      </c>
      <c r="H42" s="27">
        <f t="shared" si="14"/>
        <v>247038.92</v>
      </c>
      <c r="I42" s="27">
        <v>173981.8</v>
      </c>
      <c r="J42" s="27">
        <v>676850</v>
      </c>
      <c r="K42" s="27">
        <v>20281.63</v>
      </c>
      <c r="L42" s="27">
        <f t="shared" si="18"/>
        <v>33.3725642367009</v>
      </c>
    </row>
    <row r="43" ht="14.5" spans="1:12">
      <c r="A43" s="22" t="s">
        <v>188</v>
      </c>
      <c r="B43" s="28">
        <v>46064</v>
      </c>
      <c r="C43" s="3" t="str">
        <f t="shared" si="15"/>
        <v>2026年</v>
      </c>
      <c r="D43" s="3" t="str">
        <f t="shared" si="16"/>
        <v>2月</v>
      </c>
      <c r="E43" s="4" t="str">
        <f t="shared" si="17"/>
        <v>W7</v>
      </c>
      <c r="F43" s="27">
        <v>626537</v>
      </c>
      <c r="G43" s="27">
        <v>576668.6</v>
      </c>
      <c r="H43" s="27">
        <f t="shared" si="14"/>
        <v>49868.4</v>
      </c>
      <c r="I43" s="27">
        <v>83001</v>
      </c>
      <c r="J43" s="27">
        <v>535675</v>
      </c>
      <c r="K43" s="27">
        <v>17180.37</v>
      </c>
      <c r="L43" s="27">
        <f t="shared" si="18"/>
        <v>31.1794798365809</v>
      </c>
    </row>
    <row r="44" ht="14.5" spans="1:12">
      <c r="A44" s="22" t="s">
        <v>188</v>
      </c>
      <c r="B44" s="28">
        <v>46065</v>
      </c>
      <c r="C44" s="3" t="str">
        <f t="shared" si="15"/>
        <v>2026年</v>
      </c>
      <c r="D44" s="3" t="str">
        <f t="shared" si="16"/>
        <v>2月</v>
      </c>
      <c r="E44" s="4" t="str">
        <f t="shared" si="17"/>
        <v>W7</v>
      </c>
      <c r="F44" s="27">
        <v>498545.4</v>
      </c>
      <c r="G44" s="27">
        <v>471452.32</v>
      </c>
      <c r="H44" s="27">
        <f t="shared" si="14"/>
        <v>27093.08</v>
      </c>
      <c r="I44" s="27">
        <v>65690</v>
      </c>
      <c r="J44" s="27">
        <v>426251</v>
      </c>
      <c r="K44" s="27">
        <v>13859.59</v>
      </c>
      <c r="L44" s="27">
        <f t="shared" si="18"/>
        <v>30.754950182509</v>
      </c>
    </row>
    <row r="45" ht="14.5" spans="1:12">
      <c r="A45" s="22" t="s">
        <v>188</v>
      </c>
      <c r="B45" s="28">
        <v>46066</v>
      </c>
      <c r="C45" s="3" t="str">
        <f t="shared" si="15"/>
        <v>2026年</v>
      </c>
      <c r="D45" s="3" t="str">
        <f t="shared" si="16"/>
        <v>2月</v>
      </c>
      <c r="E45" s="4" t="str">
        <f t="shared" si="17"/>
        <v>W7</v>
      </c>
      <c r="F45" s="27">
        <v>425150</v>
      </c>
      <c r="G45" s="27">
        <v>337878.1</v>
      </c>
      <c r="H45" s="27">
        <f t="shared" si="14"/>
        <v>87271.9</v>
      </c>
      <c r="I45" s="27">
        <v>50685</v>
      </c>
      <c r="J45" s="27">
        <v>369746</v>
      </c>
      <c r="K45" s="27">
        <v>11651.45</v>
      </c>
      <c r="L45" s="27">
        <f t="shared" si="18"/>
        <v>31.7339043638345</v>
      </c>
    </row>
    <row r="46" ht="14.5" spans="1:12">
      <c r="A46" s="22" t="s">
        <v>188</v>
      </c>
      <c r="B46" s="28">
        <v>46067</v>
      </c>
      <c r="C46" s="3" t="str">
        <f t="shared" si="15"/>
        <v>2026年</v>
      </c>
      <c r="D46" s="3" t="str">
        <f t="shared" si="16"/>
        <v>2月</v>
      </c>
      <c r="E46" s="4" t="str">
        <f t="shared" si="17"/>
        <v>W7</v>
      </c>
      <c r="F46" s="27">
        <v>272891</v>
      </c>
      <c r="G46" s="27">
        <v>272950.66</v>
      </c>
      <c r="H46" s="27">
        <f t="shared" si="14"/>
        <v>-59.6599999999744</v>
      </c>
      <c r="I46" s="27">
        <v>27935</v>
      </c>
      <c r="J46" s="27">
        <v>240920</v>
      </c>
      <c r="K46" s="27">
        <v>7530.07</v>
      </c>
      <c r="L46" s="27">
        <f t="shared" si="18"/>
        <v>31.9943904903938</v>
      </c>
    </row>
    <row r="47" ht="14.5" spans="1:12">
      <c r="A47" s="22" t="s">
        <v>188</v>
      </c>
      <c r="B47" s="28">
        <v>46068</v>
      </c>
      <c r="C47" s="3" t="str">
        <f t="shared" si="15"/>
        <v>2026年</v>
      </c>
      <c r="D47" s="3" t="str">
        <f t="shared" si="16"/>
        <v>2月</v>
      </c>
      <c r="E47" s="4" t="str">
        <f t="shared" si="17"/>
        <v>W7</v>
      </c>
      <c r="F47" s="27">
        <v>273976</v>
      </c>
      <c r="G47" s="27">
        <v>233496.36</v>
      </c>
      <c r="H47" s="27">
        <f t="shared" si="14"/>
        <v>40479.64</v>
      </c>
      <c r="I47" s="27">
        <v>30917</v>
      </c>
      <c r="J47" s="27">
        <v>241182</v>
      </c>
      <c r="K47" s="27">
        <v>8196.34</v>
      </c>
      <c r="L47" s="27">
        <f t="shared" si="18"/>
        <v>29.4255728776503</v>
      </c>
    </row>
    <row r="48" ht="14.5" spans="1:12">
      <c r="A48" s="22" t="s">
        <v>188</v>
      </c>
      <c r="B48" s="28">
        <v>46069</v>
      </c>
      <c r="C48" s="3" t="str">
        <f t="shared" si="15"/>
        <v>2026年</v>
      </c>
      <c r="D48" s="3" t="str">
        <f t="shared" si="16"/>
        <v>2月</v>
      </c>
      <c r="E48" s="4" t="str">
        <f t="shared" si="17"/>
        <v>W8</v>
      </c>
      <c r="F48" s="27">
        <v>8750</v>
      </c>
      <c r="G48" s="27">
        <v>89756.6</v>
      </c>
      <c r="H48" s="27">
        <f t="shared" si="14"/>
        <v>-81006.6</v>
      </c>
      <c r="I48" s="27">
        <v>5861</v>
      </c>
      <c r="J48" s="27">
        <v>2152</v>
      </c>
      <c r="K48" s="27">
        <v>0</v>
      </c>
      <c r="L48" s="27" t="e">
        <f t="shared" ref="L48:L61" si="19">J48/K48</f>
        <v>#DIV/0!</v>
      </c>
    </row>
    <row r="49" ht="14.5" spans="1:12">
      <c r="A49" s="22" t="s">
        <v>188</v>
      </c>
      <c r="B49" s="28">
        <v>46070</v>
      </c>
      <c r="C49" s="3" t="str">
        <f t="shared" si="15"/>
        <v>2026年</v>
      </c>
      <c r="D49" s="3" t="str">
        <f t="shared" si="16"/>
        <v>2月</v>
      </c>
      <c r="E49" s="4" t="str">
        <f t="shared" si="17"/>
        <v>W8</v>
      </c>
      <c r="F49" s="27">
        <v>12822</v>
      </c>
      <c r="G49" s="27">
        <v>19215.22</v>
      </c>
      <c r="H49" s="27">
        <f t="shared" si="14"/>
        <v>-6393.22</v>
      </c>
      <c r="I49" s="27">
        <v>11332</v>
      </c>
      <c r="J49" s="27">
        <v>896</v>
      </c>
      <c r="K49" s="27">
        <v>0</v>
      </c>
      <c r="L49" s="27" t="e">
        <f t="shared" si="19"/>
        <v>#DIV/0!</v>
      </c>
    </row>
    <row r="50" ht="14.5" spans="1:12">
      <c r="A50" s="22" t="s">
        <v>188</v>
      </c>
      <c r="B50" s="28">
        <v>46071</v>
      </c>
      <c r="C50" s="3" t="str">
        <f t="shared" si="15"/>
        <v>2026年</v>
      </c>
      <c r="D50" s="3" t="str">
        <f t="shared" si="16"/>
        <v>2月</v>
      </c>
      <c r="E50" s="4" t="str">
        <f t="shared" si="17"/>
        <v>W8</v>
      </c>
      <c r="F50" s="27">
        <v>11482</v>
      </c>
      <c r="G50" s="27">
        <v>130417.86</v>
      </c>
      <c r="H50" s="27">
        <f t="shared" si="14"/>
        <v>-118935.86</v>
      </c>
      <c r="I50" s="27">
        <v>9415</v>
      </c>
      <c r="J50" s="27">
        <v>869</v>
      </c>
      <c r="K50" s="27">
        <v>0</v>
      </c>
      <c r="L50" s="27" t="e">
        <f t="shared" si="19"/>
        <v>#DIV/0!</v>
      </c>
    </row>
    <row r="51" ht="14.5" spans="1:12">
      <c r="A51" s="22" t="s">
        <v>188</v>
      </c>
      <c r="B51" s="28">
        <v>46072</v>
      </c>
      <c r="C51" s="3" t="str">
        <f t="shared" si="15"/>
        <v>2026年</v>
      </c>
      <c r="D51" s="3" t="str">
        <f t="shared" si="16"/>
        <v>2月</v>
      </c>
      <c r="E51" s="4" t="str">
        <f t="shared" si="17"/>
        <v>W8</v>
      </c>
      <c r="F51" s="27">
        <v>9765.2</v>
      </c>
      <c r="G51" s="27">
        <v>55746.53</v>
      </c>
      <c r="H51" s="27">
        <f t="shared" si="14"/>
        <v>-45981.33</v>
      </c>
      <c r="I51" s="27">
        <v>9029.2</v>
      </c>
      <c r="J51" s="27">
        <v>557</v>
      </c>
      <c r="K51" s="27">
        <v>0</v>
      </c>
      <c r="L51" s="27" t="e">
        <f t="shared" si="19"/>
        <v>#DIV/0!</v>
      </c>
    </row>
    <row r="52" ht="14.5" spans="1:12">
      <c r="A52" s="22" t="s">
        <v>188</v>
      </c>
      <c r="B52" s="28">
        <v>46073</v>
      </c>
      <c r="C52" s="3" t="str">
        <f t="shared" si="15"/>
        <v>2026年</v>
      </c>
      <c r="D52" s="3" t="str">
        <f t="shared" si="16"/>
        <v>2月</v>
      </c>
      <c r="E52" s="4" t="str">
        <f t="shared" si="17"/>
        <v>W8</v>
      </c>
      <c r="F52" s="27">
        <v>117735</v>
      </c>
      <c r="G52" s="27">
        <v>68683.99</v>
      </c>
      <c r="H52" s="27">
        <f t="shared" si="14"/>
        <v>49051.01</v>
      </c>
      <c r="I52" s="27">
        <v>10945</v>
      </c>
      <c r="J52" s="27">
        <v>105962</v>
      </c>
      <c r="K52" s="27">
        <v>3319.53</v>
      </c>
      <c r="L52" s="27">
        <f t="shared" si="19"/>
        <v>31.9207839664049</v>
      </c>
    </row>
    <row r="53" ht="14.5" spans="1:12">
      <c r="A53" s="22" t="s">
        <v>188</v>
      </c>
      <c r="B53" s="28">
        <v>46074</v>
      </c>
      <c r="C53" s="3" t="str">
        <f t="shared" si="15"/>
        <v>2026年</v>
      </c>
      <c r="D53" s="3" t="str">
        <f t="shared" si="16"/>
        <v>2月</v>
      </c>
      <c r="E53" s="4" t="str">
        <f t="shared" si="17"/>
        <v>W8</v>
      </c>
      <c r="F53" s="27">
        <v>90344</v>
      </c>
      <c r="G53" s="27">
        <v>74841.73</v>
      </c>
      <c r="H53" s="27">
        <f t="shared" si="14"/>
        <v>15502.27</v>
      </c>
      <c r="I53" s="27">
        <v>12399</v>
      </c>
      <c r="J53" s="27">
        <v>76818</v>
      </c>
      <c r="K53" s="27">
        <v>2423.39</v>
      </c>
      <c r="L53" s="27">
        <f t="shared" si="19"/>
        <v>31.6985710100314</v>
      </c>
    </row>
    <row r="54" ht="14.5" spans="1:12">
      <c r="A54" s="22" t="s">
        <v>188</v>
      </c>
      <c r="B54" s="28">
        <v>46075</v>
      </c>
      <c r="C54" s="3" t="str">
        <f t="shared" si="15"/>
        <v>2026年</v>
      </c>
      <c r="D54" s="3" t="str">
        <f t="shared" si="16"/>
        <v>2月</v>
      </c>
      <c r="E54" s="4" t="str">
        <f t="shared" si="17"/>
        <v>W8</v>
      </c>
      <c r="F54" s="27">
        <v>80107</v>
      </c>
      <c r="G54" s="27">
        <v>49565.55</v>
      </c>
      <c r="H54" s="27">
        <f t="shared" si="14"/>
        <v>30541.45</v>
      </c>
      <c r="I54" s="27">
        <v>15035</v>
      </c>
      <c r="J54" s="27">
        <v>61993</v>
      </c>
      <c r="K54" s="27">
        <v>2044.98</v>
      </c>
      <c r="L54" s="27">
        <f t="shared" si="19"/>
        <v>30.3147219043707</v>
      </c>
    </row>
    <row r="55" ht="14.5" spans="1:12">
      <c r="A55" s="22" t="s">
        <v>188</v>
      </c>
      <c r="B55" s="28">
        <v>46076</v>
      </c>
      <c r="C55" s="3" t="str">
        <f t="shared" ref="C55:C61" si="20">TEXT(YEAR(B55),"0")&amp;"年"</f>
        <v>2026年</v>
      </c>
      <c r="D55" s="3" t="str">
        <f t="shared" ref="D55:D61" si="21">TEXT(MONTH(B55),"0")&amp;"月"</f>
        <v>2月</v>
      </c>
      <c r="E55" s="4" t="str">
        <f t="shared" ref="E55:E61" si="22">"W"&amp;TEXT(WEEKNUM(B55,2),"0")</f>
        <v>W9</v>
      </c>
      <c r="F55" s="27">
        <v>564627.3</v>
      </c>
      <c r="G55" s="27">
        <v>169809.09</v>
      </c>
      <c r="H55" s="27">
        <f t="shared" ref="H55:H61" si="23">F55-G55</f>
        <v>394818.21</v>
      </c>
      <c r="I55" s="27">
        <v>38565.3</v>
      </c>
      <c r="J55" s="27">
        <v>523506</v>
      </c>
      <c r="K55" s="27">
        <v>15260.45</v>
      </c>
      <c r="L55" s="27">
        <f t="shared" si="19"/>
        <v>34.3047551022414</v>
      </c>
    </row>
    <row r="56" ht="14.5" spans="1:12">
      <c r="A56" s="22" t="s">
        <v>188</v>
      </c>
      <c r="B56" s="28">
        <v>46077</v>
      </c>
      <c r="C56" s="3" t="str">
        <f t="shared" si="20"/>
        <v>2026年</v>
      </c>
      <c r="D56" s="3" t="str">
        <f t="shared" si="21"/>
        <v>2月</v>
      </c>
      <c r="E56" s="4" t="str">
        <f t="shared" si="22"/>
        <v>W9</v>
      </c>
      <c r="F56" s="27">
        <v>259174.4</v>
      </c>
      <c r="G56" s="27">
        <v>160685.68</v>
      </c>
      <c r="H56" s="27">
        <f t="shared" si="23"/>
        <v>98488.72</v>
      </c>
      <c r="I56" s="27">
        <v>26143.4</v>
      </c>
      <c r="J56" s="27">
        <v>230052</v>
      </c>
      <c r="K56" s="27">
        <v>7830.52</v>
      </c>
      <c r="L56" s="27">
        <f t="shared" si="19"/>
        <v>29.3788918232761</v>
      </c>
    </row>
    <row r="57" ht="14.5" spans="1:12">
      <c r="A57" s="22" t="s">
        <v>188</v>
      </c>
      <c r="B57" s="28">
        <v>46078</v>
      </c>
      <c r="C57" s="3" t="str">
        <f t="shared" si="20"/>
        <v>2026年</v>
      </c>
      <c r="D57" s="3" t="str">
        <f t="shared" si="21"/>
        <v>2月</v>
      </c>
      <c r="E57" s="4" t="str">
        <f t="shared" si="22"/>
        <v>W9</v>
      </c>
      <c r="F57" s="27">
        <v>198273.5</v>
      </c>
      <c r="G57" s="27">
        <v>122386.87</v>
      </c>
      <c r="H57" s="27">
        <f t="shared" si="23"/>
        <v>75886.63</v>
      </c>
      <c r="I57" s="27">
        <v>31461.5</v>
      </c>
      <c r="J57" s="27">
        <v>164158</v>
      </c>
      <c r="K57" s="27">
        <v>5737.25</v>
      </c>
      <c r="L57" s="27">
        <f t="shared" si="19"/>
        <v>28.6126628611268</v>
      </c>
    </row>
    <row r="58" ht="14.5" spans="1:12">
      <c r="A58" s="22" t="s">
        <v>188</v>
      </c>
      <c r="B58" s="28">
        <v>46079</v>
      </c>
      <c r="C58" s="3" t="str">
        <f t="shared" si="20"/>
        <v>2026年</v>
      </c>
      <c r="D58" s="3" t="str">
        <f t="shared" si="21"/>
        <v>2月</v>
      </c>
      <c r="E58" s="4" t="str">
        <f t="shared" si="22"/>
        <v>W9</v>
      </c>
      <c r="F58" s="27">
        <v>240835.2</v>
      </c>
      <c r="G58" s="27">
        <v>139343.87</v>
      </c>
      <c r="H58" s="27">
        <f t="shared" si="23"/>
        <v>101491.33</v>
      </c>
      <c r="I58" s="27">
        <v>25172.2</v>
      </c>
      <c r="J58" s="27">
        <v>211940</v>
      </c>
      <c r="K58" s="27">
        <v>7233.91</v>
      </c>
      <c r="L58" s="27">
        <f t="shared" si="19"/>
        <v>29.2981250803507</v>
      </c>
    </row>
    <row r="59" ht="14.5" spans="1:12">
      <c r="A59" s="22" t="s">
        <v>188</v>
      </c>
      <c r="B59" s="28">
        <v>46080</v>
      </c>
      <c r="C59" s="3" t="str">
        <f t="shared" si="20"/>
        <v>2026年</v>
      </c>
      <c r="D59" s="3" t="str">
        <f t="shared" si="21"/>
        <v>2月</v>
      </c>
      <c r="E59" s="4" t="str">
        <f t="shared" si="22"/>
        <v>W9</v>
      </c>
      <c r="F59" s="27">
        <v>260799.6</v>
      </c>
      <c r="G59" s="27">
        <v>148374.68</v>
      </c>
      <c r="H59" s="27">
        <f t="shared" si="23"/>
        <v>112424.92</v>
      </c>
      <c r="I59" s="27">
        <v>26522.2</v>
      </c>
      <c r="J59" s="27">
        <v>229937.4</v>
      </c>
      <c r="K59" s="27">
        <v>7890.26</v>
      </c>
      <c r="L59" s="27">
        <f t="shared" si="19"/>
        <v>29.1419294167746</v>
      </c>
    </row>
    <row r="60" ht="14.5" spans="1:12">
      <c r="A60" s="22" t="s">
        <v>188</v>
      </c>
      <c r="B60" s="28">
        <v>46081</v>
      </c>
      <c r="C60" s="3" t="str">
        <f t="shared" si="20"/>
        <v>2026年</v>
      </c>
      <c r="D60" s="3" t="str">
        <f t="shared" si="21"/>
        <v>2月</v>
      </c>
      <c r="E60" s="4" t="str">
        <f t="shared" si="22"/>
        <v>W9</v>
      </c>
      <c r="F60" s="27">
        <v>160683.5</v>
      </c>
      <c r="G60" s="27">
        <v>141779.55</v>
      </c>
      <c r="H60" s="27">
        <f t="shared" si="23"/>
        <v>18903.95</v>
      </c>
      <c r="I60" s="27">
        <v>19814.5</v>
      </c>
      <c r="J60" s="27">
        <v>137712</v>
      </c>
      <c r="K60" s="27">
        <v>4797.49</v>
      </c>
      <c r="L60" s="27">
        <f t="shared" si="19"/>
        <v>28.7050103283175</v>
      </c>
    </row>
    <row r="61" ht="14.5" spans="1:12">
      <c r="A61" s="22" t="s">
        <v>188</v>
      </c>
      <c r="B61" s="28">
        <v>46082</v>
      </c>
      <c r="C61" s="3" t="str">
        <f t="shared" si="20"/>
        <v>2026年</v>
      </c>
      <c r="D61" s="3" t="str">
        <f t="shared" si="21"/>
        <v>3月</v>
      </c>
      <c r="E61" s="4" t="str">
        <f t="shared" si="22"/>
        <v>W9</v>
      </c>
      <c r="F61" s="27">
        <v>226022.3</v>
      </c>
      <c r="G61" s="27">
        <v>134129.78</v>
      </c>
      <c r="H61" s="27">
        <f t="shared" si="23"/>
        <v>91892.52</v>
      </c>
      <c r="I61" s="27">
        <v>20831.3</v>
      </c>
      <c r="J61" s="27">
        <v>202827</v>
      </c>
      <c r="K61" s="27">
        <v>7233.73</v>
      </c>
      <c r="L61" s="27">
        <f t="shared" si="19"/>
        <v>28.0390614523904</v>
      </c>
    </row>
    <row r="62" ht="14.5" spans="1:12">
      <c r="A62" s="22" t="s">
        <v>188</v>
      </c>
      <c r="B62" s="28">
        <v>46083</v>
      </c>
      <c r="C62" s="3" t="str">
        <f t="shared" ref="C62:C68" si="24">TEXT(YEAR(B62),"0")&amp;"年"</f>
        <v>2026年</v>
      </c>
      <c r="D62" s="3" t="str">
        <f t="shared" ref="D62:D68" si="25">TEXT(MONTH(B62),"0")&amp;"月"</f>
        <v>3月</v>
      </c>
      <c r="E62" s="4" t="str">
        <f t="shared" ref="E62:E68" si="26">"W"&amp;TEXT(WEEKNUM(B62,2),"0")</f>
        <v>W10</v>
      </c>
      <c r="F62" s="27">
        <v>118514.8</v>
      </c>
      <c r="G62" s="27">
        <v>131258.12</v>
      </c>
      <c r="H62" s="27">
        <f t="shared" ref="H62:H68" si="27">F62-G62</f>
        <v>-12743.32</v>
      </c>
      <c r="I62" s="27">
        <v>19267.8</v>
      </c>
      <c r="J62" s="27">
        <v>98513</v>
      </c>
      <c r="K62" s="27">
        <v>3640.75</v>
      </c>
      <c r="L62" s="27">
        <f t="shared" ref="L62:L68" si="28">J62/K62</f>
        <v>27.0584357618623</v>
      </c>
    </row>
    <row r="63" ht="14.5" spans="1:12">
      <c r="A63" s="22" t="s">
        <v>188</v>
      </c>
      <c r="B63" s="28">
        <v>46084</v>
      </c>
      <c r="C63" s="3" t="str">
        <f t="shared" si="24"/>
        <v>2026年</v>
      </c>
      <c r="D63" s="3" t="str">
        <f t="shared" si="25"/>
        <v>3月</v>
      </c>
      <c r="E63" s="4" t="str">
        <f t="shared" si="26"/>
        <v>W10</v>
      </c>
      <c r="F63" s="27">
        <v>230484.1</v>
      </c>
      <c r="G63" s="27">
        <v>150905.98</v>
      </c>
      <c r="H63" s="27">
        <f t="shared" si="27"/>
        <v>79578.12</v>
      </c>
      <c r="I63" s="27">
        <v>19148.1</v>
      </c>
      <c r="J63" s="27">
        <v>209290</v>
      </c>
      <c r="K63" s="27">
        <v>7342.51</v>
      </c>
      <c r="L63" s="27">
        <f t="shared" si="28"/>
        <v>28.503876739698</v>
      </c>
    </row>
    <row r="64" ht="14.5" spans="1:12">
      <c r="A64" s="22" t="s">
        <v>188</v>
      </c>
      <c r="B64" s="28">
        <v>46085</v>
      </c>
      <c r="C64" s="3" t="str">
        <f t="shared" si="24"/>
        <v>2026年</v>
      </c>
      <c r="D64" s="3" t="str">
        <f t="shared" si="25"/>
        <v>3月</v>
      </c>
      <c r="E64" s="4" t="str">
        <f t="shared" si="26"/>
        <v>W10</v>
      </c>
      <c r="F64" s="27">
        <v>79909</v>
      </c>
      <c r="G64" s="27">
        <v>100727.39</v>
      </c>
      <c r="H64" s="27">
        <f t="shared" si="27"/>
        <v>-20818.39</v>
      </c>
      <c r="I64" s="27">
        <v>25440</v>
      </c>
      <c r="J64" s="27">
        <v>52204</v>
      </c>
      <c r="K64" s="27">
        <v>1602.15</v>
      </c>
      <c r="L64" s="27">
        <f t="shared" si="28"/>
        <v>32.5837156321193</v>
      </c>
    </row>
    <row r="65" ht="14.5" spans="1:12">
      <c r="A65" s="22" t="s">
        <v>188</v>
      </c>
      <c r="B65" s="28">
        <v>46086</v>
      </c>
      <c r="C65" s="3" t="str">
        <f t="shared" si="24"/>
        <v>2026年</v>
      </c>
      <c r="D65" s="3" t="str">
        <f t="shared" si="25"/>
        <v>3月</v>
      </c>
      <c r="E65" s="4" t="str">
        <f t="shared" si="26"/>
        <v>W10</v>
      </c>
      <c r="F65" s="27">
        <v>119142</v>
      </c>
      <c r="G65" s="27">
        <v>107572.83</v>
      </c>
      <c r="H65" s="27">
        <f t="shared" si="27"/>
        <v>11569.17</v>
      </c>
      <c r="I65" s="27">
        <v>22750</v>
      </c>
      <c r="J65" s="27">
        <v>91702</v>
      </c>
      <c r="K65" s="27">
        <v>3266.93</v>
      </c>
      <c r="L65" s="27">
        <f t="shared" si="28"/>
        <v>28.0697780485043</v>
      </c>
    </row>
    <row r="66" ht="14.5" spans="1:12">
      <c r="A66" s="22" t="s">
        <v>188</v>
      </c>
      <c r="B66" s="28">
        <v>46087</v>
      </c>
      <c r="C66" s="3" t="str">
        <f t="shared" si="24"/>
        <v>2026年</v>
      </c>
      <c r="D66" s="3" t="str">
        <f t="shared" si="25"/>
        <v>3月</v>
      </c>
      <c r="E66" s="4" t="str">
        <f t="shared" si="26"/>
        <v>W10</v>
      </c>
      <c r="F66" s="27">
        <v>229293.6</v>
      </c>
      <c r="G66" s="27">
        <v>105967.48</v>
      </c>
      <c r="H66" s="27">
        <f t="shared" si="27"/>
        <v>123326.12</v>
      </c>
      <c r="I66" s="27">
        <v>29926.6</v>
      </c>
      <c r="J66" s="27">
        <v>197311</v>
      </c>
      <c r="K66" s="27">
        <v>7721.77</v>
      </c>
      <c r="L66" s="27">
        <f t="shared" si="28"/>
        <v>25.5525611355946</v>
      </c>
    </row>
    <row r="67" ht="14.5" spans="1:12">
      <c r="A67" s="22" t="s">
        <v>188</v>
      </c>
      <c r="B67" s="28">
        <v>46088</v>
      </c>
      <c r="C67" s="3" t="str">
        <f t="shared" si="24"/>
        <v>2026年</v>
      </c>
      <c r="D67" s="3" t="str">
        <f t="shared" si="25"/>
        <v>3月</v>
      </c>
      <c r="E67" s="4" t="str">
        <f t="shared" si="26"/>
        <v>W10</v>
      </c>
      <c r="F67" s="27">
        <v>545175.9</v>
      </c>
      <c r="G67" s="27">
        <v>184563.52</v>
      </c>
      <c r="H67" s="27">
        <f t="shared" si="27"/>
        <v>360612.38</v>
      </c>
      <c r="I67" s="27">
        <v>64506.8</v>
      </c>
      <c r="J67" s="27">
        <v>468512.1</v>
      </c>
      <c r="K67" s="27">
        <v>15932.67</v>
      </c>
      <c r="L67" s="27">
        <f t="shared" si="28"/>
        <v>29.4057493188524</v>
      </c>
    </row>
    <row r="68" ht="14.5" spans="1:12">
      <c r="A68" s="22" t="s">
        <v>188</v>
      </c>
      <c r="B68" s="28">
        <v>46089</v>
      </c>
      <c r="C68" s="3" t="str">
        <f t="shared" si="24"/>
        <v>2026年</v>
      </c>
      <c r="D68" s="3" t="str">
        <f t="shared" si="25"/>
        <v>3月</v>
      </c>
      <c r="E68" s="4" t="str">
        <f t="shared" si="26"/>
        <v>W10</v>
      </c>
      <c r="F68" s="27">
        <v>592386.9</v>
      </c>
      <c r="G68" s="27">
        <v>229605.25</v>
      </c>
      <c r="H68" s="27">
        <f t="shared" si="27"/>
        <v>362781.65</v>
      </c>
      <c r="I68" s="27">
        <v>59605.3</v>
      </c>
      <c r="J68" s="27">
        <v>520537.6</v>
      </c>
      <c r="K68" s="27">
        <v>16867.03</v>
      </c>
      <c r="L68" s="27">
        <f t="shared" si="28"/>
        <v>30.8612482458382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pane ySplit="1" topLeftCell="A2" activePane="bottomLeft" state="frozen"/>
      <selection/>
      <selection pane="bottomLeft" activeCell="M14" sqref="M14"/>
    </sheetView>
  </sheetViews>
  <sheetFormatPr defaultColWidth="8.25" defaultRowHeight="14"/>
  <cols>
    <col min="1" max="1" width="9.41666666666667" style="22" customWidth="1"/>
    <col min="2" max="2" width="11.1666666666667" style="22" customWidth="1"/>
    <col min="3" max="3" width="11.1666666666667" style="23" customWidth="1"/>
    <col min="4" max="4" width="8.83333333333333" style="23" customWidth="1"/>
    <col min="5" max="5" width="17.3333333333333" style="23" customWidth="1"/>
    <col min="6" max="6" width="10.75" style="24"/>
    <col min="7" max="7" width="9.66666666666667" style="24"/>
    <col min="8" max="9" width="12.3333333333333" style="24" customWidth="1"/>
    <col min="10" max="11" width="12.1666666666667" style="24" customWidth="1"/>
    <col min="12" max="16384" width="8.25" style="22"/>
  </cols>
  <sheetData>
    <row r="1" ht="14.5" spans="1:11">
      <c r="A1" s="25" t="s">
        <v>205</v>
      </c>
      <c r="B1" s="2" t="s">
        <v>301</v>
      </c>
      <c r="C1" s="26" t="s">
        <v>302</v>
      </c>
      <c r="D1" s="26" t="s">
        <v>303</v>
      </c>
      <c r="E1" s="26" t="s">
        <v>304</v>
      </c>
      <c r="F1" s="27" t="s">
        <v>2</v>
      </c>
      <c r="G1" s="27" t="s">
        <v>190</v>
      </c>
      <c r="H1" s="51" t="s">
        <v>306</v>
      </c>
      <c r="I1" s="51" t="s">
        <v>307</v>
      </c>
      <c r="J1" s="27" t="s">
        <v>193</v>
      </c>
      <c r="K1" s="27" t="s">
        <v>308</v>
      </c>
    </row>
    <row r="2" ht="14.5" spans="1:11">
      <c r="A2" s="22" t="s">
        <v>309</v>
      </c>
      <c r="B2" s="28">
        <v>46023</v>
      </c>
      <c r="C2" s="3" t="str">
        <f t="shared" ref="C2:C26" si="0">TEXT(YEAR(B2),"0")&amp;"年"</f>
        <v>2026年</v>
      </c>
      <c r="D2" s="3" t="str">
        <f t="shared" ref="D2:D26" si="1">TEXT(MONTH(B2),"0")&amp;"月"</f>
        <v>1月</v>
      </c>
      <c r="E2" s="4" t="str">
        <f t="shared" ref="E2:E26" si="2">"W"&amp;TEXT(WEEKNUM(B2,2),"0")</f>
        <v>W1</v>
      </c>
      <c r="F2" s="2">
        <v>120915.37</v>
      </c>
      <c r="G2" s="2">
        <v>25383.25</v>
      </c>
      <c r="H2" s="2">
        <v>39045.27</v>
      </c>
      <c r="I2" s="2">
        <v>79062.42</v>
      </c>
      <c r="J2" s="2">
        <v>2888.73</v>
      </c>
      <c r="K2" s="27">
        <f t="shared" ref="K2:K26" si="3">I2/J2</f>
        <v>27.3692660788651</v>
      </c>
    </row>
    <row r="3" ht="14.5" spans="1:11">
      <c r="A3" s="22" t="s">
        <v>309</v>
      </c>
      <c r="B3" s="28">
        <v>46024</v>
      </c>
      <c r="C3" s="3" t="str">
        <f t="shared" si="0"/>
        <v>2026年</v>
      </c>
      <c r="D3" s="3" t="str">
        <f t="shared" si="1"/>
        <v>1月</v>
      </c>
      <c r="E3" s="4" t="str">
        <f t="shared" si="2"/>
        <v>W1</v>
      </c>
      <c r="F3" s="2">
        <v>128733.26</v>
      </c>
      <c r="G3" s="2">
        <v>29809.7</v>
      </c>
      <c r="H3" s="2">
        <v>31165.7</v>
      </c>
      <c r="I3" s="2">
        <v>96205.56</v>
      </c>
      <c r="J3" s="2">
        <v>3941.43</v>
      </c>
      <c r="K3" s="27">
        <f t="shared" si="3"/>
        <v>24.4087957923901</v>
      </c>
    </row>
    <row r="4" ht="14.5" spans="1:11">
      <c r="A4" s="22" t="s">
        <v>309</v>
      </c>
      <c r="B4" s="28">
        <v>46025</v>
      </c>
      <c r="C4" s="3" t="str">
        <f t="shared" si="0"/>
        <v>2026年</v>
      </c>
      <c r="D4" s="3" t="str">
        <f t="shared" si="1"/>
        <v>1月</v>
      </c>
      <c r="E4" s="4" t="str">
        <f t="shared" si="2"/>
        <v>W1</v>
      </c>
      <c r="F4" s="2">
        <v>154039.77</v>
      </c>
      <c r="G4" s="2">
        <v>30056.77</v>
      </c>
      <c r="H4" s="2">
        <v>35211.77</v>
      </c>
      <c r="I4" s="2">
        <v>117580.2</v>
      </c>
      <c r="J4" s="2">
        <v>4361.18</v>
      </c>
      <c r="K4" s="27">
        <f t="shared" si="3"/>
        <v>26.9606390930895</v>
      </c>
    </row>
    <row r="5" ht="14.5" spans="1:11">
      <c r="A5" s="22" t="s">
        <v>309</v>
      </c>
      <c r="B5" s="28">
        <v>46026</v>
      </c>
      <c r="C5" s="3" t="str">
        <f t="shared" si="0"/>
        <v>2026年</v>
      </c>
      <c r="D5" s="3" t="str">
        <f t="shared" si="1"/>
        <v>1月</v>
      </c>
      <c r="E5" s="4" t="str">
        <f t="shared" si="2"/>
        <v>W1</v>
      </c>
      <c r="F5" s="2">
        <v>199754.84</v>
      </c>
      <c r="G5" s="2">
        <v>51063.71</v>
      </c>
      <c r="H5" s="2">
        <v>47729.18</v>
      </c>
      <c r="I5" s="2">
        <v>148851.56</v>
      </c>
      <c r="J5" s="2">
        <v>5997.02</v>
      </c>
      <c r="K5" s="27">
        <f t="shared" si="3"/>
        <v>24.8209210574585</v>
      </c>
    </row>
    <row r="6" ht="14.5" spans="1:11">
      <c r="A6" s="22" t="s">
        <v>309</v>
      </c>
      <c r="B6" s="28">
        <v>46027</v>
      </c>
      <c r="C6" s="3" t="str">
        <f t="shared" si="0"/>
        <v>2026年</v>
      </c>
      <c r="D6" s="3" t="str">
        <f t="shared" si="1"/>
        <v>1月</v>
      </c>
      <c r="E6" s="4" t="str">
        <f t="shared" si="2"/>
        <v>W2</v>
      </c>
      <c r="F6" s="2">
        <v>166851.16</v>
      </c>
      <c r="G6" s="2">
        <v>37389.96</v>
      </c>
      <c r="H6" s="2">
        <v>39437.2</v>
      </c>
      <c r="I6" s="2">
        <v>124405.96</v>
      </c>
      <c r="J6" s="2">
        <v>4923.66</v>
      </c>
      <c r="K6" s="27">
        <f t="shared" si="3"/>
        <v>25.2669680684694</v>
      </c>
    </row>
    <row r="7" ht="14.5" spans="1:11">
      <c r="A7" s="22" t="s">
        <v>309</v>
      </c>
      <c r="B7" s="28">
        <v>46028</v>
      </c>
      <c r="C7" s="3" t="str">
        <f t="shared" si="0"/>
        <v>2026年</v>
      </c>
      <c r="D7" s="3" t="str">
        <f t="shared" si="1"/>
        <v>1月</v>
      </c>
      <c r="E7" s="4" t="str">
        <f t="shared" si="2"/>
        <v>W2</v>
      </c>
      <c r="F7" s="2">
        <v>161793.63</v>
      </c>
      <c r="G7" s="2">
        <v>39194.05</v>
      </c>
      <c r="H7" s="2">
        <v>36461</v>
      </c>
      <c r="I7" s="2">
        <v>124689.63</v>
      </c>
      <c r="J7" s="2">
        <v>4450.24</v>
      </c>
      <c r="K7" s="27">
        <f t="shared" si="3"/>
        <v>28.0186304558855</v>
      </c>
    </row>
    <row r="8" ht="14.5" spans="1:11">
      <c r="A8" s="22" t="s">
        <v>309</v>
      </c>
      <c r="B8" s="28">
        <v>46029</v>
      </c>
      <c r="C8" s="3" t="str">
        <f t="shared" si="0"/>
        <v>2026年</v>
      </c>
      <c r="D8" s="3" t="str">
        <f t="shared" si="1"/>
        <v>1月</v>
      </c>
      <c r="E8" s="4" t="str">
        <f t="shared" si="2"/>
        <v>W2</v>
      </c>
      <c r="F8" s="2">
        <v>85659.2</v>
      </c>
      <c r="G8" s="2">
        <v>27026.19</v>
      </c>
      <c r="H8" s="2">
        <v>32491.29</v>
      </c>
      <c r="I8" s="2">
        <v>51023.4</v>
      </c>
      <c r="J8" s="2">
        <v>1851.23</v>
      </c>
      <c r="K8" s="27">
        <f t="shared" si="3"/>
        <v>27.5618912830929</v>
      </c>
    </row>
    <row r="9" ht="14.5" spans="1:11">
      <c r="A9" s="22" t="s">
        <v>309</v>
      </c>
      <c r="B9" s="28">
        <v>46030</v>
      </c>
      <c r="C9" s="3" t="str">
        <f t="shared" si="0"/>
        <v>2026年</v>
      </c>
      <c r="D9" s="3" t="str">
        <f t="shared" si="1"/>
        <v>1月</v>
      </c>
      <c r="E9" s="4" t="str">
        <f t="shared" si="2"/>
        <v>W2</v>
      </c>
      <c r="F9" s="2">
        <v>76453.65</v>
      </c>
      <c r="G9" s="2">
        <v>30551.85</v>
      </c>
      <c r="H9" s="2">
        <v>36126.6</v>
      </c>
      <c r="I9" s="2">
        <v>38260.05</v>
      </c>
      <c r="J9" s="2">
        <v>1249.52</v>
      </c>
      <c r="K9" s="27">
        <f t="shared" si="3"/>
        <v>30.6197980024329</v>
      </c>
    </row>
    <row r="10" ht="14.5" spans="1:11">
      <c r="A10" s="22" t="s">
        <v>309</v>
      </c>
      <c r="B10" s="28">
        <v>46031</v>
      </c>
      <c r="C10" s="3" t="str">
        <f t="shared" si="0"/>
        <v>2026年</v>
      </c>
      <c r="D10" s="3" t="str">
        <f t="shared" si="1"/>
        <v>1月</v>
      </c>
      <c r="E10" s="4" t="str">
        <f t="shared" si="2"/>
        <v>W2</v>
      </c>
      <c r="F10" s="2">
        <v>86045.2</v>
      </c>
      <c r="G10" s="2">
        <v>34732.37</v>
      </c>
      <c r="H10" s="2">
        <v>29344.9</v>
      </c>
      <c r="I10" s="2">
        <v>53400.25</v>
      </c>
      <c r="J10" s="2">
        <v>1736.63</v>
      </c>
      <c r="K10" s="27">
        <f t="shared" si="3"/>
        <v>30.7493536331861</v>
      </c>
    </row>
    <row r="11" ht="14.5" spans="1:11">
      <c r="A11" s="22" t="s">
        <v>309</v>
      </c>
      <c r="B11" s="28">
        <v>46032</v>
      </c>
      <c r="C11" s="3" t="str">
        <f t="shared" si="0"/>
        <v>2026年</v>
      </c>
      <c r="D11" s="3" t="str">
        <f t="shared" si="1"/>
        <v>1月</v>
      </c>
      <c r="E11" s="4" t="str">
        <f t="shared" si="2"/>
        <v>W2</v>
      </c>
      <c r="F11" s="2">
        <v>124404.38</v>
      </c>
      <c r="G11" s="2">
        <v>47597.81</v>
      </c>
      <c r="H11" s="2">
        <v>35876.6</v>
      </c>
      <c r="I11" s="2">
        <v>85364.78</v>
      </c>
      <c r="J11" s="2">
        <v>2859.81</v>
      </c>
      <c r="K11" s="27">
        <f t="shared" si="3"/>
        <v>29.8498082040415</v>
      </c>
    </row>
    <row r="12" ht="14.5" spans="1:11">
      <c r="A12" s="22" t="s">
        <v>309</v>
      </c>
      <c r="B12" s="28">
        <v>46033</v>
      </c>
      <c r="C12" s="3" t="str">
        <f t="shared" si="0"/>
        <v>2026年</v>
      </c>
      <c r="D12" s="3" t="str">
        <f t="shared" si="1"/>
        <v>1月</v>
      </c>
      <c r="E12" s="4" t="str">
        <f t="shared" si="2"/>
        <v>W2</v>
      </c>
      <c r="F12" s="2">
        <v>145151.46</v>
      </c>
      <c r="G12" s="2">
        <v>64360.42</v>
      </c>
      <c r="H12" s="2">
        <v>39481.14</v>
      </c>
      <c r="I12" s="2">
        <v>102292.32</v>
      </c>
      <c r="J12" s="2">
        <v>3336.38</v>
      </c>
      <c r="K12" s="27">
        <f t="shared" si="3"/>
        <v>30.6596730588242</v>
      </c>
    </row>
    <row r="13" ht="14.5" spans="1:11">
      <c r="A13" s="22" t="s">
        <v>309</v>
      </c>
      <c r="B13" s="28">
        <v>46034</v>
      </c>
      <c r="C13" s="3" t="str">
        <f t="shared" si="0"/>
        <v>2026年</v>
      </c>
      <c r="D13" s="3" t="str">
        <f t="shared" si="1"/>
        <v>1月</v>
      </c>
      <c r="E13" s="4" t="str">
        <f t="shared" si="2"/>
        <v>W3</v>
      </c>
      <c r="F13" s="2">
        <v>112458.13</v>
      </c>
      <c r="G13" s="2">
        <v>42052.5</v>
      </c>
      <c r="H13" s="2">
        <v>32784.5</v>
      </c>
      <c r="I13" s="2">
        <v>78079.63</v>
      </c>
      <c r="J13" s="2">
        <v>2608.37</v>
      </c>
      <c r="K13" s="27">
        <f t="shared" si="3"/>
        <v>29.9342616269931</v>
      </c>
    </row>
    <row r="14" ht="14.5" spans="1:11">
      <c r="A14" s="22" t="s">
        <v>309</v>
      </c>
      <c r="B14" s="28">
        <v>46035</v>
      </c>
      <c r="C14" s="3" t="str">
        <f t="shared" si="0"/>
        <v>2026年</v>
      </c>
      <c r="D14" s="3" t="str">
        <f t="shared" si="1"/>
        <v>1月</v>
      </c>
      <c r="E14" s="4" t="str">
        <f t="shared" si="2"/>
        <v>W3</v>
      </c>
      <c r="F14" s="2">
        <v>94358.37</v>
      </c>
      <c r="G14" s="2">
        <v>42588.5</v>
      </c>
      <c r="H14" s="2">
        <v>34300.5</v>
      </c>
      <c r="I14" s="2">
        <v>56807.97</v>
      </c>
      <c r="J14" s="2">
        <v>1873.6</v>
      </c>
      <c r="K14" s="27">
        <f t="shared" si="3"/>
        <v>30.3202230999146</v>
      </c>
    </row>
    <row r="15" ht="14.5" spans="1:11">
      <c r="A15" s="22" t="s">
        <v>309</v>
      </c>
      <c r="B15" s="28">
        <v>46036</v>
      </c>
      <c r="C15" s="3" t="str">
        <f t="shared" si="0"/>
        <v>2026年</v>
      </c>
      <c r="D15" s="3" t="str">
        <f t="shared" si="1"/>
        <v>1月</v>
      </c>
      <c r="E15" s="4" t="str">
        <f t="shared" si="2"/>
        <v>W3</v>
      </c>
      <c r="F15" s="2">
        <v>97463.51</v>
      </c>
      <c r="G15" s="2">
        <v>36848.24</v>
      </c>
      <c r="H15" s="2">
        <v>31133.68</v>
      </c>
      <c r="I15" s="2">
        <v>62373.83</v>
      </c>
      <c r="J15" s="2">
        <v>2142.97</v>
      </c>
      <c r="K15" s="27">
        <f t="shared" si="3"/>
        <v>29.1062544039347</v>
      </c>
    </row>
    <row r="16" ht="14.5" spans="1:11">
      <c r="A16" s="22" t="s">
        <v>309</v>
      </c>
      <c r="B16" s="28">
        <v>46037</v>
      </c>
      <c r="C16" s="3" t="str">
        <f t="shared" si="0"/>
        <v>2026年</v>
      </c>
      <c r="D16" s="3" t="str">
        <f t="shared" si="1"/>
        <v>1月</v>
      </c>
      <c r="E16" s="4" t="str">
        <f t="shared" si="2"/>
        <v>W3</v>
      </c>
      <c r="F16" s="2">
        <v>99465.28</v>
      </c>
      <c r="G16" s="2">
        <v>40013.75</v>
      </c>
      <c r="H16" s="2">
        <v>28739.9</v>
      </c>
      <c r="I16" s="2">
        <v>69229.38</v>
      </c>
      <c r="J16" s="2">
        <v>2453.27</v>
      </c>
      <c r="K16" s="27">
        <f t="shared" si="3"/>
        <v>28.2192257680565</v>
      </c>
    </row>
    <row r="17" ht="14.5" spans="1:11">
      <c r="A17" s="22" t="s">
        <v>309</v>
      </c>
      <c r="B17" s="28">
        <v>46038</v>
      </c>
      <c r="C17" s="3" t="str">
        <f t="shared" si="0"/>
        <v>2026年</v>
      </c>
      <c r="D17" s="3" t="str">
        <f t="shared" si="1"/>
        <v>1月</v>
      </c>
      <c r="E17" s="4" t="str">
        <f t="shared" si="2"/>
        <v>W3</v>
      </c>
      <c r="F17" s="2">
        <v>170024.4</v>
      </c>
      <c r="G17" s="2">
        <v>71124.73</v>
      </c>
      <c r="H17" s="2">
        <v>76767.91</v>
      </c>
      <c r="I17" s="2">
        <v>88707.92</v>
      </c>
      <c r="J17" s="2">
        <v>3168.86</v>
      </c>
      <c r="K17" s="27">
        <f t="shared" si="3"/>
        <v>27.9936380906698</v>
      </c>
    </row>
    <row r="18" ht="14.5" spans="1:11">
      <c r="A18" s="22" t="s">
        <v>309</v>
      </c>
      <c r="B18" s="28">
        <v>46039</v>
      </c>
      <c r="C18" s="3" t="str">
        <f t="shared" si="0"/>
        <v>2026年</v>
      </c>
      <c r="D18" s="3" t="str">
        <f t="shared" si="1"/>
        <v>1月</v>
      </c>
      <c r="E18" s="4" t="str">
        <f t="shared" si="2"/>
        <v>W3</v>
      </c>
      <c r="F18" s="2">
        <v>173371.46</v>
      </c>
      <c r="G18" s="2">
        <v>59412.4</v>
      </c>
      <c r="H18" s="2">
        <v>78022.5</v>
      </c>
      <c r="I18" s="2">
        <v>91041.32</v>
      </c>
      <c r="J18" s="2">
        <v>3311.14</v>
      </c>
      <c r="K18" s="27">
        <f t="shared" si="3"/>
        <v>27.495460777859</v>
      </c>
    </row>
    <row r="19" ht="14.5" spans="1:11">
      <c r="A19" s="22" t="s">
        <v>309</v>
      </c>
      <c r="B19" s="28">
        <v>46040</v>
      </c>
      <c r="C19" s="3" t="str">
        <f t="shared" si="0"/>
        <v>2026年</v>
      </c>
      <c r="D19" s="3" t="str">
        <f t="shared" si="1"/>
        <v>1月</v>
      </c>
      <c r="E19" s="4" t="str">
        <f t="shared" si="2"/>
        <v>W3</v>
      </c>
      <c r="F19" s="2">
        <v>158475.14</v>
      </c>
      <c r="G19" s="2">
        <v>65730.17</v>
      </c>
      <c r="H19" s="2">
        <v>73665.29</v>
      </c>
      <c r="I19" s="2">
        <v>82221.58</v>
      </c>
      <c r="J19" s="2">
        <v>2743.9</v>
      </c>
      <c r="K19" s="27">
        <f t="shared" si="3"/>
        <v>29.9652246801997</v>
      </c>
    </row>
    <row r="20" ht="14.5" spans="1:11">
      <c r="A20" s="22" t="s">
        <v>309</v>
      </c>
      <c r="B20" s="28">
        <v>46041</v>
      </c>
      <c r="C20" s="3" t="str">
        <f t="shared" si="0"/>
        <v>2026年</v>
      </c>
      <c r="D20" s="3" t="str">
        <f t="shared" si="1"/>
        <v>1月</v>
      </c>
      <c r="E20" s="4" t="str">
        <f t="shared" si="2"/>
        <v>W4</v>
      </c>
      <c r="F20" s="2">
        <v>169365.71</v>
      </c>
      <c r="G20" s="2">
        <v>57109.31</v>
      </c>
      <c r="H20" s="2">
        <v>108561.44</v>
      </c>
      <c r="I20" s="2">
        <v>58711.45</v>
      </c>
      <c r="J20" s="2">
        <v>1882.9</v>
      </c>
      <c r="K20" s="27">
        <f t="shared" si="3"/>
        <v>31.1813957193691</v>
      </c>
    </row>
    <row r="21" ht="14.5" spans="1:11">
      <c r="A21" s="22" t="s">
        <v>309</v>
      </c>
      <c r="B21" s="28">
        <v>46042</v>
      </c>
      <c r="C21" s="3" t="str">
        <f t="shared" si="0"/>
        <v>2026年</v>
      </c>
      <c r="D21" s="3" t="str">
        <f t="shared" si="1"/>
        <v>1月</v>
      </c>
      <c r="E21" s="4" t="str">
        <f t="shared" si="2"/>
        <v>W4</v>
      </c>
      <c r="F21" s="2">
        <v>125264.29</v>
      </c>
      <c r="G21" s="2">
        <v>55187.43</v>
      </c>
      <c r="H21" s="2">
        <v>80130.86</v>
      </c>
      <c r="I21" s="2">
        <v>43503.43</v>
      </c>
      <c r="J21" s="2">
        <v>1580.79</v>
      </c>
      <c r="K21" s="27">
        <f t="shared" si="3"/>
        <v>27.5200564274825</v>
      </c>
    </row>
    <row r="22" ht="14.5" spans="1:11">
      <c r="A22" s="22" t="s">
        <v>309</v>
      </c>
      <c r="B22" s="28">
        <v>46043</v>
      </c>
      <c r="C22" s="3" t="str">
        <f t="shared" si="0"/>
        <v>2026年</v>
      </c>
      <c r="D22" s="3" t="str">
        <f t="shared" si="1"/>
        <v>1月</v>
      </c>
      <c r="E22" s="4" t="str">
        <f t="shared" si="2"/>
        <v>W4</v>
      </c>
      <c r="F22" s="2">
        <v>108476.27</v>
      </c>
      <c r="G22" s="2">
        <v>54254.37</v>
      </c>
      <c r="H22" s="2">
        <v>58226.93</v>
      </c>
      <c r="I22" s="2">
        <v>45315.37</v>
      </c>
      <c r="J22" s="2">
        <v>1516.71</v>
      </c>
      <c r="K22" s="27">
        <f t="shared" si="3"/>
        <v>29.8774122937147</v>
      </c>
    </row>
    <row r="23" ht="14.5" spans="1:11">
      <c r="A23" s="22" t="s">
        <v>309</v>
      </c>
      <c r="B23" s="28">
        <v>46044</v>
      </c>
      <c r="C23" s="3" t="str">
        <f t="shared" si="0"/>
        <v>2026年</v>
      </c>
      <c r="D23" s="3" t="str">
        <f t="shared" si="1"/>
        <v>1月</v>
      </c>
      <c r="E23" s="4" t="str">
        <f t="shared" si="2"/>
        <v>W4</v>
      </c>
      <c r="F23" s="2">
        <v>98303.02</v>
      </c>
      <c r="G23" s="2">
        <v>53525.04</v>
      </c>
      <c r="H23" s="2">
        <v>64263.08</v>
      </c>
      <c r="I23" s="2">
        <v>31093.58</v>
      </c>
      <c r="J23" s="2">
        <v>1643.56</v>
      </c>
      <c r="K23" s="27">
        <f t="shared" si="3"/>
        <v>18.9184331572927</v>
      </c>
    </row>
    <row r="24" ht="14.5" spans="1:11">
      <c r="A24" s="22" t="s">
        <v>309</v>
      </c>
      <c r="B24" s="28">
        <v>46045</v>
      </c>
      <c r="C24" s="3" t="str">
        <f t="shared" si="0"/>
        <v>2026年</v>
      </c>
      <c r="D24" s="3" t="str">
        <f t="shared" si="1"/>
        <v>1月</v>
      </c>
      <c r="E24" s="4" t="str">
        <f t="shared" si="2"/>
        <v>W4</v>
      </c>
      <c r="F24" s="2">
        <v>297777.73</v>
      </c>
      <c r="G24" s="2">
        <v>176486.56</v>
      </c>
      <c r="H24" s="2">
        <v>79893.44</v>
      </c>
      <c r="I24" s="2">
        <v>215618.29</v>
      </c>
      <c r="J24" s="2">
        <v>14378.88</v>
      </c>
      <c r="K24" s="27">
        <f t="shared" si="3"/>
        <v>14.9954857401967</v>
      </c>
    </row>
    <row r="25" ht="14.5" spans="1:11">
      <c r="A25" s="22" t="s">
        <v>309</v>
      </c>
      <c r="B25" s="28">
        <v>46046</v>
      </c>
      <c r="C25" s="3" t="str">
        <f t="shared" si="0"/>
        <v>2026年</v>
      </c>
      <c r="D25" s="3" t="str">
        <f t="shared" si="1"/>
        <v>1月</v>
      </c>
      <c r="E25" s="4" t="str">
        <f t="shared" si="2"/>
        <v>W4</v>
      </c>
      <c r="F25" s="2">
        <v>227059.14</v>
      </c>
      <c r="G25" s="2">
        <v>144183.86</v>
      </c>
      <c r="H25" s="2">
        <v>101784.16</v>
      </c>
      <c r="I25" s="2">
        <v>122411.81</v>
      </c>
      <c r="J25" s="2">
        <v>5458.75</v>
      </c>
      <c r="K25" s="27">
        <f t="shared" si="3"/>
        <v>22.4248793221891</v>
      </c>
    </row>
    <row r="26" ht="14.5" spans="1:11">
      <c r="A26" s="22" t="s">
        <v>309</v>
      </c>
      <c r="B26" s="28">
        <v>46047</v>
      </c>
      <c r="C26" s="3" t="str">
        <f t="shared" si="0"/>
        <v>2026年</v>
      </c>
      <c r="D26" s="3" t="str">
        <f t="shared" si="1"/>
        <v>1月</v>
      </c>
      <c r="E26" s="4" t="str">
        <f t="shared" si="2"/>
        <v>W4</v>
      </c>
      <c r="F26" s="2">
        <v>279682.58</v>
      </c>
      <c r="G26" s="2">
        <v>197341.93</v>
      </c>
      <c r="H26" s="52">
        <v>112236.67</v>
      </c>
      <c r="I26" s="52">
        <v>162955.14</v>
      </c>
      <c r="J26" s="52">
        <v>5534.58</v>
      </c>
      <c r="K26" s="27">
        <f t="shared" si="3"/>
        <v>29.4430905326149</v>
      </c>
    </row>
    <row r="27" ht="14.5" spans="1:11">
      <c r="K27" s="27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2"/>
  <sheetViews>
    <sheetView workbookViewId="0">
      <pane ySplit="1" topLeftCell="A8" activePane="bottomLeft" state="frozen"/>
      <selection/>
      <selection pane="bottomLeft" activeCell="I48" sqref="I48"/>
    </sheetView>
  </sheetViews>
  <sheetFormatPr defaultColWidth="8.66666666666667" defaultRowHeight="13"/>
  <cols>
    <col min="1" max="1" width="8.66666666666667" style="44"/>
    <col min="2" max="2" width="12.0833333333333" style="45" customWidth="1"/>
    <col min="3" max="5" width="11.9166666666667" style="46" customWidth="1"/>
    <col min="6" max="6" width="13.3333333333333" style="44" customWidth="1"/>
    <col min="7" max="8" width="8.66666666666667" style="44"/>
    <col min="9" max="9" width="11.3333333333333" style="44" customWidth="1"/>
    <col min="10" max="10" width="9.16666666666667" style="44"/>
    <col min="11" max="11" width="8.66666666666667" style="44"/>
    <col min="12" max="12" width="13.9166666666667" style="44"/>
    <col min="13" max="27" width="8.66666666666667" style="44"/>
    <col min="28" max="29" width="11.5" style="44"/>
    <col min="30" max="30" width="13.9166666666667" style="44"/>
    <col min="31" max="33" width="8.66666666666667" style="44"/>
    <col min="34" max="34" width="11.5" style="44"/>
    <col min="35" max="45" width="8.66666666666667" style="44"/>
    <col min="46" max="46" width="10.25" style="44"/>
    <col min="47" max="47" width="11.5" style="44"/>
    <col min="48" max="48" width="8.66666666666667" style="44"/>
    <col min="49" max="49" width="10.25" style="44"/>
    <col min="50" max="51" width="8.66666666666667" style="44"/>
    <col min="52" max="52" width="11.5" style="44"/>
    <col min="53" max="53" width="13.9166666666667" style="44"/>
    <col min="54" max="54" width="10.25" style="44"/>
    <col min="55" max="16384" width="8.66666666666667" style="44"/>
  </cols>
  <sheetData>
    <row r="1" spans="1:55">
      <c r="A1" s="47" t="s">
        <v>205</v>
      </c>
      <c r="B1" s="17" t="s">
        <v>310</v>
      </c>
      <c r="C1" s="18" t="s">
        <v>302</v>
      </c>
      <c r="D1" s="18" t="s">
        <v>303</v>
      </c>
      <c r="E1" s="18" t="s">
        <v>304</v>
      </c>
      <c r="F1" s="48" t="s">
        <v>311</v>
      </c>
      <c r="G1" s="48" t="s">
        <v>312</v>
      </c>
      <c r="H1" s="48" t="s">
        <v>313</v>
      </c>
      <c r="I1" s="48" t="s">
        <v>314</v>
      </c>
      <c r="J1" s="48" t="s">
        <v>315</v>
      </c>
      <c r="K1" s="48" t="s">
        <v>316</v>
      </c>
      <c r="L1" s="48" t="s">
        <v>317</v>
      </c>
      <c r="M1" s="48" t="s">
        <v>318</v>
      </c>
      <c r="N1" s="48" t="s">
        <v>74</v>
      </c>
      <c r="O1" s="48" t="s">
        <v>75</v>
      </c>
      <c r="P1" s="48" t="s">
        <v>319</v>
      </c>
      <c r="Q1" s="48" t="s">
        <v>320</v>
      </c>
      <c r="R1" s="48" t="s">
        <v>321</v>
      </c>
      <c r="S1" s="48" t="s">
        <v>322</v>
      </c>
      <c r="T1" s="48" t="s">
        <v>323</v>
      </c>
      <c r="U1" s="48" t="s">
        <v>324</v>
      </c>
      <c r="V1" s="48" t="s">
        <v>325</v>
      </c>
      <c r="W1" s="48" t="s">
        <v>326</v>
      </c>
      <c r="X1" s="48" t="s">
        <v>327</v>
      </c>
      <c r="Y1" s="48" t="s">
        <v>328</v>
      </c>
      <c r="Z1" s="48" t="s">
        <v>329</v>
      </c>
      <c r="AA1" s="48" t="s">
        <v>330</v>
      </c>
      <c r="AB1" s="48" t="s">
        <v>72</v>
      </c>
      <c r="AC1" s="48" t="s">
        <v>331</v>
      </c>
      <c r="AD1" s="48" t="s">
        <v>332</v>
      </c>
      <c r="AE1" s="48" t="s">
        <v>333</v>
      </c>
      <c r="AF1" s="48" t="s">
        <v>334</v>
      </c>
      <c r="AG1" s="48" t="s">
        <v>335</v>
      </c>
      <c r="AH1" s="48" t="s">
        <v>336</v>
      </c>
      <c r="AI1" s="48" t="s">
        <v>337</v>
      </c>
      <c r="AJ1" s="48" t="s">
        <v>338</v>
      </c>
      <c r="AK1" s="48" t="s">
        <v>339</v>
      </c>
      <c r="AL1" s="48" t="s">
        <v>340</v>
      </c>
      <c r="AM1" s="48" t="s">
        <v>341</v>
      </c>
      <c r="AN1" s="48" t="s">
        <v>342</v>
      </c>
      <c r="AO1" s="48" t="s">
        <v>343</v>
      </c>
      <c r="AP1" s="48" t="s">
        <v>344</v>
      </c>
      <c r="AQ1" s="48" t="s">
        <v>345</v>
      </c>
      <c r="AR1" s="48" t="s">
        <v>346</v>
      </c>
      <c r="AS1" s="48" t="s">
        <v>347</v>
      </c>
      <c r="AT1" s="48" t="s">
        <v>348</v>
      </c>
      <c r="AU1" s="48" t="s">
        <v>349</v>
      </c>
      <c r="AV1" s="48" t="s">
        <v>350</v>
      </c>
      <c r="AW1" s="48" t="s">
        <v>351</v>
      </c>
      <c r="AX1" s="48" t="s">
        <v>352</v>
      </c>
      <c r="AY1" s="48" t="s">
        <v>353</v>
      </c>
      <c r="AZ1" s="48" t="s">
        <v>354</v>
      </c>
      <c r="BA1" s="48" t="s">
        <v>355</v>
      </c>
      <c r="BB1" s="48" t="s">
        <v>356</v>
      </c>
      <c r="BC1" s="48" t="s">
        <v>357</v>
      </c>
    </row>
    <row r="2" spans="1:55">
      <c r="A2" s="44" t="s">
        <v>188</v>
      </c>
      <c r="B2" s="20">
        <f>DATE(YEAR(F2),MONTH(F2),DAY(F2))</f>
        <v>46028</v>
      </c>
      <c r="C2" s="49" t="str">
        <f>TEXT(YEAR(B2),"0")&amp;"年"</f>
        <v>2026年</v>
      </c>
      <c r="D2" s="49" t="str">
        <f>TEXT(MONTH(B2),"0")&amp;"月"</f>
        <v>1月</v>
      </c>
      <c r="E2" s="50" t="str">
        <f>"W"&amp;TEXT(WEEKNUM(B2,2),"0")</f>
        <v>W2</v>
      </c>
      <c r="F2" s="48" t="s">
        <v>358</v>
      </c>
      <c r="G2" s="48" t="s">
        <v>359</v>
      </c>
      <c r="H2" s="48">
        <v>371</v>
      </c>
      <c r="I2" s="48">
        <v>982895</v>
      </c>
      <c r="J2" s="48">
        <v>1755677</v>
      </c>
      <c r="K2" s="48">
        <v>78132</v>
      </c>
      <c r="L2" s="48">
        <v>12629.6618921467</v>
      </c>
      <c r="M2" s="48">
        <v>101147</v>
      </c>
      <c r="N2" s="48">
        <v>602</v>
      </c>
      <c r="O2" s="48">
        <v>392</v>
      </c>
      <c r="P2" s="48">
        <v>0.87</v>
      </c>
      <c r="Q2" s="48">
        <v>3984</v>
      </c>
      <c r="R2" s="48">
        <v>3</v>
      </c>
      <c r="S2" s="48">
        <v>437</v>
      </c>
      <c r="T2" s="48">
        <v>39</v>
      </c>
      <c r="U2" s="48">
        <v>0.2576</v>
      </c>
      <c r="V2" s="48">
        <v>74</v>
      </c>
      <c r="W2" s="48">
        <v>75686</v>
      </c>
      <c r="X2" s="48">
        <v>24887</v>
      </c>
      <c r="Y2" s="48">
        <v>602586</v>
      </c>
      <c r="Z2" s="48">
        <v>62858</v>
      </c>
      <c r="AA2" s="48">
        <v>1048</v>
      </c>
      <c r="AB2" s="48">
        <v>470829</v>
      </c>
      <c r="AC2" s="48">
        <v>467933.92</v>
      </c>
      <c r="AD2" s="48">
        <v>75639.2668492659</v>
      </c>
      <c r="AE2" s="48">
        <v>1048</v>
      </c>
      <c r="AF2" s="48">
        <v>913</v>
      </c>
      <c r="AG2" s="48">
        <v>592</v>
      </c>
      <c r="AH2" s="48">
        <v>268010.7</v>
      </c>
      <c r="AI2" s="48">
        <v>529</v>
      </c>
      <c r="AJ2" s="48">
        <v>0</v>
      </c>
      <c r="AK2" s="48">
        <v>0.1043</v>
      </c>
      <c r="AL2" s="48">
        <v>0.3288</v>
      </c>
      <c r="AM2" s="48">
        <v>0.0167</v>
      </c>
      <c r="AN2" s="48">
        <v>0.0367</v>
      </c>
      <c r="AO2" s="48">
        <v>0.0104</v>
      </c>
      <c r="AP2" s="48">
        <v>0.0117</v>
      </c>
      <c r="AQ2" s="48">
        <v>0</v>
      </c>
      <c r="AR2" s="48">
        <v>0</v>
      </c>
      <c r="AS2" s="48">
        <v>160</v>
      </c>
      <c r="AT2" s="48">
        <v>16119.99</v>
      </c>
      <c r="AU2" s="48">
        <v>409096</v>
      </c>
      <c r="AV2" s="48">
        <v>913</v>
      </c>
      <c r="AW2" s="48">
        <v>61733</v>
      </c>
      <c r="AX2" s="48">
        <v>135</v>
      </c>
      <c r="AY2" s="48">
        <v>0.1311</v>
      </c>
      <c r="AZ2" s="48" t="s">
        <v>360</v>
      </c>
      <c r="BA2" s="48" t="s">
        <v>360</v>
      </c>
      <c r="BB2" s="48" t="s">
        <v>360</v>
      </c>
      <c r="BC2" s="48" t="s">
        <v>360</v>
      </c>
    </row>
    <row r="3" spans="1:55">
      <c r="A3" s="44" t="s">
        <v>188</v>
      </c>
      <c r="B3" s="20">
        <f t="shared" ref="B3:B34" si="0">DATE(YEAR(F3),MONTH(F3),DAY(F3))</f>
        <v>46029</v>
      </c>
      <c r="C3" s="49" t="str">
        <f t="shared" ref="C3:C34" si="1">TEXT(YEAR(B3),"0")&amp;"年"</f>
        <v>2026年</v>
      </c>
      <c r="D3" s="49" t="str">
        <f t="shared" ref="D3:D34" si="2">TEXT(MONTH(B3),"0")&amp;"月"</f>
        <v>1月</v>
      </c>
      <c r="E3" s="50" t="str">
        <f t="shared" ref="E3:E34" si="3">"W"&amp;TEXT(WEEKNUM(B3,2),"0")</f>
        <v>W2</v>
      </c>
      <c r="F3" s="48" t="s">
        <v>361</v>
      </c>
      <c r="G3" s="48" t="s">
        <v>362</v>
      </c>
      <c r="H3" s="48">
        <v>339</v>
      </c>
      <c r="I3" s="48">
        <v>898752</v>
      </c>
      <c r="J3" s="48">
        <v>1556099</v>
      </c>
      <c r="K3" s="48">
        <v>65281</v>
      </c>
      <c r="L3" s="48">
        <v>11547.9141074149</v>
      </c>
      <c r="M3" s="48">
        <v>84452</v>
      </c>
      <c r="N3" s="48">
        <v>802</v>
      </c>
      <c r="O3" s="48">
        <v>368</v>
      </c>
      <c r="P3" s="48">
        <v>0.83</v>
      </c>
      <c r="Q3" s="48">
        <v>3824</v>
      </c>
      <c r="R3" s="48">
        <v>1</v>
      </c>
      <c r="S3" s="48">
        <v>372</v>
      </c>
      <c r="T3" s="48">
        <v>49</v>
      </c>
      <c r="U3" s="48">
        <v>0.2542</v>
      </c>
      <c r="V3" s="48">
        <v>74</v>
      </c>
      <c r="W3" s="48">
        <v>62687</v>
      </c>
      <c r="X3" s="48">
        <v>19503</v>
      </c>
      <c r="Y3" s="48">
        <v>474591</v>
      </c>
      <c r="Z3" s="48">
        <v>49377</v>
      </c>
      <c r="AA3" s="48">
        <v>840</v>
      </c>
      <c r="AB3" s="48">
        <v>375509.7</v>
      </c>
      <c r="AC3" s="48">
        <v>372226.17</v>
      </c>
      <c r="AD3" s="48">
        <v>65845.1285931895</v>
      </c>
      <c r="AE3" s="48">
        <v>840</v>
      </c>
      <c r="AF3" s="48">
        <v>755</v>
      </c>
      <c r="AG3" s="48">
        <v>445</v>
      </c>
      <c r="AH3" s="48">
        <v>200152.71</v>
      </c>
      <c r="AI3" s="48">
        <v>403</v>
      </c>
      <c r="AJ3" s="48">
        <v>0</v>
      </c>
      <c r="AK3" s="48">
        <v>0.104</v>
      </c>
      <c r="AL3" s="48">
        <v>0.3111</v>
      </c>
      <c r="AM3" s="48">
        <v>0.017</v>
      </c>
      <c r="AN3" s="48">
        <v>0.0387</v>
      </c>
      <c r="AO3" s="48">
        <v>0.0099</v>
      </c>
      <c r="AP3" s="48">
        <v>0.0116</v>
      </c>
      <c r="AQ3" s="48">
        <v>0</v>
      </c>
      <c r="AR3" s="48">
        <v>0</v>
      </c>
      <c r="AS3" s="48">
        <v>131</v>
      </c>
      <c r="AT3" s="48">
        <v>16150.03</v>
      </c>
      <c r="AU3" s="48">
        <v>324205.7</v>
      </c>
      <c r="AV3" s="48">
        <v>728</v>
      </c>
      <c r="AW3" s="48">
        <v>51304</v>
      </c>
      <c r="AX3" s="48">
        <v>112</v>
      </c>
      <c r="AY3" s="48">
        <v>0.1366</v>
      </c>
      <c r="AZ3" s="48" t="s">
        <v>360</v>
      </c>
      <c r="BA3" s="48" t="s">
        <v>360</v>
      </c>
      <c r="BB3" s="48" t="s">
        <v>360</v>
      </c>
      <c r="BC3" s="48" t="s">
        <v>360</v>
      </c>
    </row>
    <row r="4" spans="1:55">
      <c r="A4" s="44" t="s">
        <v>188</v>
      </c>
      <c r="B4" s="20">
        <f t="shared" si="0"/>
        <v>46026</v>
      </c>
      <c r="C4" s="49" t="str">
        <f t="shared" si="1"/>
        <v>2026年</v>
      </c>
      <c r="D4" s="49" t="str">
        <f t="shared" si="2"/>
        <v>1月</v>
      </c>
      <c r="E4" s="50" t="str">
        <f t="shared" si="3"/>
        <v>W1</v>
      </c>
      <c r="F4" s="48" t="s">
        <v>363</v>
      </c>
      <c r="G4" s="48" t="s">
        <v>364</v>
      </c>
      <c r="H4" s="48">
        <v>325</v>
      </c>
      <c r="I4" s="48">
        <v>1163065</v>
      </c>
      <c r="J4" s="48">
        <v>1863643</v>
      </c>
      <c r="K4" s="48">
        <v>72986</v>
      </c>
      <c r="L4" s="48">
        <v>13459.1537752279</v>
      </c>
      <c r="M4" s="48">
        <v>92498</v>
      </c>
      <c r="N4" s="48">
        <v>969</v>
      </c>
      <c r="O4" s="48">
        <v>399</v>
      </c>
      <c r="P4" s="48">
        <v>0.9</v>
      </c>
      <c r="Q4" s="48">
        <v>4303</v>
      </c>
      <c r="R4" s="48">
        <v>1</v>
      </c>
      <c r="S4" s="48">
        <v>711</v>
      </c>
      <c r="T4" s="48">
        <v>42</v>
      </c>
      <c r="U4" s="48">
        <v>0.1877</v>
      </c>
      <c r="V4" s="48">
        <v>154</v>
      </c>
      <c r="W4" s="48">
        <v>70412</v>
      </c>
      <c r="X4" s="48">
        <v>18120</v>
      </c>
      <c r="Y4" s="48">
        <v>475460</v>
      </c>
      <c r="Z4" s="48">
        <v>44140</v>
      </c>
      <c r="AA4" s="48">
        <v>973</v>
      </c>
      <c r="AB4" s="48">
        <v>367425</v>
      </c>
      <c r="AC4" s="48">
        <v>365531.91</v>
      </c>
      <c r="AD4" s="48">
        <v>67406.7654953386</v>
      </c>
      <c r="AE4" s="48">
        <v>973</v>
      </c>
      <c r="AF4" s="48">
        <v>853</v>
      </c>
      <c r="AG4" s="48">
        <v>502</v>
      </c>
      <c r="AH4" s="48">
        <v>190854.41</v>
      </c>
      <c r="AI4" s="48">
        <v>437</v>
      </c>
      <c r="AJ4" s="48">
        <v>0</v>
      </c>
      <c r="AK4" s="48">
        <v>0.0928</v>
      </c>
      <c r="AL4" s="48">
        <v>0.2573</v>
      </c>
      <c r="AM4" s="48">
        <v>0.022</v>
      </c>
      <c r="AN4" s="48">
        <v>0.0471</v>
      </c>
      <c r="AO4" s="48">
        <v>0.0105</v>
      </c>
      <c r="AP4" s="48">
        <v>0.0117</v>
      </c>
      <c r="AQ4" s="48">
        <v>0</v>
      </c>
      <c r="AR4" s="48">
        <v>0</v>
      </c>
      <c r="AS4" s="48">
        <v>211</v>
      </c>
      <c r="AT4" s="48">
        <v>14024.06</v>
      </c>
      <c r="AU4" s="48">
        <v>316794.1</v>
      </c>
      <c r="AV4" s="48">
        <v>840</v>
      </c>
      <c r="AW4" s="48">
        <v>50630.9</v>
      </c>
      <c r="AX4" s="48">
        <v>133</v>
      </c>
      <c r="AY4" s="48">
        <v>0.1378</v>
      </c>
      <c r="AZ4" s="48" t="s">
        <v>360</v>
      </c>
      <c r="BA4" s="48" t="s">
        <v>360</v>
      </c>
      <c r="BB4" s="48" t="s">
        <v>360</v>
      </c>
      <c r="BC4" s="48" t="s">
        <v>360</v>
      </c>
    </row>
    <row r="5" spans="1:55">
      <c r="A5" s="44" t="s">
        <v>188</v>
      </c>
      <c r="B5" s="20">
        <f t="shared" si="0"/>
        <v>46029</v>
      </c>
      <c r="C5" s="49" t="str">
        <f t="shared" si="1"/>
        <v>2026年</v>
      </c>
      <c r="D5" s="49" t="str">
        <f t="shared" si="2"/>
        <v>1月</v>
      </c>
      <c r="E5" s="50" t="str">
        <f t="shared" si="3"/>
        <v>W2</v>
      </c>
      <c r="F5" s="48" t="s">
        <v>365</v>
      </c>
      <c r="G5" s="48" t="s">
        <v>366</v>
      </c>
      <c r="H5" s="48">
        <v>300</v>
      </c>
      <c r="I5" s="48">
        <v>901375</v>
      </c>
      <c r="J5" s="48">
        <v>1524187</v>
      </c>
      <c r="K5" s="48">
        <v>65119</v>
      </c>
      <c r="L5" s="48">
        <v>13019.46017994</v>
      </c>
      <c r="M5" s="48">
        <v>84167</v>
      </c>
      <c r="N5" s="48">
        <v>860</v>
      </c>
      <c r="O5" s="48">
        <v>442</v>
      </c>
      <c r="P5" s="48">
        <v>0.96</v>
      </c>
      <c r="Q5" s="48">
        <v>4243</v>
      </c>
      <c r="R5" s="48">
        <v>6</v>
      </c>
      <c r="S5" s="48">
        <v>537</v>
      </c>
      <c r="T5" s="48">
        <v>30</v>
      </c>
      <c r="U5" s="48">
        <v>0.2444</v>
      </c>
      <c r="V5" s="48">
        <v>74</v>
      </c>
      <c r="W5" s="48">
        <v>63021</v>
      </c>
      <c r="X5" s="48">
        <v>17520</v>
      </c>
      <c r="Y5" s="48">
        <v>466930</v>
      </c>
      <c r="Z5" s="48">
        <v>39873</v>
      </c>
      <c r="AA5" s="48">
        <v>758</v>
      </c>
      <c r="AB5" s="48">
        <v>343189</v>
      </c>
      <c r="AC5" s="48">
        <v>341308.91</v>
      </c>
      <c r="AD5" s="48">
        <v>68239.0356547817</v>
      </c>
      <c r="AE5" s="48">
        <v>758</v>
      </c>
      <c r="AF5" s="48">
        <v>670</v>
      </c>
      <c r="AG5" s="48">
        <v>377</v>
      </c>
      <c r="AH5" s="48">
        <v>172156.03</v>
      </c>
      <c r="AI5" s="48">
        <v>344</v>
      </c>
      <c r="AJ5" s="48">
        <v>0</v>
      </c>
      <c r="AK5" s="48">
        <v>0.0854</v>
      </c>
      <c r="AL5" s="48">
        <v>0.278</v>
      </c>
      <c r="AM5" s="48">
        <v>0.019</v>
      </c>
      <c r="AN5" s="48">
        <v>0.0382</v>
      </c>
      <c r="AO5" s="48">
        <v>0.009</v>
      </c>
      <c r="AP5" s="48">
        <v>0.0103</v>
      </c>
      <c r="AQ5" s="48">
        <v>0</v>
      </c>
      <c r="AR5" s="48">
        <v>0</v>
      </c>
      <c r="AS5" s="48">
        <v>223</v>
      </c>
      <c r="AT5" s="48">
        <v>12735.69</v>
      </c>
      <c r="AU5" s="48">
        <v>303549</v>
      </c>
      <c r="AV5" s="48">
        <v>674</v>
      </c>
      <c r="AW5" s="48">
        <v>39640</v>
      </c>
      <c r="AX5" s="48">
        <v>84</v>
      </c>
      <c r="AY5" s="48">
        <v>0.1155</v>
      </c>
      <c r="AZ5" s="48" t="s">
        <v>360</v>
      </c>
      <c r="BA5" s="48" t="s">
        <v>360</v>
      </c>
      <c r="BB5" s="48" t="s">
        <v>360</v>
      </c>
      <c r="BC5" s="48" t="s">
        <v>360</v>
      </c>
    </row>
    <row r="6" spans="1:55">
      <c r="A6" s="44" t="s">
        <v>188</v>
      </c>
      <c r="B6" s="20">
        <f t="shared" si="0"/>
        <v>46025</v>
      </c>
      <c r="C6" s="49" t="str">
        <f t="shared" si="1"/>
        <v>2026年</v>
      </c>
      <c r="D6" s="49" t="str">
        <f t="shared" si="2"/>
        <v>1月</v>
      </c>
      <c r="E6" s="50" t="str">
        <f t="shared" si="3"/>
        <v>W1</v>
      </c>
      <c r="F6" s="48" t="s">
        <v>367</v>
      </c>
      <c r="G6" s="48" t="s">
        <v>368</v>
      </c>
      <c r="H6" s="48">
        <v>302</v>
      </c>
      <c r="I6" s="48">
        <v>1038565</v>
      </c>
      <c r="J6" s="48">
        <v>1655513</v>
      </c>
      <c r="K6" s="48">
        <v>70127</v>
      </c>
      <c r="L6" s="48">
        <v>13915.6212104509</v>
      </c>
      <c r="M6" s="48">
        <v>88786</v>
      </c>
      <c r="N6" s="48">
        <v>1090</v>
      </c>
      <c r="O6" s="48">
        <v>437</v>
      </c>
      <c r="P6" s="48">
        <v>0.86</v>
      </c>
      <c r="Q6" s="48">
        <v>3802</v>
      </c>
      <c r="R6" s="48">
        <v>4</v>
      </c>
      <c r="S6" s="48">
        <v>644</v>
      </c>
      <c r="T6" s="48">
        <v>45</v>
      </c>
      <c r="U6" s="48">
        <v>0.1915</v>
      </c>
      <c r="V6" s="48">
        <v>154</v>
      </c>
      <c r="W6" s="48">
        <v>67615</v>
      </c>
      <c r="X6" s="48">
        <v>17666</v>
      </c>
      <c r="Y6" s="48">
        <v>466477</v>
      </c>
      <c r="Z6" s="48">
        <v>42412</v>
      </c>
      <c r="AA6" s="48">
        <v>809</v>
      </c>
      <c r="AB6" s="48">
        <v>307922.99</v>
      </c>
      <c r="AC6" s="48">
        <v>306252.78</v>
      </c>
      <c r="AD6" s="48">
        <v>60771.1392349245</v>
      </c>
      <c r="AE6" s="48">
        <v>809</v>
      </c>
      <c r="AF6" s="48">
        <v>736</v>
      </c>
      <c r="AG6" s="48">
        <v>445</v>
      </c>
      <c r="AH6" s="48">
        <v>164197.11</v>
      </c>
      <c r="AI6" s="48">
        <v>405</v>
      </c>
      <c r="AJ6" s="48">
        <v>0</v>
      </c>
      <c r="AK6" s="48">
        <v>0.0909</v>
      </c>
      <c r="AL6" s="48">
        <v>0.2613</v>
      </c>
      <c r="AM6" s="48">
        <v>0.0191</v>
      </c>
      <c r="AN6" s="48">
        <v>0.0417</v>
      </c>
      <c r="AO6" s="48">
        <v>0.0091</v>
      </c>
      <c r="AP6" s="48">
        <v>0.0105</v>
      </c>
      <c r="AQ6" s="48">
        <v>0</v>
      </c>
      <c r="AR6" s="48">
        <v>0</v>
      </c>
      <c r="AS6" s="48">
        <v>246</v>
      </c>
      <c r="AT6" s="48">
        <v>11040.16</v>
      </c>
      <c r="AU6" s="48">
        <v>268937.99</v>
      </c>
      <c r="AV6" s="48">
        <v>708</v>
      </c>
      <c r="AW6" s="48">
        <v>38985</v>
      </c>
      <c r="AX6" s="48">
        <v>101</v>
      </c>
      <c r="AY6" s="48">
        <v>0.1266</v>
      </c>
      <c r="AZ6" s="48" t="s">
        <v>360</v>
      </c>
      <c r="BA6" s="48" t="s">
        <v>360</v>
      </c>
      <c r="BB6" s="48" t="s">
        <v>360</v>
      </c>
      <c r="BC6" s="48" t="s">
        <v>360</v>
      </c>
    </row>
    <row r="7" spans="1:55">
      <c r="A7" s="44" t="s">
        <v>188</v>
      </c>
      <c r="B7" s="20">
        <f t="shared" si="0"/>
        <v>46032</v>
      </c>
      <c r="C7" s="49" t="str">
        <f t="shared" si="1"/>
        <v>2026年</v>
      </c>
      <c r="D7" s="49" t="str">
        <f t="shared" si="2"/>
        <v>1月</v>
      </c>
      <c r="E7" s="50" t="str">
        <f t="shared" si="3"/>
        <v>W2</v>
      </c>
      <c r="F7" s="48" t="s">
        <v>369</v>
      </c>
      <c r="G7" s="48" t="s">
        <v>370</v>
      </c>
      <c r="H7" s="48">
        <v>325</v>
      </c>
      <c r="I7" s="48">
        <v>940903</v>
      </c>
      <c r="J7" s="48">
        <v>1548192</v>
      </c>
      <c r="K7" s="48">
        <v>68242</v>
      </c>
      <c r="L7" s="48">
        <v>12586.2595419847</v>
      </c>
      <c r="M7" s="48">
        <v>87383</v>
      </c>
      <c r="N7" s="48">
        <v>978</v>
      </c>
      <c r="O7" s="48">
        <v>411</v>
      </c>
      <c r="P7" s="48">
        <v>1</v>
      </c>
      <c r="Q7" s="48">
        <v>5112</v>
      </c>
      <c r="R7" s="48">
        <v>5</v>
      </c>
      <c r="S7" s="48">
        <v>591</v>
      </c>
      <c r="T7" s="48">
        <v>51</v>
      </c>
      <c r="U7" s="48">
        <v>0.1946</v>
      </c>
      <c r="V7" s="48">
        <v>76</v>
      </c>
      <c r="W7" s="48">
        <v>66040</v>
      </c>
      <c r="X7" s="48">
        <v>16574</v>
      </c>
      <c r="Y7" s="48">
        <v>419957</v>
      </c>
      <c r="Z7" s="48">
        <v>39953</v>
      </c>
      <c r="AA7" s="48">
        <v>786</v>
      </c>
      <c r="AB7" s="48">
        <v>295108</v>
      </c>
      <c r="AC7" s="48">
        <v>293339.69</v>
      </c>
      <c r="AD7" s="48">
        <v>54102.3046262616</v>
      </c>
      <c r="AE7" s="48">
        <v>786</v>
      </c>
      <c r="AF7" s="48">
        <v>698</v>
      </c>
      <c r="AG7" s="48">
        <v>422</v>
      </c>
      <c r="AH7" s="48">
        <v>157511.24</v>
      </c>
      <c r="AI7" s="48">
        <v>384</v>
      </c>
      <c r="AJ7" s="48">
        <v>0</v>
      </c>
      <c r="AK7" s="48">
        <v>0.0951</v>
      </c>
      <c r="AL7" s="48">
        <v>0.251</v>
      </c>
      <c r="AM7" s="48">
        <v>0.0197</v>
      </c>
      <c r="AN7" s="48">
        <v>0.0421</v>
      </c>
      <c r="AO7" s="48">
        <v>0.009</v>
      </c>
      <c r="AP7" s="48">
        <v>0.0102</v>
      </c>
      <c r="AQ7" s="48">
        <v>0</v>
      </c>
      <c r="AR7" s="48">
        <v>0</v>
      </c>
      <c r="AS7" s="48">
        <v>188</v>
      </c>
      <c r="AT7" s="48">
        <v>10329.13</v>
      </c>
      <c r="AU7" s="48">
        <v>252393</v>
      </c>
      <c r="AV7" s="48">
        <v>675</v>
      </c>
      <c r="AW7" s="48">
        <v>42715</v>
      </c>
      <c r="AX7" s="48">
        <v>111</v>
      </c>
      <c r="AY7" s="48">
        <v>0.1447</v>
      </c>
      <c r="AZ7" s="48" t="s">
        <v>360</v>
      </c>
      <c r="BA7" s="48" t="s">
        <v>360</v>
      </c>
      <c r="BB7" s="48" t="s">
        <v>360</v>
      </c>
      <c r="BC7" s="48" t="s">
        <v>360</v>
      </c>
    </row>
    <row r="8" spans="1:55">
      <c r="A8" s="44" t="s">
        <v>188</v>
      </c>
      <c r="B8" s="20">
        <f t="shared" si="0"/>
        <v>46030</v>
      </c>
      <c r="C8" s="49" t="str">
        <f t="shared" si="1"/>
        <v>2026年</v>
      </c>
      <c r="D8" s="49" t="str">
        <f t="shared" si="2"/>
        <v>1月</v>
      </c>
      <c r="E8" s="50" t="str">
        <f t="shared" si="3"/>
        <v>W2</v>
      </c>
      <c r="F8" s="48" t="s">
        <v>371</v>
      </c>
      <c r="G8" s="48" t="s">
        <v>372</v>
      </c>
      <c r="H8" s="48">
        <v>354</v>
      </c>
      <c r="I8" s="48">
        <v>577758</v>
      </c>
      <c r="J8" s="48">
        <v>1049310</v>
      </c>
      <c r="K8" s="48">
        <v>48017</v>
      </c>
      <c r="L8" s="48">
        <v>8136.55919039774</v>
      </c>
      <c r="M8" s="48">
        <v>63335</v>
      </c>
      <c r="N8" s="48">
        <v>476</v>
      </c>
      <c r="O8" s="48">
        <v>166</v>
      </c>
      <c r="P8" s="48">
        <v>0.84</v>
      </c>
      <c r="Q8" s="48">
        <v>3007</v>
      </c>
      <c r="R8" s="48">
        <v>0</v>
      </c>
      <c r="S8" s="48">
        <v>220</v>
      </c>
      <c r="T8" s="48">
        <v>38</v>
      </c>
      <c r="U8" s="48">
        <v>0.2872</v>
      </c>
      <c r="V8" s="48">
        <v>76</v>
      </c>
      <c r="W8" s="48">
        <v>45970</v>
      </c>
      <c r="X8" s="48">
        <v>13312</v>
      </c>
      <c r="Y8" s="48">
        <v>347810</v>
      </c>
      <c r="Z8" s="48">
        <v>34232</v>
      </c>
      <c r="AA8" s="48">
        <v>589</v>
      </c>
      <c r="AB8" s="48">
        <v>255842</v>
      </c>
      <c r="AC8" s="48">
        <v>253944.26</v>
      </c>
      <c r="AD8" s="48">
        <v>43031.270228289</v>
      </c>
      <c r="AE8" s="48">
        <v>589</v>
      </c>
      <c r="AF8" s="48">
        <v>543</v>
      </c>
      <c r="AG8" s="48">
        <v>307</v>
      </c>
      <c r="AH8" s="48">
        <v>132954.16</v>
      </c>
      <c r="AI8" s="48">
        <v>285</v>
      </c>
      <c r="AJ8" s="48">
        <v>0</v>
      </c>
      <c r="AK8" s="48">
        <v>0.0984</v>
      </c>
      <c r="AL8" s="48">
        <v>0.2896</v>
      </c>
      <c r="AM8" s="48">
        <v>0.0172</v>
      </c>
      <c r="AN8" s="48">
        <v>0.0408</v>
      </c>
      <c r="AO8" s="48">
        <v>0.0093</v>
      </c>
      <c r="AP8" s="48">
        <v>0.0113</v>
      </c>
      <c r="AQ8" s="48">
        <v>0</v>
      </c>
      <c r="AR8" s="48">
        <v>0</v>
      </c>
      <c r="AS8" s="48">
        <v>95</v>
      </c>
      <c r="AT8" s="48">
        <v>8625.92</v>
      </c>
      <c r="AU8" s="48">
        <v>225332</v>
      </c>
      <c r="AV8" s="48">
        <v>519</v>
      </c>
      <c r="AW8" s="48">
        <v>30510</v>
      </c>
      <c r="AX8" s="48">
        <v>70</v>
      </c>
      <c r="AY8" s="48">
        <v>0.1193</v>
      </c>
      <c r="AZ8" s="48" t="s">
        <v>360</v>
      </c>
      <c r="BA8" s="48" t="s">
        <v>360</v>
      </c>
      <c r="BB8" s="48" t="s">
        <v>360</v>
      </c>
      <c r="BC8" s="48" t="s">
        <v>360</v>
      </c>
    </row>
    <row r="9" spans="1:55">
      <c r="A9" s="44" t="s">
        <v>188</v>
      </c>
      <c r="B9" s="20">
        <f t="shared" si="0"/>
        <v>46033</v>
      </c>
      <c r="C9" s="49" t="str">
        <f t="shared" si="1"/>
        <v>2026年</v>
      </c>
      <c r="D9" s="49" t="str">
        <f t="shared" si="2"/>
        <v>1月</v>
      </c>
      <c r="E9" s="50" t="str">
        <f t="shared" si="3"/>
        <v>W2</v>
      </c>
      <c r="F9" s="48" t="s">
        <v>373</v>
      </c>
      <c r="G9" s="48" t="s">
        <v>374</v>
      </c>
      <c r="H9" s="48">
        <v>314</v>
      </c>
      <c r="I9" s="48">
        <v>598689</v>
      </c>
      <c r="J9" s="48">
        <v>1000261</v>
      </c>
      <c r="K9" s="48">
        <v>46366</v>
      </c>
      <c r="L9" s="48">
        <v>8848.0042406573</v>
      </c>
      <c r="M9" s="48">
        <v>59677</v>
      </c>
      <c r="N9" s="48">
        <v>880</v>
      </c>
      <c r="O9" s="48">
        <v>236</v>
      </c>
      <c r="P9" s="48">
        <v>0.91</v>
      </c>
      <c r="Q9" s="48">
        <v>3104</v>
      </c>
      <c r="R9" s="48">
        <v>2</v>
      </c>
      <c r="S9" s="48">
        <v>403</v>
      </c>
      <c r="T9" s="48">
        <v>40</v>
      </c>
      <c r="U9" s="48">
        <v>0.2287</v>
      </c>
      <c r="V9" s="48">
        <v>74</v>
      </c>
      <c r="W9" s="48">
        <v>44232</v>
      </c>
      <c r="X9" s="48">
        <v>11539</v>
      </c>
      <c r="Y9" s="48">
        <v>296678</v>
      </c>
      <c r="Z9" s="48">
        <v>29218</v>
      </c>
      <c r="AA9" s="48">
        <v>655</v>
      </c>
      <c r="AB9" s="48">
        <v>245474</v>
      </c>
      <c r="AC9" s="48">
        <v>243563.86</v>
      </c>
      <c r="AD9" s="48">
        <v>46479.1887622581</v>
      </c>
      <c r="AE9" s="48">
        <v>655</v>
      </c>
      <c r="AF9" s="48">
        <v>536</v>
      </c>
      <c r="AG9" s="48">
        <v>340</v>
      </c>
      <c r="AH9" s="48">
        <v>129027.29</v>
      </c>
      <c r="AI9" s="48">
        <v>279</v>
      </c>
      <c r="AJ9" s="48">
        <v>0</v>
      </c>
      <c r="AK9" s="48">
        <v>0.0985</v>
      </c>
      <c r="AL9" s="48">
        <v>0.2609</v>
      </c>
      <c r="AM9" s="48">
        <v>0.0224</v>
      </c>
      <c r="AN9" s="48">
        <v>0.0465</v>
      </c>
      <c r="AO9" s="48">
        <v>0.011</v>
      </c>
      <c r="AP9" s="48">
        <v>0.0116</v>
      </c>
      <c r="AQ9" s="48">
        <v>0</v>
      </c>
      <c r="AR9" s="48">
        <v>0</v>
      </c>
      <c r="AS9" s="48">
        <v>168</v>
      </c>
      <c r="AT9" s="48">
        <v>7824.68</v>
      </c>
      <c r="AU9" s="48">
        <v>208701</v>
      </c>
      <c r="AV9" s="48">
        <v>561</v>
      </c>
      <c r="AW9" s="48">
        <v>36773</v>
      </c>
      <c r="AX9" s="48">
        <v>94</v>
      </c>
      <c r="AY9" s="48">
        <v>0.1498</v>
      </c>
      <c r="AZ9" s="48" t="s">
        <v>360</v>
      </c>
      <c r="BA9" s="48" t="s">
        <v>360</v>
      </c>
      <c r="BB9" s="48" t="s">
        <v>360</v>
      </c>
      <c r="BC9" s="48" t="s">
        <v>360</v>
      </c>
    </row>
    <row r="10" spans="1:55">
      <c r="A10" s="44" t="s">
        <v>188</v>
      </c>
      <c r="B10" s="20">
        <f t="shared" si="0"/>
        <v>46024</v>
      </c>
      <c r="C10" s="49" t="str">
        <f t="shared" si="1"/>
        <v>2026年</v>
      </c>
      <c r="D10" s="49" t="str">
        <f t="shared" si="2"/>
        <v>1月</v>
      </c>
      <c r="E10" s="50" t="str">
        <f t="shared" si="3"/>
        <v>W1</v>
      </c>
      <c r="F10" s="48" t="s">
        <v>375</v>
      </c>
      <c r="G10" s="48" t="s">
        <v>376</v>
      </c>
      <c r="H10" s="48">
        <v>302</v>
      </c>
      <c r="I10" s="48">
        <v>814223</v>
      </c>
      <c r="J10" s="48">
        <v>1410676</v>
      </c>
      <c r="K10" s="48">
        <v>69481</v>
      </c>
      <c r="L10" s="48">
        <v>13797.3192123118</v>
      </c>
      <c r="M10" s="48">
        <v>89820</v>
      </c>
      <c r="N10" s="48">
        <v>1003</v>
      </c>
      <c r="O10" s="48">
        <v>437</v>
      </c>
      <c r="P10" s="48">
        <v>0.9</v>
      </c>
      <c r="Q10" s="48">
        <v>3956</v>
      </c>
      <c r="R10" s="48">
        <v>1</v>
      </c>
      <c r="S10" s="48">
        <v>427</v>
      </c>
      <c r="T10" s="48">
        <v>35</v>
      </c>
      <c r="U10" s="48">
        <v>0.249</v>
      </c>
      <c r="V10" s="48">
        <v>154</v>
      </c>
      <c r="W10" s="48">
        <v>67610</v>
      </c>
      <c r="X10" s="48">
        <v>16971</v>
      </c>
      <c r="Y10" s="48">
        <v>455877</v>
      </c>
      <c r="Z10" s="48">
        <v>40629</v>
      </c>
      <c r="AA10" s="48">
        <v>787</v>
      </c>
      <c r="AB10" s="48">
        <v>243057</v>
      </c>
      <c r="AC10" s="48">
        <v>240211.48</v>
      </c>
      <c r="AD10" s="48">
        <v>47700.4428264107</v>
      </c>
      <c r="AE10" s="48">
        <v>796</v>
      </c>
      <c r="AF10" s="48">
        <v>640</v>
      </c>
      <c r="AG10" s="48">
        <v>356</v>
      </c>
      <c r="AH10" s="48">
        <v>127480.2</v>
      </c>
      <c r="AI10" s="48">
        <v>305</v>
      </c>
      <c r="AJ10" s="48">
        <v>0</v>
      </c>
      <c r="AK10" s="48">
        <v>0.0891</v>
      </c>
      <c r="AL10" s="48">
        <v>0.251</v>
      </c>
      <c r="AM10" s="48">
        <v>0.0194</v>
      </c>
      <c r="AN10" s="48">
        <v>0.0377</v>
      </c>
      <c r="AO10" s="48">
        <v>0.0088</v>
      </c>
      <c r="AP10" s="48">
        <v>0.0092</v>
      </c>
      <c r="AQ10" s="48">
        <v>0</v>
      </c>
      <c r="AR10" s="48">
        <v>0</v>
      </c>
      <c r="AS10" s="48">
        <v>174</v>
      </c>
      <c r="AT10" s="48">
        <v>9554.13</v>
      </c>
      <c r="AU10" s="48">
        <v>208240</v>
      </c>
      <c r="AV10" s="48">
        <v>705</v>
      </c>
      <c r="AW10" s="48">
        <v>34817</v>
      </c>
      <c r="AX10" s="48">
        <v>82</v>
      </c>
      <c r="AY10" s="48">
        <v>0.1432</v>
      </c>
      <c r="AZ10" s="48" t="s">
        <v>360</v>
      </c>
      <c r="BA10" s="48" t="s">
        <v>360</v>
      </c>
      <c r="BB10" s="48" t="s">
        <v>360</v>
      </c>
      <c r="BC10" s="48" t="s">
        <v>360</v>
      </c>
    </row>
    <row r="11" spans="1:55">
      <c r="A11" s="44" t="s">
        <v>188</v>
      </c>
      <c r="B11" s="20">
        <f t="shared" si="0"/>
        <v>46026</v>
      </c>
      <c r="C11" s="49" t="str">
        <f t="shared" si="1"/>
        <v>2026年</v>
      </c>
      <c r="D11" s="49" t="str">
        <f t="shared" si="2"/>
        <v>1月</v>
      </c>
      <c r="E11" s="50" t="str">
        <f t="shared" si="3"/>
        <v>W1</v>
      </c>
      <c r="F11" s="48" t="s">
        <v>377</v>
      </c>
      <c r="G11" s="48" t="s">
        <v>378</v>
      </c>
      <c r="H11" s="48">
        <v>347</v>
      </c>
      <c r="I11" s="48">
        <v>633373</v>
      </c>
      <c r="J11" s="48">
        <v>1150337</v>
      </c>
      <c r="K11" s="48">
        <v>56431</v>
      </c>
      <c r="L11" s="48">
        <v>9756.58438190376</v>
      </c>
      <c r="M11" s="48">
        <v>74852</v>
      </c>
      <c r="N11" s="48">
        <v>838</v>
      </c>
      <c r="O11" s="48">
        <v>198</v>
      </c>
      <c r="P11" s="48">
        <v>0.76</v>
      </c>
      <c r="Q11" s="48">
        <v>3039</v>
      </c>
      <c r="R11" s="48">
        <v>1</v>
      </c>
      <c r="S11" s="48">
        <v>257</v>
      </c>
      <c r="T11" s="48">
        <v>33</v>
      </c>
      <c r="U11" s="48">
        <v>0.2508</v>
      </c>
      <c r="V11" s="48">
        <v>154</v>
      </c>
      <c r="W11" s="48">
        <v>53308</v>
      </c>
      <c r="X11" s="48">
        <v>13897</v>
      </c>
      <c r="Y11" s="48">
        <v>403125</v>
      </c>
      <c r="Z11" s="48">
        <v>36476</v>
      </c>
      <c r="AA11" s="48">
        <v>602</v>
      </c>
      <c r="AB11" s="48">
        <v>227092</v>
      </c>
      <c r="AC11" s="48">
        <v>224834.33</v>
      </c>
      <c r="AD11" s="48">
        <v>38872.5188742676</v>
      </c>
      <c r="AE11" s="48">
        <v>603</v>
      </c>
      <c r="AF11" s="48">
        <v>526</v>
      </c>
      <c r="AG11" s="48">
        <v>323</v>
      </c>
      <c r="AH11" s="48">
        <v>121874.55</v>
      </c>
      <c r="AI11" s="48">
        <v>285</v>
      </c>
      <c r="AJ11" s="48">
        <v>0</v>
      </c>
      <c r="AK11" s="48">
        <v>0.0905</v>
      </c>
      <c r="AL11" s="48">
        <v>0.2607</v>
      </c>
      <c r="AM11" s="48">
        <v>0.0165</v>
      </c>
      <c r="AN11" s="48">
        <v>0.0378</v>
      </c>
      <c r="AO11" s="48">
        <v>0.008</v>
      </c>
      <c r="AP11" s="48">
        <v>0.0093</v>
      </c>
      <c r="AQ11" s="48">
        <v>0</v>
      </c>
      <c r="AR11" s="48">
        <v>0</v>
      </c>
      <c r="AS11" s="48">
        <v>90</v>
      </c>
      <c r="AT11" s="48">
        <v>8720.02</v>
      </c>
      <c r="AU11" s="48">
        <v>193997</v>
      </c>
      <c r="AV11" s="48">
        <v>516</v>
      </c>
      <c r="AW11" s="48">
        <v>33095</v>
      </c>
      <c r="AX11" s="48">
        <v>86</v>
      </c>
      <c r="AY11" s="48">
        <v>0.1457</v>
      </c>
      <c r="AZ11" s="48" t="s">
        <v>360</v>
      </c>
      <c r="BA11" s="48" t="s">
        <v>360</v>
      </c>
      <c r="BB11" s="48" t="s">
        <v>360</v>
      </c>
      <c r="BC11" s="48" t="s">
        <v>360</v>
      </c>
    </row>
    <row r="12" spans="1:55">
      <c r="A12" s="44" t="s">
        <v>188</v>
      </c>
      <c r="B12" s="20">
        <f t="shared" si="0"/>
        <v>46031</v>
      </c>
      <c r="C12" s="49" t="str">
        <f t="shared" si="1"/>
        <v>2026年</v>
      </c>
      <c r="D12" s="49" t="str">
        <f t="shared" si="2"/>
        <v>1月</v>
      </c>
      <c r="E12" s="50" t="str">
        <f t="shared" si="3"/>
        <v>W2</v>
      </c>
      <c r="F12" s="48" t="s">
        <v>379</v>
      </c>
      <c r="G12" s="48" t="s">
        <v>380</v>
      </c>
      <c r="H12" s="48">
        <v>324</v>
      </c>
      <c r="I12" s="48">
        <v>616826</v>
      </c>
      <c r="J12" s="48">
        <v>1040705</v>
      </c>
      <c r="K12" s="48">
        <v>46689</v>
      </c>
      <c r="L12" s="48">
        <v>8634.56282749409</v>
      </c>
      <c r="M12" s="48">
        <v>60089</v>
      </c>
      <c r="N12" s="48">
        <v>844</v>
      </c>
      <c r="O12" s="48">
        <v>215</v>
      </c>
      <c r="P12" s="48">
        <v>0.96</v>
      </c>
      <c r="Q12" s="48">
        <v>3267</v>
      </c>
      <c r="R12" s="48">
        <v>2</v>
      </c>
      <c r="S12" s="48">
        <v>338</v>
      </c>
      <c r="T12" s="48">
        <v>24</v>
      </c>
      <c r="U12" s="48">
        <v>0.2412</v>
      </c>
      <c r="V12" s="48">
        <v>76</v>
      </c>
      <c r="W12" s="48">
        <v>44772</v>
      </c>
      <c r="X12" s="48">
        <v>10727</v>
      </c>
      <c r="Y12" s="48">
        <v>271514</v>
      </c>
      <c r="Z12" s="48">
        <v>25222</v>
      </c>
      <c r="AA12" s="48">
        <v>582</v>
      </c>
      <c r="AB12" s="48">
        <v>219431.99</v>
      </c>
      <c r="AC12" s="48">
        <v>217959.17</v>
      </c>
      <c r="AD12" s="48">
        <v>40308.8981814446</v>
      </c>
      <c r="AE12" s="48">
        <v>582</v>
      </c>
      <c r="AF12" s="48">
        <v>511</v>
      </c>
      <c r="AG12" s="48">
        <v>280</v>
      </c>
      <c r="AH12" s="48">
        <v>106065.11</v>
      </c>
      <c r="AI12" s="48">
        <v>252</v>
      </c>
      <c r="AJ12" s="48">
        <v>0</v>
      </c>
      <c r="AK12" s="48">
        <v>0.0929</v>
      </c>
      <c r="AL12" s="48">
        <v>0.2396</v>
      </c>
      <c r="AM12" s="48">
        <v>0.0231</v>
      </c>
      <c r="AN12" s="48">
        <v>0.0476</v>
      </c>
      <c r="AO12" s="48">
        <v>0.0097</v>
      </c>
      <c r="AP12" s="48">
        <v>0.0109</v>
      </c>
      <c r="AQ12" s="48">
        <v>0</v>
      </c>
      <c r="AR12" s="48">
        <v>0</v>
      </c>
      <c r="AS12" s="48">
        <v>134</v>
      </c>
      <c r="AT12" s="48">
        <v>7264.25</v>
      </c>
      <c r="AU12" s="48">
        <v>187815.99</v>
      </c>
      <c r="AV12" s="48">
        <v>498</v>
      </c>
      <c r="AW12" s="48">
        <v>31616</v>
      </c>
      <c r="AX12" s="48">
        <v>84</v>
      </c>
      <c r="AY12" s="48">
        <v>0.1441</v>
      </c>
      <c r="AZ12" s="48" t="s">
        <v>360</v>
      </c>
      <c r="BA12" s="48" t="s">
        <v>360</v>
      </c>
      <c r="BB12" s="48" t="s">
        <v>360</v>
      </c>
      <c r="BC12" s="48" t="s">
        <v>360</v>
      </c>
    </row>
    <row r="13" spans="1:55">
      <c r="A13" s="44" t="s">
        <v>188</v>
      </c>
      <c r="B13" s="20">
        <f t="shared" si="0"/>
        <v>46031</v>
      </c>
      <c r="C13" s="49" t="str">
        <f t="shared" si="1"/>
        <v>2026年</v>
      </c>
      <c r="D13" s="49" t="str">
        <f t="shared" si="2"/>
        <v>1月</v>
      </c>
      <c r="E13" s="50" t="str">
        <f t="shared" si="3"/>
        <v>W2</v>
      </c>
      <c r="F13" s="48" t="s">
        <v>381</v>
      </c>
      <c r="G13" s="48" t="s">
        <v>382</v>
      </c>
      <c r="H13" s="48">
        <v>335</v>
      </c>
      <c r="I13" s="48">
        <v>524034</v>
      </c>
      <c r="J13" s="48">
        <v>957389</v>
      </c>
      <c r="K13" s="48">
        <v>45273</v>
      </c>
      <c r="L13" s="48">
        <v>8104.96792480979</v>
      </c>
      <c r="M13" s="48">
        <v>59263</v>
      </c>
      <c r="N13" s="48">
        <v>473</v>
      </c>
      <c r="O13" s="48">
        <v>149</v>
      </c>
      <c r="P13" s="48">
        <v>0.75</v>
      </c>
      <c r="Q13" s="48">
        <v>2714</v>
      </c>
      <c r="R13" s="48">
        <v>0</v>
      </c>
      <c r="S13" s="48">
        <v>229</v>
      </c>
      <c r="T13" s="48">
        <v>45</v>
      </c>
      <c r="U13" s="48">
        <v>0.2683</v>
      </c>
      <c r="V13" s="48">
        <v>75</v>
      </c>
      <c r="W13" s="48">
        <v>42889</v>
      </c>
      <c r="X13" s="48">
        <v>13177</v>
      </c>
      <c r="Y13" s="48">
        <v>325688</v>
      </c>
      <c r="Z13" s="48">
        <v>34488</v>
      </c>
      <c r="AA13" s="48">
        <v>548</v>
      </c>
      <c r="AB13" s="48">
        <v>216564</v>
      </c>
      <c r="AC13" s="48">
        <v>214844.01</v>
      </c>
      <c r="AD13" s="48">
        <v>38462.3022527227</v>
      </c>
      <c r="AE13" s="48">
        <v>548</v>
      </c>
      <c r="AF13" s="48">
        <v>486</v>
      </c>
      <c r="AG13" s="48">
        <v>271</v>
      </c>
      <c r="AH13" s="48">
        <v>108030.03</v>
      </c>
      <c r="AI13" s="48">
        <v>243</v>
      </c>
      <c r="AJ13" s="48">
        <v>0</v>
      </c>
      <c r="AK13" s="48">
        <v>0.1059</v>
      </c>
      <c r="AL13" s="48">
        <v>0.3072</v>
      </c>
      <c r="AM13" s="48">
        <v>0.0159</v>
      </c>
      <c r="AN13" s="48">
        <v>0.0369</v>
      </c>
      <c r="AO13" s="48">
        <v>0.0092</v>
      </c>
      <c r="AP13" s="48">
        <v>0.0107</v>
      </c>
      <c r="AQ13" s="48">
        <v>0</v>
      </c>
      <c r="AR13" s="48">
        <v>0</v>
      </c>
      <c r="AS13" s="48">
        <v>72</v>
      </c>
      <c r="AT13" s="48">
        <v>7438.88</v>
      </c>
      <c r="AU13" s="48">
        <v>189583</v>
      </c>
      <c r="AV13" s="48">
        <v>484</v>
      </c>
      <c r="AW13" s="48">
        <v>26981</v>
      </c>
      <c r="AX13" s="48">
        <v>64</v>
      </c>
      <c r="AY13" s="48">
        <v>0.1246</v>
      </c>
      <c r="AZ13" s="48" t="s">
        <v>360</v>
      </c>
      <c r="BA13" s="48" t="s">
        <v>360</v>
      </c>
      <c r="BB13" s="48" t="s">
        <v>360</v>
      </c>
      <c r="BC13" s="48" t="s">
        <v>360</v>
      </c>
    </row>
    <row r="14" spans="1:55">
      <c r="A14" s="44" t="s">
        <v>188</v>
      </c>
      <c r="B14" s="20">
        <f t="shared" si="0"/>
        <v>46040</v>
      </c>
      <c r="C14" s="49" t="str">
        <f t="shared" si="1"/>
        <v>2026年</v>
      </c>
      <c r="D14" s="49" t="str">
        <f t="shared" si="2"/>
        <v>1月</v>
      </c>
      <c r="E14" s="50" t="str">
        <f t="shared" si="3"/>
        <v>W3</v>
      </c>
      <c r="F14" s="48" t="s">
        <v>383</v>
      </c>
      <c r="G14" s="48" t="s">
        <v>384</v>
      </c>
      <c r="H14" s="48">
        <v>304</v>
      </c>
      <c r="I14" s="48">
        <v>530540</v>
      </c>
      <c r="J14" s="48">
        <v>857317</v>
      </c>
      <c r="K14" s="48">
        <v>44109</v>
      </c>
      <c r="L14" s="48">
        <v>8697.61735224845</v>
      </c>
      <c r="M14" s="48">
        <v>55585</v>
      </c>
      <c r="N14" s="48">
        <v>719</v>
      </c>
      <c r="O14" s="48">
        <v>154</v>
      </c>
      <c r="P14" s="48">
        <v>0.64</v>
      </c>
      <c r="Q14" s="48">
        <v>2220</v>
      </c>
      <c r="R14" s="48">
        <v>0</v>
      </c>
      <c r="S14" s="48">
        <v>448</v>
      </c>
      <c r="T14" s="48">
        <v>30</v>
      </c>
      <c r="U14" s="48">
        <v>0.1932</v>
      </c>
      <c r="V14" s="48">
        <v>79</v>
      </c>
      <c r="W14" s="48">
        <v>40636</v>
      </c>
      <c r="X14" s="48">
        <v>11037</v>
      </c>
      <c r="Y14" s="48">
        <v>260942</v>
      </c>
      <c r="Z14" s="48">
        <v>26099</v>
      </c>
      <c r="AA14" s="48">
        <v>508</v>
      </c>
      <c r="AB14" s="48">
        <v>201785</v>
      </c>
      <c r="AC14" s="48">
        <v>192399.81</v>
      </c>
      <c r="AD14" s="48">
        <v>37938.2875609355</v>
      </c>
      <c r="AE14" s="48">
        <v>513</v>
      </c>
      <c r="AF14" s="48">
        <v>458</v>
      </c>
      <c r="AG14" s="48">
        <v>218</v>
      </c>
      <c r="AH14" s="48">
        <v>85459.58</v>
      </c>
      <c r="AI14" s="48">
        <v>196</v>
      </c>
      <c r="AJ14" s="48">
        <v>0</v>
      </c>
      <c r="AK14" s="48">
        <v>0.1</v>
      </c>
      <c r="AL14" s="48">
        <v>0.2716</v>
      </c>
      <c r="AM14" s="48">
        <v>0.0195</v>
      </c>
      <c r="AN14" s="48">
        <v>0.0415</v>
      </c>
      <c r="AO14" s="48">
        <v>0.0091</v>
      </c>
      <c r="AP14" s="48">
        <v>0.0104</v>
      </c>
      <c r="AQ14" s="48">
        <v>0</v>
      </c>
      <c r="AR14" s="48">
        <v>0</v>
      </c>
      <c r="AS14" s="48">
        <v>82</v>
      </c>
      <c r="AT14" s="48">
        <v>5866.5</v>
      </c>
      <c r="AU14" s="48">
        <v>136648.04</v>
      </c>
      <c r="AV14" s="48">
        <v>354</v>
      </c>
      <c r="AW14" s="48">
        <v>65136.96</v>
      </c>
      <c r="AX14" s="48">
        <v>154</v>
      </c>
      <c r="AY14" s="48">
        <v>0.3228</v>
      </c>
      <c r="AZ14" s="48">
        <v>130057.51</v>
      </c>
      <c r="BA14" s="48">
        <v>0.675975251742712</v>
      </c>
      <c r="BB14" s="48">
        <v>8521.31</v>
      </c>
      <c r="BC14" s="48">
        <v>322</v>
      </c>
    </row>
    <row r="15" spans="1:55">
      <c r="A15" s="44" t="s">
        <v>188</v>
      </c>
      <c r="B15" s="20">
        <f t="shared" si="0"/>
        <v>46034</v>
      </c>
      <c r="C15" s="49" t="str">
        <f t="shared" si="1"/>
        <v>2026年</v>
      </c>
      <c r="D15" s="49" t="str">
        <f t="shared" si="2"/>
        <v>1月</v>
      </c>
      <c r="E15" s="50" t="str">
        <f t="shared" si="3"/>
        <v>W3</v>
      </c>
      <c r="F15" s="48" t="s">
        <v>385</v>
      </c>
      <c r="G15" s="48" t="s">
        <v>386</v>
      </c>
      <c r="H15" s="48">
        <v>317</v>
      </c>
      <c r="I15" s="48">
        <v>482448</v>
      </c>
      <c r="J15" s="48">
        <v>836106</v>
      </c>
      <c r="K15" s="48">
        <v>36802</v>
      </c>
      <c r="L15" s="48">
        <v>6964.57971928718</v>
      </c>
      <c r="M15" s="48">
        <v>47420</v>
      </c>
      <c r="N15" s="48">
        <v>595</v>
      </c>
      <c r="O15" s="48">
        <v>162</v>
      </c>
      <c r="P15" s="48">
        <v>0.89</v>
      </c>
      <c r="Q15" s="48">
        <v>2477</v>
      </c>
      <c r="R15" s="48">
        <v>2</v>
      </c>
      <c r="S15" s="48">
        <v>281</v>
      </c>
      <c r="T15" s="48">
        <v>15</v>
      </c>
      <c r="U15" s="48">
        <v>0.2465</v>
      </c>
      <c r="V15" s="48">
        <v>76</v>
      </c>
      <c r="W15" s="48">
        <v>34991</v>
      </c>
      <c r="X15" s="48">
        <v>8845</v>
      </c>
      <c r="Y15" s="48">
        <v>227771</v>
      </c>
      <c r="Z15" s="48">
        <v>21754</v>
      </c>
      <c r="AA15" s="48">
        <v>514</v>
      </c>
      <c r="AB15" s="48">
        <v>191196</v>
      </c>
      <c r="AC15" s="48">
        <v>189405.16</v>
      </c>
      <c r="AD15" s="48">
        <v>35843.9034852547</v>
      </c>
      <c r="AE15" s="48">
        <v>515</v>
      </c>
      <c r="AF15" s="48">
        <v>461</v>
      </c>
      <c r="AG15" s="48">
        <v>241</v>
      </c>
      <c r="AH15" s="48">
        <v>90493.18</v>
      </c>
      <c r="AI15" s="48">
        <v>223</v>
      </c>
      <c r="AJ15" s="48">
        <v>0</v>
      </c>
      <c r="AK15" s="48">
        <v>0.0955</v>
      </c>
      <c r="AL15" s="48">
        <v>0.2528</v>
      </c>
      <c r="AM15" s="48">
        <v>0.0236</v>
      </c>
      <c r="AN15" s="48">
        <v>0.0521</v>
      </c>
      <c r="AO15" s="48">
        <v>0.0108</v>
      </c>
      <c r="AP15" s="48">
        <v>0.0125</v>
      </c>
      <c r="AQ15" s="48">
        <v>0</v>
      </c>
      <c r="AR15" s="48">
        <v>0</v>
      </c>
      <c r="AS15" s="48">
        <v>103</v>
      </c>
      <c r="AT15" s="48">
        <v>6485.42</v>
      </c>
      <c r="AU15" s="48">
        <v>168256</v>
      </c>
      <c r="AV15" s="48">
        <v>454</v>
      </c>
      <c r="AW15" s="48">
        <v>22940</v>
      </c>
      <c r="AX15" s="48">
        <v>60</v>
      </c>
      <c r="AY15" s="48">
        <v>0.12</v>
      </c>
      <c r="AZ15" s="48" t="s">
        <v>360</v>
      </c>
      <c r="BA15" s="48" t="s">
        <v>360</v>
      </c>
      <c r="BB15" s="48" t="s">
        <v>360</v>
      </c>
      <c r="BC15" s="48" t="s">
        <v>360</v>
      </c>
    </row>
    <row r="16" spans="1:55">
      <c r="A16" s="44" t="s">
        <v>188</v>
      </c>
      <c r="B16" s="20">
        <f t="shared" si="0"/>
        <v>46039</v>
      </c>
      <c r="C16" s="49" t="str">
        <f t="shared" si="1"/>
        <v>2026年</v>
      </c>
      <c r="D16" s="49" t="str">
        <f t="shared" si="2"/>
        <v>1月</v>
      </c>
      <c r="E16" s="50" t="str">
        <f t="shared" si="3"/>
        <v>W3</v>
      </c>
      <c r="F16" s="48" t="s">
        <v>387</v>
      </c>
      <c r="G16" s="48" t="s">
        <v>388</v>
      </c>
      <c r="H16" s="48">
        <v>321</v>
      </c>
      <c r="I16" s="48">
        <v>506574</v>
      </c>
      <c r="J16" s="48">
        <v>851596</v>
      </c>
      <c r="K16" s="48">
        <v>44083</v>
      </c>
      <c r="L16" s="48">
        <v>8237.24696356275</v>
      </c>
      <c r="M16" s="48">
        <v>56499</v>
      </c>
      <c r="N16" s="48">
        <v>667</v>
      </c>
      <c r="O16" s="48">
        <v>147</v>
      </c>
      <c r="P16" s="48">
        <v>0.66</v>
      </c>
      <c r="Q16" s="48">
        <v>2481</v>
      </c>
      <c r="R16" s="48">
        <v>0</v>
      </c>
      <c r="S16" s="48">
        <v>320</v>
      </c>
      <c r="T16" s="48">
        <v>26</v>
      </c>
      <c r="U16" s="48">
        <v>0.2057</v>
      </c>
      <c r="V16" s="48">
        <v>79</v>
      </c>
      <c r="W16" s="48">
        <v>40762</v>
      </c>
      <c r="X16" s="48">
        <v>11116</v>
      </c>
      <c r="Y16" s="48">
        <v>254560</v>
      </c>
      <c r="Z16" s="48">
        <v>25916</v>
      </c>
      <c r="AA16" s="48">
        <v>510</v>
      </c>
      <c r="AB16" s="48">
        <v>198152</v>
      </c>
      <c r="AC16" s="48">
        <v>188518.32</v>
      </c>
      <c r="AD16" s="48">
        <v>35226.0952974151</v>
      </c>
      <c r="AE16" s="48">
        <v>511</v>
      </c>
      <c r="AF16" s="48">
        <v>448</v>
      </c>
      <c r="AG16" s="48">
        <v>221</v>
      </c>
      <c r="AH16" s="48">
        <v>80999.64</v>
      </c>
      <c r="AI16" s="48">
        <v>197</v>
      </c>
      <c r="AJ16" s="48">
        <v>0</v>
      </c>
      <c r="AK16" s="48">
        <v>0.1018</v>
      </c>
      <c r="AL16" s="48">
        <v>0.2727</v>
      </c>
      <c r="AM16" s="48">
        <v>0.0197</v>
      </c>
      <c r="AN16" s="48">
        <v>0.0403</v>
      </c>
      <c r="AO16" s="48">
        <v>0.009</v>
      </c>
      <c r="AP16" s="48">
        <v>0.0102</v>
      </c>
      <c r="AQ16" s="48">
        <v>0</v>
      </c>
      <c r="AR16" s="48">
        <v>0</v>
      </c>
      <c r="AS16" s="48">
        <v>63</v>
      </c>
      <c r="AT16" s="48">
        <v>6259</v>
      </c>
      <c r="AU16" s="48">
        <v>150430.4</v>
      </c>
      <c r="AV16" s="48">
        <v>391</v>
      </c>
      <c r="AW16" s="48">
        <v>47721.6</v>
      </c>
      <c r="AX16" s="48">
        <v>119</v>
      </c>
      <c r="AY16" s="48">
        <v>0.2408</v>
      </c>
      <c r="AZ16" s="48">
        <v>127699.35</v>
      </c>
      <c r="BA16" s="48">
        <v>0.677384298777965</v>
      </c>
      <c r="BB16" s="48">
        <v>8367.36</v>
      </c>
      <c r="BC16" s="48">
        <v>322</v>
      </c>
    </row>
    <row r="17" spans="1:55">
      <c r="A17" s="44" t="s">
        <v>188</v>
      </c>
      <c r="B17" s="20">
        <f t="shared" si="0"/>
        <v>46026</v>
      </c>
      <c r="C17" s="49" t="str">
        <f t="shared" si="1"/>
        <v>2026年</v>
      </c>
      <c r="D17" s="49" t="str">
        <f t="shared" si="2"/>
        <v>1月</v>
      </c>
      <c r="E17" s="50" t="str">
        <f t="shared" si="3"/>
        <v>W1</v>
      </c>
      <c r="F17" s="48" t="s">
        <v>389</v>
      </c>
      <c r="G17" s="48" t="s">
        <v>390</v>
      </c>
      <c r="H17" s="48">
        <v>314</v>
      </c>
      <c r="I17" s="48">
        <v>433081</v>
      </c>
      <c r="J17" s="48">
        <v>718482</v>
      </c>
      <c r="K17" s="48">
        <v>28065</v>
      </c>
      <c r="L17" s="48">
        <v>5357.6201081769</v>
      </c>
      <c r="M17" s="48">
        <v>35802</v>
      </c>
      <c r="N17" s="48">
        <v>121</v>
      </c>
      <c r="O17" s="48">
        <v>80</v>
      </c>
      <c r="P17" s="48">
        <v>0.59</v>
      </c>
      <c r="Q17" s="48">
        <v>1383</v>
      </c>
      <c r="R17" s="48">
        <v>1</v>
      </c>
      <c r="S17" s="48">
        <v>222</v>
      </c>
      <c r="T17" s="48">
        <v>27</v>
      </c>
      <c r="U17" s="48">
        <v>0.2</v>
      </c>
      <c r="V17" s="48">
        <v>154</v>
      </c>
      <c r="W17" s="48">
        <v>25912</v>
      </c>
      <c r="X17" s="48">
        <v>7732</v>
      </c>
      <c r="Y17" s="48">
        <v>219384</v>
      </c>
      <c r="Z17" s="48">
        <v>18716</v>
      </c>
      <c r="AA17" s="48">
        <v>498</v>
      </c>
      <c r="AB17" s="48">
        <v>190218</v>
      </c>
      <c r="AC17" s="48">
        <v>188326.75</v>
      </c>
      <c r="AD17" s="48">
        <v>35951.6544702513</v>
      </c>
      <c r="AE17" s="48">
        <v>498</v>
      </c>
      <c r="AF17" s="48">
        <v>453</v>
      </c>
      <c r="AG17" s="48">
        <v>254</v>
      </c>
      <c r="AH17" s="48">
        <v>97780.11</v>
      </c>
      <c r="AI17" s="48">
        <v>235</v>
      </c>
      <c r="AJ17" s="48">
        <v>0</v>
      </c>
      <c r="AK17" s="48">
        <v>0.0853</v>
      </c>
      <c r="AL17" s="48">
        <v>0.2984</v>
      </c>
      <c r="AM17" s="48">
        <v>0.0266</v>
      </c>
      <c r="AN17" s="48">
        <v>0.0586</v>
      </c>
      <c r="AO17" s="48">
        <v>0.0139</v>
      </c>
      <c r="AP17" s="48">
        <v>0.0161</v>
      </c>
      <c r="AQ17" s="48">
        <v>0</v>
      </c>
      <c r="AR17" s="48">
        <v>0</v>
      </c>
      <c r="AS17" s="48">
        <v>73</v>
      </c>
      <c r="AT17" s="48">
        <v>8081.39</v>
      </c>
      <c r="AU17" s="48">
        <v>168262</v>
      </c>
      <c r="AV17" s="48">
        <v>442</v>
      </c>
      <c r="AW17" s="48">
        <v>21956</v>
      </c>
      <c r="AX17" s="48">
        <v>56</v>
      </c>
      <c r="AY17" s="48">
        <v>0.1154</v>
      </c>
      <c r="AZ17" s="48" t="s">
        <v>360</v>
      </c>
      <c r="BA17" s="48" t="s">
        <v>360</v>
      </c>
      <c r="BB17" s="48" t="s">
        <v>360</v>
      </c>
      <c r="BC17" s="48" t="s">
        <v>360</v>
      </c>
    </row>
    <row r="18" spans="1:55">
      <c r="A18" s="44" t="s">
        <v>188</v>
      </c>
      <c r="B18" s="20">
        <f t="shared" si="0"/>
        <v>46034</v>
      </c>
      <c r="C18" s="49" t="str">
        <f t="shared" si="1"/>
        <v>2026年</v>
      </c>
      <c r="D18" s="49" t="str">
        <f t="shared" si="2"/>
        <v>1月</v>
      </c>
      <c r="E18" s="50" t="str">
        <f t="shared" si="3"/>
        <v>W3</v>
      </c>
      <c r="F18" s="48" t="s">
        <v>391</v>
      </c>
      <c r="G18" s="48" t="s">
        <v>392</v>
      </c>
      <c r="H18" s="48">
        <v>353</v>
      </c>
      <c r="I18" s="48">
        <v>437663</v>
      </c>
      <c r="J18" s="48">
        <v>863860</v>
      </c>
      <c r="K18" s="48">
        <v>42338</v>
      </c>
      <c r="L18" s="48">
        <v>7194.56219022894</v>
      </c>
      <c r="M18" s="48">
        <v>55539</v>
      </c>
      <c r="N18" s="48">
        <v>208</v>
      </c>
      <c r="O18" s="48">
        <v>129</v>
      </c>
      <c r="P18" s="48">
        <v>0.76</v>
      </c>
      <c r="Q18" s="48">
        <v>2300</v>
      </c>
      <c r="R18" s="48">
        <v>1</v>
      </c>
      <c r="S18" s="48">
        <v>157</v>
      </c>
      <c r="T18" s="48">
        <v>46</v>
      </c>
      <c r="U18" s="48">
        <v>0.3353</v>
      </c>
      <c r="V18" s="48">
        <v>76</v>
      </c>
      <c r="W18" s="48">
        <v>39537</v>
      </c>
      <c r="X18" s="48">
        <v>11408</v>
      </c>
      <c r="Y18" s="48">
        <v>378002</v>
      </c>
      <c r="Z18" s="48">
        <v>28406</v>
      </c>
      <c r="AA18" s="48">
        <v>300</v>
      </c>
      <c r="AB18" s="48">
        <v>189243</v>
      </c>
      <c r="AC18" s="48">
        <v>187109.87</v>
      </c>
      <c r="AD18" s="48">
        <v>31795.8712296436</v>
      </c>
      <c r="AE18" s="48">
        <v>301</v>
      </c>
      <c r="AF18" s="48">
        <v>257</v>
      </c>
      <c r="AG18" s="48">
        <v>164</v>
      </c>
      <c r="AH18" s="48">
        <v>107210.18</v>
      </c>
      <c r="AI18" s="48">
        <v>146</v>
      </c>
      <c r="AJ18" s="48">
        <v>0</v>
      </c>
      <c r="AK18" s="48">
        <v>0.0751</v>
      </c>
      <c r="AL18" s="48">
        <v>0.2885</v>
      </c>
      <c r="AM18" s="48">
        <v>0.0106</v>
      </c>
      <c r="AN18" s="48">
        <v>0.0225</v>
      </c>
      <c r="AO18" s="48">
        <v>0.0054</v>
      </c>
      <c r="AP18" s="48">
        <v>0.0061</v>
      </c>
      <c r="AQ18" s="48">
        <v>0</v>
      </c>
      <c r="AR18" s="48">
        <v>0</v>
      </c>
      <c r="AS18" s="48">
        <v>66</v>
      </c>
      <c r="AT18" s="48">
        <v>5936.88</v>
      </c>
      <c r="AU18" s="48">
        <v>161009</v>
      </c>
      <c r="AV18" s="48">
        <v>256</v>
      </c>
      <c r="AW18" s="48">
        <v>28234</v>
      </c>
      <c r="AX18" s="48">
        <v>44</v>
      </c>
      <c r="AY18" s="48">
        <v>0.1492</v>
      </c>
      <c r="AZ18" s="48" t="s">
        <v>360</v>
      </c>
      <c r="BA18" s="48" t="s">
        <v>360</v>
      </c>
      <c r="BB18" s="48" t="s">
        <v>360</v>
      </c>
      <c r="BC18" s="48" t="s">
        <v>360</v>
      </c>
    </row>
    <row r="19" spans="1:55">
      <c r="A19" s="44" t="s">
        <v>188</v>
      </c>
      <c r="B19" s="20">
        <f t="shared" si="0"/>
        <v>46037</v>
      </c>
      <c r="C19" s="49" t="str">
        <f t="shared" si="1"/>
        <v>2026年</v>
      </c>
      <c r="D19" s="49" t="str">
        <f t="shared" si="2"/>
        <v>1月</v>
      </c>
      <c r="E19" s="50" t="str">
        <f t="shared" si="3"/>
        <v>W3</v>
      </c>
      <c r="F19" s="48" t="s">
        <v>393</v>
      </c>
      <c r="G19" s="48" t="s">
        <v>394</v>
      </c>
      <c r="H19" s="48">
        <v>302</v>
      </c>
      <c r="I19" s="48">
        <v>467439</v>
      </c>
      <c r="J19" s="48">
        <v>834307</v>
      </c>
      <c r="K19" s="48">
        <v>40430</v>
      </c>
      <c r="L19" s="48">
        <v>8028.4626840973</v>
      </c>
      <c r="M19" s="48">
        <v>52623</v>
      </c>
      <c r="N19" s="48">
        <v>697</v>
      </c>
      <c r="O19" s="48">
        <v>193</v>
      </c>
      <c r="P19" s="48">
        <v>0.88</v>
      </c>
      <c r="Q19" s="48">
        <v>2394</v>
      </c>
      <c r="R19" s="48">
        <v>3</v>
      </c>
      <c r="S19" s="48">
        <v>228</v>
      </c>
      <c r="T19" s="48">
        <v>24</v>
      </c>
      <c r="U19" s="48">
        <v>0.3005</v>
      </c>
      <c r="V19" s="48">
        <v>76</v>
      </c>
      <c r="W19" s="48">
        <v>38588</v>
      </c>
      <c r="X19" s="48">
        <v>8443</v>
      </c>
      <c r="Y19" s="48">
        <v>259558</v>
      </c>
      <c r="Z19" s="48">
        <v>18956</v>
      </c>
      <c r="AA19" s="48">
        <v>284</v>
      </c>
      <c r="AB19" s="48">
        <v>185497</v>
      </c>
      <c r="AC19" s="48">
        <v>183572.15</v>
      </c>
      <c r="AD19" s="48">
        <v>36453.1821942744</v>
      </c>
      <c r="AE19" s="48">
        <v>284</v>
      </c>
      <c r="AF19" s="48">
        <v>237</v>
      </c>
      <c r="AG19" s="48">
        <v>157</v>
      </c>
      <c r="AH19" s="48">
        <v>106821.05</v>
      </c>
      <c r="AI19" s="48">
        <v>129</v>
      </c>
      <c r="AJ19" s="48">
        <v>0</v>
      </c>
      <c r="AK19" s="48">
        <v>0.073</v>
      </c>
      <c r="AL19" s="48">
        <v>0.2188</v>
      </c>
      <c r="AM19" s="48">
        <v>0.015</v>
      </c>
      <c r="AN19" s="48">
        <v>0.0281</v>
      </c>
      <c r="AO19" s="48">
        <v>0.0054</v>
      </c>
      <c r="AP19" s="48">
        <v>0.0059</v>
      </c>
      <c r="AQ19" s="48">
        <v>0</v>
      </c>
      <c r="AR19" s="48">
        <v>0</v>
      </c>
      <c r="AS19" s="48">
        <v>86</v>
      </c>
      <c r="AT19" s="48">
        <v>6080.46</v>
      </c>
      <c r="AU19" s="48">
        <v>151368</v>
      </c>
      <c r="AV19" s="48">
        <v>236</v>
      </c>
      <c r="AW19" s="48">
        <v>34129</v>
      </c>
      <c r="AX19" s="48">
        <v>48</v>
      </c>
      <c r="AY19" s="48">
        <v>0.184</v>
      </c>
      <c r="AZ19" s="48" t="s">
        <v>360</v>
      </c>
      <c r="BA19" s="48" t="s">
        <v>360</v>
      </c>
      <c r="BB19" s="48" t="s">
        <v>360</v>
      </c>
      <c r="BC19" s="48" t="s">
        <v>360</v>
      </c>
    </row>
    <row r="20" spans="1:55">
      <c r="A20" s="44" t="s">
        <v>188</v>
      </c>
      <c r="B20" s="20">
        <f t="shared" si="0"/>
        <v>46023</v>
      </c>
      <c r="C20" s="49" t="str">
        <f t="shared" si="1"/>
        <v>2026年</v>
      </c>
      <c r="D20" s="49" t="str">
        <f t="shared" si="2"/>
        <v>1月</v>
      </c>
      <c r="E20" s="50" t="str">
        <f t="shared" si="3"/>
        <v>W1</v>
      </c>
      <c r="F20" s="48" t="s">
        <v>395</v>
      </c>
      <c r="G20" s="48" t="s">
        <v>396</v>
      </c>
      <c r="H20" s="48">
        <v>208</v>
      </c>
      <c r="I20" s="48">
        <v>726000</v>
      </c>
      <c r="J20" s="48">
        <v>1162958</v>
      </c>
      <c r="K20" s="48">
        <v>55207</v>
      </c>
      <c r="L20" s="48">
        <v>15899.616</v>
      </c>
      <c r="M20" s="48">
        <v>69024</v>
      </c>
      <c r="N20" s="48">
        <v>1152</v>
      </c>
      <c r="O20" s="48">
        <v>418</v>
      </c>
      <c r="P20" s="48">
        <v>0.74</v>
      </c>
      <c r="Q20" s="48">
        <v>2634</v>
      </c>
      <c r="R20" s="48">
        <v>1</v>
      </c>
      <c r="S20" s="48">
        <v>376</v>
      </c>
      <c r="T20" s="48">
        <v>21</v>
      </c>
      <c r="U20" s="48">
        <v>0.2361</v>
      </c>
      <c r="V20" s="48">
        <v>154</v>
      </c>
      <c r="W20" s="48">
        <v>52328</v>
      </c>
      <c r="X20" s="48">
        <v>13717</v>
      </c>
      <c r="Y20" s="48">
        <v>404630</v>
      </c>
      <c r="Z20" s="48">
        <v>32096</v>
      </c>
      <c r="AA20" s="48">
        <v>539</v>
      </c>
      <c r="AB20" s="48">
        <v>173989</v>
      </c>
      <c r="AC20" s="48">
        <v>171096.59</v>
      </c>
      <c r="AD20" s="48">
        <v>49275.81792</v>
      </c>
      <c r="AE20" s="48">
        <v>539</v>
      </c>
      <c r="AF20" s="48">
        <v>470</v>
      </c>
      <c r="AG20" s="48">
        <v>228</v>
      </c>
      <c r="AH20" s="48">
        <v>88747.59</v>
      </c>
      <c r="AI20" s="48">
        <v>203</v>
      </c>
      <c r="AJ20" s="48">
        <v>0</v>
      </c>
      <c r="AK20" s="48">
        <v>0.0793</v>
      </c>
      <c r="AL20" s="48">
        <v>0.2621</v>
      </c>
      <c r="AM20" s="48">
        <v>0.0168</v>
      </c>
      <c r="AN20" s="48">
        <v>0.0343</v>
      </c>
      <c r="AO20" s="48">
        <v>0.0078</v>
      </c>
      <c r="AP20" s="48">
        <v>0.0085</v>
      </c>
      <c r="AQ20" s="48">
        <v>0</v>
      </c>
      <c r="AR20" s="48">
        <v>0</v>
      </c>
      <c r="AS20" s="48">
        <v>89</v>
      </c>
      <c r="AT20" s="48">
        <v>6619.82</v>
      </c>
      <c r="AU20" s="48">
        <v>152400</v>
      </c>
      <c r="AV20" s="48">
        <v>491</v>
      </c>
      <c r="AW20" s="48">
        <v>21589</v>
      </c>
      <c r="AX20" s="48">
        <v>48</v>
      </c>
      <c r="AY20" s="48">
        <v>0.1241</v>
      </c>
      <c r="AZ20" s="48" t="s">
        <v>360</v>
      </c>
      <c r="BA20" s="48" t="s">
        <v>360</v>
      </c>
      <c r="BB20" s="48" t="s">
        <v>360</v>
      </c>
      <c r="BC20" s="48" t="s">
        <v>360</v>
      </c>
    </row>
    <row r="21" spans="1:55">
      <c r="A21" s="44" t="s">
        <v>188</v>
      </c>
      <c r="B21" s="20">
        <f t="shared" si="0"/>
        <v>46042</v>
      </c>
      <c r="C21" s="49" t="str">
        <f t="shared" si="1"/>
        <v>2026年</v>
      </c>
      <c r="D21" s="49" t="str">
        <f t="shared" si="2"/>
        <v>1月</v>
      </c>
      <c r="E21" s="50" t="str">
        <f t="shared" si="3"/>
        <v>W4</v>
      </c>
      <c r="F21" s="48" t="s">
        <v>397</v>
      </c>
      <c r="G21" s="48" t="s">
        <v>398</v>
      </c>
      <c r="H21" s="48">
        <v>336</v>
      </c>
      <c r="I21" s="48">
        <v>487664</v>
      </c>
      <c r="J21" s="48">
        <v>816159</v>
      </c>
      <c r="K21" s="48">
        <v>37727</v>
      </c>
      <c r="L21" s="48">
        <v>6734.95983338292</v>
      </c>
      <c r="M21" s="48">
        <v>48427</v>
      </c>
      <c r="N21" s="48">
        <v>224</v>
      </c>
      <c r="O21" s="48">
        <v>108</v>
      </c>
      <c r="P21" s="48">
        <v>0.65</v>
      </c>
      <c r="Q21" s="48">
        <v>2418</v>
      </c>
      <c r="R21" s="48">
        <v>2</v>
      </c>
      <c r="S21" s="48">
        <v>320</v>
      </c>
      <c r="T21" s="48">
        <v>26</v>
      </c>
      <c r="U21" s="48">
        <v>0.2124</v>
      </c>
      <c r="V21" s="48">
        <v>76</v>
      </c>
      <c r="W21" s="48">
        <v>34822</v>
      </c>
      <c r="X21" s="48">
        <v>8757</v>
      </c>
      <c r="Y21" s="48">
        <v>215719</v>
      </c>
      <c r="Z21" s="48">
        <v>20180</v>
      </c>
      <c r="AA21" s="48">
        <v>458</v>
      </c>
      <c r="AB21" s="48">
        <v>175722</v>
      </c>
      <c r="AC21" s="48">
        <v>169573.12</v>
      </c>
      <c r="AD21" s="48">
        <v>30271.904790241</v>
      </c>
      <c r="AE21" s="48">
        <v>458</v>
      </c>
      <c r="AF21" s="48">
        <v>411</v>
      </c>
      <c r="AG21" s="48">
        <v>87</v>
      </c>
      <c r="AH21" s="48">
        <v>32687.68</v>
      </c>
      <c r="AI21" s="48">
        <v>79</v>
      </c>
      <c r="AJ21" s="48">
        <v>0</v>
      </c>
      <c r="AK21" s="48">
        <v>0.0935</v>
      </c>
      <c r="AL21" s="48">
        <v>0.2515</v>
      </c>
      <c r="AM21" s="48">
        <v>0.0227</v>
      </c>
      <c r="AN21" s="48">
        <v>0.0469</v>
      </c>
      <c r="AO21" s="48">
        <v>0.0095</v>
      </c>
      <c r="AP21" s="48">
        <v>0.0109</v>
      </c>
      <c r="AQ21" s="48">
        <v>0</v>
      </c>
      <c r="AR21" s="48">
        <v>0</v>
      </c>
      <c r="AS21" s="48">
        <v>65</v>
      </c>
      <c r="AT21" s="48">
        <v>5995.8</v>
      </c>
      <c r="AU21" s="48">
        <v>147597.55</v>
      </c>
      <c r="AV21" s="48">
        <v>387</v>
      </c>
      <c r="AW21" s="48">
        <v>28124.45</v>
      </c>
      <c r="AX21" s="48">
        <v>71</v>
      </c>
      <c r="AY21" s="48">
        <v>0.1601</v>
      </c>
      <c r="AZ21" s="48">
        <v>81703.28</v>
      </c>
      <c r="BA21" s="48">
        <v>0.4818174012485</v>
      </c>
      <c r="BB21" s="48">
        <v>5200.58</v>
      </c>
      <c r="BC21" s="48">
        <v>212</v>
      </c>
    </row>
    <row r="22" spans="1:55">
      <c r="A22" s="44" t="s">
        <v>188</v>
      </c>
      <c r="B22" s="20">
        <f t="shared" si="0"/>
        <v>46038</v>
      </c>
      <c r="C22" s="49" t="str">
        <f t="shared" si="1"/>
        <v>2026年</v>
      </c>
      <c r="D22" s="49" t="str">
        <f t="shared" si="2"/>
        <v>1月</v>
      </c>
      <c r="E22" s="50" t="str">
        <f t="shared" si="3"/>
        <v>W3</v>
      </c>
      <c r="F22" s="48" t="s">
        <v>399</v>
      </c>
      <c r="G22" s="48" t="s">
        <v>400</v>
      </c>
      <c r="H22" s="48">
        <v>242</v>
      </c>
      <c r="I22" s="48">
        <v>535300</v>
      </c>
      <c r="J22" s="48">
        <v>853830</v>
      </c>
      <c r="K22" s="48">
        <v>38164</v>
      </c>
      <c r="L22" s="48">
        <v>9449.13342503439</v>
      </c>
      <c r="M22" s="48">
        <v>48386</v>
      </c>
      <c r="N22" s="48">
        <v>732</v>
      </c>
      <c r="O22" s="48">
        <v>228</v>
      </c>
      <c r="P22" s="48">
        <v>0.83</v>
      </c>
      <c r="Q22" s="48">
        <v>2257</v>
      </c>
      <c r="R22" s="48">
        <v>1</v>
      </c>
      <c r="S22" s="48">
        <v>285</v>
      </c>
      <c r="T22" s="48">
        <v>34</v>
      </c>
      <c r="U22" s="48">
        <v>0.2487</v>
      </c>
      <c r="V22" s="48">
        <v>79</v>
      </c>
      <c r="W22" s="48">
        <v>36555</v>
      </c>
      <c r="X22" s="48">
        <v>9686</v>
      </c>
      <c r="Y22" s="48">
        <v>250258</v>
      </c>
      <c r="Z22" s="48">
        <v>22170</v>
      </c>
      <c r="AA22" s="48">
        <v>256</v>
      </c>
      <c r="AB22" s="48">
        <v>182257</v>
      </c>
      <c r="AC22" s="48">
        <v>168206.85</v>
      </c>
      <c r="AD22" s="48">
        <v>41646.8129298487</v>
      </c>
      <c r="AE22" s="48">
        <v>256</v>
      </c>
      <c r="AF22" s="48">
        <v>218</v>
      </c>
      <c r="AG22" s="48">
        <v>117</v>
      </c>
      <c r="AH22" s="48">
        <v>80643.79</v>
      </c>
      <c r="AI22" s="48">
        <v>102</v>
      </c>
      <c r="AJ22" s="48">
        <v>0</v>
      </c>
      <c r="AK22" s="48">
        <v>0.0886</v>
      </c>
      <c r="AL22" s="48">
        <v>0.265</v>
      </c>
      <c r="AM22" s="48">
        <v>0.0115</v>
      </c>
      <c r="AN22" s="48">
        <v>0.0225</v>
      </c>
      <c r="AO22" s="48">
        <v>0.0053</v>
      </c>
      <c r="AP22" s="48">
        <v>0.0057</v>
      </c>
      <c r="AQ22" s="48">
        <v>0</v>
      </c>
      <c r="AR22" s="48">
        <v>0</v>
      </c>
      <c r="AS22" s="48">
        <v>80</v>
      </c>
      <c r="AT22" s="48">
        <v>5538.11</v>
      </c>
      <c r="AU22" s="48">
        <v>139237.28</v>
      </c>
      <c r="AV22" s="48">
        <v>201</v>
      </c>
      <c r="AW22" s="48">
        <v>43019.72</v>
      </c>
      <c r="AX22" s="48">
        <v>55</v>
      </c>
      <c r="AY22" s="48">
        <v>0.236</v>
      </c>
      <c r="AZ22" s="48">
        <v>128337.88</v>
      </c>
      <c r="BA22" s="48">
        <v>0.762976537519132</v>
      </c>
      <c r="BB22" s="48">
        <v>12944.12</v>
      </c>
      <c r="BC22" s="48">
        <v>169</v>
      </c>
    </row>
    <row r="23" spans="1:55">
      <c r="A23" s="44" t="s">
        <v>188</v>
      </c>
      <c r="B23" s="20">
        <f t="shared" si="0"/>
        <v>46024</v>
      </c>
      <c r="C23" s="49" t="str">
        <f t="shared" si="1"/>
        <v>2026年</v>
      </c>
      <c r="D23" s="49" t="str">
        <f t="shared" si="2"/>
        <v>1月</v>
      </c>
      <c r="E23" s="50" t="str">
        <f t="shared" si="3"/>
        <v>W1</v>
      </c>
      <c r="F23" s="48" t="s">
        <v>401</v>
      </c>
      <c r="G23" s="48" t="s">
        <v>402</v>
      </c>
      <c r="H23" s="48">
        <v>325</v>
      </c>
      <c r="I23" s="48">
        <v>407957</v>
      </c>
      <c r="J23" s="48">
        <v>712946</v>
      </c>
      <c r="K23" s="48">
        <v>35258</v>
      </c>
      <c r="L23" s="48">
        <v>6501.16779348494</v>
      </c>
      <c r="M23" s="48">
        <v>44997</v>
      </c>
      <c r="N23" s="48">
        <v>151</v>
      </c>
      <c r="O23" s="48">
        <v>90</v>
      </c>
      <c r="P23" s="48">
        <v>0.55</v>
      </c>
      <c r="Q23" s="48">
        <v>1616</v>
      </c>
      <c r="R23" s="48">
        <v>3</v>
      </c>
      <c r="S23" s="48">
        <v>286</v>
      </c>
      <c r="T23" s="48">
        <v>46</v>
      </c>
      <c r="U23" s="48">
        <v>0.2288</v>
      </c>
      <c r="V23" s="48">
        <v>154</v>
      </c>
      <c r="W23" s="48">
        <v>33007</v>
      </c>
      <c r="X23" s="48">
        <v>9840</v>
      </c>
      <c r="Y23" s="48">
        <v>266526</v>
      </c>
      <c r="Z23" s="48">
        <v>25101</v>
      </c>
      <c r="AA23" s="48">
        <v>438</v>
      </c>
      <c r="AB23" s="48">
        <v>166235</v>
      </c>
      <c r="AC23" s="48">
        <v>165252.19</v>
      </c>
      <c r="AD23" s="48">
        <v>30470.594345421</v>
      </c>
      <c r="AE23" s="48">
        <v>438</v>
      </c>
      <c r="AF23" s="48">
        <v>387</v>
      </c>
      <c r="AG23" s="48">
        <v>237</v>
      </c>
      <c r="AH23" s="48">
        <v>90126.39</v>
      </c>
      <c r="AI23" s="48">
        <v>218</v>
      </c>
      <c r="AJ23" s="48">
        <v>0</v>
      </c>
      <c r="AK23" s="48">
        <v>0.0942</v>
      </c>
      <c r="AL23" s="48">
        <v>0.2981</v>
      </c>
      <c r="AM23" s="48">
        <v>0.0174</v>
      </c>
      <c r="AN23" s="48">
        <v>0.0393</v>
      </c>
      <c r="AO23" s="48">
        <v>0.0097</v>
      </c>
      <c r="AP23" s="48">
        <v>0.011</v>
      </c>
      <c r="AQ23" s="48">
        <v>0</v>
      </c>
      <c r="AR23" s="48">
        <v>0</v>
      </c>
      <c r="AS23" s="48">
        <v>139</v>
      </c>
      <c r="AT23" s="48">
        <v>6484.51</v>
      </c>
      <c r="AU23" s="48">
        <v>141614</v>
      </c>
      <c r="AV23" s="48">
        <v>373</v>
      </c>
      <c r="AW23" s="48">
        <v>24621</v>
      </c>
      <c r="AX23" s="48">
        <v>65</v>
      </c>
      <c r="AY23" s="48">
        <v>0.1481</v>
      </c>
      <c r="AZ23" s="48" t="s">
        <v>360</v>
      </c>
      <c r="BA23" s="48" t="s">
        <v>360</v>
      </c>
      <c r="BB23" s="48" t="s">
        <v>360</v>
      </c>
      <c r="BC23" s="48" t="s">
        <v>360</v>
      </c>
    </row>
    <row r="24" spans="1:55">
      <c r="A24" s="44" t="s">
        <v>188</v>
      </c>
      <c r="B24" s="20">
        <f t="shared" si="0"/>
        <v>46039</v>
      </c>
      <c r="C24" s="49" t="str">
        <f t="shared" si="1"/>
        <v>2026年</v>
      </c>
      <c r="D24" s="49" t="str">
        <f t="shared" si="2"/>
        <v>1月</v>
      </c>
      <c r="E24" s="50" t="str">
        <f t="shared" si="3"/>
        <v>W3</v>
      </c>
      <c r="F24" s="48" t="s">
        <v>403</v>
      </c>
      <c r="G24" s="48" t="s">
        <v>404</v>
      </c>
      <c r="H24" s="48">
        <v>333</v>
      </c>
      <c r="I24" s="48">
        <v>373307</v>
      </c>
      <c r="J24" s="48">
        <v>691150</v>
      </c>
      <c r="K24" s="48">
        <v>35535</v>
      </c>
      <c r="L24" s="48">
        <v>6398.85954381753</v>
      </c>
      <c r="M24" s="48">
        <v>45588</v>
      </c>
      <c r="N24" s="48">
        <v>189</v>
      </c>
      <c r="O24" s="48">
        <v>102</v>
      </c>
      <c r="P24" s="48">
        <v>0.68</v>
      </c>
      <c r="Q24" s="48">
        <v>1744</v>
      </c>
      <c r="R24" s="48">
        <v>1</v>
      </c>
      <c r="S24" s="48">
        <v>318</v>
      </c>
      <c r="T24" s="48">
        <v>42</v>
      </c>
      <c r="U24" s="48">
        <v>0.2118</v>
      </c>
      <c r="V24" s="48">
        <v>79</v>
      </c>
      <c r="W24" s="48">
        <v>32185</v>
      </c>
      <c r="X24" s="48">
        <v>11721</v>
      </c>
      <c r="Y24" s="48">
        <v>305531</v>
      </c>
      <c r="Z24" s="48">
        <v>29940</v>
      </c>
      <c r="AA24" s="48">
        <v>350</v>
      </c>
      <c r="AB24" s="48">
        <v>180282</v>
      </c>
      <c r="AC24" s="48">
        <v>156287.42</v>
      </c>
      <c r="AD24" s="48">
        <v>28142.9927971188</v>
      </c>
      <c r="AE24" s="48">
        <v>350</v>
      </c>
      <c r="AF24" s="48">
        <v>328</v>
      </c>
      <c r="AG24" s="48">
        <v>105</v>
      </c>
      <c r="AH24" s="48">
        <v>47567.18</v>
      </c>
      <c r="AI24" s="48">
        <v>99</v>
      </c>
      <c r="AJ24" s="48">
        <v>0</v>
      </c>
      <c r="AK24" s="48">
        <v>0.098</v>
      </c>
      <c r="AL24" s="48">
        <v>0.3642</v>
      </c>
      <c r="AM24" s="48">
        <v>0.0117</v>
      </c>
      <c r="AN24" s="48">
        <v>0.028</v>
      </c>
      <c r="AO24" s="48">
        <v>0.0077</v>
      </c>
      <c r="AP24" s="48">
        <v>0.0092</v>
      </c>
      <c r="AQ24" s="48">
        <v>0</v>
      </c>
      <c r="AR24" s="48">
        <v>0</v>
      </c>
      <c r="AS24" s="48">
        <v>162</v>
      </c>
      <c r="AT24" s="48">
        <v>5639.58</v>
      </c>
      <c r="AU24" s="48">
        <v>157506.18</v>
      </c>
      <c r="AV24" s="48">
        <v>307</v>
      </c>
      <c r="AW24" s="48">
        <v>22775.82</v>
      </c>
      <c r="AX24" s="48">
        <v>43</v>
      </c>
      <c r="AY24" s="48">
        <v>0.1263</v>
      </c>
      <c r="AZ24" s="48">
        <v>114231.43</v>
      </c>
      <c r="BA24" s="48">
        <v>0.730906108757826</v>
      </c>
      <c r="BB24" s="48">
        <v>7461.35</v>
      </c>
      <c r="BC24" s="48">
        <v>242</v>
      </c>
    </row>
    <row r="25" spans="1:55">
      <c r="A25" s="44" t="s">
        <v>188</v>
      </c>
      <c r="B25" s="20">
        <f t="shared" si="0"/>
        <v>46030</v>
      </c>
      <c r="C25" s="49" t="str">
        <f t="shared" si="1"/>
        <v>2026年</v>
      </c>
      <c r="D25" s="49" t="str">
        <f t="shared" si="2"/>
        <v>1月</v>
      </c>
      <c r="E25" s="50" t="str">
        <f t="shared" si="3"/>
        <v>W2</v>
      </c>
      <c r="F25" s="48" t="s">
        <v>405</v>
      </c>
      <c r="G25" s="48" t="s">
        <v>406</v>
      </c>
      <c r="H25" s="48">
        <v>195</v>
      </c>
      <c r="I25" s="48">
        <v>578253</v>
      </c>
      <c r="J25" s="48">
        <v>880837</v>
      </c>
      <c r="K25" s="48">
        <v>38582</v>
      </c>
      <c r="L25" s="48">
        <v>11839.0044323219</v>
      </c>
      <c r="M25" s="48">
        <v>48020</v>
      </c>
      <c r="N25" s="48">
        <v>718</v>
      </c>
      <c r="O25" s="48">
        <v>342</v>
      </c>
      <c r="P25" s="48">
        <v>0.91</v>
      </c>
      <c r="Q25" s="48">
        <v>2387</v>
      </c>
      <c r="R25" s="48">
        <v>2</v>
      </c>
      <c r="S25" s="48">
        <v>320</v>
      </c>
      <c r="T25" s="48">
        <v>24</v>
      </c>
      <c r="U25" s="48">
        <v>0.2491</v>
      </c>
      <c r="V25" s="48">
        <v>74</v>
      </c>
      <c r="W25" s="48">
        <v>37544</v>
      </c>
      <c r="X25" s="48">
        <v>8362</v>
      </c>
      <c r="Y25" s="48">
        <v>203030</v>
      </c>
      <c r="Z25" s="48">
        <v>18544</v>
      </c>
      <c r="AA25" s="48">
        <v>344</v>
      </c>
      <c r="AB25" s="48">
        <v>156138</v>
      </c>
      <c r="AC25" s="48">
        <v>155117.74</v>
      </c>
      <c r="AD25" s="48">
        <v>47598.3518581657</v>
      </c>
      <c r="AE25" s="48">
        <v>344</v>
      </c>
      <c r="AF25" s="48">
        <v>309</v>
      </c>
      <c r="AG25" s="48">
        <v>187</v>
      </c>
      <c r="AH25" s="48">
        <v>84035.21</v>
      </c>
      <c r="AI25" s="48">
        <v>167</v>
      </c>
      <c r="AJ25" s="48">
        <v>0</v>
      </c>
      <c r="AK25" s="48">
        <v>0.0913</v>
      </c>
      <c r="AL25" s="48">
        <v>0.2227</v>
      </c>
      <c r="AM25" s="48">
        <v>0.0186</v>
      </c>
      <c r="AN25" s="48">
        <v>0.037</v>
      </c>
      <c r="AO25" s="48">
        <v>0.0072</v>
      </c>
      <c r="AP25" s="48">
        <v>0.008</v>
      </c>
      <c r="AQ25" s="48">
        <v>0</v>
      </c>
      <c r="AR25" s="48">
        <v>0</v>
      </c>
      <c r="AS25" s="48">
        <v>133</v>
      </c>
      <c r="AT25" s="48">
        <v>5887.41</v>
      </c>
      <c r="AU25" s="48">
        <v>138584</v>
      </c>
      <c r="AV25" s="48">
        <v>306</v>
      </c>
      <c r="AW25" s="48">
        <v>17554</v>
      </c>
      <c r="AX25" s="48">
        <v>38</v>
      </c>
      <c r="AY25" s="48">
        <v>0.1124</v>
      </c>
      <c r="AZ25" s="48" t="s">
        <v>360</v>
      </c>
      <c r="BA25" s="48" t="s">
        <v>360</v>
      </c>
      <c r="BB25" s="48" t="s">
        <v>360</v>
      </c>
      <c r="BC25" s="48" t="s">
        <v>360</v>
      </c>
    </row>
    <row r="26" spans="1:55">
      <c r="A26" s="44" t="s">
        <v>188</v>
      </c>
      <c r="B26" s="20">
        <f t="shared" si="0"/>
        <v>46038</v>
      </c>
      <c r="C26" s="49" t="str">
        <f t="shared" si="1"/>
        <v>2026年</v>
      </c>
      <c r="D26" s="49" t="str">
        <f t="shared" si="2"/>
        <v>1月</v>
      </c>
      <c r="E26" s="50" t="str">
        <f t="shared" si="3"/>
        <v>W3</v>
      </c>
      <c r="F26" s="48" t="s">
        <v>407</v>
      </c>
      <c r="G26" s="48" t="s">
        <v>408</v>
      </c>
      <c r="H26" s="48">
        <v>341</v>
      </c>
      <c r="I26" s="48">
        <v>335005</v>
      </c>
      <c r="J26" s="48">
        <v>653646</v>
      </c>
      <c r="K26" s="48">
        <v>35031</v>
      </c>
      <c r="L26" s="48">
        <v>6162.30637674078</v>
      </c>
      <c r="M26" s="48">
        <v>45070</v>
      </c>
      <c r="N26" s="48">
        <v>171</v>
      </c>
      <c r="O26" s="48">
        <v>95</v>
      </c>
      <c r="P26" s="48">
        <v>0.62</v>
      </c>
      <c r="Q26" s="48">
        <v>1573</v>
      </c>
      <c r="R26" s="48">
        <v>2</v>
      </c>
      <c r="S26" s="48">
        <v>296</v>
      </c>
      <c r="T26" s="48">
        <v>44</v>
      </c>
      <c r="U26" s="48">
        <v>0.2511</v>
      </c>
      <c r="V26" s="48">
        <v>79</v>
      </c>
      <c r="W26" s="48">
        <v>32098</v>
      </c>
      <c r="X26" s="48">
        <v>11371</v>
      </c>
      <c r="Y26" s="48">
        <v>316408</v>
      </c>
      <c r="Z26" s="48">
        <v>29980</v>
      </c>
      <c r="AA26" s="48">
        <v>350</v>
      </c>
      <c r="AB26" s="48">
        <v>177106</v>
      </c>
      <c r="AC26" s="48">
        <v>154067.56</v>
      </c>
      <c r="AD26" s="48">
        <v>27102.0384070364</v>
      </c>
      <c r="AE26" s="48">
        <v>350</v>
      </c>
      <c r="AF26" s="48">
        <v>321</v>
      </c>
      <c r="AG26" s="48">
        <v>161</v>
      </c>
      <c r="AH26" s="48">
        <v>72173.85</v>
      </c>
      <c r="AI26" s="48">
        <v>145</v>
      </c>
      <c r="AJ26" s="48">
        <v>0</v>
      </c>
      <c r="AK26" s="48">
        <v>0.0948</v>
      </c>
      <c r="AL26" s="48">
        <v>0.3543</v>
      </c>
      <c r="AM26" s="48">
        <v>0.0117</v>
      </c>
      <c r="AN26" s="48">
        <v>0.0282</v>
      </c>
      <c r="AO26" s="48">
        <v>0.0078</v>
      </c>
      <c r="AP26" s="48">
        <v>0.0092</v>
      </c>
      <c r="AQ26" s="48">
        <v>0</v>
      </c>
      <c r="AR26" s="48">
        <v>0</v>
      </c>
      <c r="AS26" s="48">
        <v>177</v>
      </c>
      <c r="AT26" s="48">
        <v>5108.6</v>
      </c>
      <c r="AU26" s="48">
        <v>148313.26</v>
      </c>
      <c r="AV26" s="48">
        <v>296</v>
      </c>
      <c r="AW26" s="48">
        <v>28792.74</v>
      </c>
      <c r="AX26" s="48">
        <v>54</v>
      </c>
      <c r="AY26" s="48">
        <v>0.1626</v>
      </c>
      <c r="AZ26" s="48">
        <v>96072.77</v>
      </c>
      <c r="BA26" s="48">
        <v>0.623575592421922</v>
      </c>
      <c r="BB26" s="48">
        <v>5875.52</v>
      </c>
      <c r="BC26" s="48">
        <v>203</v>
      </c>
    </row>
    <row r="27" spans="1:55">
      <c r="A27" s="44" t="s">
        <v>188</v>
      </c>
      <c r="B27" s="20">
        <f t="shared" si="0"/>
        <v>46041</v>
      </c>
      <c r="C27" s="49" t="str">
        <f t="shared" si="1"/>
        <v>2026年</v>
      </c>
      <c r="D27" s="49" t="str">
        <f t="shared" si="2"/>
        <v>1月</v>
      </c>
      <c r="E27" s="50" t="str">
        <f t="shared" si="3"/>
        <v>W4</v>
      </c>
      <c r="F27" s="48" t="s">
        <v>409</v>
      </c>
      <c r="G27" s="48" t="s">
        <v>410</v>
      </c>
      <c r="H27" s="48">
        <v>304</v>
      </c>
      <c r="I27" s="48">
        <v>343808</v>
      </c>
      <c r="J27" s="48">
        <v>622764</v>
      </c>
      <c r="K27" s="48">
        <v>33655</v>
      </c>
      <c r="L27" s="48">
        <v>6640.2499177902</v>
      </c>
      <c r="M27" s="48">
        <v>42618</v>
      </c>
      <c r="N27" s="48">
        <v>144</v>
      </c>
      <c r="O27" s="48">
        <v>99</v>
      </c>
      <c r="P27" s="48">
        <v>0.59</v>
      </c>
      <c r="Q27" s="48">
        <v>1575</v>
      </c>
      <c r="R27" s="48">
        <v>2</v>
      </c>
      <c r="S27" s="48">
        <v>228</v>
      </c>
      <c r="T27" s="48">
        <v>39</v>
      </c>
      <c r="U27" s="48">
        <v>0.2119</v>
      </c>
      <c r="V27" s="48">
        <v>78</v>
      </c>
      <c r="W27" s="48">
        <v>29721</v>
      </c>
      <c r="X27" s="48">
        <v>8674</v>
      </c>
      <c r="Y27" s="48">
        <v>265921</v>
      </c>
      <c r="Z27" s="48">
        <v>21207</v>
      </c>
      <c r="AA27" s="48">
        <v>417</v>
      </c>
      <c r="AB27" s="48">
        <v>157296</v>
      </c>
      <c r="AC27" s="48">
        <v>151816.06</v>
      </c>
      <c r="AD27" s="48">
        <v>29953.8428148635</v>
      </c>
      <c r="AE27" s="48">
        <v>417</v>
      </c>
      <c r="AF27" s="48">
        <v>380</v>
      </c>
      <c r="AG27" s="48">
        <v>73</v>
      </c>
      <c r="AH27" s="48">
        <v>26724.46</v>
      </c>
      <c r="AI27" s="48">
        <v>67</v>
      </c>
      <c r="AJ27" s="48">
        <v>0</v>
      </c>
      <c r="AK27" s="48">
        <v>0.0797</v>
      </c>
      <c r="AL27" s="48">
        <v>0.2918</v>
      </c>
      <c r="AM27" s="48">
        <v>0.0197</v>
      </c>
      <c r="AN27" s="48">
        <v>0.0438</v>
      </c>
      <c r="AO27" s="48">
        <v>0.0098</v>
      </c>
      <c r="AP27" s="48">
        <v>0.0113</v>
      </c>
      <c r="AQ27" s="48">
        <v>0</v>
      </c>
      <c r="AR27" s="48">
        <v>0</v>
      </c>
      <c r="AS27" s="48">
        <v>137</v>
      </c>
      <c r="AT27" s="48">
        <v>5025.11</v>
      </c>
      <c r="AU27" s="48">
        <v>135992.12</v>
      </c>
      <c r="AV27" s="48">
        <v>362</v>
      </c>
      <c r="AW27" s="48">
        <v>21303.88</v>
      </c>
      <c r="AX27" s="48">
        <v>55</v>
      </c>
      <c r="AY27" s="48">
        <v>0.1354</v>
      </c>
      <c r="AZ27" s="48">
        <v>70797.66</v>
      </c>
      <c r="BA27" s="48">
        <v>0.466338409783524</v>
      </c>
      <c r="BB27" s="48">
        <v>4622.04</v>
      </c>
      <c r="BC27" s="48">
        <v>189</v>
      </c>
    </row>
    <row r="28" spans="1:55">
      <c r="A28" s="44" t="s">
        <v>188</v>
      </c>
      <c r="B28" s="20">
        <f t="shared" si="0"/>
        <v>46029</v>
      </c>
      <c r="C28" s="49" t="str">
        <f t="shared" si="1"/>
        <v>2026年</v>
      </c>
      <c r="D28" s="49" t="str">
        <f t="shared" si="2"/>
        <v>1月</v>
      </c>
      <c r="E28" s="50" t="str">
        <f t="shared" si="3"/>
        <v>W2</v>
      </c>
      <c r="F28" s="48" t="s">
        <v>411</v>
      </c>
      <c r="G28" s="48" t="s">
        <v>412</v>
      </c>
      <c r="H28" s="48">
        <v>324</v>
      </c>
      <c r="I28" s="48">
        <v>363984</v>
      </c>
      <c r="J28" s="48">
        <v>671753</v>
      </c>
      <c r="K28" s="48">
        <v>27481</v>
      </c>
      <c r="L28" s="48">
        <v>5087.7654924145</v>
      </c>
      <c r="M28" s="48">
        <v>37325</v>
      </c>
      <c r="N28" s="48">
        <v>207</v>
      </c>
      <c r="O28" s="48">
        <v>99</v>
      </c>
      <c r="P28" s="48">
        <v>0.8</v>
      </c>
      <c r="Q28" s="48">
        <v>2071</v>
      </c>
      <c r="R28" s="48">
        <v>1</v>
      </c>
      <c r="S28" s="48">
        <v>187</v>
      </c>
      <c r="T28" s="48">
        <v>28</v>
      </c>
      <c r="U28" s="48">
        <v>0.3226</v>
      </c>
      <c r="V28" s="48">
        <v>74</v>
      </c>
      <c r="W28" s="48">
        <v>26008</v>
      </c>
      <c r="X28" s="48">
        <v>6749</v>
      </c>
      <c r="Y28" s="48">
        <v>182147</v>
      </c>
      <c r="Z28" s="48">
        <v>15882</v>
      </c>
      <c r="AA28" s="48">
        <v>328</v>
      </c>
      <c r="AB28" s="48">
        <v>148013</v>
      </c>
      <c r="AC28" s="48">
        <v>146450.9</v>
      </c>
      <c r="AD28" s="48">
        <v>27113.5633839033</v>
      </c>
      <c r="AE28" s="48">
        <v>328</v>
      </c>
      <c r="AF28" s="48">
        <v>299</v>
      </c>
      <c r="AG28" s="48">
        <v>174</v>
      </c>
      <c r="AH28" s="48">
        <v>79349.04</v>
      </c>
      <c r="AI28" s="48">
        <v>160</v>
      </c>
      <c r="AJ28" s="48">
        <v>0</v>
      </c>
      <c r="AK28" s="48">
        <v>0.0872</v>
      </c>
      <c r="AL28" s="48">
        <v>0.2595</v>
      </c>
      <c r="AM28" s="48">
        <v>0.0207</v>
      </c>
      <c r="AN28" s="48">
        <v>0.0443</v>
      </c>
      <c r="AO28" s="48">
        <v>0.0088</v>
      </c>
      <c r="AP28" s="48">
        <v>0.0109</v>
      </c>
      <c r="AQ28" s="48">
        <v>0</v>
      </c>
      <c r="AR28" s="48">
        <v>0</v>
      </c>
      <c r="AS28" s="48">
        <v>79</v>
      </c>
      <c r="AT28" s="48">
        <v>5483.89</v>
      </c>
      <c r="AU28" s="48">
        <v>126293</v>
      </c>
      <c r="AV28" s="48">
        <v>282</v>
      </c>
      <c r="AW28" s="48">
        <v>21720</v>
      </c>
      <c r="AX28" s="48">
        <v>46</v>
      </c>
      <c r="AY28" s="48">
        <v>0.1467</v>
      </c>
      <c r="AZ28" s="48" t="s">
        <v>360</v>
      </c>
      <c r="BA28" s="48" t="s">
        <v>360</v>
      </c>
      <c r="BB28" s="48" t="s">
        <v>360</v>
      </c>
      <c r="BC28" s="48" t="s">
        <v>360</v>
      </c>
    </row>
    <row r="29" spans="1:55">
      <c r="A29" s="44" t="s">
        <v>188</v>
      </c>
      <c r="B29" s="20">
        <f t="shared" si="0"/>
        <v>46025</v>
      </c>
      <c r="C29" s="49" t="str">
        <f t="shared" si="1"/>
        <v>2026年</v>
      </c>
      <c r="D29" s="49" t="str">
        <f t="shared" si="2"/>
        <v>1月</v>
      </c>
      <c r="E29" s="50" t="str">
        <f t="shared" si="3"/>
        <v>W1</v>
      </c>
      <c r="F29" s="48" t="s">
        <v>413</v>
      </c>
      <c r="G29" s="48" t="s">
        <v>414</v>
      </c>
      <c r="H29" s="48">
        <v>332</v>
      </c>
      <c r="I29" s="48">
        <v>350129</v>
      </c>
      <c r="J29" s="48">
        <v>637174</v>
      </c>
      <c r="K29" s="48">
        <v>32646</v>
      </c>
      <c r="L29" s="48">
        <v>5897.8069955337</v>
      </c>
      <c r="M29" s="48">
        <v>42124</v>
      </c>
      <c r="N29" s="48">
        <v>139</v>
      </c>
      <c r="O29" s="48">
        <v>88</v>
      </c>
      <c r="P29" s="48">
        <v>0.6</v>
      </c>
      <c r="Q29" s="48">
        <v>1486</v>
      </c>
      <c r="R29" s="48">
        <v>1</v>
      </c>
      <c r="S29" s="48">
        <v>227</v>
      </c>
      <c r="T29" s="48">
        <v>36</v>
      </c>
      <c r="U29" s="48">
        <v>0.2483</v>
      </c>
      <c r="V29" s="48">
        <v>154</v>
      </c>
      <c r="W29" s="48">
        <v>29628</v>
      </c>
      <c r="X29" s="48">
        <v>8440</v>
      </c>
      <c r="Y29" s="48">
        <v>256746</v>
      </c>
      <c r="Z29" s="48">
        <v>22621</v>
      </c>
      <c r="AA29" s="48">
        <v>386</v>
      </c>
      <c r="AB29" s="48">
        <v>147263</v>
      </c>
      <c r="AC29" s="48">
        <v>146152.97</v>
      </c>
      <c r="AD29" s="48">
        <v>26403.9088673659</v>
      </c>
      <c r="AE29" s="48">
        <v>386</v>
      </c>
      <c r="AF29" s="48">
        <v>359</v>
      </c>
      <c r="AG29" s="48">
        <v>195</v>
      </c>
      <c r="AH29" s="48">
        <v>74499.42</v>
      </c>
      <c r="AI29" s="48">
        <v>188</v>
      </c>
      <c r="AJ29" s="48">
        <v>0</v>
      </c>
      <c r="AK29" s="48">
        <v>0.0881</v>
      </c>
      <c r="AL29" s="48">
        <v>0.2849</v>
      </c>
      <c r="AM29" s="48">
        <v>0.0171</v>
      </c>
      <c r="AN29" s="48">
        <v>0.0425</v>
      </c>
      <c r="AO29" s="48">
        <v>0.0092</v>
      </c>
      <c r="AP29" s="48">
        <v>0.011</v>
      </c>
      <c r="AQ29" s="48">
        <v>0</v>
      </c>
      <c r="AR29" s="48">
        <v>0</v>
      </c>
      <c r="AS29" s="48">
        <v>87</v>
      </c>
      <c r="AT29" s="48">
        <v>5582.35</v>
      </c>
      <c r="AU29" s="48">
        <v>131610</v>
      </c>
      <c r="AV29" s="48">
        <v>346</v>
      </c>
      <c r="AW29" s="48">
        <v>15653</v>
      </c>
      <c r="AX29" s="48">
        <v>40</v>
      </c>
      <c r="AY29" s="48">
        <v>0.1063</v>
      </c>
      <c r="AZ29" s="48" t="s">
        <v>360</v>
      </c>
      <c r="BA29" s="48" t="s">
        <v>360</v>
      </c>
      <c r="BB29" s="48" t="s">
        <v>360</v>
      </c>
      <c r="BC29" s="48" t="s">
        <v>360</v>
      </c>
    </row>
    <row r="30" spans="1:55">
      <c r="A30" s="44" t="s">
        <v>188</v>
      </c>
      <c r="B30" s="20">
        <f t="shared" si="0"/>
        <v>46032</v>
      </c>
      <c r="C30" s="49" t="str">
        <f t="shared" si="1"/>
        <v>2026年</v>
      </c>
      <c r="D30" s="49" t="str">
        <f t="shared" si="2"/>
        <v>1月</v>
      </c>
      <c r="E30" s="50" t="str">
        <f t="shared" si="3"/>
        <v>W2</v>
      </c>
      <c r="F30" s="48" t="s">
        <v>415</v>
      </c>
      <c r="G30" s="48" t="s">
        <v>416</v>
      </c>
      <c r="H30" s="48">
        <v>317</v>
      </c>
      <c r="I30" s="48">
        <v>348166</v>
      </c>
      <c r="J30" s="48">
        <v>691311</v>
      </c>
      <c r="K30" s="48">
        <v>37878</v>
      </c>
      <c r="L30" s="48">
        <v>7166.6999526988</v>
      </c>
      <c r="M30" s="48">
        <v>50601</v>
      </c>
      <c r="N30" s="48">
        <v>596</v>
      </c>
      <c r="O30" s="48">
        <v>134</v>
      </c>
      <c r="P30" s="48">
        <v>0.76</v>
      </c>
      <c r="Q30" s="48">
        <v>2163</v>
      </c>
      <c r="R30" s="48">
        <v>1</v>
      </c>
      <c r="S30" s="48">
        <v>181</v>
      </c>
      <c r="T30" s="48">
        <v>27</v>
      </c>
      <c r="U30" s="48">
        <v>0.2898</v>
      </c>
      <c r="V30" s="48">
        <v>74</v>
      </c>
      <c r="W30" s="48">
        <v>35361</v>
      </c>
      <c r="X30" s="48">
        <v>9299</v>
      </c>
      <c r="Y30" s="48">
        <v>291493</v>
      </c>
      <c r="Z30" s="48">
        <v>25070</v>
      </c>
      <c r="AA30" s="48">
        <v>390</v>
      </c>
      <c r="AB30" s="48">
        <v>146812</v>
      </c>
      <c r="AC30" s="48">
        <v>145527.38</v>
      </c>
      <c r="AD30" s="48">
        <v>27534.4808955695</v>
      </c>
      <c r="AE30" s="48">
        <v>391</v>
      </c>
      <c r="AF30" s="48">
        <v>345</v>
      </c>
      <c r="AG30" s="48">
        <v>189</v>
      </c>
      <c r="AH30" s="48">
        <v>71941.29</v>
      </c>
      <c r="AI30" s="48">
        <v>178</v>
      </c>
      <c r="AJ30" s="48">
        <v>0</v>
      </c>
      <c r="AK30" s="48">
        <v>0.086</v>
      </c>
      <c r="AL30" s="48">
        <v>0.263</v>
      </c>
      <c r="AM30" s="48">
        <v>0.0156</v>
      </c>
      <c r="AN30" s="48">
        <v>0.0371</v>
      </c>
      <c r="AO30" s="48">
        <v>0.0077</v>
      </c>
      <c r="AP30" s="48">
        <v>0.0091</v>
      </c>
      <c r="AQ30" s="48">
        <v>0</v>
      </c>
      <c r="AR30" s="48">
        <v>0</v>
      </c>
      <c r="AS30" s="48">
        <v>68</v>
      </c>
      <c r="AT30" s="48">
        <v>5252.32</v>
      </c>
      <c r="AU30" s="48">
        <v>129265.99</v>
      </c>
      <c r="AV30" s="48">
        <v>345</v>
      </c>
      <c r="AW30" s="48">
        <v>17546.01</v>
      </c>
      <c r="AX30" s="48">
        <v>45</v>
      </c>
      <c r="AY30" s="48">
        <v>0.1195</v>
      </c>
      <c r="AZ30" s="48" t="s">
        <v>360</v>
      </c>
      <c r="BA30" s="48" t="s">
        <v>360</v>
      </c>
      <c r="BB30" s="48" t="s">
        <v>360</v>
      </c>
      <c r="BC30" s="48" t="s">
        <v>360</v>
      </c>
    </row>
    <row r="31" spans="1:55">
      <c r="A31" s="44" t="s">
        <v>188</v>
      </c>
      <c r="B31" s="20">
        <f t="shared" si="0"/>
        <v>46035</v>
      </c>
      <c r="C31" s="49" t="str">
        <f t="shared" si="1"/>
        <v>2026年</v>
      </c>
      <c r="D31" s="49" t="str">
        <f t="shared" si="2"/>
        <v>1月</v>
      </c>
      <c r="E31" s="50" t="str">
        <f t="shared" si="3"/>
        <v>W3</v>
      </c>
      <c r="F31" s="48" t="s">
        <v>417</v>
      </c>
      <c r="G31" s="48" t="s">
        <v>418</v>
      </c>
      <c r="H31" s="48">
        <v>291</v>
      </c>
      <c r="I31" s="48">
        <v>372602</v>
      </c>
      <c r="J31" s="48">
        <v>622930</v>
      </c>
      <c r="K31" s="48">
        <v>29026</v>
      </c>
      <c r="L31" s="48">
        <v>5981.31654264453</v>
      </c>
      <c r="M31" s="48">
        <v>37344</v>
      </c>
      <c r="N31" s="48">
        <v>626</v>
      </c>
      <c r="O31" s="48">
        <v>118</v>
      </c>
      <c r="P31" s="48">
        <v>0.73</v>
      </c>
      <c r="Q31" s="48">
        <v>1962</v>
      </c>
      <c r="R31" s="48">
        <v>1</v>
      </c>
      <c r="S31" s="48">
        <v>184</v>
      </c>
      <c r="T31" s="48">
        <v>18</v>
      </c>
      <c r="U31" s="48">
        <v>0.2654</v>
      </c>
      <c r="V31" s="48">
        <v>76</v>
      </c>
      <c r="W31" s="48">
        <v>27873</v>
      </c>
      <c r="X31" s="48">
        <v>7174</v>
      </c>
      <c r="Y31" s="48">
        <v>185244</v>
      </c>
      <c r="Z31" s="48">
        <v>16476</v>
      </c>
      <c r="AA31" s="48">
        <v>352</v>
      </c>
      <c r="AB31" s="48">
        <v>138948.99</v>
      </c>
      <c r="AC31" s="48">
        <v>137525.79</v>
      </c>
      <c r="AD31" s="48">
        <v>28339.6018317115</v>
      </c>
      <c r="AE31" s="48">
        <v>352</v>
      </c>
      <c r="AF31" s="48">
        <v>310</v>
      </c>
      <c r="AG31" s="48">
        <v>187</v>
      </c>
      <c r="AH31" s="48">
        <v>72072.59</v>
      </c>
      <c r="AI31" s="48">
        <v>168</v>
      </c>
      <c r="AJ31" s="48">
        <v>0</v>
      </c>
      <c r="AK31" s="48">
        <v>0.0889</v>
      </c>
      <c r="AL31" s="48">
        <v>0.2574</v>
      </c>
      <c r="AM31" s="48">
        <v>0.0214</v>
      </c>
      <c r="AN31" s="48">
        <v>0.0432</v>
      </c>
      <c r="AO31" s="48">
        <v>0.0094</v>
      </c>
      <c r="AP31" s="48">
        <v>0.0107</v>
      </c>
      <c r="AQ31" s="48">
        <v>0</v>
      </c>
      <c r="AR31" s="48">
        <v>0</v>
      </c>
      <c r="AS31" s="48">
        <v>66</v>
      </c>
      <c r="AT31" s="48">
        <v>4900.72</v>
      </c>
      <c r="AU31" s="48">
        <v>114173.09</v>
      </c>
      <c r="AV31" s="48">
        <v>292</v>
      </c>
      <c r="AW31" s="48">
        <v>24775.9</v>
      </c>
      <c r="AX31" s="48">
        <v>60</v>
      </c>
      <c r="AY31" s="48">
        <v>0.1783</v>
      </c>
      <c r="AZ31" s="48" t="s">
        <v>360</v>
      </c>
      <c r="BA31" s="48" t="s">
        <v>360</v>
      </c>
      <c r="BB31" s="48" t="s">
        <v>360</v>
      </c>
      <c r="BC31" s="48" t="s">
        <v>360</v>
      </c>
    </row>
    <row r="32" spans="1:55">
      <c r="A32" s="44" t="s">
        <v>188</v>
      </c>
      <c r="B32" s="20">
        <f t="shared" si="0"/>
        <v>46025</v>
      </c>
      <c r="C32" s="49" t="str">
        <f t="shared" si="1"/>
        <v>2026年</v>
      </c>
      <c r="D32" s="49" t="str">
        <f t="shared" si="2"/>
        <v>1月</v>
      </c>
      <c r="E32" s="50" t="str">
        <f t="shared" si="3"/>
        <v>W1</v>
      </c>
      <c r="F32" s="48" t="s">
        <v>419</v>
      </c>
      <c r="G32" s="48" t="s">
        <v>420</v>
      </c>
      <c r="H32" s="48">
        <v>309</v>
      </c>
      <c r="I32" s="48">
        <v>345103</v>
      </c>
      <c r="J32" s="48">
        <v>634805</v>
      </c>
      <c r="K32" s="48">
        <v>28707</v>
      </c>
      <c r="L32" s="48">
        <v>5568.46812867073</v>
      </c>
      <c r="M32" s="48">
        <v>38711</v>
      </c>
      <c r="N32" s="48">
        <v>173</v>
      </c>
      <c r="O32" s="48">
        <v>93</v>
      </c>
      <c r="P32" s="48">
        <v>0.71</v>
      </c>
      <c r="Q32" s="48">
        <v>1734</v>
      </c>
      <c r="R32" s="48">
        <v>0</v>
      </c>
      <c r="S32" s="48">
        <v>192</v>
      </c>
      <c r="T32" s="48">
        <v>33</v>
      </c>
      <c r="U32" s="48">
        <v>0.2699</v>
      </c>
      <c r="V32" s="48">
        <v>154</v>
      </c>
      <c r="W32" s="48">
        <v>26747</v>
      </c>
      <c r="X32" s="48">
        <v>6455</v>
      </c>
      <c r="Y32" s="48">
        <v>198323</v>
      </c>
      <c r="Z32" s="48">
        <v>16641</v>
      </c>
      <c r="AA32" s="48">
        <v>334</v>
      </c>
      <c r="AB32" s="48">
        <v>126583</v>
      </c>
      <c r="AC32" s="48">
        <v>125895.78</v>
      </c>
      <c r="AD32" s="48">
        <v>24420.7558596907</v>
      </c>
      <c r="AE32" s="48">
        <v>334</v>
      </c>
      <c r="AF32" s="48">
        <v>291</v>
      </c>
      <c r="AG32" s="48">
        <v>186</v>
      </c>
      <c r="AH32" s="48">
        <v>69577.09</v>
      </c>
      <c r="AI32" s="48">
        <v>163</v>
      </c>
      <c r="AJ32" s="48">
        <v>0</v>
      </c>
      <c r="AK32" s="48">
        <v>0.0839</v>
      </c>
      <c r="AL32" s="48">
        <v>0.2413</v>
      </c>
      <c r="AM32" s="48">
        <v>0.0201</v>
      </c>
      <c r="AN32" s="48">
        <v>0.0451</v>
      </c>
      <c r="AO32" s="48">
        <v>0.0086</v>
      </c>
      <c r="AP32" s="48">
        <v>0.0101</v>
      </c>
      <c r="AQ32" s="48">
        <v>0</v>
      </c>
      <c r="AR32" s="48">
        <v>0</v>
      </c>
      <c r="AS32" s="48">
        <v>66</v>
      </c>
      <c r="AT32" s="48">
        <v>4262</v>
      </c>
      <c r="AU32" s="48">
        <v>106374</v>
      </c>
      <c r="AV32" s="48">
        <v>281</v>
      </c>
      <c r="AW32" s="48">
        <v>20209</v>
      </c>
      <c r="AX32" s="48">
        <v>53</v>
      </c>
      <c r="AY32" s="48">
        <v>0.1597</v>
      </c>
      <c r="AZ32" s="48" t="s">
        <v>360</v>
      </c>
      <c r="BA32" s="48" t="s">
        <v>360</v>
      </c>
      <c r="BB32" s="48" t="s">
        <v>360</v>
      </c>
      <c r="BC32" s="48" t="s">
        <v>360</v>
      </c>
    </row>
    <row r="33" spans="1:55">
      <c r="A33" s="44" t="s">
        <v>188</v>
      </c>
      <c r="B33" s="20">
        <f t="shared" si="0"/>
        <v>46040</v>
      </c>
      <c r="C33" s="49" t="str">
        <f t="shared" si="1"/>
        <v>2026年</v>
      </c>
      <c r="D33" s="49" t="str">
        <f t="shared" si="2"/>
        <v>1月</v>
      </c>
      <c r="E33" s="50" t="str">
        <f t="shared" si="3"/>
        <v>W3</v>
      </c>
      <c r="F33" s="48" t="s">
        <v>421</v>
      </c>
      <c r="G33" s="48" t="s">
        <v>422</v>
      </c>
      <c r="H33" s="48">
        <v>289</v>
      </c>
      <c r="I33" s="48">
        <v>257266</v>
      </c>
      <c r="J33" s="48">
        <v>478371</v>
      </c>
      <c r="K33" s="48">
        <v>28145</v>
      </c>
      <c r="L33" s="48">
        <v>5840.89467919525</v>
      </c>
      <c r="M33" s="48">
        <v>35576</v>
      </c>
      <c r="N33" s="48">
        <v>146</v>
      </c>
      <c r="O33" s="48">
        <v>84</v>
      </c>
      <c r="P33" s="48">
        <v>0.6</v>
      </c>
      <c r="Q33" s="48">
        <v>1172</v>
      </c>
      <c r="R33" s="48">
        <v>1</v>
      </c>
      <c r="S33" s="48">
        <v>187</v>
      </c>
      <c r="T33" s="48">
        <v>25</v>
      </c>
      <c r="U33" s="48">
        <v>0.2294</v>
      </c>
      <c r="V33" s="48">
        <v>78</v>
      </c>
      <c r="W33" s="48">
        <v>24944</v>
      </c>
      <c r="X33" s="48">
        <v>7491</v>
      </c>
      <c r="Y33" s="48">
        <v>220469</v>
      </c>
      <c r="Z33" s="48">
        <v>18838</v>
      </c>
      <c r="AA33" s="48">
        <v>282</v>
      </c>
      <c r="AB33" s="48">
        <v>125554</v>
      </c>
      <c r="AC33" s="48">
        <v>115500.74</v>
      </c>
      <c r="AD33" s="48">
        <v>23969.7160315905</v>
      </c>
      <c r="AE33" s="48">
        <v>284</v>
      </c>
      <c r="AF33" s="48">
        <v>255</v>
      </c>
      <c r="AG33" s="48">
        <v>58</v>
      </c>
      <c r="AH33" s="48">
        <v>24287.41</v>
      </c>
      <c r="AI33" s="48">
        <v>55</v>
      </c>
      <c r="AJ33" s="48">
        <v>0</v>
      </c>
      <c r="AK33" s="48">
        <v>0.0854</v>
      </c>
      <c r="AL33" s="48">
        <v>0.3003</v>
      </c>
      <c r="AM33" s="48">
        <v>0.015</v>
      </c>
      <c r="AN33" s="48">
        <v>0.034</v>
      </c>
      <c r="AO33" s="48">
        <v>0.0079</v>
      </c>
      <c r="AP33" s="48">
        <v>0.0091</v>
      </c>
      <c r="AQ33" s="48">
        <v>0</v>
      </c>
      <c r="AR33" s="48">
        <v>0</v>
      </c>
      <c r="AS33" s="48">
        <v>91</v>
      </c>
      <c r="AT33" s="48">
        <v>3617.21</v>
      </c>
      <c r="AU33" s="48">
        <v>108602.86</v>
      </c>
      <c r="AV33" s="48">
        <v>243</v>
      </c>
      <c r="AW33" s="48">
        <v>16951.14</v>
      </c>
      <c r="AX33" s="48">
        <v>39</v>
      </c>
      <c r="AY33" s="48">
        <v>0.135</v>
      </c>
      <c r="AZ33" s="48">
        <v>63366.64</v>
      </c>
      <c r="BA33" s="48">
        <v>0.548625402746337</v>
      </c>
      <c r="BB33" s="48">
        <v>4124.44</v>
      </c>
      <c r="BC33" s="48">
        <v>145</v>
      </c>
    </row>
    <row r="34" spans="1:55">
      <c r="A34" s="44" t="s">
        <v>188</v>
      </c>
      <c r="B34" s="20">
        <f t="shared" si="0"/>
        <v>46042</v>
      </c>
      <c r="C34" s="49" t="str">
        <f t="shared" si="1"/>
        <v>2026年</v>
      </c>
      <c r="D34" s="49" t="str">
        <f t="shared" si="2"/>
        <v>1月</v>
      </c>
      <c r="E34" s="50" t="str">
        <f t="shared" si="3"/>
        <v>W4</v>
      </c>
      <c r="F34" s="48" t="s">
        <v>423</v>
      </c>
      <c r="G34" s="48" t="s">
        <v>424</v>
      </c>
      <c r="H34" s="48">
        <v>275</v>
      </c>
      <c r="I34" s="48">
        <v>243391</v>
      </c>
      <c r="J34" s="48">
        <v>453980</v>
      </c>
      <c r="K34" s="48">
        <v>24135</v>
      </c>
      <c r="L34" s="48">
        <v>5262.6287098728</v>
      </c>
      <c r="M34" s="48">
        <v>30966</v>
      </c>
      <c r="N34" s="48">
        <v>137</v>
      </c>
      <c r="O34" s="48">
        <v>75</v>
      </c>
      <c r="P34" s="48">
        <v>0.61</v>
      </c>
      <c r="Q34" s="48">
        <v>1089</v>
      </c>
      <c r="R34" s="48">
        <v>1</v>
      </c>
      <c r="S34" s="48">
        <v>134</v>
      </c>
      <c r="T34" s="48">
        <v>0</v>
      </c>
      <c r="U34" s="48">
        <v>0.2486</v>
      </c>
      <c r="V34" s="48">
        <v>106</v>
      </c>
      <c r="W34" s="48">
        <v>21403</v>
      </c>
      <c r="X34" s="48">
        <v>5907</v>
      </c>
      <c r="Y34" s="48">
        <v>183140</v>
      </c>
      <c r="Z34" s="48">
        <v>14859</v>
      </c>
      <c r="AA34" s="48">
        <v>314</v>
      </c>
      <c r="AB34" s="48">
        <v>118550</v>
      </c>
      <c r="AC34" s="48">
        <v>114083.07</v>
      </c>
      <c r="AD34" s="48">
        <v>24875.7754088431</v>
      </c>
      <c r="AE34" s="48">
        <v>314</v>
      </c>
      <c r="AF34" s="48">
        <v>280</v>
      </c>
      <c r="AG34" s="48">
        <v>55</v>
      </c>
      <c r="AH34" s="48">
        <v>20361.14</v>
      </c>
      <c r="AI34" s="48">
        <v>52</v>
      </c>
      <c r="AJ34" s="48">
        <v>0</v>
      </c>
      <c r="AK34" s="48">
        <v>0.0811</v>
      </c>
      <c r="AL34" s="48">
        <v>0.276</v>
      </c>
      <c r="AM34" s="48">
        <v>0.0211</v>
      </c>
      <c r="AN34" s="48">
        <v>0.0474</v>
      </c>
      <c r="AO34" s="48">
        <v>0.0101</v>
      </c>
      <c r="AP34" s="48">
        <v>0.0116</v>
      </c>
      <c r="AQ34" s="48">
        <v>0</v>
      </c>
      <c r="AR34" s="48">
        <v>0</v>
      </c>
      <c r="AS34" s="48">
        <v>67</v>
      </c>
      <c r="AT34" s="48">
        <v>3782.18</v>
      </c>
      <c r="AU34" s="48">
        <v>100950.99</v>
      </c>
      <c r="AV34" s="48">
        <v>269</v>
      </c>
      <c r="AW34" s="48">
        <v>17599.01</v>
      </c>
      <c r="AX34" s="48">
        <v>45</v>
      </c>
      <c r="AY34" s="48">
        <v>0.1485</v>
      </c>
      <c r="AZ34" s="48">
        <v>55894.88</v>
      </c>
      <c r="BA34" s="48">
        <v>0.489948946850747</v>
      </c>
      <c r="BB34" s="48">
        <v>3927.65</v>
      </c>
      <c r="BC34" s="48">
        <v>149</v>
      </c>
    </row>
    <row r="35" spans="1:55">
      <c r="A35" s="44" t="s">
        <v>188</v>
      </c>
      <c r="B35" s="20">
        <f t="shared" ref="B35:B62" si="4">DATE(YEAR(F35),MONTH(F35),DAY(F35))</f>
        <v>46031</v>
      </c>
      <c r="C35" s="49" t="str">
        <f t="shared" ref="C35:C62" si="5">TEXT(YEAR(B35),"0")&amp;"年"</f>
        <v>2026年</v>
      </c>
      <c r="D35" s="49" t="str">
        <f t="shared" ref="D35:D62" si="6">TEXT(MONTH(B35),"0")&amp;"月"</f>
        <v>1月</v>
      </c>
      <c r="E35" s="50" t="str">
        <f t="shared" ref="E35:E62" si="7">"W"&amp;TEXT(WEEKNUM(B35,2),"0")</f>
        <v>W2</v>
      </c>
      <c r="F35" s="48" t="s">
        <v>425</v>
      </c>
      <c r="G35" s="48" t="s">
        <v>426</v>
      </c>
      <c r="H35" s="48">
        <v>312</v>
      </c>
      <c r="I35" s="48">
        <v>261578</v>
      </c>
      <c r="J35" s="48">
        <v>462722</v>
      </c>
      <c r="K35" s="48">
        <v>19527</v>
      </c>
      <c r="L35" s="48">
        <v>3752.38603608412</v>
      </c>
      <c r="M35" s="48">
        <v>25181</v>
      </c>
      <c r="N35" s="48">
        <v>108</v>
      </c>
      <c r="O35" s="48">
        <v>62</v>
      </c>
      <c r="P35" s="48">
        <v>0.61</v>
      </c>
      <c r="Q35" s="48">
        <v>1149</v>
      </c>
      <c r="R35" s="48">
        <v>1</v>
      </c>
      <c r="S35" s="48">
        <v>155</v>
      </c>
      <c r="T35" s="48">
        <v>14</v>
      </c>
      <c r="U35" s="48">
        <v>0.2468</v>
      </c>
      <c r="V35" s="48">
        <v>76</v>
      </c>
      <c r="W35" s="48">
        <v>17951</v>
      </c>
      <c r="X35" s="48">
        <v>5328</v>
      </c>
      <c r="Y35" s="48">
        <v>144860</v>
      </c>
      <c r="Z35" s="48">
        <v>12878</v>
      </c>
      <c r="AA35" s="48">
        <v>297</v>
      </c>
      <c r="AB35" s="48">
        <v>115157</v>
      </c>
      <c r="AC35" s="48">
        <v>114060.53</v>
      </c>
      <c r="AD35" s="48">
        <v>21918.3253976727</v>
      </c>
      <c r="AE35" s="48">
        <v>297</v>
      </c>
      <c r="AF35" s="48">
        <v>271</v>
      </c>
      <c r="AG35" s="48">
        <v>169</v>
      </c>
      <c r="AH35" s="48">
        <v>63329.04</v>
      </c>
      <c r="AI35" s="48">
        <v>158</v>
      </c>
      <c r="AJ35" s="48">
        <v>0</v>
      </c>
      <c r="AK35" s="48">
        <v>0.0889</v>
      </c>
      <c r="AL35" s="48">
        <v>0.2968</v>
      </c>
      <c r="AM35" s="48">
        <v>0.0231</v>
      </c>
      <c r="AN35" s="48">
        <v>0.0509</v>
      </c>
      <c r="AO35" s="48">
        <v>0.0118</v>
      </c>
      <c r="AP35" s="48">
        <v>0.0139</v>
      </c>
      <c r="AQ35" s="48">
        <v>0</v>
      </c>
      <c r="AR35" s="48">
        <v>0</v>
      </c>
      <c r="AS35" s="48">
        <v>60</v>
      </c>
      <c r="AT35" s="48">
        <v>4487.4</v>
      </c>
      <c r="AU35" s="48">
        <v>100794</v>
      </c>
      <c r="AV35" s="48">
        <v>260</v>
      </c>
      <c r="AW35" s="48">
        <v>14363</v>
      </c>
      <c r="AX35" s="48">
        <v>37</v>
      </c>
      <c r="AY35" s="48">
        <v>0.1247</v>
      </c>
      <c r="AZ35" s="48" t="s">
        <v>360</v>
      </c>
      <c r="BA35" s="48" t="s">
        <v>360</v>
      </c>
      <c r="BB35" s="48" t="s">
        <v>360</v>
      </c>
      <c r="BC35" s="48" t="s">
        <v>360</v>
      </c>
    </row>
    <row r="36" spans="1:55">
      <c r="A36" s="44" t="s">
        <v>188</v>
      </c>
      <c r="B36" s="20">
        <f t="shared" si="4"/>
        <v>46041</v>
      </c>
      <c r="C36" s="49" t="str">
        <f t="shared" si="5"/>
        <v>2026年</v>
      </c>
      <c r="D36" s="49" t="str">
        <f t="shared" si="6"/>
        <v>1月</v>
      </c>
      <c r="E36" s="50" t="str">
        <f t="shared" si="7"/>
        <v>W4</v>
      </c>
      <c r="F36" s="48" t="s">
        <v>427</v>
      </c>
      <c r="G36" s="48" t="s">
        <v>428</v>
      </c>
      <c r="H36" s="48">
        <v>300</v>
      </c>
      <c r="I36" s="48">
        <v>312214</v>
      </c>
      <c r="J36" s="48">
        <v>552792</v>
      </c>
      <c r="K36" s="48">
        <v>27519</v>
      </c>
      <c r="L36" s="48">
        <v>5498.3016983017</v>
      </c>
      <c r="M36" s="48">
        <v>34856</v>
      </c>
      <c r="N36" s="48">
        <v>114</v>
      </c>
      <c r="O36" s="48">
        <v>75</v>
      </c>
      <c r="P36" s="48">
        <v>0.51</v>
      </c>
      <c r="Q36" s="48">
        <v>1131</v>
      </c>
      <c r="R36" s="48">
        <v>0</v>
      </c>
      <c r="S36" s="48">
        <v>183</v>
      </c>
      <c r="T36" s="48">
        <v>21</v>
      </c>
      <c r="U36" s="48">
        <v>0.2049</v>
      </c>
      <c r="V36" s="48">
        <v>78</v>
      </c>
      <c r="W36" s="48">
        <v>25127</v>
      </c>
      <c r="X36" s="48">
        <v>7289</v>
      </c>
      <c r="Y36" s="48">
        <v>163594</v>
      </c>
      <c r="Z36" s="48">
        <v>16394</v>
      </c>
      <c r="AA36" s="48">
        <v>307</v>
      </c>
      <c r="AB36" s="48">
        <v>116648</v>
      </c>
      <c r="AC36" s="48">
        <v>112484.34</v>
      </c>
      <c r="AD36" s="48">
        <v>22474.3936063936</v>
      </c>
      <c r="AE36" s="48">
        <v>307</v>
      </c>
      <c r="AF36" s="48">
        <v>276</v>
      </c>
      <c r="AG36" s="48">
        <v>73</v>
      </c>
      <c r="AH36" s="48">
        <v>27726.82</v>
      </c>
      <c r="AI36" s="48">
        <v>68</v>
      </c>
      <c r="AJ36" s="48">
        <v>0</v>
      </c>
      <c r="AK36" s="48">
        <v>0.1002</v>
      </c>
      <c r="AL36" s="48">
        <v>0.2901</v>
      </c>
      <c r="AM36" s="48">
        <v>0.0187</v>
      </c>
      <c r="AN36" s="48">
        <v>0.0379</v>
      </c>
      <c r="AO36" s="48">
        <v>0.0088</v>
      </c>
      <c r="AP36" s="48">
        <v>0.01</v>
      </c>
      <c r="AQ36" s="48">
        <v>0</v>
      </c>
      <c r="AR36" s="48">
        <v>0</v>
      </c>
      <c r="AS36" s="48">
        <v>34</v>
      </c>
      <c r="AT36" s="48">
        <v>3737.92</v>
      </c>
      <c r="AU36" s="48">
        <v>97205.05</v>
      </c>
      <c r="AV36" s="48">
        <v>259</v>
      </c>
      <c r="AW36" s="48">
        <v>19442.95</v>
      </c>
      <c r="AX36" s="48">
        <v>48</v>
      </c>
      <c r="AY36" s="48">
        <v>0.1667</v>
      </c>
      <c r="AZ36" s="48">
        <v>48630.44</v>
      </c>
      <c r="BA36" s="48">
        <v>0.432330758219322</v>
      </c>
      <c r="BB36" s="48">
        <v>3587.58</v>
      </c>
      <c r="BC36" s="48">
        <v>123</v>
      </c>
    </row>
    <row r="37" spans="1:55">
      <c r="A37" s="44" t="s">
        <v>188</v>
      </c>
      <c r="B37" s="20">
        <f t="shared" si="4"/>
        <v>46042</v>
      </c>
      <c r="C37" s="49" t="str">
        <f t="shared" si="5"/>
        <v>2026年</v>
      </c>
      <c r="D37" s="49" t="str">
        <f t="shared" si="6"/>
        <v>1月</v>
      </c>
      <c r="E37" s="50" t="str">
        <f t="shared" si="7"/>
        <v>W4</v>
      </c>
      <c r="F37" s="48" t="s">
        <v>429</v>
      </c>
      <c r="G37" s="48" t="s">
        <v>430</v>
      </c>
      <c r="H37" s="48">
        <v>320</v>
      </c>
      <c r="I37" s="48">
        <v>292476</v>
      </c>
      <c r="J37" s="48">
        <v>524472</v>
      </c>
      <c r="K37" s="48">
        <v>24044</v>
      </c>
      <c r="L37" s="48">
        <v>4508.01520754127</v>
      </c>
      <c r="M37" s="48">
        <v>30569</v>
      </c>
      <c r="N37" s="48">
        <v>107</v>
      </c>
      <c r="O37" s="48">
        <v>68</v>
      </c>
      <c r="P37" s="48">
        <v>0.55</v>
      </c>
      <c r="Q37" s="48">
        <v>1258</v>
      </c>
      <c r="R37" s="48">
        <v>1</v>
      </c>
      <c r="S37" s="48">
        <v>179</v>
      </c>
      <c r="T37" s="48">
        <v>15</v>
      </c>
      <c r="U37" s="48">
        <v>0.2101</v>
      </c>
      <c r="V37" s="48">
        <v>120</v>
      </c>
      <c r="W37" s="48">
        <v>21364</v>
      </c>
      <c r="X37" s="48">
        <v>5911</v>
      </c>
      <c r="Y37" s="48">
        <v>172493</v>
      </c>
      <c r="Z37" s="48">
        <v>14352</v>
      </c>
      <c r="AA37" s="48">
        <v>305</v>
      </c>
      <c r="AB37" s="48">
        <v>116492</v>
      </c>
      <c r="AC37" s="48">
        <v>112194.57</v>
      </c>
      <c r="AD37" s="48">
        <v>21035.3862819645</v>
      </c>
      <c r="AE37" s="48">
        <v>305</v>
      </c>
      <c r="AF37" s="48">
        <v>279</v>
      </c>
      <c r="AG37" s="48">
        <v>61</v>
      </c>
      <c r="AH37" s="48">
        <v>22006.88</v>
      </c>
      <c r="AI37" s="48">
        <v>56</v>
      </c>
      <c r="AJ37" s="48">
        <v>0</v>
      </c>
      <c r="AK37" s="48">
        <v>0.0832</v>
      </c>
      <c r="AL37" s="48">
        <v>0.2767</v>
      </c>
      <c r="AM37" s="48">
        <v>0.0213</v>
      </c>
      <c r="AN37" s="48">
        <v>0.0472</v>
      </c>
      <c r="AO37" s="48">
        <v>0.01</v>
      </c>
      <c r="AP37" s="48">
        <v>0.0116</v>
      </c>
      <c r="AQ37" s="48">
        <v>0</v>
      </c>
      <c r="AR37" s="48">
        <v>0</v>
      </c>
      <c r="AS37" s="48">
        <v>80</v>
      </c>
      <c r="AT37" s="48">
        <v>4028.13</v>
      </c>
      <c r="AU37" s="48">
        <v>98655.78</v>
      </c>
      <c r="AV37" s="48">
        <v>257</v>
      </c>
      <c r="AW37" s="48">
        <v>17836.22</v>
      </c>
      <c r="AX37" s="48">
        <v>48</v>
      </c>
      <c r="AY37" s="48">
        <v>0.1531</v>
      </c>
      <c r="AZ37" s="48">
        <v>45011.58</v>
      </c>
      <c r="BA37" s="48">
        <v>0.401192143256131</v>
      </c>
      <c r="BB37" s="48">
        <v>3403.64</v>
      </c>
      <c r="BC37" s="48">
        <v>121</v>
      </c>
    </row>
    <row r="38" spans="1:55">
      <c r="A38" s="44" t="s">
        <v>188</v>
      </c>
      <c r="B38" s="20">
        <f t="shared" si="4"/>
        <v>46033</v>
      </c>
      <c r="C38" s="49" t="str">
        <f t="shared" si="5"/>
        <v>2026年</v>
      </c>
      <c r="D38" s="49" t="str">
        <f t="shared" si="6"/>
        <v>1月</v>
      </c>
      <c r="E38" s="50" t="str">
        <f t="shared" si="7"/>
        <v>W2</v>
      </c>
      <c r="F38" s="48" t="s">
        <v>431</v>
      </c>
      <c r="G38" s="48" t="s">
        <v>432</v>
      </c>
      <c r="H38" s="48">
        <v>314</v>
      </c>
      <c r="I38" s="48">
        <v>309164</v>
      </c>
      <c r="J38" s="48">
        <v>592263</v>
      </c>
      <c r="K38" s="48">
        <v>27135</v>
      </c>
      <c r="L38" s="48">
        <v>5182.28116710875</v>
      </c>
      <c r="M38" s="48">
        <v>36833</v>
      </c>
      <c r="N38" s="48">
        <v>168</v>
      </c>
      <c r="O38" s="48">
        <v>100</v>
      </c>
      <c r="P38" s="48">
        <v>0.82</v>
      </c>
      <c r="Q38" s="48">
        <v>2293</v>
      </c>
      <c r="R38" s="48">
        <v>0</v>
      </c>
      <c r="S38" s="48">
        <v>143</v>
      </c>
      <c r="T38" s="48">
        <v>18</v>
      </c>
      <c r="U38" s="48">
        <v>0.2811</v>
      </c>
      <c r="V38" s="48">
        <v>75</v>
      </c>
      <c r="W38" s="48">
        <v>25643</v>
      </c>
      <c r="X38" s="48">
        <v>6198</v>
      </c>
      <c r="Y38" s="48">
        <v>168048</v>
      </c>
      <c r="Z38" s="48">
        <v>15047</v>
      </c>
      <c r="AA38" s="48">
        <v>292</v>
      </c>
      <c r="AB38" s="48">
        <v>112644</v>
      </c>
      <c r="AC38" s="48">
        <v>111245.45</v>
      </c>
      <c r="AD38" s="48">
        <v>21245.8153846154</v>
      </c>
      <c r="AE38" s="48">
        <v>292</v>
      </c>
      <c r="AF38" s="48">
        <v>261</v>
      </c>
      <c r="AG38" s="48">
        <v>154</v>
      </c>
      <c r="AH38" s="48">
        <v>58352.6</v>
      </c>
      <c r="AI38" s="48">
        <v>136</v>
      </c>
      <c r="AJ38" s="48">
        <v>0</v>
      </c>
      <c r="AK38" s="48">
        <v>0.0895</v>
      </c>
      <c r="AL38" s="48">
        <v>0.2417</v>
      </c>
      <c r="AM38" s="48">
        <v>0.0194</v>
      </c>
      <c r="AN38" s="48">
        <v>0.0421</v>
      </c>
      <c r="AO38" s="48">
        <v>0.0079</v>
      </c>
      <c r="AP38" s="48">
        <v>0.0096</v>
      </c>
      <c r="AQ38" s="48">
        <v>0</v>
      </c>
      <c r="AR38" s="48">
        <v>0</v>
      </c>
      <c r="AS38" s="48">
        <v>57</v>
      </c>
      <c r="AT38" s="48">
        <v>4919.83</v>
      </c>
      <c r="AU38" s="48">
        <v>96491.1</v>
      </c>
      <c r="AV38" s="48">
        <v>249</v>
      </c>
      <c r="AW38" s="48">
        <v>16152.9</v>
      </c>
      <c r="AX38" s="48">
        <v>43</v>
      </c>
      <c r="AY38" s="48">
        <v>0.1434</v>
      </c>
      <c r="AZ38" s="48" t="s">
        <v>360</v>
      </c>
      <c r="BA38" s="48" t="s">
        <v>360</v>
      </c>
      <c r="BB38" s="48" t="s">
        <v>360</v>
      </c>
      <c r="BC38" s="48" t="s">
        <v>360</v>
      </c>
    </row>
    <row r="39" spans="1:55">
      <c r="A39" s="44" t="s">
        <v>188</v>
      </c>
      <c r="B39" s="20">
        <f t="shared" si="4"/>
        <v>46037</v>
      </c>
      <c r="C39" s="49" t="str">
        <f t="shared" si="5"/>
        <v>2026年</v>
      </c>
      <c r="D39" s="49" t="str">
        <f t="shared" si="6"/>
        <v>1月</v>
      </c>
      <c r="E39" s="50" t="str">
        <f t="shared" si="7"/>
        <v>W3</v>
      </c>
      <c r="F39" s="48" t="s">
        <v>433</v>
      </c>
      <c r="G39" s="48" t="s">
        <v>434</v>
      </c>
      <c r="H39" s="48">
        <v>304</v>
      </c>
      <c r="I39" s="48">
        <v>235356</v>
      </c>
      <c r="J39" s="48">
        <v>458368</v>
      </c>
      <c r="K39" s="48">
        <v>23389</v>
      </c>
      <c r="L39" s="48">
        <v>4615.23788642841</v>
      </c>
      <c r="M39" s="48">
        <v>30074</v>
      </c>
      <c r="N39" s="48">
        <v>101</v>
      </c>
      <c r="O39" s="48">
        <v>68</v>
      </c>
      <c r="P39" s="48">
        <v>0.61</v>
      </c>
      <c r="Q39" s="48">
        <v>1268</v>
      </c>
      <c r="R39" s="48">
        <v>0</v>
      </c>
      <c r="S39" s="48">
        <v>120</v>
      </c>
      <c r="T39" s="48">
        <v>31</v>
      </c>
      <c r="U39" s="48">
        <v>0.268</v>
      </c>
      <c r="V39" s="48">
        <v>77</v>
      </c>
      <c r="W39" s="48">
        <v>21524</v>
      </c>
      <c r="X39" s="48">
        <v>5820</v>
      </c>
      <c r="Y39" s="48">
        <v>157070</v>
      </c>
      <c r="Z39" s="48">
        <v>14747</v>
      </c>
      <c r="AA39" s="48">
        <v>278</v>
      </c>
      <c r="AB39" s="48">
        <v>108601.99</v>
      </c>
      <c r="AC39" s="48">
        <v>107689.6</v>
      </c>
      <c r="AD39" s="48">
        <v>21249.8662573997</v>
      </c>
      <c r="AE39" s="48">
        <v>278</v>
      </c>
      <c r="AF39" s="48">
        <v>259</v>
      </c>
      <c r="AG39" s="48">
        <v>112</v>
      </c>
      <c r="AH39" s="48">
        <v>41269.3</v>
      </c>
      <c r="AI39" s="48">
        <v>109</v>
      </c>
      <c r="AJ39" s="48">
        <v>0</v>
      </c>
      <c r="AK39" s="48">
        <v>0.0939</v>
      </c>
      <c r="AL39" s="48">
        <v>0.2704</v>
      </c>
      <c r="AM39" s="48">
        <v>0.0189</v>
      </c>
      <c r="AN39" s="48">
        <v>0.0445</v>
      </c>
      <c r="AO39" s="48">
        <v>0.0092</v>
      </c>
      <c r="AP39" s="48">
        <v>0.0111</v>
      </c>
      <c r="AQ39" s="48">
        <v>0</v>
      </c>
      <c r="AR39" s="48">
        <v>0</v>
      </c>
      <c r="AS39" s="48">
        <v>49</v>
      </c>
      <c r="AT39" s="48">
        <v>3468.61</v>
      </c>
      <c r="AU39" s="48">
        <v>98487.99</v>
      </c>
      <c r="AV39" s="48">
        <v>252</v>
      </c>
      <c r="AW39" s="48">
        <v>10114</v>
      </c>
      <c r="AX39" s="48">
        <v>26</v>
      </c>
      <c r="AY39" s="48">
        <v>0.0931</v>
      </c>
      <c r="AZ39" s="48" t="s">
        <v>360</v>
      </c>
      <c r="BA39" s="48" t="s">
        <v>360</v>
      </c>
      <c r="BB39" s="48" t="s">
        <v>360</v>
      </c>
      <c r="BC39" s="48" t="s">
        <v>360</v>
      </c>
    </row>
    <row r="40" spans="1:55">
      <c r="A40" s="44" t="s">
        <v>188</v>
      </c>
      <c r="B40" s="20">
        <f t="shared" si="4"/>
        <v>46032</v>
      </c>
      <c r="C40" s="49" t="str">
        <f t="shared" si="5"/>
        <v>2026年</v>
      </c>
      <c r="D40" s="49" t="str">
        <f t="shared" si="6"/>
        <v>1月</v>
      </c>
      <c r="E40" s="50" t="str">
        <f t="shared" si="7"/>
        <v>W2</v>
      </c>
      <c r="F40" s="48" t="s">
        <v>435</v>
      </c>
      <c r="G40" s="48" t="s">
        <v>436</v>
      </c>
      <c r="H40" s="48">
        <v>305</v>
      </c>
      <c r="I40" s="48">
        <v>230266</v>
      </c>
      <c r="J40" s="48">
        <v>435408</v>
      </c>
      <c r="K40" s="48">
        <v>19293</v>
      </c>
      <c r="L40" s="48">
        <v>3794.51486013986</v>
      </c>
      <c r="M40" s="48">
        <v>25103</v>
      </c>
      <c r="N40" s="48">
        <v>112</v>
      </c>
      <c r="O40" s="48">
        <v>58</v>
      </c>
      <c r="P40" s="48">
        <v>0.58</v>
      </c>
      <c r="Q40" s="48">
        <v>1036</v>
      </c>
      <c r="R40" s="48">
        <v>2</v>
      </c>
      <c r="S40" s="48">
        <v>132</v>
      </c>
      <c r="T40" s="48">
        <v>32</v>
      </c>
      <c r="U40" s="48">
        <v>0.2564</v>
      </c>
      <c r="V40" s="48">
        <v>75</v>
      </c>
      <c r="W40" s="48">
        <v>18029</v>
      </c>
      <c r="X40" s="48">
        <v>4973</v>
      </c>
      <c r="Y40" s="48">
        <v>121032</v>
      </c>
      <c r="Z40" s="48">
        <v>12062</v>
      </c>
      <c r="AA40" s="48">
        <v>281</v>
      </c>
      <c r="AB40" s="48">
        <v>106666.64</v>
      </c>
      <c r="AC40" s="48">
        <v>105616.29</v>
      </c>
      <c r="AD40" s="48">
        <v>20772.4346590909</v>
      </c>
      <c r="AE40" s="48">
        <v>281</v>
      </c>
      <c r="AF40" s="48">
        <v>255</v>
      </c>
      <c r="AG40" s="48">
        <v>152</v>
      </c>
      <c r="AH40" s="48">
        <v>57136.05</v>
      </c>
      <c r="AI40" s="48">
        <v>141</v>
      </c>
      <c r="AJ40" s="48">
        <v>0</v>
      </c>
      <c r="AK40" s="48">
        <v>0.0997</v>
      </c>
      <c r="AL40" s="48">
        <v>0.2758</v>
      </c>
      <c r="AM40" s="48">
        <v>0.0233</v>
      </c>
      <c r="AN40" s="48">
        <v>0.0513</v>
      </c>
      <c r="AO40" s="48">
        <v>0.0112</v>
      </c>
      <c r="AP40" s="48">
        <v>0.0132</v>
      </c>
      <c r="AQ40" s="48">
        <v>0</v>
      </c>
      <c r="AR40" s="48">
        <v>0</v>
      </c>
      <c r="AS40" s="48">
        <v>65</v>
      </c>
      <c r="AT40" s="48">
        <v>4222.47</v>
      </c>
      <c r="AU40" s="48">
        <v>94318.64</v>
      </c>
      <c r="AV40" s="48">
        <v>249</v>
      </c>
      <c r="AW40" s="48">
        <v>12348</v>
      </c>
      <c r="AX40" s="48">
        <v>32</v>
      </c>
      <c r="AY40" s="48">
        <v>0.1158</v>
      </c>
      <c r="AZ40" s="48" t="s">
        <v>360</v>
      </c>
      <c r="BA40" s="48" t="s">
        <v>360</v>
      </c>
      <c r="BB40" s="48" t="s">
        <v>360</v>
      </c>
      <c r="BC40" s="48" t="s">
        <v>360</v>
      </c>
    </row>
    <row r="41" spans="1:55">
      <c r="A41" s="44" t="s">
        <v>188</v>
      </c>
      <c r="B41" s="20">
        <f t="shared" si="4"/>
        <v>46036</v>
      </c>
      <c r="C41" s="49" t="str">
        <f t="shared" si="5"/>
        <v>2026年</v>
      </c>
      <c r="D41" s="49" t="str">
        <f t="shared" si="6"/>
        <v>1月</v>
      </c>
      <c r="E41" s="50" t="str">
        <f t="shared" si="7"/>
        <v>W3</v>
      </c>
      <c r="F41" s="48" t="s">
        <v>437</v>
      </c>
      <c r="G41" s="48" t="s">
        <v>438</v>
      </c>
      <c r="H41" s="48">
        <v>308</v>
      </c>
      <c r="I41" s="48">
        <v>352069</v>
      </c>
      <c r="J41" s="48">
        <v>632969</v>
      </c>
      <c r="K41" s="48">
        <v>29325</v>
      </c>
      <c r="L41" s="48">
        <v>5709.8815511926</v>
      </c>
      <c r="M41" s="48">
        <v>38564</v>
      </c>
      <c r="N41" s="48">
        <v>636</v>
      </c>
      <c r="O41" s="48">
        <v>107</v>
      </c>
      <c r="P41" s="48">
        <v>0.7</v>
      </c>
      <c r="Q41" s="48">
        <v>1895</v>
      </c>
      <c r="R41" s="48">
        <v>1</v>
      </c>
      <c r="S41" s="48">
        <v>183</v>
      </c>
      <c r="T41" s="48">
        <v>14</v>
      </c>
      <c r="U41" s="48">
        <v>0.2647</v>
      </c>
      <c r="V41" s="48">
        <v>76</v>
      </c>
      <c r="W41" s="48">
        <v>27245</v>
      </c>
      <c r="X41" s="48">
        <v>7136</v>
      </c>
      <c r="Y41" s="48">
        <v>177948</v>
      </c>
      <c r="Z41" s="48">
        <v>15989</v>
      </c>
      <c r="AA41" s="48">
        <v>260</v>
      </c>
      <c r="AB41" s="48">
        <v>105851</v>
      </c>
      <c r="AC41" s="48">
        <v>104844.78</v>
      </c>
      <c r="AD41" s="48">
        <v>20414.3657309752</v>
      </c>
      <c r="AE41" s="48">
        <v>261</v>
      </c>
      <c r="AF41" s="48">
        <v>232</v>
      </c>
      <c r="AG41" s="48">
        <v>126</v>
      </c>
      <c r="AH41" s="48">
        <v>48447.74</v>
      </c>
      <c r="AI41" s="48">
        <v>107</v>
      </c>
      <c r="AJ41" s="48">
        <v>0</v>
      </c>
      <c r="AK41" s="48">
        <v>0.0899</v>
      </c>
      <c r="AL41" s="48">
        <v>0.2619</v>
      </c>
      <c r="AM41" s="48">
        <v>0.0163</v>
      </c>
      <c r="AN41" s="48">
        <v>0.0325</v>
      </c>
      <c r="AO41" s="48">
        <v>0.0067</v>
      </c>
      <c r="AP41" s="48">
        <v>0.0079</v>
      </c>
      <c r="AQ41" s="48">
        <v>0</v>
      </c>
      <c r="AR41" s="48">
        <v>0</v>
      </c>
      <c r="AS41" s="48">
        <v>60</v>
      </c>
      <c r="AT41" s="48">
        <v>3677</v>
      </c>
      <c r="AU41" s="48">
        <v>90799</v>
      </c>
      <c r="AV41" s="48">
        <v>223</v>
      </c>
      <c r="AW41" s="48">
        <v>15052</v>
      </c>
      <c r="AX41" s="48">
        <v>37</v>
      </c>
      <c r="AY41" s="48">
        <v>0.1422</v>
      </c>
      <c r="AZ41" s="48" t="s">
        <v>360</v>
      </c>
      <c r="BA41" s="48" t="s">
        <v>360</v>
      </c>
      <c r="BB41" s="48" t="s">
        <v>360</v>
      </c>
      <c r="BC41" s="48" t="s">
        <v>360</v>
      </c>
    </row>
    <row r="42" spans="1:55">
      <c r="A42" s="44" t="s">
        <v>188</v>
      </c>
      <c r="B42" s="20">
        <f t="shared" si="4"/>
        <v>46028</v>
      </c>
      <c r="C42" s="49" t="str">
        <f t="shared" si="5"/>
        <v>2026年</v>
      </c>
      <c r="D42" s="49" t="str">
        <f t="shared" si="6"/>
        <v>1月</v>
      </c>
      <c r="E42" s="50" t="str">
        <f t="shared" si="7"/>
        <v>W2</v>
      </c>
      <c r="F42" s="48" t="s">
        <v>439</v>
      </c>
      <c r="G42" s="48" t="s">
        <v>440</v>
      </c>
      <c r="H42" s="48">
        <v>300</v>
      </c>
      <c r="I42" s="48">
        <v>279809</v>
      </c>
      <c r="J42" s="48">
        <v>483141</v>
      </c>
      <c r="K42" s="48">
        <v>21593</v>
      </c>
      <c r="L42" s="48">
        <v>4318.12020886568</v>
      </c>
      <c r="M42" s="48">
        <v>28301</v>
      </c>
      <c r="N42" s="48">
        <v>151</v>
      </c>
      <c r="O42" s="48">
        <v>78</v>
      </c>
      <c r="P42" s="48">
        <v>0.71</v>
      </c>
      <c r="Q42" s="48">
        <v>1776</v>
      </c>
      <c r="R42" s="48">
        <v>0</v>
      </c>
      <c r="S42" s="48">
        <v>115</v>
      </c>
      <c r="T42" s="48">
        <v>16</v>
      </c>
      <c r="U42" s="48">
        <v>0.2964</v>
      </c>
      <c r="V42" s="48">
        <v>70</v>
      </c>
      <c r="W42" s="48">
        <v>20152</v>
      </c>
      <c r="X42" s="48">
        <v>4341</v>
      </c>
      <c r="Y42" s="48">
        <v>117097</v>
      </c>
      <c r="Z42" s="48">
        <v>10533</v>
      </c>
      <c r="AA42" s="48">
        <v>259</v>
      </c>
      <c r="AB42" s="48">
        <v>104061.39</v>
      </c>
      <c r="AC42" s="48">
        <v>103207.49</v>
      </c>
      <c r="AD42" s="48">
        <v>20639.2047550272</v>
      </c>
      <c r="AE42" s="48">
        <v>259</v>
      </c>
      <c r="AF42" s="48">
        <v>243</v>
      </c>
      <c r="AG42" s="48">
        <v>129</v>
      </c>
      <c r="AH42" s="48">
        <v>50386.28</v>
      </c>
      <c r="AI42" s="48">
        <v>121</v>
      </c>
      <c r="AJ42" s="48">
        <v>0</v>
      </c>
      <c r="AK42" s="48">
        <v>0.09</v>
      </c>
      <c r="AL42" s="48">
        <v>0.2154</v>
      </c>
      <c r="AM42" s="48">
        <v>0.0246</v>
      </c>
      <c r="AN42" s="48">
        <v>0.056</v>
      </c>
      <c r="AO42" s="48">
        <v>0.0092</v>
      </c>
      <c r="AP42" s="48">
        <v>0.0113</v>
      </c>
      <c r="AQ42" s="48">
        <v>0</v>
      </c>
      <c r="AR42" s="48">
        <v>0</v>
      </c>
      <c r="AS42" s="48">
        <v>55</v>
      </c>
      <c r="AT42" s="48">
        <v>4296.23</v>
      </c>
      <c r="AU42" s="48">
        <v>93102.39</v>
      </c>
      <c r="AV42" s="48">
        <v>231</v>
      </c>
      <c r="AW42" s="48">
        <v>10959</v>
      </c>
      <c r="AX42" s="48">
        <v>28</v>
      </c>
      <c r="AY42" s="48">
        <v>0.1053</v>
      </c>
      <c r="AZ42" s="48" t="s">
        <v>360</v>
      </c>
      <c r="BA42" s="48" t="s">
        <v>360</v>
      </c>
      <c r="BB42" s="48" t="s">
        <v>360</v>
      </c>
      <c r="BC42" s="48" t="s">
        <v>360</v>
      </c>
    </row>
    <row r="43" spans="1:55">
      <c r="A43" s="44" t="s">
        <v>188</v>
      </c>
      <c r="B43" s="20">
        <f t="shared" si="4"/>
        <v>46030</v>
      </c>
      <c r="C43" s="49" t="str">
        <f t="shared" si="5"/>
        <v>2026年</v>
      </c>
      <c r="D43" s="49" t="str">
        <f t="shared" si="6"/>
        <v>1月</v>
      </c>
      <c r="E43" s="50" t="str">
        <f t="shared" si="7"/>
        <v>W2</v>
      </c>
      <c r="F43" s="48" t="s">
        <v>441</v>
      </c>
      <c r="G43" s="48" t="s">
        <v>442</v>
      </c>
      <c r="H43" s="48">
        <v>320</v>
      </c>
      <c r="I43" s="48">
        <v>206648</v>
      </c>
      <c r="J43" s="48">
        <v>418084</v>
      </c>
      <c r="K43" s="48">
        <v>19721</v>
      </c>
      <c r="L43" s="48">
        <v>3694.60865945046</v>
      </c>
      <c r="M43" s="48">
        <v>27211</v>
      </c>
      <c r="N43" s="48">
        <v>125</v>
      </c>
      <c r="O43" s="48">
        <v>73</v>
      </c>
      <c r="P43" s="48">
        <v>0.79</v>
      </c>
      <c r="Q43" s="48">
        <v>1884</v>
      </c>
      <c r="R43" s="48">
        <v>2</v>
      </c>
      <c r="S43" s="48">
        <v>113</v>
      </c>
      <c r="T43" s="48">
        <v>17</v>
      </c>
      <c r="U43" s="48">
        <v>0.3245</v>
      </c>
      <c r="V43" s="48">
        <v>77</v>
      </c>
      <c r="W43" s="48">
        <v>18015</v>
      </c>
      <c r="X43" s="48">
        <v>4635</v>
      </c>
      <c r="Y43" s="48">
        <v>148702</v>
      </c>
      <c r="Z43" s="48">
        <v>11308</v>
      </c>
      <c r="AA43" s="48">
        <v>269</v>
      </c>
      <c r="AB43" s="48">
        <v>103542</v>
      </c>
      <c r="AC43" s="48">
        <v>102607.08</v>
      </c>
      <c r="AD43" s="48">
        <v>19222.8084929226</v>
      </c>
      <c r="AE43" s="48">
        <v>269</v>
      </c>
      <c r="AF43" s="48">
        <v>241</v>
      </c>
      <c r="AG43" s="48">
        <v>141</v>
      </c>
      <c r="AH43" s="48">
        <v>55126.98</v>
      </c>
      <c r="AI43" s="48">
        <v>128</v>
      </c>
      <c r="AJ43" s="48">
        <v>0</v>
      </c>
      <c r="AK43" s="48">
        <v>0.076</v>
      </c>
      <c r="AL43" s="48">
        <v>0.2573</v>
      </c>
      <c r="AM43" s="48">
        <v>0.0238</v>
      </c>
      <c r="AN43" s="48">
        <v>0.052</v>
      </c>
      <c r="AO43" s="48">
        <v>0.0099</v>
      </c>
      <c r="AP43" s="48">
        <v>0.0122</v>
      </c>
      <c r="AQ43" s="48">
        <v>0</v>
      </c>
      <c r="AR43" s="48">
        <v>0</v>
      </c>
      <c r="AS43" s="48">
        <v>57</v>
      </c>
      <c r="AT43" s="48">
        <v>4180.17</v>
      </c>
      <c r="AU43" s="48">
        <v>90623</v>
      </c>
      <c r="AV43" s="48">
        <v>236</v>
      </c>
      <c r="AW43" s="48">
        <v>12919</v>
      </c>
      <c r="AX43" s="48">
        <v>33</v>
      </c>
      <c r="AY43" s="48">
        <v>0.1248</v>
      </c>
      <c r="AZ43" s="48" t="s">
        <v>360</v>
      </c>
      <c r="BA43" s="48" t="s">
        <v>360</v>
      </c>
      <c r="BB43" s="48" t="s">
        <v>360</v>
      </c>
      <c r="BC43" s="48" t="s">
        <v>360</v>
      </c>
    </row>
    <row r="44" spans="1:55">
      <c r="A44" s="44" t="s">
        <v>188</v>
      </c>
      <c r="B44" s="20">
        <f t="shared" si="4"/>
        <v>46030</v>
      </c>
      <c r="C44" s="49" t="str">
        <f t="shared" si="5"/>
        <v>2026年</v>
      </c>
      <c r="D44" s="49" t="str">
        <f t="shared" si="6"/>
        <v>1月</v>
      </c>
      <c r="E44" s="50" t="str">
        <f t="shared" si="7"/>
        <v>W2</v>
      </c>
      <c r="F44" s="48" t="s">
        <v>443</v>
      </c>
      <c r="G44" s="48" t="s">
        <v>444</v>
      </c>
      <c r="H44" s="48">
        <v>119</v>
      </c>
      <c r="I44" s="48">
        <v>291554</v>
      </c>
      <c r="J44" s="48">
        <v>440692</v>
      </c>
      <c r="K44" s="48">
        <v>21261</v>
      </c>
      <c r="L44" s="48">
        <v>10713.829787234</v>
      </c>
      <c r="M44" s="48">
        <v>26245</v>
      </c>
      <c r="N44" s="48">
        <v>609</v>
      </c>
      <c r="O44" s="48">
        <v>279</v>
      </c>
      <c r="P44" s="48">
        <v>0.87</v>
      </c>
      <c r="Q44" s="48">
        <v>1579</v>
      </c>
      <c r="R44" s="48">
        <v>0</v>
      </c>
      <c r="S44" s="48">
        <v>124</v>
      </c>
      <c r="T44" s="48">
        <v>10</v>
      </c>
      <c r="U44" s="48">
        <v>0.2746</v>
      </c>
      <c r="V44" s="48">
        <v>75</v>
      </c>
      <c r="W44" s="48">
        <v>20378</v>
      </c>
      <c r="X44" s="48">
        <v>5127</v>
      </c>
      <c r="Y44" s="48">
        <v>124295</v>
      </c>
      <c r="Z44" s="48">
        <v>11439</v>
      </c>
      <c r="AA44" s="48">
        <v>251</v>
      </c>
      <c r="AB44" s="48">
        <v>101460</v>
      </c>
      <c r="AC44" s="48">
        <v>100627.03</v>
      </c>
      <c r="AD44" s="48">
        <v>50707.9098544233</v>
      </c>
      <c r="AE44" s="48">
        <v>251</v>
      </c>
      <c r="AF44" s="48">
        <v>229</v>
      </c>
      <c r="AG44" s="48">
        <v>128</v>
      </c>
      <c r="AH44" s="48">
        <v>53946.85</v>
      </c>
      <c r="AI44" s="48">
        <v>120</v>
      </c>
      <c r="AJ44" s="48">
        <v>0</v>
      </c>
      <c r="AK44" s="48">
        <v>0.092</v>
      </c>
      <c r="AL44" s="48">
        <v>0.2516</v>
      </c>
      <c r="AM44" s="48">
        <v>0.0219</v>
      </c>
      <c r="AN44" s="48">
        <v>0.0447</v>
      </c>
      <c r="AO44" s="48">
        <v>0.0096</v>
      </c>
      <c r="AP44" s="48">
        <v>0.0108</v>
      </c>
      <c r="AQ44" s="48">
        <v>0</v>
      </c>
      <c r="AR44" s="48">
        <v>0</v>
      </c>
      <c r="AS44" s="48">
        <v>44</v>
      </c>
      <c r="AT44" s="48">
        <v>3438.69</v>
      </c>
      <c r="AU44" s="48">
        <v>89318</v>
      </c>
      <c r="AV44" s="48">
        <v>222</v>
      </c>
      <c r="AW44" s="48">
        <v>12142</v>
      </c>
      <c r="AX44" s="48">
        <v>29</v>
      </c>
      <c r="AY44" s="48">
        <v>0.1197</v>
      </c>
      <c r="AZ44" s="48" t="s">
        <v>360</v>
      </c>
      <c r="BA44" s="48" t="s">
        <v>360</v>
      </c>
      <c r="BB44" s="48" t="s">
        <v>360</v>
      </c>
      <c r="BC44" s="48" t="s">
        <v>360</v>
      </c>
    </row>
    <row r="45" spans="1:55">
      <c r="A45" s="44" t="s">
        <v>188</v>
      </c>
      <c r="B45" s="20">
        <f t="shared" si="4"/>
        <v>46039</v>
      </c>
      <c r="C45" s="49" t="str">
        <f t="shared" si="5"/>
        <v>2026年</v>
      </c>
      <c r="D45" s="49" t="str">
        <f t="shared" si="6"/>
        <v>1月</v>
      </c>
      <c r="E45" s="50" t="str">
        <f t="shared" si="7"/>
        <v>W3</v>
      </c>
      <c r="F45" s="48" t="s">
        <v>445</v>
      </c>
      <c r="G45" s="48" t="s">
        <v>446</v>
      </c>
      <c r="H45" s="48">
        <v>299</v>
      </c>
      <c r="I45" s="48">
        <v>264433</v>
      </c>
      <c r="J45" s="48">
        <v>482895</v>
      </c>
      <c r="K45" s="48">
        <v>24626</v>
      </c>
      <c r="L45" s="48">
        <v>4925.4736374243</v>
      </c>
      <c r="M45" s="48">
        <v>30951</v>
      </c>
      <c r="N45" s="48">
        <v>119</v>
      </c>
      <c r="O45" s="48">
        <v>66</v>
      </c>
      <c r="P45" s="48">
        <v>0.48</v>
      </c>
      <c r="Q45" s="48">
        <v>969</v>
      </c>
      <c r="R45" s="48">
        <v>0</v>
      </c>
      <c r="S45" s="48">
        <v>202</v>
      </c>
      <c r="T45" s="48">
        <v>18</v>
      </c>
      <c r="U45" s="48">
        <v>0.2098</v>
      </c>
      <c r="V45" s="48">
        <v>79</v>
      </c>
      <c r="W45" s="48">
        <v>22111</v>
      </c>
      <c r="X45" s="48">
        <v>6324</v>
      </c>
      <c r="Y45" s="48">
        <v>145413</v>
      </c>
      <c r="Z45" s="48">
        <v>14330</v>
      </c>
      <c r="AA45" s="48">
        <v>269</v>
      </c>
      <c r="AB45" s="48">
        <v>104614</v>
      </c>
      <c r="AC45" s="48">
        <v>99134.7</v>
      </c>
      <c r="AD45" s="48">
        <v>19828.0415578643</v>
      </c>
      <c r="AE45" s="48">
        <v>269</v>
      </c>
      <c r="AF45" s="48">
        <v>244</v>
      </c>
      <c r="AG45" s="48">
        <v>106</v>
      </c>
      <c r="AH45" s="48">
        <v>38807.83</v>
      </c>
      <c r="AI45" s="48">
        <v>98</v>
      </c>
      <c r="AJ45" s="48">
        <v>0</v>
      </c>
      <c r="AK45" s="48">
        <v>0.0985</v>
      </c>
      <c r="AL45" s="48">
        <v>0.286</v>
      </c>
      <c r="AM45" s="48">
        <v>0.0188</v>
      </c>
      <c r="AN45" s="48">
        <v>0.0386</v>
      </c>
      <c r="AO45" s="48">
        <v>0.0087</v>
      </c>
      <c r="AP45" s="48">
        <v>0.0099</v>
      </c>
      <c r="AQ45" s="48">
        <v>0</v>
      </c>
      <c r="AR45" s="48">
        <v>0</v>
      </c>
      <c r="AS45" s="48">
        <v>54</v>
      </c>
      <c r="AT45" s="48">
        <v>4098.4</v>
      </c>
      <c r="AU45" s="48">
        <v>88207</v>
      </c>
      <c r="AV45" s="48">
        <v>227</v>
      </c>
      <c r="AW45" s="48">
        <v>16407</v>
      </c>
      <c r="AX45" s="48">
        <v>42</v>
      </c>
      <c r="AY45" s="48">
        <v>0.1568</v>
      </c>
      <c r="AZ45" s="48">
        <v>70435.13</v>
      </c>
      <c r="BA45" s="48">
        <v>0.710499250010339</v>
      </c>
      <c r="BB45" s="48">
        <v>4623.15</v>
      </c>
      <c r="BC45" s="48">
        <v>183</v>
      </c>
    </row>
    <row r="46" spans="1:55">
      <c r="A46" s="44" t="s">
        <v>188</v>
      </c>
      <c r="B46" s="20">
        <f t="shared" si="4"/>
        <v>46037</v>
      </c>
      <c r="C46" s="49" t="str">
        <f t="shared" si="5"/>
        <v>2026年</v>
      </c>
      <c r="D46" s="49" t="str">
        <f t="shared" si="6"/>
        <v>1月</v>
      </c>
      <c r="E46" s="50" t="str">
        <f t="shared" si="7"/>
        <v>W3</v>
      </c>
      <c r="F46" s="48" t="s">
        <v>447</v>
      </c>
      <c r="G46" s="48" t="s">
        <v>448</v>
      </c>
      <c r="H46" s="48">
        <v>304</v>
      </c>
      <c r="I46" s="48">
        <v>286025</v>
      </c>
      <c r="J46" s="48">
        <v>524713</v>
      </c>
      <c r="K46" s="48">
        <v>23201</v>
      </c>
      <c r="L46" s="48">
        <v>4576.38485562435</v>
      </c>
      <c r="M46" s="48">
        <v>30666</v>
      </c>
      <c r="N46" s="48">
        <v>137</v>
      </c>
      <c r="O46" s="48">
        <v>81</v>
      </c>
      <c r="P46" s="48">
        <v>0.72</v>
      </c>
      <c r="Q46" s="48">
        <v>1584</v>
      </c>
      <c r="R46" s="48">
        <v>0</v>
      </c>
      <c r="S46" s="48">
        <v>134</v>
      </c>
      <c r="T46" s="48">
        <v>17</v>
      </c>
      <c r="U46" s="48">
        <v>0.279</v>
      </c>
      <c r="V46" s="48">
        <v>76</v>
      </c>
      <c r="W46" s="48">
        <v>21406</v>
      </c>
      <c r="X46" s="48">
        <v>5759</v>
      </c>
      <c r="Y46" s="48">
        <v>168627</v>
      </c>
      <c r="Z46" s="48">
        <v>13235</v>
      </c>
      <c r="AA46" s="48">
        <v>235</v>
      </c>
      <c r="AB46" s="48">
        <v>95277</v>
      </c>
      <c r="AC46" s="48">
        <v>94690.85</v>
      </c>
      <c r="AD46" s="48">
        <v>18677.7195770095</v>
      </c>
      <c r="AE46" s="48">
        <v>235</v>
      </c>
      <c r="AF46" s="48">
        <v>219</v>
      </c>
      <c r="AG46" s="48">
        <v>113</v>
      </c>
      <c r="AH46" s="48">
        <v>44242.05</v>
      </c>
      <c r="AI46" s="48">
        <v>105</v>
      </c>
      <c r="AJ46" s="48">
        <v>0</v>
      </c>
      <c r="AK46" s="48">
        <v>0.0785</v>
      </c>
      <c r="AL46" s="48">
        <v>0.269</v>
      </c>
      <c r="AM46" s="48">
        <v>0.0178</v>
      </c>
      <c r="AN46" s="48">
        <v>0.038</v>
      </c>
      <c r="AO46" s="48">
        <v>0.0077</v>
      </c>
      <c r="AP46" s="48">
        <v>0.0094</v>
      </c>
      <c r="AQ46" s="48">
        <v>0</v>
      </c>
      <c r="AR46" s="48">
        <v>0</v>
      </c>
      <c r="AS46" s="48">
        <v>42</v>
      </c>
      <c r="AT46" s="48">
        <v>3457</v>
      </c>
      <c r="AU46" s="48">
        <v>83489</v>
      </c>
      <c r="AV46" s="48">
        <v>207</v>
      </c>
      <c r="AW46" s="48">
        <v>11788</v>
      </c>
      <c r="AX46" s="48">
        <v>28</v>
      </c>
      <c r="AY46" s="48">
        <v>0.1237</v>
      </c>
      <c r="AZ46" s="48" t="s">
        <v>360</v>
      </c>
      <c r="BA46" s="48" t="s">
        <v>360</v>
      </c>
      <c r="BB46" s="48" t="s">
        <v>360</v>
      </c>
      <c r="BC46" s="48" t="s">
        <v>360</v>
      </c>
    </row>
    <row r="47" spans="1:55">
      <c r="A47" s="44" t="s">
        <v>188</v>
      </c>
      <c r="B47" s="20">
        <f t="shared" si="4"/>
        <v>46033</v>
      </c>
      <c r="C47" s="49" t="str">
        <f t="shared" si="5"/>
        <v>2026年</v>
      </c>
      <c r="D47" s="49" t="str">
        <f t="shared" si="6"/>
        <v>1月</v>
      </c>
      <c r="E47" s="50" t="str">
        <f t="shared" si="7"/>
        <v>W2</v>
      </c>
      <c r="F47" s="48" t="s">
        <v>449</v>
      </c>
      <c r="G47" s="48" t="s">
        <v>450</v>
      </c>
      <c r="H47" s="48">
        <v>250</v>
      </c>
      <c r="I47" s="48">
        <v>235018</v>
      </c>
      <c r="J47" s="48">
        <v>477900</v>
      </c>
      <c r="K47" s="48">
        <v>28442</v>
      </c>
      <c r="L47" s="48">
        <v>6821.98680791525</v>
      </c>
      <c r="M47" s="48">
        <v>38039</v>
      </c>
      <c r="N47" s="48">
        <v>234</v>
      </c>
      <c r="O47" s="48">
        <v>125</v>
      </c>
      <c r="P47" s="48">
        <v>0.78</v>
      </c>
      <c r="Q47" s="48">
        <v>1721</v>
      </c>
      <c r="R47" s="48">
        <v>0</v>
      </c>
      <c r="S47" s="48">
        <v>109</v>
      </c>
      <c r="T47" s="48">
        <v>35</v>
      </c>
      <c r="U47" s="48">
        <v>0.3224</v>
      </c>
      <c r="V47" s="48">
        <v>75</v>
      </c>
      <c r="W47" s="48">
        <v>26664</v>
      </c>
      <c r="X47" s="48">
        <v>6244</v>
      </c>
      <c r="Y47" s="48">
        <v>218683</v>
      </c>
      <c r="Z47" s="48">
        <v>16494</v>
      </c>
      <c r="AA47" s="48">
        <v>228</v>
      </c>
      <c r="AB47" s="48">
        <v>87659</v>
      </c>
      <c r="AC47" s="48">
        <v>86043.36</v>
      </c>
      <c r="AD47" s="48">
        <v>20638.0235858485</v>
      </c>
      <c r="AE47" s="48">
        <v>228</v>
      </c>
      <c r="AF47" s="48">
        <v>205</v>
      </c>
      <c r="AG47" s="48">
        <v>107</v>
      </c>
      <c r="AH47" s="48">
        <v>40264.17</v>
      </c>
      <c r="AI47" s="48">
        <v>99</v>
      </c>
      <c r="AJ47" s="48">
        <v>0</v>
      </c>
      <c r="AK47" s="48">
        <v>0.0754</v>
      </c>
      <c r="AL47" s="48">
        <v>0.2342</v>
      </c>
      <c r="AM47" s="48">
        <v>0.0138</v>
      </c>
      <c r="AN47" s="48">
        <v>0.0328</v>
      </c>
      <c r="AO47" s="48">
        <v>0.006</v>
      </c>
      <c r="AP47" s="48">
        <v>0.0072</v>
      </c>
      <c r="AQ47" s="48">
        <v>0</v>
      </c>
      <c r="AR47" s="48">
        <v>0</v>
      </c>
      <c r="AS47" s="48">
        <v>44</v>
      </c>
      <c r="AT47" s="48">
        <v>3672.28</v>
      </c>
      <c r="AU47" s="48">
        <v>78422</v>
      </c>
      <c r="AV47" s="48">
        <v>205</v>
      </c>
      <c r="AW47" s="48">
        <v>9237</v>
      </c>
      <c r="AX47" s="48">
        <v>23</v>
      </c>
      <c r="AY47" s="48">
        <v>0.1054</v>
      </c>
      <c r="AZ47" s="48" t="s">
        <v>360</v>
      </c>
      <c r="BA47" s="48" t="s">
        <v>360</v>
      </c>
      <c r="BB47" s="48" t="s">
        <v>360</v>
      </c>
      <c r="BC47" s="48" t="s">
        <v>360</v>
      </c>
    </row>
    <row r="48" spans="1:55">
      <c r="A48" s="44" t="s">
        <v>188</v>
      </c>
      <c r="B48" s="20">
        <f t="shared" si="4"/>
        <v>46027</v>
      </c>
      <c r="C48" s="49" t="str">
        <f t="shared" si="5"/>
        <v>2026年</v>
      </c>
      <c r="D48" s="49" t="str">
        <f t="shared" si="6"/>
        <v>1月</v>
      </c>
      <c r="E48" s="50" t="str">
        <f t="shared" si="7"/>
        <v>W2</v>
      </c>
      <c r="F48" s="48" t="s">
        <v>451</v>
      </c>
      <c r="G48" s="48" t="s">
        <v>452</v>
      </c>
      <c r="H48" s="48">
        <v>224</v>
      </c>
      <c r="I48" s="48">
        <v>312184</v>
      </c>
      <c r="J48" s="48">
        <v>542605</v>
      </c>
      <c r="K48" s="48">
        <v>27259</v>
      </c>
      <c r="L48" s="48">
        <v>7296.63171983047</v>
      </c>
      <c r="M48" s="48">
        <v>35539</v>
      </c>
      <c r="N48" s="48">
        <v>683</v>
      </c>
      <c r="O48" s="48">
        <v>132</v>
      </c>
      <c r="P48" s="48">
        <v>0.66</v>
      </c>
      <c r="Q48" s="48">
        <v>1542</v>
      </c>
      <c r="R48" s="48">
        <v>0</v>
      </c>
      <c r="S48" s="48">
        <v>113</v>
      </c>
      <c r="T48" s="48">
        <v>27</v>
      </c>
      <c r="U48" s="48">
        <v>0.3013</v>
      </c>
      <c r="V48" s="48">
        <v>155</v>
      </c>
      <c r="W48" s="48">
        <v>25644</v>
      </c>
      <c r="X48" s="48">
        <v>6372</v>
      </c>
      <c r="Y48" s="48">
        <v>180372</v>
      </c>
      <c r="Z48" s="48">
        <v>16059</v>
      </c>
      <c r="AA48" s="48">
        <v>231</v>
      </c>
      <c r="AB48" s="48">
        <v>84955</v>
      </c>
      <c r="AC48" s="48">
        <v>84413.69</v>
      </c>
      <c r="AD48" s="48">
        <v>22595.6787865269</v>
      </c>
      <c r="AE48" s="48">
        <v>231</v>
      </c>
      <c r="AF48" s="48">
        <v>206</v>
      </c>
      <c r="AG48" s="48">
        <v>133</v>
      </c>
      <c r="AH48" s="48">
        <v>48513.99</v>
      </c>
      <c r="AI48" s="48">
        <v>120</v>
      </c>
      <c r="AJ48" s="48">
        <v>0</v>
      </c>
      <c r="AK48" s="48">
        <v>0.089</v>
      </c>
      <c r="AL48" s="48">
        <v>0.2485</v>
      </c>
      <c r="AM48" s="48">
        <v>0.0144</v>
      </c>
      <c r="AN48" s="48">
        <v>0.0323</v>
      </c>
      <c r="AO48" s="48">
        <v>0.0065</v>
      </c>
      <c r="AP48" s="48">
        <v>0.0076</v>
      </c>
      <c r="AQ48" s="48">
        <v>0</v>
      </c>
      <c r="AR48" s="48">
        <v>0</v>
      </c>
      <c r="AS48" s="48">
        <v>38</v>
      </c>
      <c r="AT48" s="48">
        <v>3070.63</v>
      </c>
      <c r="AU48" s="48">
        <v>70804</v>
      </c>
      <c r="AV48" s="48">
        <v>194</v>
      </c>
      <c r="AW48" s="48">
        <v>14151</v>
      </c>
      <c r="AX48" s="48">
        <v>37</v>
      </c>
      <c r="AY48" s="48">
        <v>0.1666</v>
      </c>
      <c r="AZ48" s="48" t="s">
        <v>360</v>
      </c>
      <c r="BA48" s="48" t="s">
        <v>360</v>
      </c>
      <c r="BB48" s="48" t="s">
        <v>360</v>
      </c>
      <c r="BC48" s="48" t="s">
        <v>360</v>
      </c>
    </row>
    <row r="49" spans="1:55">
      <c r="A49" s="44" t="s">
        <v>188</v>
      </c>
      <c r="B49" s="20">
        <f t="shared" si="4"/>
        <v>46023</v>
      </c>
      <c r="C49" s="49" t="str">
        <f t="shared" si="5"/>
        <v>2026年</v>
      </c>
      <c r="D49" s="49" t="str">
        <f t="shared" si="6"/>
        <v>1月</v>
      </c>
      <c r="E49" s="50" t="str">
        <f t="shared" si="7"/>
        <v>W1</v>
      </c>
      <c r="F49" s="48" t="s">
        <v>453</v>
      </c>
      <c r="G49" s="48" t="s">
        <v>454</v>
      </c>
      <c r="H49" s="48">
        <v>300</v>
      </c>
      <c r="I49" s="48">
        <v>266282</v>
      </c>
      <c r="J49" s="48">
        <v>520529</v>
      </c>
      <c r="K49" s="48">
        <v>26015</v>
      </c>
      <c r="L49" s="48">
        <v>5200.97739767868</v>
      </c>
      <c r="M49" s="48">
        <v>35580</v>
      </c>
      <c r="N49" s="48">
        <v>637</v>
      </c>
      <c r="O49" s="48">
        <v>98</v>
      </c>
      <c r="P49" s="48">
        <v>0.7</v>
      </c>
      <c r="Q49" s="48">
        <v>1393</v>
      </c>
      <c r="R49" s="48">
        <v>1</v>
      </c>
      <c r="S49" s="48">
        <v>145</v>
      </c>
      <c r="T49" s="48">
        <v>27</v>
      </c>
      <c r="U49" s="48">
        <v>0.3264</v>
      </c>
      <c r="V49" s="48">
        <v>154</v>
      </c>
      <c r="W49" s="48">
        <v>23466</v>
      </c>
      <c r="X49" s="48">
        <v>5643</v>
      </c>
      <c r="Y49" s="48">
        <v>183562</v>
      </c>
      <c r="Z49" s="48">
        <v>13549</v>
      </c>
      <c r="AA49" s="48">
        <v>153</v>
      </c>
      <c r="AB49" s="48">
        <v>84839</v>
      </c>
      <c r="AC49" s="48">
        <v>83992.99</v>
      </c>
      <c r="AD49" s="48">
        <v>16792.06775143</v>
      </c>
      <c r="AE49" s="48">
        <v>154</v>
      </c>
      <c r="AF49" s="48">
        <v>134</v>
      </c>
      <c r="AG49" s="48">
        <v>97</v>
      </c>
      <c r="AH49" s="48">
        <v>55323.99</v>
      </c>
      <c r="AI49" s="48">
        <v>85</v>
      </c>
      <c r="AJ49" s="48">
        <v>0</v>
      </c>
      <c r="AK49" s="48">
        <v>0.0738</v>
      </c>
      <c r="AL49" s="48">
        <v>0.2405</v>
      </c>
      <c r="AM49" s="48">
        <v>0.0113</v>
      </c>
      <c r="AN49" s="48">
        <v>0.0237</v>
      </c>
      <c r="AO49" s="48">
        <v>0.0043</v>
      </c>
      <c r="AP49" s="48">
        <v>0.0052</v>
      </c>
      <c r="AQ49" s="48">
        <v>0</v>
      </c>
      <c r="AR49" s="48">
        <v>0</v>
      </c>
      <c r="AS49" s="48">
        <v>46</v>
      </c>
      <c r="AT49" s="48">
        <v>2913.14</v>
      </c>
      <c r="AU49" s="48">
        <v>69196</v>
      </c>
      <c r="AV49" s="48">
        <v>127</v>
      </c>
      <c r="AW49" s="48">
        <v>15643</v>
      </c>
      <c r="AX49" s="48">
        <v>26</v>
      </c>
      <c r="AY49" s="48">
        <v>0.1844</v>
      </c>
      <c r="AZ49" s="48" t="s">
        <v>360</v>
      </c>
      <c r="BA49" s="48" t="s">
        <v>360</v>
      </c>
      <c r="BB49" s="48" t="s">
        <v>360</v>
      </c>
      <c r="BC49" s="48" t="s">
        <v>360</v>
      </c>
    </row>
    <row r="50" spans="1:55">
      <c r="A50" s="44" t="s">
        <v>188</v>
      </c>
      <c r="B50" s="20">
        <f t="shared" si="4"/>
        <v>46023</v>
      </c>
      <c r="C50" s="49" t="str">
        <f t="shared" si="5"/>
        <v>2026年</v>
      </c>
      <c r="D50" s="49" t="str">
        <f t="shared" si="6"/>
        <v>1月</v>
      </c>
      <c r="E50" s="50" t="str">
        <f t="shared" si="7"/>
        <v>W1</v>
      </c>
      <c r="F50" s="48" t="s">
        <v>455</v>
      </c>
      <c r="G50" s="48" t="s">
        <v>456</v>
      </c>
      <c r="H50" s="48">
        <v>93</v>
      </c>
      <c r="I50" s="48">
        <v>420660</v>
      </c>
      <c r="J50" s="48">
        <v>598387</v>
      </c>
      <c r="K50" s="48">
        <v>31085</v>
      </c>
      <c r="L50" s="48">
        <v>20018.9624329159</v>
      </c>
      <c r="M50" s="48">
        <v>37162</v>
      </c>
      <c r="N50" s="48">
        <v>913</v>
      </c>
      <c r="O50" s="48">
        <v>552</v>
      </c>
      <c r="P50" s="48">
        <v>0.76</v>
      </c>
      <c r="Q50" s="48">
        <v>1349</v>
      </c>
      <c r="R50" s="48">
        <v>0</v>
      </c>
      <c r="S50" s="48">
        <v>209</v>
      </c>
      <c r="T50" s="48">
        <v>18</v>
      </c>
      <c r="U50" s="48">
        <v>0.2268</v>
      </c>
      <c r="V50" s="48">
        <v>154</v>
      </c>
      <c r="W50" s="48">
        <v>28823</v>
      </c>
      <c r="X50" s="48">
        <v>7615</v>
      </c>
      <c r="Y50" s="48">
        <v>227200</v>
      </c>
      <c r="Z50" s="48">
        <v>17366</v>
      </c>
      <c r="AA50" s="48">
        <v>141</v>
      </c>
      <c r="AB50" s="48">
        <v>84526</v>
      </c>
      <c r="AC50" s="48">
        <v>83914.8</v>
      </c>
      <c r="AD50" s="48">
        <v>54041.7316636852</v>
      </c>
      <c r="AE50" s="48">
        <v>141</v>
      </c>
      <c r="AF50" s="48">
        <v>129</v>
      </c>
      <c r="AG50" s="48">
        <v>91</v>
      </c>
      <c r="AH50" s="48">
        <v>54717.8</v>
      </c>
      <c r="AI50" s="48">
        <v>85</v>
      </c>
      <c r="AJ50" s="48">
        <v>0</v>
      </c>
      <c r="AK50" s="48">
        <v>0.0764</v>
      </c>
      <c r="AL50" s="48">
        <v>0.2642</v>
      </c>
      <c r="AM50" s="48">
        <v>0.0081</v>
      </c>
      <c r="AN50" s="48">
        <v>0.0169</v>
      </c>
      <c r="AO50" s="48">
        <v>0.0038</v>
      </c>
      <c r="AP50" s="48">
        <v>0.0041</v>
      </c>
      <c r="AQ50" s="48">
        <v>0</v>
      </c>
      <c r="AR50" s="48">
        <v>0</v>
      </c>
      <c r="AS50" s="48">
        <v>41</v>
      </c>
      <c r="AT50" s="48">
        <v>2853.69</v>
      </c>
      <c r="AU50" s="48">
        <v>70132</v>
      </c>
      <c r="AV50" s="48">
        <v>118</v>
      </c>
      <c r="AW50" s="48">
        <v>14394</v>
      </c>
      <c r="AX50" s="48">
        <v>23</v>
      </c>
      <c r="AY50" s="48">
        <v>0.1703</v>
      </c>
      <c r="AZ50" s="48" t="s">
        <v>360</v>
      </c>
      <c r="BA50" s="48" t="s">
        <v>360</v>
      </c>
      <c r="BB50" s="48" t="s">
        <v>360</v>
      </c>
      <c r="BC50" s="48" t="s">
        <v>360</v>
      </c>
    </row>
    <row r="51" spans="1:55">
      <c r="A51" s="44" t="s">
        <v>188</v>
      </c>
      <c r="B51" s="20">
        <f t="shared" si="4"/>
        <v>46034</v>
      </c>
      <c r="C51" s="49" t="str">
        <f t="shared" si="5"/>
        <v>2026年</v>
      </c>
      <c r="D51" s="49" t="str">
        <f t="shared" si="6"/>
        <v>1月</v>
      </c>
      <c r="E51" s="50" t="str">
        <f t="shared" si="7"/>
        <v>W3</v>
      </c>
      <c r="F51" s="48" t="s">
        <v>457</v>
      </c>
      <c r="G51" s="48" t="s">
        <v>458</v>
      </c>
      <c r="H51" s="48">
        <v>305</v>
      </c>
      <c r="I51" s="48">
        <v>161769</v>
      </c>
      <c r="J51" s="48">
        <v>319896</v>
      </c>
      <c r="K51" s="48">
        <v>14080</v>
      </c>
      <c r="L51" s="48">
        <v>2769.68471668215</v>
      </c>
      <c r="M51" s="48">
        <v>18610</v>
      </c>
      <c r="N51" s="48">
        <v>97</v>
      </c>
      <c r="O51" s="48">
        <v>53</v>
      </c>
      <c r="P51" s="48">
        <v>0.74</v>
      </c>
      <c r="Q51" s="48">
        <v>1086</v>
      </c>
      <c r="R51" s="48">
        <v>1</v>
      </c>
      <c r="S51" s="48">
        <v>108</v>
      </c>
      <c r="T51" s="48">
        <v>12</v>
      </c>
      <c r="U51" s="48">
        <v>0.2964</v>
      </c>
      <c r="V51" s="48">
        <v>76</v>
      </c>
      <c r="W51" s="48">
        <v>12973</v>
      </c>
      <c r="X51" s="48">
        <v>3496</v>
      </c>
      <c r="Y51" s="48">
        <v>108410</v>
      </c>
      <c r="Z51" s="48">
        <v>9020</v>
      </c>
      <c r="AA51" s="48">
        <v>205</v>
      </c>
      <c r="AB51" s="48">
        <v>79339</v>
      </c>
      <c r="AC51" s="48">
        <v>78299.83</v>
      </c>
      <c r="AD51" s="48">
        <v>15402.4035845036</v>
      </c>
      <c r="AE51" s="48">
        <v>205</v>
      </c>
      <c r="AF51" s="48">
        <v>188</v>
      </c>
      <c r="AG51" s="48">
        <v>102</v>
      </c>
      <c r="AH51" s="48">
        <v>38530.39</v>
      </c>
      <c r="AI51" s="48">
        <v>98</v>
      </c>
      <c r="AJ51" s="48">
        <v>0</v>
      </c>
      <c r="AK51" s="48">
        <v>0.0832</v>
      </c>
      <c r="AL51" s="48">
        <v>0.2695</v>
      </c>
      <c r="AM51" s="48">
        <v>0.0227</v>
      </c>
      <c r="AN51" s="48">
        <v>0.0538</v>
      </c>
      <c r="AO51" s="48">
        <v>0.011</v>
      </c>
      <c r="AP51" s="48">
        <v>0.0134</v>
      </c>
      <c r="AQ51" s="48">
        <v>0</v>
      </c>
      <c r="AR51" s="48">
        <v>0</v>
      </c>
      <c r="AS51" s="48">
        <v>46</v>
      </c>
      <c r="AT51" s="48">
        <v>3462.52</v>
      </c>
      <c r="AU51" s="48">
        <v>71890</v>
      </c>
      <c r="AV51" s="48">
        <v>186</v>
      </c>
      <c r="AW51" s="48">
        <v>7449</v>
      </c>
      <c r="AX51" s="48">
        <v>19</v>
      </c>
      <c r="AY51" s="48">
        <v>0.0939</v>
      </c>
      <c r="AZ51" s="48" t="s">
        <v>360</v>
      </c>
      <c r="BA51" s="48" t="s">
        <v>360</v>
      </c>
      <c r="BB51" s="48" t="s">
        <v>360</v>
      </c>
      <c r="BC51" s="48" t="s">
        <v>360</v>
      </c>
    </row>
    <row r="52" spans="1:55">
      <c r="A52" s="44" t="s">
        <v>188</v>
      </c>
      <c r="B52" s="20">
        <f t="shared" si="4"/>
        <v>46040</v>
      </c>
      <c r="C52" s="49" t="str">
        <f t="shared" si="5"/>
        <v>2026年</v>
      </c>
      <c r="D52" s="49" t="str">
        <f t="shared" si="6"/>
        <v>1月</v>
      </c>
      <c r="E52" s="50" t="str">
        <f t="shared" si="7"/>
        <v>W3</v>
      </c>
      <c r="F52" s="48" t="s">
        <v>459</v>
      </c>
      <c r="G52" s="48" t="s">
        <v>460</v>
      </c>
      <c r="H52" s="48">
        <v>300</v>
      </c>
      <c r="I52" s="48">
        <v>203425</v>
      </c>
      <c r="J52" s="48">
        <v>388963</v>
      </c>
      <c r="K52" s="48">
        <v>20395</v>
      </c>
      <c r="L52" s="48">
        <v>4072.21297836938</v>
      </c>
      <c r="M52" s="48">
        <v>25984</v>
      </c>
      <c r="N52" s="48">
        <v>87</v>
      </c>
      <c r="O52" s="48">
        <v>58</v>
      </c>
      <c r="P52" s="48">
        <v>0.53</v>
      </c>
      <c r="Q52" s="48">
        <v>830</v>
      </c>
      <c r="R52" s="48">
        <v>0</v>
      </c>
      <c r="S52" s="48">
        <v>116</v>
      </c>
      <c r="T52" s="48">
        <v>27</v>
      </c>
      <c r="U52" s="48">
        <v>0.2355</v>
      </c>
      <c r="V52" s="48">
        <v>78</v>
      </c>
      <c r="W52" s="48">
        <v>18171</v>
      </c>
      <c r="X52" s="48">
        <v>4963</v>
      </c>
      <c r="Y52" s="48">
        <v>127777</v>
      </c>
      <c r="Z52" s="48">
        <v>11603</v>
      </c>
      <c r="AA52" s="48">
        <v>197</v>
      </c>
      <c r="AB52" s="48">
        <v>74827</v>
      </c>
      <c r="AC52" s="48">
        <v>70941.7</v>
      </c>
      <c r="AD52" s="48">
        <v>14164.7321131448</v>
      </c>
      <c r="AE52" s="48">
        <v>197</v>
      </c>
      <c r="AF52" s="48">
        <v>174</v>
      </c>
      <c r="AG52" s="48">
        <v>51</v>
      </c>
      <c r="AH52" s="48">
        <v>18949.74</v>
      </c>
      <c r="AI52" s="48">
        <v>48</v>
      </c>
      <c r="AJ52" s="48">
        <v>0</v>
      </c>
      <c r="AK52" s="48">
        <v>0.0908</v>
      </c>
      <c r="AL52" s="48">
        <v>0.2731</v>
      </c>
      <c r="AM52" s="48">
        <v>0.017</v>
      </c>
      <c r="AN52" s="48">
        <v>0.0351</v>
      </c>
      <c r="AO52" s="48">
        <v>0.0076</v>
      </c>
      <c r="AP52" s="48">
        <v>0.0085</v>
      </c>
      <c r="AQ52" s="48">
        <v>0</v>
      </c>
      <c r="AR52" s="48">
        <v>0</v>
      </c>
      <c r="AS52" s="48">
        <v>36</v>
      </c>
      <c r="AT52" s="48">
        <v>2875.53</v>
      </c>
      <c r="AU52" s="48">
        <v>59371.04</v>
      </c>
      <c r="AV52" s="48">
        <v>158</v>
      </c>
      <c r="AW52" s="48">
        <v>15455.96</v>
      </c>
      <c r="AX52" s="48">
        <v>39</v>
      </c>
      <c r="AY52" s="48">
        <v>0.2066</v>
      </c>
      <c r="AZ52" s="48">
        <v>45228.42</v>
      </c>
      <c r="BA52" s="48">
        <v>0.637543504032184</v>
      </c>
      <c r="BB52" s="48">
        <v>3042.88</v>
      </c>
      <c r="BC52" s="48">
        <v>117</v>
      </c>
    </row>
    <row r="53" spans="1:55">
      <c r="A53" s="44" t="s">
        <v>188</v>
      </c>
      <c r="B53" s="20">
        <f t="shared" si="4"/>
        <v>46027</v>
      </c>
      <c r="C53" s="49" t="str">
        <f t="shared" si="5"/>
        <v>2026年</v>
      </c>
      <c r="D53" s="49" t="str">
        <f t="shared" si="6"/>
        <v>1月</v>
      </c>
      <c r="E53" s="50" t="str">
        <f t="shared" si="7"/>
        <v>W2</v>
      </c>
      <c r="F53" s="48" t="s">
        <v>461</v>
      </c>
      <c r="G53" s="48" t="s">
        <v>462</v>
      </c>
      <c r="H53" s="48">
        <v>277</v>
      </c>
      <c r="I53" s="48">
        <v>186601</v>
      </c>
      <c r="J53" s="48">
        <v>340362</v>
      </c>
      <c r="K53" s="48">
        <v>14680</v>
      </c>
      <c r="L53" s="48">
        <v>3179.20952896589</v>
      </c>
      <c r="M53" s="48">
        <v>19019</v>
      </c>
      <c r="N53" s="48">
        <v>86</v>
      </c>
      <c r="O53" s="48">
        <v>51</v>
      </c>
      <c r="P53" s="48">
        <v>0.62</v>
      </c>
      <c r="Q53" s="48">
        <v>873</v>
      </c>
      <c r="R53" s="48">
        <v>1</v>
      </c>
      <c r="S53" s="48">
        <v>96</v>
      </c>
      <c r="T53" s="48">
        <v>19</v>
      </c>
      <c r="U53" s="48">
        <v>0.2896</v>
      </c>
      <c r="V53" s="48">
        <v>155</v>
      </c>
      <c r="W53" s="48">
        <v>13600</v>
      </c>
      <c r="X53" s="48">
        <v>3416</v>
      </c>
      <c r="Y53" s="48">
        <v>98281</v>
      </c>
      <c r="Z53" s="48">
        <v>8225</v>
      </c>
      <c r="AA53" s="48">
        <v>185</v>
      </c>
      <c r="AB53" s="48">
        <v>71084</v>
      </c>
      <c r="AC53" s="48">
        <v>70579.29</v>
      </c>
      <c r="AD53" s="48">
        <v>15285.1737953438</v>
      </c>
      <c r="AE53" s="48">
        <v>185</v>
      </c>
      <c r="AF53" s="48">
        <v>172</v>
      </c>
      <c r="AG53" s="48">
        <v>89</v>
      </c>
      <c r="AH53" s="48">
        <v>33257.29</v>
      </c>
      <c r="AI53" s="48">
        <v>83</v>
      </c>
      <c r="AJ53" s="48">
        <v>0</v>
      </c>
      <c r="AK53" s="48">
        <v>0.0837</v>
      </c>
      <c r="AL53" s="48">
        <v>0.2512</v>
      </c>
      <c r="AM53" s="48">
        <v>0.0225</v>
      </c>
      <c r="AN53" s="48">
        <v>0.0504</v>
      </c>
      <c r="AO53" s="48">
        <v>0.0097</v>
      </c>
      <c r="AP53" s="48">
        <v>0.0117</v>
      </c>
      <c r="AQ53" s="48">
        <v>0</v>
      </c>
      <c r="AR53" s="48">
        <v>0</v>
      </c>
      <c r="AS53" s="48">
        <v>55</v>
      </c>
      <c r="AT53" s="48">
        <v>2531.86</v>
      </c>
      <c r="AU53" s="48">
        <v>64128</v>
      </c>
      <c r="AV53" s="48">
        <v>167</v>
      </c>
      <c r="AW53" s="48">
        <v>6956</v>
      </c>
      <c r="AX53" s="48">
        <v>18</v>
      </c>
      <c r="AY53" s="48">
        <v>0.0979</v>
      </c>
      <c r="AZ53" s="48" t="s">
        <v>360</v>
      </c>
      <c r="BA53" s="48" t="s">
        <v>360</v>
      </c>
      <c r="BB53" s="48" t="s">
        <v>360</v>
      </c>
      <c r="BC53" s="48" t="s">
        <v>360</v>
      </c>
    </row>
    <row r="54" spans="1:55">
      <c r="A54" s="44" t="s">
        <v>188</v>
      </c>
      <c r="B54" s="20">
        <f t="shared" si="4"/>
        <v>46036</v>
      </c>
      <c r="C54" s="49" t="str">
        <f t="shared" si="5"/>
        <v>2026年</v>
      </c>
      <c r="D54" s="49" t="str">
        <f t="shared" si="6"/>
        <v>1月</v>
      </c>
      <c r="E54" s="50" t="str">
        <f t="shared" si="7"/>
        <v>W3</v>
      </c>
      <c r="F54" s="48" t="s">
        <v>463</v>
      </c>
      <c r="G54" s="48" t="s">
        <v>464</v>
      </c>
      <c r="H54" s="48">
        <v>197</v>
      </c>
      <c r="I54" s="48">
        <v>145158</v>
      </c>
      <c r="J54" s="48">
        <v>274548</v>
      </c>
      <c r="K54" s="48">
        <v>15846</v>
      </c>
      <c r="L54" s="48">
        <v>4825.37641684994</v>
      </c>
      <c r="M54" s="48">
        <v>19839</v>
      </c>
      <c r="N54" s="48">
        <v>101</v>
      </c>
      <c r="O54" s="48">
        <v>69</v>
      </c>
      <c r="P54" s="48">
        <v>0.55</v>
      </c>
      <c r="Q54" s="48">
        <v>876</v>
      </c>
      <c r="R54" s="48">
        <v>2</v>
      </c>
      <c r="S54" s="48">
        <v>79</v>
      </c>
      <c r="T54" s="48">
        <v>20</v>
      </c>
      <c r="U54" s="48">
        <v>0.298</v>
      </c>
      <c r="V54" s="48">
        <v>76</v>
      </c>
      <c r="W54" s="48">
        <v>14331</v>
      </c>
      <c r="X54" s="48">
        <v>3627</v>
      </c>
      <c r="Y54" s="48">
        <v>106918</v>
      </c>
      <c r="Z54" s="48">
        <v>8939</v>
      </c>
      <c r="AA54" s="48">
        <v>164</v>
      </c>
      <c r="AB54" s="48">
        <v>61823</v>
      </c>
      <c r="AC54" s="48">
        <v>61476.52</v>
      </c>
      <c r="AD54" s="48">
        <v>18720.6455760447</v>
      </c>
      <c r="AE54" s="48">
        <v>164</v>
      </c>
      <c r="AF54" s="48">
        <v>145</v>
      </c>
      <c r="AG54" s="48">
        <v>74</v>
      </c>
      <c r="AH54" s="48">
        <v>26936.76</v>
      </c>
      <c r="AI54" s="48">
        <v>66</v>
      </c>
      <c r="AJ54" s="48">
        <v>0</v>
      </c>
      <c r="AK54" s="48">
        <v>0.0836</v>
      </c>
      <c r="AL54" s="48">
        <v>0.2531</v>
      </c>
      <c r="AM54" s="48">
        <v>0.0183</v>
      </c>
      <c r="AN54" s="48">
        <v>0.04</v>
      </c>
      <c r="AO54" s="48">
        <v>0.0083</v>
      </c>
      <c r="AP54" s="48">
        <v>0.0092</v>
      </c>
      <c r="AQ54" s="48">
        <v>0</v>
      </c>
      <c r="AR54" s="48">
        <v>0</v>
      </c>
      <c r="AS54" s="48">
        <v>36</v>
      </c>
      <c r="AT54" s="48">
        <v>1746.93</v>
      </c>
      <c r="AU54" s="48">
        <v>53076</v>
      </c>
      <c r="AV54" s="48">
        <v>141</v>
      </c>
      <c r="AW54" s="48">
        <v>8747</v>
      </c>
      <c r="AX54" s="48">
        <v>23</v>
      </c>
      <c r="AY54" s="48">
        <v>0.1415</v>
      </c>
      <c r="AZ54" s="48" t="s">
        <v>360</v>
      </c>
      <c r="BA54" s="48" t="s">
        <v>360</v>
      </c>
      <c r="BB54" s="48" t="s">
        <v>360</v>
      </c>
      <c r="BC54" s="48" t="s">
        <v>360</v>
      </c>
    </row>
    <row r="55" spans="1:55">
      <c r="A55" s="44" t="s">
        <v>188</v>
      </c>
      <c r="B55" s="20">
        <f t="shared" si="4"/>
        <v>46028</v>
      </c>
      <c r="C55" s="49" t="str">
        <f t="shared" si="5"/>
        <v>2026年</v>
      </c>
      <c r="D55" s="49" t="str">
        <f t="shared" si="6"/>
        <v>1月</v>
      </c>
      <c r="E55" s="50" t="str">
        <f t="shared" si="7"/>
        <v>W2</v>
      </c>
      <c r="F55" s="48" t="s">
        <v>465</v>
      </c>
      <c r="G55" s="48" t="s">
        <v>466</v>
      </c>
      <c r="H55" s="48">
        <v>285</v>
      </c>
      <c r="I55" s="48">
        <v>119698</v>
      </c>
      <c r="J55" s="48">
        <v>248474</v>
      </c>
      <c r="K55" s="48">
        <v>11266</v>
      </c>
      <c r="L55" s="48">
        <v>2364.87463556851</v>
      </c>
      <c r="M55" s="48">
        <v>15079</v>
      </c>
      <c r="N55" s="48">
        <v>78</v>
      </c>
      <c r="O55" s="48">
        <v>43</v>
      </c>
      <c r="P55" s="48">
        <v>0.66</v>
      </c>
      <c r="Q55" s="48">
        <v>1020</v>
      </c>
      <c r="R55" s="48">
        <v>0</v>
      </c>
      <c r="S55" s="48">
        <v>70</v>
      </c>
      <c r="T55" s="48">
        <v>19</v>
      </c>
      <c r="U55" s="48">
        <v>0.3542</v>
      </c>
      <c r="V55" s="48">
        <v>72</v>
      </c>
      <c r="W55" s="48">
        <v>10087</v>
      </c>
      <c r="X55" s="48">
        <v>2539</v>
      </c>
      <c r="Y55" s="48">
        <v>84724</v>
      </c>
      <c r="Z55" s="48">
        <v>6096</v>
      </c>
      <c r="AA55" s="48">
        <v>161</v>
      </c>
      <c r="AB55" s="48">
        <v>60942.88</v>
      </c>
      <c r="AC55" s="48">
        <v>60536.48</v>
      </c>
      <c r="AD55" s="48">
        <v>12707.3660641399</v>
      </c>
      <c r="AE55" s="48">
        <v>162</v>
      </c>
      <c r="AF55" s="48">
        <v>140</v>
      </c>
      <c r="AG55" s="48">
        <v>82</v>
      </c>
      <c r="AH55" s="48">
        <v>30818.34</v>
      </c>
      <c r="AI55" s="48">
        <v>74</v>
      </c>
      <c r="AJ55" s="48">
        <v>0</v>
      </c>
      <c r="AK55" s="48">
        <v>0.072</v>
      </c>
      <c r="AL55" s="48">
        <v>0.2517</v>
      </c>
      <c r="AM55" s="48">
        <v>0.0264</v>
      </c>
      <c r="AN55" s="48">
        <v>0.0551</v>
      </c>
      <c r="AO55" s="48">
        <v>0.0107</v>
      </c>
      <c r="AP55" s="48">
        <v>0.0124</v>
      </c>
      <c r="AQ55" s="48">
        <v>0</v>
      </c>
      <c r="AR55" s="48">
        <v>0</v>
      </c>
      <c r="AS55" s="48">
        <v>32</v>
      </c>
      <c r="AT55" s="48">
        <v>1833.18</v>
      </c>
      <c r="AU55" s="48">
        <v>52272.88</v>
      </c>
      <c r="AV55" s="48">
        <v>138</v>
      </c>
      <c r="AW55" s="48">
        <v>8670</v>
      </c>
      <c r="AX55" s="48">
        <v>23</v>
      </c>
      <c r="AY55" s="48">
        <v>0.1423</v>
      </c>
      <c r="AZ55" s="48" t="s">
        <v>360</v>
      </c>
      <c r="BA55" s="48" t="s">
        <v>360</v>
      </c>
      <c r="BB55" s="48" t="s">
        <v>360</v>
      </c>
      <c r="BC55" s="48" t="s">
        <v>360</v>
      </c>
    </row>
    <row r="56" spans="1:55">
      <c r="A56" s="44" t="s">
        <v>188</v>
      </c>
      <c r="B56" s="20">
        <f t="shared" si="4"/>
        <v>46027</v>
      </c>
      <c r="C56" s="49" t="str">
        <f t="shared" si="5"/>
        <v>2026年</v>
      </c>
      <c r="D56" s="49" t="str">
        <f t="shared" si="6"/>
        <v>1月</v>
      </c>
      <c r="E56" s="50" t="str">
        <f t="shared" si="7"/>
        <v>W2</v>
      </c>
      <c r="F56" s="48" t="s">
        <v>467</v>
      </c>
      <c r="G56" s="48" t="s">
        <v>468</v>
      </c>
      <c r="H56" s="48">
        <v>163</v>
      </c>
      <c r="I56" s="48">
        <v>152466</v>
      </c>
      <c r="J56" s="48">
        <v>261074</v>
      </c>
      <c r="K56" s="48">
        <v>13496</v>
      </c>
      <c r="L56" s="48">
        <v>4958.22022655373</v>
      </c>
      <c r="M56" s="48">
        <v>17246</v>
      </c>
      <c r="N56" s="48">
        <v>154</v>
      </c>
      <c r="O56" s="48">
        <v>82</v>
      </c>
      <c r="P56" s="48">
        <v>0.67</v>
      </c>
      <c r="Q56" s="48">
        <v>720</v>
      </c>
      <c r="R56" s="48">
        <v>0</v>
      </c>
      <c r="S56" s="48">
        <v>75</v>
      </c>
      <c r="T56" s="48">
        <v>5</v>
      </c>
      <c r="U56" s="48">
        <v>0.3439</v>
      </c>
      <c r="V56" s="48">
        <v>154</v>
      </c>
      <c r="W56" s="48">
        <v>12555</v>
      </c>
      <c r="X56" s="48">
        <v>2934</v>
      </c>
      <c r="Y56" s="48">
        <v>93194</v>
      </c>
      <c r="Z56" s="48">
        <v>7130</v>
      </c>
      <c r="AA56" s="48">
        <v>113</v>
      </c>
      <c r="AB56" s="48">
        <v>55513.94</v>
      </c>
      <c r="AC56" s="48">
        <v>54923.63</v>
      </c>
      <c r="AD56" s="48">
        <v>20178.0863353403</v>
      </c>
      <c r="AE56" s="48">
        <v>113</v>
      </c>
      <c r="AF56" s="48">
        <v>102</v>
      </c>
      <c r="AG56" s="48">
        <v>61</v>
      </c>
      <c r="AH56" s="48">
        <v>30697.64</v>
      </c>
      <c r="AI56" s="48">
        <v>56</v>
      </c>
      <c r="AJ56" s="48">
        <v>0</v>
      </c>
      <c r="AK56" s="48">
        <v>0.0765</v>
      </c>
      <c r="AL56" s="48">
        <v>0.2337</v>
      </c>
      <c r="AM56" s="48">
        <v>0.0158</v>
      </c>
      <c r="AN56" s="48">
        <v>0.0348</v>
      </c>
      <c r="AO56" s="48">
        <v>0.0066</v>
      </c>
      <c r="AP56" s="48">
        <v>0.0076</v>
      </c>
      <c r="AQ56" s="48">
        <v>0</v>
      </c>
      <c r="AR56" s="48">
        <v>0</v>
      </c>
      <c r="AS56" s="48">
        <v>34</v>
      </c>
      <c r="AT56" s="48">
        <v>1985.64</v>
      </c>
      <c r="AU56" s="48">
        <v>47136.04</v>
      </c>
      <c r="AV56" s="48">
        <v>97</v>
      </c>
      <c r="AW56" s="48">
        <v>8377.9</v>
      </c>
      <c r="AX56" s="48">
        <v>16</v>
      </c>
      <c r="AY56" s="48">
        <v>0.1509</v>
      </c>
      <c r="AZ56" s="48" t="s">
        <v>360</v>
      </c>
      <c r="BA56" s="48" t="s">
        <v>360</v>
      </c>
      <c r="BB56" s="48" t="s">
        <v>360</v>
      </c>
      <c r="BC56" s="48" t="s">
        <v>360</v>
      </c>
    </row>
    <row r="57" spans="1:55">
      <c r="A57" s="44" t="s">
        <v>188</v>
      </c>
      <c r="B57" s="20">
        <f t="shared" si="4"/>
        <v>46038</v>
      </c>
      <c r="C57" s="49" t="str">
        <f t="shared" si="5"/>
        <v>2026年</v>
      </c>
      <c r="D57" s="49" t="str">
        <f t="shared" si="6"/>
        <v>1月</v>
      </c>
      <c r="E57" s="50" t="str">
        <f t="shared" si="7"/>
        <v>W3</v>
      </c>
      <c r="F57" s="48" t="s">
        <v>469</v>
      </c>
      <c r="G57" s="48" t="s">
        <v>470</v>
      </c>
      <c r="H57" s="48">
        <v>208</v>
      </c>
      <c r="I57" s="48">
        <v>160597</v>
      </c>
      <c r="J57" s="48">
        <v>297737</v>
      </c>
      <c r="K57" s="48">
        <v>15266</v>
      </c>
      <c r="L57" s="48">
        <v>4392.7423866997</v>
      </c>
      <c r="M57" s="48">
        <v>19811</v>
      </c>
      <c r="N57" s="48">
        <v>101</v>
      </c>
      <c r="O57" s="48">
        <v>70</v>
      </c>
      <c r="P57" s="48">
        <v>0.64</v>
      </c>
      <c r="Q57" s="48">
        <v>990</v>
      </c>
      <c r="R57" s="48">
        <v>0</v>
      </c>
      <c r="S57" s="48">
        <v>111</v>
      </c>
      <c r="T57" s="48">
        <v>19</v>
      </c>
      <c r="U57" s="48">
        <v>0.2855</v>
      </c>
      <c r="V57" s="48">
        <v>79</v>
      </c>
      <c r="W57" s="48">
        <v>14051</v>
      </c>
      <c r="X57" s="48">
        <v>3780</v>
      </c>
      <c r="Y57" s="48">
        <v>98549</v>
      </c>
      <c r="Z57" s="48">
        <v>9025</v>
      </c>
      <c r="AA57" s="48">
        <v>141</v>
      </c>
      <c r="AB57" s="48">
        <v>58700</v>
      </c>
      <c r="AC57" s="48">
        <v>52909.31</v>
      </c>
      <c r="AD57" s="48">
        <v>15224.4837343138</v>
      </c>
      <c r="AE57" s="48">
        <v>141</v>
      </c>
      <c r="AF57" s="48">
        <v>132</v>
      </c>
      <c r="AG57" s="48">
        <v>55</v>
      </c>
      <c r="AH57" s="48">
        <v>19796.48</v>
      </c>
      <c r="AI57" s="48">
        <v>52</v>
      </c>
      <c r="AJ57" s="48">
        <v>0</v>
      </c>
      <c r="AK57" s="48">
        <v>0.0916</v>
      </c>
      <c r="AL57" s="48">
        <v>0.269</v>
      </c>
      <c r="AM57" s="48">
        <v>0.0156</v>
      </c>
      <c r="AN57" s="48">
        <v>0.0349</v>
      </c>
      <c r="AO57" s="48">
        <v>0.0071</v>
      </c>
      <c r="AP57" s="48">
        <v>0.0086</v>
      </c>
      <c r="AQ57" s="48">
        <v>0</v>
      </c>
      <c r="AR57" s="48">
        <v>0</v>
      </c>
      <c r="AS57" s="48">
        <v>40</v>
      </c>
      <c r="AT57" s="48">
        <v>2138.55</v>
      </c>
      <c r="AU57" s="48">
        <v>51988.08</v>
      </c>
      <c r="AV57" s="48">
        <v>124</v>
      </c>
      <c r="AW57" s="48">
        <v>6711.92</v>
      </c>
      <c r="AX57" s="48">
        <v>17</v>
      </c>
      <c r="AY57" s="48">
        <v>0.1143</v>
      </c>
      <c r="AZ57" s="48">
        <v>36406.91</v>
      </c>
      <c r="BA57" s="48">
        <v>0.688100260615759</v>
      </c>
      <c r="BB57" s="48">
        <v>2501.89</v>
      </c>
      <c r="BC57" s="48">
        <v>94</v>
      </c>
    </row>
    <row r="58" spans="1:55">
      <c r="A58" s="44" t="s">
        <v>188</v>
      </c>
      <c r="B58" s="20">
        <f t="shared" si="4"/>
        <v>46027</v>
      </c>
      <c r="C58" s="49" t="str">
        <f t="shared" si="5"/>
        <v>2026年</v>
      </c>
      <c r="D58" s="49" t="str">
        <f t="shared" si="6"/>
        <v>1月</v>
      </c>
      <c r="E58" s="50" t="str">
        <f t="shared" si="7"/>
        <v>W2</v>
      </c>
      <c r="F58" s="48" t="s">
        <v>471</v>
      </c>
      <c r="G58" s="48" t="s">
        <v>472</v>
      </c>
      <c r="H58" s="48">
        <v>141</v>
      </c>
      <c r="I58" s="48">
        <v>215158</v>
      </c>
      <c r="J58" s="48">
        <v>315434</v>
      </c>
      <c r="K58" s="48">
        <v>14454</v>
      </c>
      <c r="L58" s="48">
        <v>6147.00531600709</v>
      </c>
      <c r="M58" s="48">
        <v>17817</v>
      </c>
      <c r="N58" s="48">
        <v>629</v>
      </c>
      <c r="O58" s="48">
        <v>119</v>
      </c>
      <c r="P58" s="48">
        <v>0.69</v>
      </c>
      <c r="Q58" s="48">
        <v>739</v>
      </c>
      <c r="R58" s="48">
        <v>1</v>
      </c>
      <c r="S58" s="48">
        <v>85</v>
      </c>
      <c r="T58" s="48">
        <v>11</v>
      </c>
      <c r="U58" s="48">
        <v>0.2661</v>
      </c>
      <c r="V58" s="48">
        <v>154</v>
      </c>
      <c r="W58" s="48">
        <v>13419</v>
      </c>
      <c r="X58" s="48">
        <v>2574</v>
      </c>
      <c r="Y58" s="48">
        <v>93299</v>
      </c>
      <c r="Z58" s="48">
        <v>6464</v>
      </c>
      <c r="AA58" s="48">
        <v>122</v>
      </c>
      <c r="AB58" s="48">
        <v>46813.3</v>
      </c>
      <c r="AC58" s="48">
        <v>46630.7</v>
      </c>
      <c r="AD58" s="48">
        <v>19831.1305375074</v>
      </c>
      <c r="AE58" s="48">
        <v>122</v>
      </c>
      <c r="AF58" s="48">
        <v>112</v>
      </c>
      <c r="AG58" s="48">
        <v>73</v>
      </c>
      <c r="AH58" s="48">
        <v>28454.1</v>
      </c>
      <c r="AI58" s="48">
        <v>68</v>
      </c>
      <c r="AJ58" s="48">
        <v>0</v>
      </c>
      <c r="AK58" s="48">
        <v>0.0693</v>
      </c>
      <c r="AL58" s="48">
        <v>0.1918</v>
      </c>
      <c r="AM58" s="48">
        <v>0.0189</v>
      </c>
      <c r="AN58" s="48">
        <v>0.0435</v>
      </c>
      <c r="AO58" s="48">
        <v>0.0068</v>
      </c>
      <c r="AP58" s="48">
        <v>0.0077</v>
      </c>
      <c r="AQ58" s="48">
        <v>0</v>
      </c>
      <c r="AR58" s="48">
        <v>0</v>
      </c>
      <c r="AS58" s="48">
        <v>27</v>
      </c>
      <c r="AT58" s="48">
        <v>1732.61</v>
      </c>
      <c r="AU58" s="48">
        <v>41639.3</v>
      </c>
      <c r="AV58" s="48">
        <v>109</v>
      </c>
      <c r="AW58" s="48">
        <v>5174</v>
      </c>
      <c r="AX58" s="48">
        <v>13</v>
      </c>
      <c r="AY58" s="48">
        <v>0.1105</v>
      </c>
      <c r="AZ58" s="48" t="s">
        <v>360</v>
      </c>
      <c r="BA58" s="48" t="s">
        <v>360</v>
      </c>
      <c r="BB58" s="48" t="s">
        <v>360</v>
      </c>
      <c r="BC58" s="48" t="s">
        <v>360</v>
      </c>
    </row>
    <row r="59" spans="1:55">
      <c r="A59" s="44" t="s">
        <v>188</v>
      </c>
      <c r="B59" s="20">
        <f t="shared" si="4"/>
        <v>46024</v>
      </c>
      <c r="C59" s="49" t="str">
        <f t="shared" si="5"/>
        <v>2026年</v>
      </c>
      <c r="D59" s="49" t="str">
        <f t="shared" si="6"/>
        <v>1月</v>
      </c>
      <c r="E59" s="50" t="str">
        <f t="shared" si="7"/>
        <v>W1</v>
      </c>
      <c r="F59" s="48" t="s">
        <v>473</v>
      </c>
      <c r="G59" s="48" t="s">
        <v>474</v>
      </c>
      <c r="H59" s="48">
        <v>302</v>
      </c>
      <c r="I59" s="48">
        <v>125870</v>
      </c>
      <c r="J59" s="48">
        <v>269471</v>
      </c>
      <c r="K59" s="48">
        <v>13713</v>
      </c>
      <c r="L59" s="48">
        <v>2721.28328096577</v>
      </c>
      <c r="M59" s="48">
        <v>18412</v>
      </c>
      <c r="N59" s="48">
        <v>76</v>
      </c>
      <c r="O59" s="48">
        <v>44</v>
      </c>
      <c r="P59" s="48">
        <v>0.64</v>
      </c>
      <c r="Q59" s="48">
        <v>1394</v>
      </c>
      <c r="R59" s="48">
        <v>1</v>
      </c>
      <c r="S59" s="48">
        <v>60</v>
      </c>
      <c r="T59" s="48">
        <v>28</v>
      </c>
      <c r="U59" s="48">
        <v>0.3449</v>
      </c>
      <c r="V59" s="48">
        <v>154</v>
      </c>
      <c r="W59" s="48">
        <v>12702</v>
      </c>
      <c r="X59" s="48">
        <v>2836</v>
      </c>
      <c r="Y59" s="48">
        <v>94981</v>
      </c>
      <c r="Z59" s="48">
        <v>6859</v>
      </c>
      <c r="AA59" s="48">
        <v>107</v>
      </c>
      <c r="AB59" s="48">
        <v>40053</v>
      </c>
      <c r="AC59" s="48">
        <v>39798</v>
      </c>
      <c r="AD59" s="48">
        <v>7897.73441375889</v>
      </c>
      <c r="AE59" s="48">
        <v>107</v>
      </c>
      <c r="AF59" s="48">
        <v>99</v>
      </c>
      <c r="AG59" s="48">
        <v>58</v>
      </c>
      <c r="AH59" s="48">
        <v>21087</v>
      </c>
      <c r="AI59" s="48">
        <v>53</v>
      </c>
      <c r="AJ59" s="48">
        <v>0</v>
      </c>
      <c r="AK59" s="48">
        <v>0.0722</v>
      </c>
      <c r="AL59" s="48">
        <v>0.2233</v>
      </c>
      <c r="AM59" s="48">
        <v>0.0156</v>
      </c>
      <c r="AN59" s="48">
        <v>0.0349</v>
      </c>
      <c r="AO59" s="48">
        <v>0.0058</v>
      </c>
      <c r="AP59" s="48">
        <v>0.0072</v>
      </c>
      <c r="AQ59" s="48">
        <v>0</v>
      </c>
      <c r="AR59" s="48">
        <v>0</v>
      </c>
      <c r="AS59" s="48">
        <v>32</v>
      </c>
      <c r="AT59" s="48">
        <v>1366.33</v>
      </c>
      <c r="AU59" s="48">
        <v>33939</v>
      </c>
      <c r="AV59" s="48">
        <v>91</v>
      </c>
      <c r="AW59" s="48">
        <v>6114</v>
      </c>
      <c r="AX59" s="48">
        <v>16</v>
      </c>
      <c r="AY59" s="48">
        <v>0.1526</v>
      </c>
      <c r="AZ59" s="48" t="s">
        <v>360</v>
      </c>
      <c r="BA59" s="48" t="s">
        <v>360</v>
      </c>
      <c r="BB59" s="48" t="s">
        <v>360</v>
      </c>
      <c r="BC59" s="48" t="s">
        <v>360</v>
      </c>
    </row>
    <row r="60" spans="1:55">
      <c r="A60" s="44" t="s">
        <v>188</v>
      </c>
      <c r="B60" s="20">
        <f t="shared" si="4"/>
        <v>46023</v>
      </c>
      <c r="C60" s="49" t="str">
        <f t="shared" si="5"/>
        <v>2026年</v>
      </c>
      <c r="D60" s="49" t="str">
        <f t="shared" si="6"/>
        <v>1月</v>
      </c>
      <c r="E60" s="50" t="str">
        <f t="shared" si="7"/>
        <v>W1</v>
      </c>
      <c r="F60" s="48" t="s">
        <v>475</v>
      </c>
      <c r="G60" s="48" t="s">
        <v>476</v>
      </c>
      <c r="H60" s="48">
        <v>210</v>
      </c>
      <c r="I60" s="48">
        <v>140261</v>
      </c>
      <c r="J60" s="48">
        <v>278351</v>
      </c>
      <c r="K60" s="48">
        <v>14590</v>
      </c>
      <c r="L60" s="48">
        <v>4163.28471781864</v>
      </c>
      <c r="M60" s="48">
        <v>19020</v>
      </c>
      <c r="N60" s="48">
        <v>95</v>
      </c>
      <c r="O60" s="48">
        <v>57</v>
      </c>
      <c r="P60" s="48">
        <v>0.5</v>
      </c>
      <c r="Q60" s="48">
        <v>805</v>
      </c>
      <c r="R60" s="48">
        <v>1</v>
      </c>
      <c r="S60" s="48">
        <v>68</v>
      </c>
      <c r="T60" s="48">
        <v>21</v>
      </c>
      <c r="U60" s="48">
        <v>0.3491</v>
      </c>
      <c r="V60" s="48">
        <v>154</v>
      </c>
      <c r="W60" s="48">
        <v>13478</v>
      </c>
      <c r="X60" s="48">
        <v>3298</v>
      </c>
      <c r="Y60" s="48">
        <v>106776</v>
      </c>
      <c r="Z60" s="48">
        <v>8547</v>
      </c>
      <c r="AA60" s="48">
        <v>96</v>
      </c>
      <c r="AB60" s="48">
        <v>37284</v>
      </c>
      <c r="AC60" s="48">
        <v>37036.1</v>
      </c>
      <c r="AD60" s="48">
        <v>10568.3227647432</v>
      </c>
      <c r="AE60" s="48">
        <v>96</v>
      </c>
      <c r="AF60" s="48">
        <v>86</v>
      </c>
      <c r="AG60" s="48">
        <v>45</v>
      </c>
      <c r="AH60" s="48">
        <v>17908.1</v>
      </c>
      <c r="AI60" s="48">
        <v>40</v>
      </c>
      <c r="AJ60" s="48">
        <v>0</v>
      </c>
      <c r="AK60" s="48">
        <v>0.08</v>
      </c>
      <c r="AL60" s="48">
        <v>0.2447</v>
      </c>
      <c r="AM60" s="48">
        <v>0.0112</v>
      </c>
      <c r="AN60" s="48">
        <v>0.0261</v>
      </c>
      <c r="AO60" s="48">
        <v>0.005</v>
      </c>
      <c r="AP60" s="48">
        <v>0.0059</v>
      </c>
      <c r="AQ60" s="48">
        <v>0</v>
      </c>
      <c r="AR60" s="48">
        <v>0</v>
      </c>
      <c r="AS60" s="48">
        <v>26</v>
      </c>
      <c r="AT60" s="48">
        <v>1327.99</v>
      </c>
      <c r="AU60" s="48">
        <v>31551</v>
      </c>
      <c r="AV60" s="48">
        <v>81</v>
      </c>
      <c r="AW60" s="48">
        <v>5733</v>
      </c>
      <c r="AX60" s="48">
        <v>15</v>
      </c>
      <c r="AY60" s="48">
        <v>0.1538</v>
      </c>
      <c r="AZ60" s="48" t="s">
        <v>360</v>
      </c>
      <c r="BA60" s="48" t="s">
        <v>360</v>
      </c>
      <c r="BB60" s="48" t="s">
        <v>360</v>
      </c>
      <c r="BC60" s="48" t="s">
        <v>360</v>
      </c>
    </row>
    <row r="61" spans="1:55">
      <c r="A61" s="44" t="s">
        <v>188</v>
      </c>
      <c r="B61" s="20">
        <f t="shared" si="4"/>
        <v>46036</v>
      </c>
      <c r="C61" s="49" t="str">
        <f t="shared" si="5"/>
        <v>2026年</v>
      </c>
      <c r="D61" s="49" t="str">
        <f t="shared" si="6"/>
        <v>1月</v>
      </c>
      <c r="E61" s="50" t="str">
        <f t="shared" si="7"/>
        <v>W3</v>
      </c>
      <c r="F61" s="48" t="s">
        <v>477</v>
      </c>
      <c r="G61" s="48" t="s">
        <v>478</v>
      </c>
      <c r="H61" s="48">
        <v>55</v>
      </c>
      <c r="I61" s="48">
        <v>73761</v>
      </c>
      <c r="J61" s="48">
        <v>109821</v>
      </c>
      <c r="K61" s="48">
        <v>4931</v>
      </c>
      <c r="L61" s="48">
        <v>5376.01453664446</v>
      </c>
      <c r="M61" s="48">
        <v>5773</v>
      </c>
      <c r="N61" s="48">
        <v>87</v>
      </c>
      <c r="O61" s="48">
        <v>64</v>
      </c>
      <c r="P61" s="48">
        <v>0.49</v>
      </c>
      <c r="Q61" s="48">
        <v>271</v>
      </c>
      <c r="R61" s="48">
        <v>0</v>
      </c>
      <c r="S61" s="48">
        <v>16</v>
      </c>
      <c r="T61" s="48">
        <v>7</v>
      </c>
      <c r="U61" s="48">
        <v>0.3176</v>
      </c>
      <c r="V61" s="48">
        <v>76</v>
      </c>
      <c r="W61" s="48">
        <v>4562</v>
      </c>
      <c r="X61" s="48">
        <v>1357</v>
      </c>
      <c r="Y61" s="48">
        <v>34118</v>
      </c>
      <c r="Z61" s="48">
        <v>2861</v>
      </c>
      <c r="AA61" s="48">
        <v>33</v>
      </c>
      <c r="AB61" s="48">
        <v>13605</v>
      </c>
      <c r="AC61" s="48">
        <v>13499</v>
      </c>
      <c r="AD61" s="48">
        <v>14717.2622652938</v>
      </c>
      <c r="AE61" s="48">
        <v>33</v>
      </c>
      <c r="AF61" s="48">
        <v>31</v>
      </c>
      <c r="AG61" s="48">
        <v>14</v>
      </c>
      <c r="AH61" s="48">
        <v>5877</v>
      </c>
      <c r="AI61" s="48">
        <v>14</v>
      </c>
      <c r="AJ61" s="48">
        <v>0</v>
      </c>
      <c r="AK61" s="48">
        <v>0.0839</v>
      </c>
      <c r="AL61" s="48">
        <v>0.2975</v>
      </c>
      <c r="AM61" s="48">
        <v>0.0115</v>
      </c>
      <c r="AN61" s="48">
        <v>0.0228</v>
      </c>
      <c r="AO61" s="48">
        <v>0.0057</v>
      </c>
      <c r="AP61" s="48">
        <v>0.0063</v>
      </c>
      <c r="AQ61" s="48">
        <v>0</v>
      </c>
      <c r="AR61" s="48">
        <v>0</v>
      </c>
      <c r="AS61" s="48">
        <v>12</v>
      </c>
      <c r="AT61" s="48">
        <v>668.32</v>
      </c>
      <c r="AU61" s="48">
        <v>12647</v>
      </c>
      <c r="AV61" s="48">
        <v>31</v>
      </c>
      <c r="AW61" s="48">
        <v>958</v>
      </c>
      <c r="AX61" s="48">
        <v>2</v>
      </c>
      <c r="AY61" s="48">
        <v>0.0704</v>
      </c>
      <c r="AZ61" s="48" t="s">
        <v>360</v>
      </c>
      <c r="BA61" s="48" t="s">
        <v>360</v>
      </c>
      <c r="BB61" s="48" t="s">
        <v>360</v>
      </c>
      <c r="BC61" s="48" t="s">
        <v>360</v>
      </c>
    </row>
    <row r="62" spans="1:55">
      <c r="A62" s="44" t="s">
        <v>188</v>
      </c>
      <c r="B62" s="20">
        <f t="shared" si="4"/>
        <v>46040</v>
      </c>
      <c r="C62" s="49" t="str">
        <f t="shared" si="5"/>
        <v>2026年</v>
      </c>
      <c r="D62" s="49" t="str">
        <f t="shared" si="6"/>
        <v>1月</v>
      </c>
      <c r="E62" s="50" t="str">
        <f t="shared" si="7"/>
        <v>W3</v>
      </c>
      <c r="F62" s="48" t="s">
        <v>479</v>
      </c>
      <c r="G62" s="48" t="s">
        <v>480</v>
      </c>
      <c r="H62" s="48">
        <v>35</v>
      </c>
      <c r="I62" s="48">
        <v>45535</v>
      </c>
      <c r="J62" s="48">
        <v>65831</v>
      </c>
      <c r="K62" s="48">
        <v>3554</v>
      </c>
      <c r="L62" s="48">
        <v>6083.88017118402</v>
      </c>
      <c r="M62" s="48">
        <v>4073</v>
      </c>
      <c r="N62" s="48">
        <v>100</v>
      </c>
      <c r="O62" s="48">
        <v>67</v>
      </c>
      <c r="P62" s="48">
        <v>0.45</v>
      </c>
      <c r="Q62" s="48">
        <v>140</v>
      </c>
      <c r="R62" s="48">
        <v>0</v>
      </c>
      <c r="S62" s="48">
        <v>27</v>
      </c>
      <c r="T62" s="48">
        <v>8</v>
      </c>
      <c r="U62" s="48">
        <v>0.2828</v>
      </c>
      <c r="V62" s="48">
        <v>78</v>
      </c>
      <c r="W62" s="48">
        <v>3160</v>
      </c>
      <c r="X62" s="48">
        <v>946</v>
      </c>
      <c r="Y62" s="48">
        <v>27136</v>
      </c>
      <c r="Z62" s="48">
        <v>2487</v>
      </c>
      <c r="AA62" s="48">
        <v>14</v>
      </c>
      <c r="AB62" s="48">
        <v>6963</v>
      </c>
      <c r="AC62" s="48">
        <v>6069.96</v>
      </c>
      <c r="AD62" s="48">
        <v>10390.8017118402</v>
      </c>
      <c r="AE62" s="48">
        <v>14</v>
      </c>
      <c r="AF62" s="48">
        <v>14</v>
      </c>
      <c r="AG62" s="48">
        <v>2</v>
      </c>
      <c r="AH62" s="48">
        <v>615.23</v>
      </c>
      <c r="AI62" s="48">
        <v>2</v>
      </c>
      <c r="AJ62" s="48">
        <v>0</v>
      </c>
      <c r="AK62" s="48">
        <v>0.0916</v>
      </c>
      <c r="AL62" s="48">
        <v>0.2994</v>
      </c>
      <c r="AM62" s="48">
        <v>0.0056</v>
      </c>
      <c r="AN62" s="48">
        <v>0.0148</v>
      </c>
      <c r="AO62" s="48">
        <v>0.0034</v>
      </c>
      <c r="AP62" s="48">
        <v>0.0039</v>
      </c>
      <c r="AQ62" s="48">
        <v>0</v>
      </c>
      <c r="AR62" s="48">
        <v>0</v>
      </c>
      <c r="AS62" s="48">
        <v>17</v>
      </c>
      <c r="AT62" s="48">
        <v>311.98</v>
      </c>
      <c r="AU62" s="48">
        <v>6910</v>
      </c>
      <c r="AV62" s="48">
        <v>14</v>
      </c>
      <c r="AW62" s="48">
        <v>53</v>
      </c>
      <c r="AX62" s="48">
        <v>0</v>
      </c>
      <c r="AY62" s="48">
        <v>0.0076</v>
      </c>
      <c r="AZ62" s="48">
        <v>3760.96</v>
      </c>
      <c r="BA62" s="48">
        <v>0.619602106109431</v>
      </c>
      <c r="BB62" s="48">
        <v>247.04</v>
      </c>
      <c r="BC62" s="48">
        <v>8</v>
      </c>
    </row>
    <row r="63" spans="1:55">
      <c r="A63" s="44" t="s">
        <v>188</v>
      </c>
      <c r="B63" s="20">
        <f t="shared" ref="B63:B82" si="8">DATE(YEAR(F63),MONTH(F63),DAY(F63))</f>
        <v>46045</v>
      </c>
      <c r="C63" s="49" t="str">
        <f t="shared" ref="C63:C82" si="9">TEXT(YEAR(B63),"0")&amp;"年"</f>
        <v>2026年</v>
      </c>
      <c r="D63" s="49" t="str">
        <f t="shared" ref="D63:D82" si="10">TEXT(MONTH(B63),"0")&amp;"月"</f>
        <v>1月</v>
      </c>
      <c r="E63" s="50" t="str">
        <f t="shared" ref="E63:E82" si="11">"W"&amp;TEXT(WEEKNUM(B63,2),"0")</f>
        <v>W4</v>
      </c>
      <c r="F63" s="48" t="s">
        <v>481</v>
      </c>
      <c r="G63" s="48" t="s">
        <v>482</v>
      </c>
      <c r="H63" s="48">
        <v>325</v>
      </c>
      <c r="I63" s="48">
        <v>732491</v>
      </c>
      <c r="J63" s="48">
        <v>1304223</v>
      </c>
      <c r="K63" s="48">
        <v>72316</v>
      </c>
      <c r="L63" s="48">
        <v>13317.1824645762</v>
      </c>
      <c r="M63" s="48">
        <v>93900</v>
      </c>
      <c r="N63" s="48">
        <v>973</v>
      </c>
      <c r="O63" s="48">
        <v>389</v>
      </c>
      <c r="P63" s="48">
        <v>0.89</v>
      </c>
      <c r="Q63" s="48">
        <v>4827</v>
      </c>
      <c r="R63" s="48">
        <v>2</v>
      </c>
      <c r="S63" s="48">
        <v>654</v>
      </c>
      <c r="T63" s="48">
        <v>27</v>
      </c>
      <c r="U63" s="48">
        <v>0.2223</v>
      </c>
      <c r="V63" s="48">
        <v>105</v>
      </c>
      <c r="W63" s="48">
        <v>68670</v>
      </c>
      <c r="X63" s="48">
        <v>20951</v>
      </c>
      <c r="Y63" s="48">
        <v>528650</v>
      </c>
      <c r="Z63" s="48">
        <v>49763</v>
      </c>
      <c r="AA63" s="48">
        <v>674</v>
      </c>
      <c r="AB63" s="48">
        <v>356000.99</v>
      </c>
      <c r="AC63" s="48">
        <v>320592.88</v>
      </c>
      <c r="AD63" s="48">
        <v>59038.0258836769</v>
      </c>
      <c r="AE63" s="48">
        <v>674</v>
      </c>
      <c r="AF63" s="48">
        <v>548</v>
      </c>
      <c r="AG63" s="48">
        <v>156</v>
      </c>
      <c r="AH63" s="48">
        <v>71632.88</v>
      </c>
      <c r="AI63" s="48">
        <v>132</v>
      </c>
      <c r="AJ63" s="48">
        <v>0</v>
      </c>
      <c r="AK63" s="48">
        <v>0.0941</v>
      </c>
      <c r="AL63" s="48">
        <v>0.3051</v>
      </c>
      <c r="AM63" s="48">
        <v>0.0135</v>
      </c>
      <c r="AN63" s="48">
        <v>0.0262</v>
      </c>
      <c r="AO63" s="48">
        <v>0.0072</v>
      </c>
      <c r="AP63" s="48">
        <v>0.0076</v>
      </c>
      <c r="AQ63" s="48">
        <v>0</v>
      </c>
      <c r="AR63" s="48">
        <v>0</v>
      </c>
      <c r="AS63" s="48">
        <v>292</v>
      </c>
      <c r="AT63" s="48">
        <v>12654.76</v>
      </c>
      <c r="AU63" s="48">
        <v>310577.82</v>
      </c>
      <c r="AV63" s="48">
        <v>593</v>
      </c>
      <c r="AW63" s="48">
        <v>45423.17</v>
      </c>
      <c r="AX63" s="48">
        <v>81</v>
      </c>
      <c r="AY63" s="48">
        <v>0.1276</v>
      </c>
      <c r="AZ63" s="48">
        <v>250121.89</v>
      </c>
      <c r="BA63" s="48">
        <v>0.780185417717324</v>
      </c>
      <c r="BB63" s="48">
        <v>32522.1</v>
      </c>
      <c r="BC63" s="48">
        <v>461</v>
      </c>
    </row>
    <row r="64" spans="1:55">
      <c r="A64" s="44" t="s">
        <v>188</v>
      </c>
      <c r="B64" s="20">
        <f t="shared" si="8"/>
        <v>46047</v>
      </c>
      <c r="C64" s="49" t="str">
        <f t="shared" si="9"/>
        <v>2026年</v>
      </c>
      <c r="D64" s="49" t="str">
        <f t="shared" si="10"/>
        <v>1月</v>
      </c>
      <c r="E64" s="50" t="str">
        <f t="shared" si="11"/>
        <v>W4</v>
      </c>
      <c r="F64" s="48" t="s">
        <v>483</v>
      </c>
      <c r="G64" s="48" t="s">
        <v>484</v>
      </c>
      <c r="H64" s="48">
        <v>301</v>
      </c>
      <c r="I64" s="48">
        <v>622000</v>
      </c>
      <c r="J64" s="48">
        <v>1063883</v>
      </c>
      <c r="K64" s="48">
        <v>55686</v>
      </c>
      <c r="L64" s="48">
        <v>11089.1470295387</v>
      </c>
      <c r="M64" s="48">
        <v>70849</v>
      </c>
      <c r="N64" s="48">
        <v>802</v>
      </c>
      <c r="O64" s="48">
        <v>302</v>
      </c>
      <c r="P64" s="48">
        <v>0.84</v>
      </c>
      <c r="Q64" s="48">
        <v>3892</v>
      </c>
      <c r="R64" s="48">
        <v>2</v>
      </c>
      <c r="S64" s="48">
        <v>410</v>
      </c>
      <c r="T64" s="48">
        <v>36</v>
      </c>
      <c r="U64" s="48">
        <v>0.2243</v>
      </c>
      <c r="V64" s="48">
        <v>107</v>
      </c>
      <c r="W64" s="48">
        <v>52781</v>
      </c>
      <c r="X64" s="48">
        <v>14185</v>
      </c>
      <c r="Y64" s="48">
        <v>391421</v>
      </c>
      <c r="Z64" s="48">
        <v>35661</v>
      </c>
      <c r="AA64" s="48">
        <v>809</v>
      </c>
      <c r="AB64" s="48">
        <v>257868</v>
      </c>
      <c r="AC64" s="48">
        <v>246657.65</v>
      </c>
      <c r="AD64" s="48">
        <v>49118.6823763691</v>
      </c>
      <c r="AE64" s="48">
        <v>809</v>
      </c>
      <c r="AF64" s="48">
        <v>601</v>
      </c>
      <c r="AG64" s="48">
        <v>140</v>
      </c>
      <c r="AH64" s="48">
        <v>44830.97</v>
      </c>
      <c r="AI64" s="48">
        <v>111</v>
      </c>
      <c r="AJ64" s="48">
        <v>0</v>
      </c>
      <c r="AK64" s="48">
        <v>0.0911</v>
      </c>
      <c r="AL64" s="48">
        <v>0.2688</v>
      </c>
      <c r="AM64" s="48">
        <v>0.0227</v>
      </c>
      <c r="AN64" s="48">
        <v>0.0424</v>
      </c>
      <c r="AO64" s="48">
        <v>0.0114</v>
      </c>
      <c r="AP64" s="48">
        <v>0.0108</v>
      </c>
      <c r="AQ64" s="48">
        <v>0</v>
      </c>
      <c r="AR64" s="48">
        <v>0</v>
      </c>
      <c r="AS64" s="48">
        <v>107</v>
      </c>
      <c r="AT64" s="48">
        <v>8792.03</v>
      </c>
      <c r="AU64" s="48">
        <v>222553.41</v>
      </c>
      <c r="AV64" s="48">
        <v>701</v>
      </c>
      <c r="AW64" s="48">
        <v>35314.59</v>
      </c>
      <c r="AX64" s="48">
        <v>108</v>
      </c>
      <c r="AY64" s="48">
        <v>0.1369</v>
      </c>
      <c r="AZ64" s="48">
        <v>123826.13</v>
      </c>
      <c r="BA64" s="48">
        <v>0.502016175050723</v>
      </c>
      <c r="BB64" s="48">
        <v>9913.25</v>
      </c>
      <c r="BC64" s="48">
        <v>320</v>
      </c>
    </row>
    <row r="65" spans="1:55">
      <c r="A65" s="44" t="s">
        <v>188</v>
      </c>
      <c r="B65" s="20">
        <f t="shared" si="8"/>
        <v>46043</v>
      </c>
      <c r="C65" s="49" t="str">
        <f t="shared" si="9"/>
        <v>2026年</v>
      </c>
      <c r="D65" s="49" t="str">
        <f t="shared" si="10"/>
        <v>1月</v>
      </c>
      <c r="E65" s="50" t="str">
        <f t="shared" si="11"/>
        <v>W4</v>
      </c>
      <c r="F65" s="48" t="s">
        <v>485</v>
      </c>
      <c r="G65" s="48" t="s">
        <v>486</v>
      </c>
      <c r="H65" s="48">
        <v>321</v>
      </c>
      <c r="I65" s="48">
        <v>882325</v>
      </c>
      <c r="J65" s="48">
        <v>1526032</v>
      </c>
      <c r="K65" s="48">
        <v>83715</v>
      </c>
      <c r="L65" s="48">
        <v>15642.7904079726</v>
      </c>
      <c r="M65" s="48">
        <v>110658</v>
      </c>
      <c r="N65" s="48">
        <v>1129</v>
      </c>
      <c r="O65" s="48">
        <v>521</v>
      </c>
      <c r="P65" s="48">
        <v>0.95</v>
      </c>
      <c r="Q65" s="48">
        <v>6919</v>
      </c>
      <c r="R65" s="48">
        <v>2</v>
      </c>
      <c r="S65" s="48">
        <v>940</v>
      </c>
      <c r="T65" s="48">
        <v>55</v>
      </c>
      <c r="U65" s="48">
        <v>0.2126</v>
      </c>
      <c r="V65" s="48">
        <v>104</v>
      </c>
      <c r="W65" s="48">
        <v>79342</v>
      </c>
      <c r="X65" s="48">
        <v>15482</v>
      </c>
      <c r="Y65" s="48">
        <v>455045</v>
      </c>
      <c r="Z65" s="48">
        <v>36075</v>
      </c>
      <c r="AA65" s="48">
        <v>667</v>
      </c>
      <c r="AB65" s="48">
        <v>253538</v>
      </c>
      <c r="AC65" s="48">
        <v>241898.65</v>
      </c>
      <c r="AD65" s="48">
        <v>45200.6197446278</v>
      </c>
      <c r="AE65" s="48">
        <v>672</v>
      </c>
      <c r="AF65" s="48">
        <v>565</v>
      </c>
      <c r="AG65" s="48">
        <v>270</v>
      </c>
      <c r="AH65" s="48">
        <v>100239.78</v>
      </c>
      <c r="AI65" s="48">
        <v>234</v>
      </c>
      <c r="AJ65" s="48">
        <v>0</v>
      </c>
      <c r="AK65" s="48">
        <v>0.0793</v>
      </c>
      <c r="AL65" s="48">
        <v>0.1951</v>
      </c>
      <c r="AM65" s="48">
        <v>0.0185</v>
      </c>
      <c r="AN65" s="48">
        <v>0.0365</v>
      </c>
      <c r="AO65" s="48">
        <v>0.006</v>
      </c>
      <c r="AP65" s="48">
        <v>0.0067</v>
      </c>
      <c r="AQ65" s="48">
        <v>0</v>
      </c>
      <c r="AR65" s="48">
        <v>0</v>
      </c>
      <c r="AS65" s="48">
        <v>779</v>
      </c>
      <c r="AT65" s="48">
        <v>8256.74</v>
      </c>
      <c r="AU65" s="48">
        <v>200438.97</v>
      </c>
      <c r="AV65" s="48">
        <v>538</v>
      </c>
      <c r="AW65" s="48">
        <v>53099.03</v>
      </c>
      <c r="AX65" s="48">
        <v>129</v>
      </c>
      <c r="AY65" s="48">
        <v>0.2094</v>
      </c>
      <c r="AZ65" s="48">
        <v>144673.03</v>
      </c>
      <c r="BA65" s="48">
        <v>0.5980729119406</v>
      </c>
      <c r="BB65" s="48">
        <v>9696.77</v>
      </c>
      <c r="BC65" s="48">
        <v>351</v>
      </c>
    </row>
    <row r="66" spans="1:55">
      <c r="A66" s="44" t="s">
        <v>188</v>
      </c>
      <c r="B66" s="20">
        <f t="shared" si="8"/>
        <v>46044</v>
      </c>
      <c r="C66" s="49" t="str">
        <f t="shared" si="9"/>
        <v>2026年</v>
      </c>
      <c r="D66" s="49" t="str">
        <f t="shared" si="10"/>
        <v>1月</v>
      </c>
      <c r="E66" s="50" t="str">
        <f t="shared" si="11"/>
        <v>W4</v>
      </c>
      <c r="F66" s="48" t="s">
        <v>487</v>
      </c>
      <c r="G66" s="48" t="s">
        <v>488</v>
      </c>
      <c r="H66" s="48">
        <v>346</v>
      </c>
      <c r="I66" s="48">
        <v>458786</v>
      </c>
      <c r="J66" s="48">
        <v>912462</v>
      </c>
      <c r="K66" s="48">
        <v>61859</v>
      </c>
      <c r="L66" s="48">
        <v>10720.7972270364</v>
      </c>
      <c r="M66" s="48">
        <v>82639</v>
      </c>
      <c r="N66" s="48">
        <v>521</v>
      </c>
      <c r="O66" s="48">
        <v>332</v>
      </c>
      <c r="P66" s="48">
        <v>0.89</v>
      </c>
      <c r="Q66" s="48">
        <v>4402</v>
      </c>
      <c r="R66" s="48">
        <v>2</v>
      </c>
      <c r="S66" s="48">
        <v>434</v>
      </c>
      <c r="T66" s="48">
        <v>47</v>
      </c>
      <c r="U66" s="48">
        <v>0.2452</v>
      </c>
      <c r="V66" s="48">
        <v>105</v>
      </c>
      <c r="W66" s="48">
        <v>55591</v>
      </c>
      <c r="X66" s="48">
        <v>14480</v>
      </c>
      <c r="Y66" s="48">
        <v>548211</v>
      </c>
      <c r="Z66" s="48">
        <v>37774</v>
      </c>
      <c r="AA66" s="48">
        <v>655</v>
      </c>
      <c r="AB66" s="48">
        <v>250903</v>
      </c>
      <c r="AC66" s="48">
        <v>240380.53</v>
      </c>
      <c r="AD66" s="48">
        <v>41660.403812825</v>
      </c>
      <c r="AE66" s="48">
        <v>657</v>
      </c>
      <c r="AF66" s="48">
        <v>578</v>
      </c>
      <c r="AG66" s="48">
        <v>189</v>
      </c>
      <c r="AH66" s="48">
        <v>72698.91</v>
      </c>
      <c r="AI66" s="48">
        <v>172</v>
      </c>
      <c r="AJ66" s="48">
        <v>0</v>
      </c>
      <c r="AK66" s="48">
        <v>0.0689</v>
      </c>
      <c r="AL66" s="48">
        <v>0.2605</v>
      </c>
      <c r="AM66" s="48">
        <v>0.0173</v>
      </c>
      <c r="AN66" s="48">
        <v>0.0399</v>
      </c>
      <c r="AO66" s="48">
        <v>0.0079</v>
      </c>
      <c r="AP66" s="48">
        <v>0.0093</v>
      </c>
      <c r="AQ66" s="48">
        <v>0</v>
      </c>
      <c r="AR66" s="48">
        <v>0</v>
      </c>
      <c r="AS66" s="48">
        <v>358</v>
      </c>
      <c r="AT66" s="48">
        <v>7058.65</v>
      </c>
      <c r="AU66" s="48">
        <v>214320.86</v>
      </c>
      <c r="AV66" s="48">
        <v>570</v>
      </c>
      <c r="AW66" s="48">
        <v>36582.14</v>
      </c>
      <c r="AX66" s="48">
        <v>85</v>
      </c>
      <c r="AY66" s="48">
        <v>0.1458</v>
      </c>
      <c r="AZ66" s="48">
        <v>138629.72</v>
      </c>
      <c r="BA66" s="48">
        <v>0.576709436492215</v>
      </c>
      <c r="BB66" s="48">
        <v>8861.27</v>
      </c>
      <c r="BC66" s="48">
        <v>349</v>
      </c>
    </row>
    <row r="67" spans="1:55">
      <c r="A67" s="44" t="s">
        <v>188</v>
      </c>
      <c r="B67" s="20">
        <f t="shared" si="8"/>
        <v>46045</v>
      </c>
      <c r="C67" s="49" t="str">
        <f t="shared" si="9"/>
        <v>2026年</v>
      </c>
      <c r="D67" s="49" t="str">
        <f t="shared" si="10"/>
        <v>1月</v>
      </c>
      <c r="E67" s="50" t="str">
        <f t="shared" si="11"/>
        <v>W4</v>
      </c>
      <c r="F67" s="48" t="s">
        <v>489</v>
      </c>
      <c r="G67" s="48" t="s">
        <v>490</v>
      </c>
      <c r="H67" s="48">
        <v>344</v>
      </c>
      <c r="I67" s="48">
        <v>455493</v>
      </c>
      <c r="J67" s="48">
        <v>924948</v>
      </c>
      <c r="K67" s="48">
        <v>55433</v>
      </c>
      <c r="L67" s="48">
        <v>9667.14140386572</v>
      </c>
      <c r="M67" s="48">
        <v>73341</v>
      </c>
      <c r="N67" s="48">
        <v>579</v>
      </c>
      <c r="O67" s="48">
        <v>209</v>
      </c>
      <c r="P67" s="48">
        <v>0.82</v>
      </c>
      <c r="Q67" s="48">
        <v>3308</v>
      </c>
      <c r="R67" s="48">
        <v>1</v>
      </c>
      <c r="S67" s="48">
        <v>312</v>
      </c>
      <c r="T67" s="48">
        <v>47</v>
      </c>
      <c r="U67" s="48">
        <v>0.275</v>
      </c>
      <c r="V67" s="48">
        <v>106</v>
      </c>
      <c r="W67" s="48">
        <v>51938</v>
      </c>
      <c r="X67" s="48">
        <v>18953</v>
      </c>
      <c r="Y67" s="48">
        <v>523017</v>
      </c>
      <c r="Z67" s="48">
        <v>46796</v>
      </c>
      <c r="AA67" s="48">
        <v>474</v>
      </c>
      <c r="AB67" s="48">
        <v>259365</v>
      </c>
      <c r="AC67" s="48">
        <v>232983.34</v>
      </c>
      <c r="AD67" s="48">
        <v>40630.7234413603</v>
      </c>
      <c r="AE67" s="48">
        <v>476</v>
      </c>
      <c r="AF67" s="48">
        <v>418</v>
      </c>
      <c r="AG67" s="48">
        <v>96</v>
      </c>
      <c r="AH67" s="48">
        <v>52158.8</v>
      </c>
      <c r="AI67" s="48">
        <v>90</v>
      </c>
      <c r="AJ67" s="48">
        <v>0</v>
      </c>
      <c r="AK67" s="48">
        <v>0.0895</v>
      </c>
      <c r="AL67" s="48">
        <v>0.3649</v>
      </c>
      <c r="AM67" s="48">
        <v>0.0101</v>
      </c>
      <c r="AN67" s="48">
        <v>0.0221</v>
      </c>
      <c r="AO67" s="48">
        <v>0.0065</v>
      </c>
      <c r="AP67" s="48">
        <v>0.0075</v>
      </c>
      <c r="AQ67" s="48">
        <v>0</v>
      </c>
      <c r="AR67" s="48">
        <v>0</v>
      </c>
      <c r="AS67" s="48">
        <v>147</v>
      </c>
      <c r="AT67" s="48">
        <v>8196.87</v>
      </c>
      <c r="AU67" s="48">
        <v>221249</v>
      </c>
      <c r="AV67" s="48">
        <v>411</v>
      </c>
      <c r="AW67" s="48">
        <v>38116</v>
      </c>
      <c r="AX67" s="48">
        <v>63</v>
      </c>
      <c r="AY67" s="48">
        <v>0.147</v>
      </c>
      <c r="AZ67" s="48">
        <v>182989.25</v>
      </c>
      <c r="BA67" s="48">
        <v>0.785417747037192</v>
      </c>
      <c r="BB67" s="48">
        <v>24066.73</v>
      </c>
      <c r="BC67" s="48">
        <v>331</v>
      </c>
    </row>
    <row r="68" spans="1:55">
      <c r="A68" s="44" t="s">
        <v>188</v>
      </c>
      <c r="B68" s="20">
        <f t="shared" si="8"/>
        <v>46047</v>
      </c>
      <c r="C68" s="49" t="str">
        <f t="shared" si="9"/>
        <v>2026年</v>
      </c>
      <c r="D68" s="49" t="str">
        <f t="shared" si="10"/>
        <v>1月</v>
      </c>
      <c r="E68" s="50" t="str">
        <f t="shared" si="11"/>
        <v>W4</v>
      </c>
      <c r="F68" s="48" t="s">
        <v>491</v>
      </c>
      <c r="G68" s="48" t="s">
        <v>492</v>
      </c>
      <c r="H68" s="48">
        <v>331</v>
      </c>
      <c r="I68" s="48">
        <v>522136</v>
      </c>
      <c r="J68" s="48">
        <v>990512</v>
      </c>
      <c r="K68" s="48">
        <v>53603</v>
      </c>
      <c r="L68" s="48">
        <v>9708.73415174079</v>
      </c>
      <c r="M68" s="48">
        <v>69946</v>
      </c>
      <c r="N68" s="48">
        <v>632</v>
      </c>
      <c r="O68" s="48">
        <v>290</v>
      </c>
      <c r="P68" s="48">
        <v>0.76</v>
      </c>
      <c r="Q68" s="48">
        <v>2696</v>
      </c>
      <c r="R68" s="48">
        <v>1</v>
      </c>
      <c r="S68" s="48">
        <v>230</v>
      </c>
      <c r="T68" s="48">
        <v>0</v>
      </c>
      <c r="U68" s="48">
        <v>0.2253</v>
      </c>
      <c r="V68" s="48">
        <v>107</v>
      </c>
      <c r="W68" s="48">
        <v>50030</v>
      </c>
      <c r="X68" s="48">
        <v>15725</v>
      </c>
      <c r="Y68" s="48">
        <v>454276</v>
      </c>
      <c r="Z68" s="48">
        <v>42305</v>
      </c>
      <c r="AA68" s="48">
        <v>662</v>
      </c>
      <c r="AB68" s="48">
        <v>235465</v>
      </c>
      <c r="AC68" s="48">
        <v>224525.63</v>
      </c>
      <c r="AD68" s="48">
        <v>40666.7472328436</v>
      </c>
      <c r="AE68" s="48">
        <v>672</v>
      </c>
      <c r="AF68" s="48">
        <v>569</v>
      </c>
      <c r="AG68" s="48">
        <v>113</v>
      </c>
      <c r="AH68" s="48">
        <v>42281.89</v>
      </c>
      <c r="AI68" s="48">
        <v>101</v>
      </c>
      <c r="AJ68" s="48">
        <v>0</v>
      </c>
      <c r="AK68" s="48">
        <v>0.0931</v>
      </c>
      <c r="AL68" s="48">
        <v>0.3143</v>
      </c>
      <c r="AM68" s="48">
        <v>0.0156</v>
      </c>
      <c r="AN68" s="48">
        <v>0.0362</v>
      </c>
      <c r="AO68" s="48">
        <v>0.0095</v>
      </c>
      <c r="AP68" s="48">
        <v>0.0106</v>
      </c>
      <c r="AQ68" s="48">
        <v>0</v>
      </c>
      <c r="AR68" s="48">
        <v>0</v>
      </c>
      <c r="AS68" s="48">
        <v>94</v>
      </c>
      <c r="AT68" s="48">
        <v>8319.64</v>
      </c>
      <c r="AU68" s="48">
        <v>201027.12</v>
      </c>
      <c r="AV68" s="48">
        <v>576</v>
      </c>
      <c r="AW68" s="48">
        <v>34437.88</v>
      </c>
      <c r="AX68" s="48">
        <v>86</v>
      </c>
      <c r="AY68" s="48">
        <v>0.1463</v>
      </c>
      <c r="AZ68" s="48">
        <v>119803.03</v>
      </c>
      <c r="BA68" s="48">
        <v>0.533582869804218</v>
      </c>
      <c r="BB68" s="48">
        <v>8766.32</v>
      </c>
      <c r="BC68" s="48">
        <v>325</v>
      </c>
    </row>
    <row r="69" spans="1:55">
      <c r="A69" s="44" t="s">
        <v>188</v>
      </c>
      <c r="B69" s="20">
        <f t="shared" si="8"/>
        <v>46044</v>
      </c>
      <c r="C69" s="49" t="str">
        <f t="shared" si="9"/>
        <v>2026年</v>
      </c>
      <c r="D69" s="49" t="str">
        <f t="shared" si="10"/>
        <v>1月</v>
      </c>
      <c r="E69" s="50" t="str">
        <f t="shared" si="11"/>
        <v>W4</v>
      </c>
      <c r="F69" s="48" t="s">
        <v>493</v>
      </c>
      <c r="G69" s="48" t="s">
        <v>494</v>
      </c>
      <c r="H69" s="48">
        <v>327</v>
      </c>
      <c r="I69" s="48">
        <v>665524</v>
      </c>
      <c r="J69" s="48">
        <v>1159329</v>
      </c>
      <c r="K69" s="48">
        <v>67560</v>
      </c>
      <c r="L69" s="48">
        <v>12393.1719745223</v>
      </c>
      <c r="M69" s="48">
        <v>88345</v>
      </c>
      <c r="N69" s="48">
        <v>1025</v>
      </c>
      <c r="O69" s="48">
        <v>423</v>
      </c>
      <c r="P69" s="48">
        <v>0.99</v>
      </c>
      <c r="Q69" s="48">
        <v>7144</v>
      </c>
      <c r="R69" s="48">
        <v>4</v>
      </c>
      <c r="S69" s="48">
        <v>843</v>
      </c>
      <c r="T69" s="48">
        <v>49</v>
      </c>
      <c r="U69" s="48">
        <v>0.2065</v>
      </c>
      <c r="V69" s="48">
        <v>104</v>
      </c>
      <c r="W69" s="48">
        <v>62656</v>
      </c>
      <c r="X69" s="48">
        <v>12815</v>
      </c>
      <c r="Y69" s="48">
        <v>402158</v>
      </c>
      <c r="Z69" s="48">
        <v>30388</v>
      </c>
      <c r="AA69" s="48">
        <v>603</v>
      </c>
      <c r="AB69" s="48">
        <v>232160</v>
      </c>
      <c r="AC69" s="48">
        <v>222934.67</v>
      </c>
      <c r="AD69" s="48">
        <v>40895.0222675159</v>
      </c>
      <c r="AE69" s="48">
        <v>603</v>
      </c>
      <c r="AF69" s="48">
        <v>516</v>
      </c>
      <c r="AG69" s="48">
        <v>229</v>
      </c>
      <c r="AH69" s="48">
        <v>86245.18</v>
      </c>
      <c r="AI69" s="48">
        <v>195</v>
      </c>
      <c r="AJ69" s="48">
        <v>0</v>
      </c>
      <c r="AK69" s="48">
        <v>0.0756</v>
      </c>
      <c r="AL69" s="48">
        <v>0.2045</v>
      </c>
      <c r="AM69" s="48">
        <v>0.0198</v>
      </c>
      <c r="AN69" s="48">
        <v>0.0403</v>
      </c>
      <c r="AO69" s="48">
        <v>0.0068</v>
      </c>
      <c r="AP69" s="48">
        <v>0.0076</v>
      </c>
      <c r="AQ69" s="48">
        <v>0</v>
      </c>
      <c r="AR69" s="48">
        <v>0</v>
      </c>
      <c r="AS69" s="48">
        <v>787</v>
      </c>
      <c r="AT69" s="48">
        <v>7751.9</v>
      </c>
      <c r="AU69" s="48">
        <v>183407.54</v>
      </c>
      <c r="AV69" s="48">
        <v>479</v>
      </c>
      <c r="AW69" s="48">
        <v>48752.46</v>
      </c>
      <c r="AX69" s="48">
        <v>124</v>
      </c>
      <c r="AY69" s="48">
        <v>0.21</v>
      </c>
      <c r="AZ69" s="48">
        <v>127382.42</v>
      </c>
      <c r="BA69" s="48">
        <v>0.571389008268656</v>
      </c>
      <c r="BB69" s="48">
        <v>7968.82</v>
      </c>
      <c r="BC69" s="48">
        <v>308</v>
      </c>
    </row>
    <row r="70" spans="1:55">
      <c r="A70" s="44" t="s">
        <v>188</v>
      </c>
      <c r="B70" s="20">
        <f t="shared" si="8"/>
        <v>46046</v>
      </c>
      <c r="C70" s="49" t="str">
        <f t="shared" si="9"/>
        <v>2026年</v>
      </c>
      <c r="D70" s="49" t="str">
        <f t="shared" si="10"/>
        <v>1月</v>
      </c>
      <c r="E70" s="50" t="str">
        <f t="shared" si="11"/>
        <v>W4</v>
      </c>
      <c r="F70" s="48" t="s">
        <v>495</v>
      </c>
      <c r="G70" s="48" t="s">
        <v>496</v>
      </c>
      <c r="H70" s="48">
        <v>324</v>
      </c>
      <c r="I70" s="48">
        <v>478331</v>
      </c>
      <c r="J70" s="48">
        <v>883241</v>
      </c>
      <c r="K70" s="48">
        <v>46007</v>
      </c>
      <c r="L70" s="48">
        <v>8518.50023144577</v>
      </c>
      <c r="M70" s="48">
        <v>60264</v>
      </c>
      <c r="N70" s="48">
        <v>783</v>
      </c>
      <c r="O70" s="48">
        <v>226</v>
      </c>
      <c r="P70" s="48">
        <v>0.95</v>
      </c>
      <c r="Q70" s="48">
        <v>3538</v>
      </c>
      <c r="R70" s="48">
        <v>3</v>
      </c>
      <c r="S70" s="48">
        <v>288</v>
      </c>
      <c r="T70" s="48">
        <v>29</v>
      </c>
      <c r="U70" s="48">
        <v>0.2803</v>
      </c>
      <c r="V70" s="48">
        <v>106</v>
      </c>
      <c r="W70" s="48">
        <v>44615</v>
      </c>
      <c r="X70" s="48">
        <v>13255</v>
      </c>
      <c r="Y70" s="48">
        <v>347182</v>
      </c>
      <c r="Z70" s="48">
        <v>34427</v>
      </c>
      <c r="AA70" s="48">
        <v>596</v>
      </c>
      <c r="AB70" s="48">
        <v>244666</v>
      </c>
      <c r="AC70" s="48">
        <v>221288.79</v>
      </c>
      <c r="AD70" s="48">
        <v>40973.0825489894</v>
      </c>
      <c r="AE70" s="48">
        <v>596</v>
      </c>
      <c r="AF70" s="48">
        <v>440</v>
      </c>
      <c r="AG70" s="48">
        <v>73</v>
      </c>
      <c r="AH70" s="48">
        <v>33711.1</v>
      </c>
      <c r="AI70" s="48">
        <v>62</v>
      </c>
      <c r="AJ70" s="48">
        <v>0</v>
      </c>
      <c r="AK70" s="48">
        <v>0.0992</v>
      </c>
      <c r="AL70" s="48">
        <v>0.2971</v>
      </c>
      <c r="AM70" s="48">
        <v>0.0173</v>
      </c>
      <c r="AN70" s="48">
        <v>0.0332</v>
      </c>
      <c r="AO70" s="48">
        <v>0.0099</v>
      </c>
      <c r="AP70" s="48">
        <v>0.0096</v>
      </c>
      <c r="AQ70" s="48">
        <v>0</v>
      </c>
      <c r="AR70" s="48">
        <v>0</v>
      </c>
      <c r="AS70" s="48">
        <v>115</v>
      </c>
      <c r="AT70" s="48">
        <v>8618.77</v>
      </c>
      <c r="AU70" s="48">
        <v>214796.57</v>
      </c>
      <c r="AV70" s="48">
        <v>538</v>
      </c>
      <c r="AW70" s="48">
        <v>29869.43</v>
      </c>
      <c r="AX70" s="48">
        <v>58</v>
      </c>
      <c r="AY70" s="48">
        <v>0.1221</v>
      </c>
      <c r="AZ70" s="48">
        <v>155066.5</v>
      </c>
      <c r="BA70" s="48">
        <v>0.702376256782271</v>
      </c>
      <c r="BB70" s="48">
        <v>20008.95</v>
      </c>
      <c r="BC70" s="48">
        <v>328</v>
      </c>
    </row>
    <row r="71" spans="1:55">
      <c r="A71" s="44" t="s">
        <v>188</v>
      </c>
      <c r="B71" s="20">
        <f t="shared" si="8"/>
        <v>46046</v>
      </c>
      <c r="C71" s="49" t="str">
        <f t="shared" si="9"/>
        <v>2026年</v>
      </c>
      <c r="D71" s="49" t="str">
        <f t="shared" si="10"/>
        <v>1月</v>
      </c>
      <c r="E71" s="50" t="str">
        <f t="shared" si="11"/>
        <v>W4</v>
      </c>
      <c r="F71" s="48" t="s">
        <v>497</v>
      </c>
      <c r="G71" s="48" t="s">
        <v>498</v>
      </c>
      <c r="H71" s="48">
        <v>295</v>
      </c>
      <c r="I71" s="48">
        <v>502730</v>
      </c>
      <c r="J71" s="48">
        <v>902358</v>
      </c>
      <c r="K71" s="48">
        <v>49312</v>
      </c>
      <c r="L71" s="48">
        <v>10022.1983853667</v>
      </c>
      <c r="M71" s="48">
        <v>63290</v>
      </c>
      <c r="N71" s="48">
        <v>607</v>
      </c>
      <c r="O71" s="48">
        <v>182</v>
      </c>
      <c r="P71" s="48">
        <v>0.72</v>
      </c>
      <c r="Q71" s="48">
        <v>2218</v>
      </c>
      <c r="R71" s="48">
        <v>2</v>
      </c>
      <c r="S71" s="48">
        <v>232</v>
      </c>
      <c r="T71" s="48">
        <v>40</v>
      </c>
      <c r="U71" s="48">
        <v>0.2276</v>
      </c>
      <c r="V71" s="48">
        <v>106</v>
      </c>
      <c r="W71" s="48">
        <v>45264</v>
      </c>
      <c r="X71" s="48">
        <v>14638</v>
      </c>
      <c r="Y71" s="48">
        <v>435187</v>
      </c>
      <c r="Z71" s="48">
        <v>37713</v>
      </c>
      <c r="AA71" s="48">
        <v>621</v>
      </c>
      <c r="AB71" s="48">
        <v>216303</v>
      </c>
      <c r="AC71" s="48">
        <v>207242.26</v>
      </c>
      <c r="AD71" s="48">
        <v>42120.0325184892</v>
      </c>
      <c r="AE71" s="48">
        <v>622</v>
      </c>
      <c r="AF71" s="48">
        <v>511</v>
      </c>
      <c r="AG71" s="48">
        <v>122</v>
      </c>
      <c r="AH71" s="48">
        <v>42486.3</v>
      </c>
      <c r="AI71" s="48">
        <v>106</v>
      </c>
      <c r="AJ71" s="48">
        <v>0</v>
      </c>
      <c r="AK71" s="48">
        <v>0.0867</v>
      </c>
      <c r="AL71" s="48">
        <v>0.3234</v>
      </c>
      <c r="AM71" s="48">
        <v>0.0165</v>
      </c>
      <c r="AN71" s="48">
        <v>0.0349</v>
      </c>
      <c r="AO71" s="48">
        <v>0.0098</v>
      </c>
      <c r="AP71" s="48">
        <v>0.0104</v>
      </c>
      <c r="AQ71" s="48">
        <v>0</v>
      </c>
      <c r="AR71" s="48">
        <v>0</v>
      </c>
      <c r="AS71" s="48">
        <v>93</v>
      </c>
      <c r="AT71" s="48">
        <v>6622.53</v>
      </c>
      <c r="AU71" s="48">
        <v>185808.59</v>
      </c>
      <c r="AV71" s="48">
        <v>536</v>
      </c>
      <c r="AW71" s="48">
        <v>30494.41</v>
      </c>
      <c r="AX71" s="48">
        <v>85</v>
      </c>
      <c r="AY71" s="48">
        <v>0.141</v>
      </c>
      <c r="AZ71" s="48">
        <v>99994.21</v>
      </c>
      <c r="BA71" s="48">
        <v>0.489037994339057</v>
      </c>
      <c r="BB71" s="48">
        <v>7581.19</v>
      </c>
      <c r="BC71" s="48">
        <v>266</v>
      </c>
    </row>
    <row r="72" spans="1:55">
      <c r="A72" s="44" t="s">
        <v>188</v>
      </c>
      <c r="B72" s="20">
        <f t="shared" si="8"/>
        <v>46043</v>
      </c>
      <c r="C72" s="49" t="str">
        <f t="shared" si="9"/>
        <v>2026年</v>
      </c>
      <c r="D72" s="49" t="str">
        <f t="shared" si="10"/>
        <v>1月</v>
      </c>
      <c r="E72" s="50" t="str">
        <f t="shared" si="11"/>
        <v>W4</v>
      </c>
      <c r="F72" s="48" t="s">
        <v>499</v>
      </c>
      <c r="G72" s="48" t="s">
        <v>500</v>
      </c>
      <c r="H72" s="48">
        <v>318</v>
      </c>
      <c r="I72" s="48">
        <v>540870</v>
      </c>
      <c r="J72" s="48">
        <v>1075376</v>
      </c>
      <c r="K72" s="48">
        <v>64315</v>
      </c>
      <c r="L72" s="48">
        <v>12133.6337910072</v>
      </c>
      <c r="M72" s="48">
        <v>87165</v>
      </c>
      <c r="N72" s="48">
        <v>686</v>
      </c>
      <c r="O72" s="48">
        <v>409</v>
      </c>
      <c r="P72" s="48">
        <v>0.92</v>
      </c>
      <c r="Q72" s="48">
        <v>4749</v>
      </c>
      <c r="R72" s="48">
        <v>2</v>
      </c>
      <c r="S72" s="48">
        <v>389</v>
      </c>
      <c r="T72" s="48">
        <v>51</v>
      </c>
      <c r="U72" s="48">
        <v>0.2978</v>
      </c>
      <c r="V72" s="48">
        <v>104</v>
      </c>
      <c r="W72" s="48">
        <v>60227</v>
      </c>
      <c r="X72" s="48">
        <v>14921</v>
      </c>
      <c r="Y72" s="48">
        <v>432369</v>
      </c>
      <c r="Z72" s="48">
        <v>35885</v>
      </c>
      <c r="AA72" s="48">
        <v>410</v>
      </c>
      <c r="AB72" s="48">
        <v>177777</v>
      </c>
      <c r="AC72" s="48">
        <v>171454.75</v>
      </c>
      <c r="AD72" s="48">
        <v>32346.5622052196</v>
      </c>
      <c r="AE72" s="48">
        <v>412</v>
      </c>
      <c r="AF72" s="48">
        <v>353</v>
      </c>
      <c r="AG72" s="48">
        <v>137</v>
      </c>
      <c r="AH72" s="48">
        <v>57650.39</v>
      </c>
      <c r="AI72" s="48">
        <v>121</v>
      </c>
      <c r="AJ72" s="48">
        <v>0</v>
      </c>
      <c r="AK72" s="48">
        <v>0.083</v>
      </c>
      <c r="AL72" s="48">
        <v>0.2477</v>
      </c>
      <c r="AM72" s="48">
        <v>0.0114</v>
      </c>
      <c r="AN72" s="48">
        <v>0.0237</v>
      </c>
      <c r="AO72" s="48">
        <v>0.0047</v>
      </c>
      <c r="AP72" s="48">
        <v>0.0055</v>
      </c>
      <c r="AQ72" s="48">
        <v>0</v>
      </c>
      <c r="AR72" s="48">
        <v>0</v>
      </c>
      <c r="AS72" s="48">
        <v>399</v>
      </c>
      <c r="AT72" s="48">
        <v>6524.63</v>
      </c>
      <c r="AU72" s="48">
        <v>149079.24</v>
      </c>
      <c r="AV72" s="48">
        <v>343</v>
      </c>
      <c r="AW72" s="48">
        <v>28697.76</v>
      </c>
      <c r="AX72" s="48">
        <v>67</v>
      </c>
      <c r="AY72" s="48">
        <v>0.1614</v>
      </c>
      <c r="AZ72" s="48">
        <v>90692.55</v>
      </c>
      <c r="BA72" s="48">
        <v>0.53289078807625</v>
      </c>
      <c r="BB72" s="48">
        <v>5384.33</v>
      </c>
      <c r="BC72" s="48">
        <v>198</v>
      </c>
    </row>
    <row r="73" spans="1:55">
      <c r="A73" s="44" t="s">
        <v>188</v>
      </c>
      <c r="B73" s="20">
        <f t="shared" si="8"/>
        <v>46046</v>
      </c>
      <c r="C73" s="49" t="str">
        <f t="shared" si="9"/>
        <v>2026年</v>
      </c>
      <c r="D73" s="49" t="str">
        <f t="shared" si="10"/>
        <v>1月</v>
      </c>
      <c r="E73" s="50" t="str">
        <f t="shared" si="11"/>
        <v>W4</v>
      </c>
      <c r="F73" s="48" t="s">
        <v>501</v>
      </c>
      <c r="G73" s="48" t="s">
        <v>502</v>
      </c>
      <c r="H73" s="48">
        <v>309</v>
      </c>
      <c r="I73" s="48">
        <v>302634</v>
      </c>
      <c r="J73" s="48">
        <v>549612</v>
      </c>
      <c r="K73" s="48">
        <v>25697</v>
      </c>
      <c r="L73" s="48">
        <v>4987.55660987708</v>
      </c>
      <c r="M73" s="48">
        <v>32947</v>
      </c>
      <c r="N73" s="48">
        <v>142</v>
      </c>
      <c r="O73" s="48">
        <v>74</v>
      </c>
      <c r="P73" s="48">
        <v>0.58</v>
      </c>
      <c r="Q73" s="48">
        <v>1630</v>
      </c>
      <c r="R73" s="48">
        <v>0</v>
      </c>
      <c r="S73" s="48">
        <v>125</v>
      </c>
      <c r="T73" s="48">
        <v>29</v>
      </c>
      <c r="U73" s="48">
        <v>0.206</v>
      </c>
      <c r="V73" s="48">
        <v>106</v>
      </c>
      <c r="W73" s="48">
        <v>23208</v>
      </c>
      <c r="X73" s="48">
        <v>7474</v>
      </c>
      <c r="Y73" s="48">
        <v>199277</v>
      </c>
      <c r="Z73" s="48">
        <v>17950</v>
      </c>
      <c r="AA73" s="48">
        <v>436</v>
      </c>
      <c r="AB73" s="48">
        <v>164453</v>
      </c>
      <c r="AC73" s="48">
        <v>159703.89</v>
      </c>
      <c r="AD73" s="48">
        <v>30997.0888505499</v>
      </c>
      <c r="AE73" s="48">
        <v>439</v>
      </c>
      <c r="AF73" s="48">
        <v>374</v>
      </c>
      <c r="AG73" s="48">
        <v>86</v>
      </c>
      <c r="AH73" s="48">
        <v>34546.44</v>
      </c>
      <c r="AI73" s="48">
        <v>76</v>
      </c>
      <c r="AJ73" s="48">
        <v>0</v>
      </c>
      <c r="AK73" s="48">
        <v>0.0901</v>
      </c>
      <c r="AL73" s="48">
        <v>0.322</v>
      </c>
      <c r="AM73" s="48">
        <v>0.0243</v>
      </c>
      <c r="AN73" s="48">
        <v>0.05</v>
      </c>
      <c r="AO73" s="48">
        <v>0.0132</v>
      </c>
      <c r="AP73" s="48">
        <v>0.0146</v>
      </c>
      <c r="AQ73" s="48">
        <v>0</v>
      </c>
      <c r="AR73" s="48">
        <v>0</v>
      </c>
      <c r="AS73" s="48">
        <v>43</v>
      </c>
      <c r="AT73" s="48">
        <v>6196.66</v>
      </c>
      <c r="AU73" s="48">
        <v>138800.77</v>
      </c>
      <c r="AV73" s="48">
        <v>374</v>
      </c>
      <c r="AW73" s="48">
        <v>25652.23</v>
      </c>
      <c r="AX73" s="48">
        <v>62</v>
      </c>
      <c r="AY73" s="48">
        <v>0.156</v>
      </c>
      <c r="AZ73" s="48">
        <v>49457.82</v>
      </c>
      <c r="BA73" s="48">
        <v>0.309684504240942</v>
      </c>
      <c r="BB73" s="48">
        <v>3766.47</v>
      </c>
      <c r="BC73" s="48">
        <v>113</v>
      </c>
    </row>
    <row r="74" spans="1:55">
      <c r="A74" s="44" t="s">
        <v>188</v>
      </c>
      <c r="B74" s="20">
        <f t="shared" si="8"/>
        <v>46047</v>
      </c>
      <c r="C74" s="49" t="str">
        <f t="shared" si="9"/>
        <v>2026年</v>
      </c>
      <c r="D74" s="49" t="str">
        <f t="shared" si="10"/>
        <v>1月</v>
      </c>
      <c r="E74" s="50" t="str">
        <f t="shared" si="11"/>
        <v>W4</v>
      </c>
      <c r="F74" s="48" t="s">
        <v>503</v>
      </c>
      <c r="G74" s="48" t="s">
        <v>504</v>
      </c>
      <c r="H74" s="48">
        <v>304</v>
      </c>
      <c r="I74" s="48">
        <v>282906</v>
      </c>
      <c r="J74" s="48">
        <v>549239</v>
      </c>
      <c r="K74" s="48">
        <v>26160</v>
      </c>
      <c r="L74" s="48">
        <v>5160.61154035838</v>
      </c>
      <c r="M74" s="48">
        <v>33843</v>
      </c>
      <c r="N74" s="48">
        <v>105</v>
      </c>
      <c r="O74" s="48">
        <v>76</v>
      </c>
      <c r="P74" s="48">
        <v>0.58</v>
      </c>
      <c r="Q74" s="48">
        <v>1343</v>
      </c>
      <c r="R74" s="48">
        <v>0</v>
      </c>
      <c r="S74" s="48">
        <v>144</v>
      </c>
      <c r="T74" s="48">
        <v>31</v>
      </c>
      <c r="U74" s="48">
        <v>0.2183</v>
      </c>
      <c r="V74" s="48">
        <v>107</v>
      </c>
      <c r="W74" s="48">
        <v>23557</v>
      </c>
      <c r="X74" s="48">
        <v>7183</v>
      </c>
      <c r="Y74" s="48">
        <v>213734</v>
      </c>
      <c r="Z74" s="48">
        <v>17060</v>
      </c>
      <c r="AA74" s="48">
        <v>418</v>
      </c>
      <c r="AB74" s="48">
        <v>158760</v>
      </c>
      <c r="AC74" s="48">
        <v>153696.78</v>
      </c>
      <c r="AD74" s="48">
        <v>30319.9302975505</v>
      </c>
      <c r="AE74" s="48">
        <v>418</v>
      </c>
      <c r="AF74" s="48">
        <v>370</v>
      </c>
      <c r="AG74" s="48">
        <v>72</v>
      </c>
      <c r="AH74" s="48">
        <v>27871.6</v>
      </c>
      <c r="AI74" s="48">
        <v>64</v>
      </c>
      <c r="AJ74" s="48">
        <v>0</v>
      </c>
      <c r="AK74" s="48">
        <v>0.0798</v>
      </c>
      <c r="AL74" s="48">
        <v>0.3049</v>
      </c>
      <c r="AM74" s="48">
        <v>0.0245</v>
      </c>
      <c r="AN74" s="48">
        <v>0.0515</v>
      </c>
      <c r="AO74" s="48">
        <v>0.0124</v>
      </c>
      <c r="AP74" s="48">
        <v>0.0141</v>
      </c>
      <c r="AQ74" s="48">
        <v>0</v>
      </c>
      <c r="AR74" s="48">
        <v>0</v>
      </c>
      <c r="AS74" s="48">
        <v>49</v>
      </c>
      <c r="AT74" s="48">
        <v>6092.12</v>
      </c>
      <c r="AU74" s="48">
        <v>137375.28</v>
      </c>
      <c r="AV74" s="48">
        <v>365</v>
      </c>
      <c r="AW74" s="48">
        <v>21384.72</v>
      </c>
      <c r="AX74" s="48">
        <v>53</v>
      </c>
      <c r="AY74" s="48">
        <v>0.1347</v>
      </c>
      <c r="AZ74" s="48">
        <v>46021.14</v>
      </c>
      <c r="BA74" s="48">
        <v>0.29942813375791</v>
      </c>
      <c r="BB74" s="48">
        <v>3686.05</v>
      </c>
      <c r="BC74" s="48">
        <v>113</v>
      </c>
    </row>
    <row r="75" spans="1:55">
      <c r="A75" s="44" t="s">
        <v>188</v>
      </c>
      <c r="B75" s="20">
        <f t="shared" si="8"/>
        <v>46043</v>
      </c>
      <c r="C75" s="49" t="str">
        <f t="shared" si="9"/>
        <v>2026年</v>
      </c>
      <c r="D75" s="49" t="str">
        <f t="shared" si="10"/>
        <v>1月</v>
      </c>
      <c r="E75" s="50" t="str">
        <f t="shared" si="11"/>
        <v>W4</v>
      </c>
      <c r="F75" s="48" t="s">
        <v>505</v>
      </c>
      <c r="G75" s="48" t="s">
        <v>506</v>
      </c>
      <c r="H75" s="48">
        <v>272</v>
      </c>
      <c r="I75" s="48">
        <v>225727</v>
      </c>
      <c r="J75" s="48">
        <v>430516</v>
      </c>
      <c r="K75" s="48">
        <v>26078</v>
      </c>
      <c r="L75" s="48">
        <v>5751.79512314667</v>
      </c>
      <c r="M75" s="48">
        <v>34815</v>
      </c>
      <c r="N75" s="48">
        <v>199</v>
      </c>
      <c r="O75" s="48">
        <v>120</v>
      </c>
      <c r="P75" s="48">
        <v>0.88</v>
      </c>
      <c r="Q75" s="48">
        <v>2791</v>
      </c>
      <c r="R75" s="48">
        <v>5</v>
      </c>
      <c r="S75" s="48">
        <v>310</v>
      </c>
      <c r="T75" s="48">
        <v>32</v>
      </c>
      <c r="U75" s="48">
        <v>0.2398</v>
      </c>
      <c r="V75" s="48">
        <v>104</v>
      </c>
      <c r="W75" s="48">
        <v>22849</v>
      </c>
      <c r="X75" s="48">
        <v>4555</v>
      </c>
      <c r="Y75" s="48">
        <v>171030</v>
      </c>
      <c r="Z75" s="48">
        <v>10900</v>
      </c>
      <c r="AA75" s="48">
        <v>232</v>
      </c>
      <c r="AB75" s="48">
        <v>89644</v>
      </c>
      <c r="AC75" s="48">
        <v>85341.06</v>
      </c>
      <c r="AD75" s="48">
        <v>18822.9270922681</v>
      </c>
      <c r="AE75" s="48">
        <v>233</v>
      </c>
      <c r="AF75" s="48">
        <v>211</v>
      </c>
      <c r="AG75" s="48">
        <v>64</v>
      </c>
      <c r="AH75" s="48">
        <v>23072.29</v>
      </c>
      <c r="AI75" s="48">
        <v>59</v>
      </c>
      <c r="AJ75" s="48">
        <v>0</v>
      </c>
      <c r="AK75" s="48">
        <v>0.0637</v>
      </c>
      <c r="AL75" s="48">
        <v>0.1994</v>
      </c>
      <c r="AM75" s="48">
        <v>0.0213</v>
      </c>
      <c r="AN75" s="48">
        <v>0.0463</v>
      </c>
      <c r="AO75" s="48">
        <v>0.0067</v>
      </c>
      <c r="AP75" s="48">
        <v>0.0081</v>
      </c>
      <c r="AQ75" s="48">
        <v>0</v>
      </c>
      <c r="AR75" s="48">
        <v>0</v>
      </c>
      <c r="AS75" s="48">
        <v>261</v>
      </c>
      <c r="AT75" s="48">
        <v>3192.77</v>
      </c>
      <c r="AU75" s="48">
        <v>77151.16</v>
      </c>
      <c r="AV75" s="48">
        <v>201</v>
      </c>
      <c r="AW75" s="48">
        <v>12492.84</v>
      </c>
      <c r="AX75" s="48">
        <v>31</v>
      </c>
      <c r="AY75" s="48">
        <v>0.1394</v>
      </c>
      <c r="AZ75" s="48">
        <v>48991.81</v>
      </c>
      <c r="BA75" s="48">
        <v>0.574070793121154</v>
      </c>
      <c r="BB75" s="48">
        <v>3344.49</v>
      </c>
      <c r="BC75" s="48">
        <v>126</v>
      </c>
    </row>
    <row r="76" spans="1:55">
      <c r="A76" s="44" t="s">
        <v>188</v>
      </c>
      <c r="B76" s="20">
        <f t="shared" si="8"/>
        <v>46045</v>
      </c>
      <c r="C76" s="49" t="str">
        <f t="shared" si="9"/>
        <v>2026年</v>
      </c>
      <c r="D76" s="49" t="str">
        <f t="shared" si="10"/>
        <v>1月</v>
      </c>
      <c r="E76" s="50" t="str">
        <f t="shared" si="11"/>
        <v>W4</v>
      </c>
      <c r="F76" s="48" t="s">
        <v>507</v>
      </c>
      <c r="G76" s="48" t="s">
        <v>508</v>
      </c>
      <c r="H76" s="48">
        <v>152</v>
      </c>
      <c r="I76" s="48">
        <v>163578</v>
      </c>
      <c r="J76" s="48">
        <v>271931</v>
      </c>
      <c r="K76" s="48">
        <v>13542</v>
      </c>
      <c r="L76" s="48">
        <v>5339.08662797065</v>
      </c>
      <c r="M76" s="48">
        <v>16644</v>
      </c>
      <c r="N76" s="48">
        <v>104</v>
      </c>
      <c r="O76" s="48">
        <v>74</v>
      </c>
      <c r="P76" s="48">
        <v>0.56</v>
      </c>
      <c r="Q76" s="48">
        <v>684</v>
      </c>
      <c r="R76" s="48">
        <v>0</v>
      </c>
      <c r="S76" s="48">
        <v>91</v>
      </c>
      <c r="T76" s="48">
        <v>9</v>
      </c>
      <c r="U76" s="48">
        <v>0.2141</v>
      </c>
      <c r="V76" s="48">
        <v>105</v>
      </c>
      <c r="W76" s="48">
        <v>12480</v>
      </c>
      <c r="X76" s="48">
        <v>3838</v>
      </c>
      <c r="Y76" s="48">
        <v>90143</v>
      </c>
      <c r="Z76" s="48">
        <v>8481</v>
      </c>
      <c r="AA76" s="48">
        <v>196</v>
      </c>
      <c r="AB76" s="48">
        <v>74155</v>
      </c>
      <c r="AC76" s="48">
        <v>71861.59</v>
      </c>
      <c r="AD76" s="48">
        <v>28332.2444420107</v>
      </c>
      <c r="AE76" s="48">
        <v>196</v>
      </c>
      <c r="AF76" s="48">
        <v>180</v>
      </c>
      <c r="AG76" s="48">
        <v>42</v>
      </c>
      <c r="AH76" s="48">
        <v>15517.99</v>
      </c>
      <c r="AI76" s="48">
        <v>41</v>
      </c>
      <c r="AJ76" s="48">
        <v>0</v>
      </c>
      <c r="AK76" s="48">
        <v>0.0941</v>
      </c>
      <c r="AL76" s="48">
        <v>0.3075</v>
      </c>
      <c r="AM76" s="48">
        <v>0.0231</v>
      </c>
      <c r="AN76" s="48">
        <v>0.0469</v>
      </c>
      <c r="AO76" s="48">
        <v>0.0118</v>
      </c>
      <c r="AP76" s="48">
        <v>0.0133</v>
      </c>
      <c r="AQ76" s="48">
        <v>0</v>
      </c>
      <c r="AR76" s="48">
        <v>0</v>
      </c>
      <c r="AS76" s="48">
        <v>45</v>
      </c>
      <c r="AT76" s="48">
        <v>2917.74</v>
      </c>
      <c r="AU76" s="48">
        <v>64324.77</v>
      </c>
      <c r="AV76" s="48">
        <v>171</v>
      </c>
      <c r="AW76" s="48">
        <v>9830.23</v>
      </c>
      <c r="AX76" s="48">
        <v>25</v>
      </c>
      <c r="AY76" s="48">
        <v>0.1326</v>
      </c>
      <c r="AZ76" s="48">
        <v>21095.6</v>
      </c>
      <c r="BA76" s="48">
        <v>0.293558770408503</v>
      </c>
      <c r="BB76" s="48">
        <v>1785.55</v>
      </c>
      <c r="BC76" s="48">
        <v>57</v>
      </c>
    </row>
    <row r="77" spans="1:55">
      <c r="A77" s="44" t="s">
        <v>188</v>
      </c>
      <c r="B77" s="20">
        <f t="shared" si="8"/>
        <v>46044</v>
      </c>
      <c r="C77" s="49" t="str">
        <f t="shared" si="9"/>
        <v>2026年</v>
      </c>
      <c r="D77" s="49" t="str">
        <f t="shared" si="10"/>
        <v>1月</v>
      </c>
      <c r="E77" s="50" t="str">
        <f t="shared" si="11"/>
        <v>W4</v>
      </c>
      <c r="F77" s="48" t="s">
        <v>509</v>
      </c>
      <c r="G77" s="48" t="s">
        <v>510</v>
      </c>
      <c r="H77" s="48">
        <v>249</v>
      </c>
      <c r="I77" s="48">
        <v>134649</v>
      </c>
      <c r="J77" s="48">
        <v>274122</v>
      </c>
      <c r="K77" s="48">
        <v>16129</v>
      </c>
      <c r="L77" s="48">
        <v>3886.50602409639</v>
      </c>
      <c r="M77" s="48">
        <v>21881</v>
      </c>
      <c r="N77" s="48">
        <v>184</v>
      </c>
      <c r="O77" s="48">
        <v>107</v>
      </c>
      <c r="P77" s="48">
        <v>1.17</v>
      </c>
      <c r="Q77" s="48">
        <v>2368</v>
      </c>
      <c r="R77" s="48">
        <v>0</v>
      </c>
      <c r="S77" s="48">
        <v>138</v>
      </c>
      <c r="T77" s="48">
        <v>17</v>
      </c>
      <c r="U77" s="48">
        <v>0.2822</v>
      </c>
      <c r="V77" s="48">
        <v>104</v>
      </c>
      <c r="W77" s="48">
        <v>13787</v>
      </c>
      <c r="X77" s="48">
        <v>3243</v>
      </c>
      <c r="Y77" s="48">
        <v>136857</v>
      </c>
      <c r="Z77" s="48">
        <v>7956</v>
      </c>
      <c r="AA77" s="48">
        <v>160</v>
      </c>
      <c r="AB77" s="48">
        <v>62482</v>
      </c>
      <c r="AC77" s="48">
        <v>60822.15</v>
      </c>
      <c r="AD77" s="48">
        <v>14655.9397590361</v>
      </c>
      <c r="AE77" s="48">
        <v>160</v>
      </c>
      <c r="AF77" s="48">
        <v>149</v>
      </c>
      <c r="AG77" s="48">
        <v>48</v>
      </c>
      <c r="AH77" s="48">
        <v>18773.39</v>
      </c>
      <c r="AI77" s="48">
        <v>47</v>
      </c>
      <c r="AJ77" s="48">
        <v>0</v>
      </c>
      <c r="AK77" s="48">
        <v>0.0581</v>
      </c>
      <c r="AL77" s="48">
        <v>0.2352</v>
      </c>
      <c r="AM77" s="48">
        <v>0.0201</v>
      </c>
      <c r="AN77" s="48">
        <v>0.0459</v>
      </c>
      <c r="AO77" s="48">
        <v>0.0073</v>
      </c>
      <c r="AP77" s="48">
        <v>0.0092</v>
      </c>
      <c r="AQ77" s="48">
        <v>0</v>
      </c>
      <c r="AR77" s="48">
        <v>0</v>
      </c>
      <c r="AS77" s="48">
        <v>126</v>
      </c>
      <c r="AT77" s="48">
        <v>2314.86</v>
      </c>
      <c r="AU77" s="48">
        <v>53913</v>
      </c>
      <c r="AV77" s="48">
        <v>139</v>
      </c>
      <c r="AW77" s="48">
        <v>8569</v>
      </c>
      <c r="AX77" s="48">
        <v>21</v>
      </c>
      <c r="AY77" s="48">
        <v>0.1371</v>
      </c>
      <c r="AZ77" s="48">
        <v>21270.3</v>
      </c>
      <c r="BA77" s="48">
        <v>0.349713056838668</v>
      </c>
      <c r="BB77" s="48">
        <v>1395.49</v>
      </c>
      <c r="BC77" s="48">
        <v>53</v>
      </c>
    </row>
    <row r="78" spans="1:55">
      <c r="A78" s="44" t="s">
        <v>188</v>
      </c>
      <c r="B78" s="20">
        <f t="shared" si="8"/>
        <v>46045</v>
      </c>
      <c r="C78" s="49" t="str">
        <f t="shared" si="9"/>
        <v>2026年</v>
      </c>
      <c r="D78" s="49" t="str">
        <f t="shared" si="10"/>
        <v>1月</v>
      </c>
      <c r="E78" s="50" t="str">
        <f t="shared" si="11"/>
        <v>W4</v>
      </c>
      <c r="F78" s="48" t="s">
        <v>511</v>
      </c>
      <c r="G78" s="48" t="s">
        <v>512</v>
      </c>
      <c r="H78" s="48">
        <v>116</v>
      </c>
      <c r="I78" s="48">
        <v>89212</v>
      </c>
      <c r="J78" s="48">
        <v>145573</v>
      </c>
      <c r="K78" s="48">
        <v>6614</v>
      </c>
      <c r="L78" s="48">
        <v>3411.72087691646</v>
      </c>
      <c r="M78" s="48">
        <v>8117</v>
      </c>
      <c r="N78" s="48">
        <v>105</v>
      </c>
      <c r="O78" s="48">
        <v>52</v>
      </c>
      <c r="P78" s="48">
        <v>0.62</v>
      </c>
      <c r="Q78" s="48">
        <v>440</v>
      </c>
      <c r="R78" s="48">
        <v>0</v>
      </c>
      <c r="S78" s="48">
        <v>62</v>
      </c>
      <c r="T78" s="48">
        <v>15</v>
      </c>
      <c r="U78" s="48">
        <v>0.3217</v>
      </c>
      <c r="V78" s="48">
        <v>105</v>
      </c>
      <c r="W78" s="48">
        <v>6009</v>
      </c>
      <c r="X78" s="48">
        <v>1692</v>
      </c>
      <c r="Y78" s="48">
        <v>46890</v>
      </c>
      <c r="Z78" s="48">
        <v>3833</v>
      </c>
      <c r="AA78" s="48">
        <v>60</v>
      </c>
      <c r="AB78" s="48">
        <v>34680</v>
      </c>
      <c r="AC78" s="48">
        <v>31160.86</v>
      </c>
      <c r="AD78" s="48">
        <v>16073.8065625448</v>
      </c>
      <c r="AE78" s="48">
        <v>61</v>
      </c>
      <c r="AF78" s="48">
        <v>50</v>
      </c>
      <c r="AG78" s="48">
        <v>16</v>
      </c>
      <c r="AH78" s="48">
        <v>8430.8</v>
      </c>
      <c r="AI78" s="48">
        <v>16</v>
      </c>
      <c r="AJ78" s="48">
        <v>0</v>
      </c>
      <c r="AK78" s="48">
        <v>0.0817</v>
      </c>
      <c r="AL78" s="48">
        <v>0.2816</v>
      </c>
      <c r="AM78" s="48">
        <v>0.0157</v>
      </c>
      <c r="AN78" s="48">
        <v>0.0296</v>
      </c>
      <c r="AO78" s="48">
        <v>0.0074</v>
      </c>
      <c r="AP78" s="48">
        <v>0.0076</v>
      </c>
      <c r="AQ78" s="48">
        <v>0</v>
      </c>
      <c r="AR78" s="48">
        <v>0</v>
      </c>
      <c r="AS78" s="48">
        <v>43</v>
      </c>
      <c r="AT78" s="48">
        <v>1998.76</v>
      </c>
      <c r="AU78" s="48">
        <v>28705</v>
      </c>
      <c r="AV78" s="48">
        <v>50</v>
      </c>
      <c r="AW78" s="48">
        <v>5975</v>
      </c>
      <c r="AX78" s="48">
        <v>10</v>
      </c>
      <c r="AY78" s="48">
        <v>0.1723</v>
      </c>
      <c r="AZ78" s="48">
        <v>25167.81</v>
      </c>
      <c r="BA78" s="48">
        <v>0.807673793342032</v>
      </c>
      <c r="BB78" s="48">
        <v>2820.19</v>
      </c>
      <c r="BC78" s="48">
        <v>42</v>
      </c>
    </row>
    <row r="79" spans="1:55">
      <c r="A79" s="44" t="s">
        <v>188</v>
      </c>
      <c r="B79" s="20">
        <f t="shared" si="8"/>
        <v>46046</v>
      </c>
      <c r="C79" s="49" t="str">
        <f t="shared" si="9"/>
        <v>2026年</v>
      </c>
      <c r="D79" s="49" t="str">
        <f t="shared" si="10"/>
        <v>1月</v>
      </c>
      <c r="E79" s="50" t="str">
        <f t="shared" si="11"/>
        <v>W4</v>
      </c>
      <c r="F79" s="48" t="s">
        <v>513</v>
      </c>
      <c r="G79" s="48" t="s">
        <v>514</v>
      </c>
      <c r="H79" s="48">
        <v>60</v>
      </c>
      <c r="I79" s="48">
        <v>69736</v>
      </c>
      <c r="J79" s="48">
        <v>113653</v>
      </c>
      <c r="K79" s="48">
        <v>7693</v>
      </c>
      <c r="L79" s="48">
        <v>7656.84268730993</v>
      </c>
      <c r="M79" s="48">
        <v>9212</v>
      </c>
      <c r="N79" s="48">
        <v>214</v>
      </c>
      <c r="O79" s="48">
        <v>113</v>
      </c>
      <c r="P79" s="48">
        <v>0.58</v>
      </c>
      <c r="Q79" s="48">
        <v>425</v>
      </c>
      <c r="R79" s="48">
        <v>0</v>
      </c>
      <c r="S79" s="48">
        <v>39</v>
      </c>
      <c r="T79" s="48">
        <v>10</v>
      </c>
      <c r="U79" s="48">
        <v>0.3196</v>
      </c>
      <c r="V79" s="48">
        <v>106</v>
      </c>
      <c r="W79" s="48">
        <v>7100</v>
      </c>
      <c r="X79" s="48">
        <v>2099</v>
      </c>
      <c r="Y79" s="48">
        <v>58305</v>
      </c>
      <c r="Z79" s="48">
        <v>4750</v>
      </c>
      <c r="AA79" s="48">
        <v>43</v>
      </c>
      <c r="AB79" s="48">
        <v>17111</v>
      </c>
      <c r="AC79" s="48">
        <v>15931.91</v>
      </c>
      <c r="AD79" s="48">
        <v>15857.029582527</v>
      </c>
      <c r="AE79" s="48">
        <v>43</v>
      </c>
      <c r="AF79" s="48">
        <v>36</v>
      </c>
      <c r="AG79" s="48">
        <v>8</v>
      </c>
      <c r="AH79" s="48">
        <v>3753</v>
      </c>
      <c r="AI79" s="48">
        <v>8</v>
      </c>
      <c r="AJ79" s="48">
        <v>0</v>
      </c>
      <c r="AK79" s="48">
        <v>0.0815</v>
      </c>
      <c r="AL79" s="48">
        <v>0.2956</v>
      </c>
      <c r="AM79" s="48">
        <v>0.0091</v>
      </c>
      <c r="AN79" s="48">
        <v>0.0172</v>
      </c>
      <c r="AO79" s="48">
        <v>0.0047</v>
      </c>
      <c r="AP79" s="48">
        <v>0.0047</v>
      </c>
      <c r="AQ79" s="48">
        <v>0</v>
      </c>
      <c r="AR79" s="48">
        <v>0</v>
      </c>
      <c r="AS79" s="48">
        <v>17</v>
      </c>
      <c r="AT79" s="48">
        <v>808.05</v>
      </c>
      <c r="AU79" s="48">
        <v>14117</v>
      </c>
      <c r="AV79" s="48">
        <v>37</v>
      </c>
      <c r="AW79" s="48">
        <v>2994</v>
      </c>
      <c r="AX79" s="48">
        <v>6</v>
      </c>
      <c r="AY79" s="48">
        <v>0.175</v>
      </c>
      <c r="AZ79" s="48">
        <v>9103.91</v>
      </c>
      <c r="BA79" s="48">
        <v>0.592783132600725</v>
      </c>
      <c r="BB79" s="48">
        <v>1059.09</v>
      </c>
      <c r="BC79" s="48">
        <v>18</v>
      </c>
    </row>
    <row r="80" spans="1:55">
      <c r="A80" s="44" t="s">
        <v>188</v>
      </c>
      <c r="B80" s="20">
        <f t="shared" si="8"/>
        <v>46044</v>
      </c>
      <c r="C80" s="49" t="str">
        <f t="shared" si="9"/>
        <v>2026年</v>
      </c>
      <c r="D80" s="49" t="str">
        <f t="shared" si="10"/>
        <v>1月</v>
      </c>
      <c r="E80" s="50" t="str">
        <f t="shared" si="11"/>
        <v>W4</v>
      </c>
      <c r="F80" s="48" t="s">
        <v>515</v>
      </c>
      <c r="G80" s="48" t="s">
        <v>516</v>
      </c>
      <c r="H80" s="48">
        <v>51</v>
      </c>
      <c r="I80" s="48">
        <v>54535</v>
      </c>
      <c r="J80" s="48">
        <v>79548</v>
      </c>
      <c r="K80" s="48">
        <v>4866</v>
      </c>
      <c r="L80" s="48">
        <v>5713.50293542074</v>
      </c>
      <c r="M80" s="48">
        <v>5766</v>
      </c>
      <c r="N80" s="48">
        <v>147</v>
      </c>
      <c r="O80" s="48">
        <v>93</v>
      </c>
      <c r="P80" s="48">
        <v>0.72</v>
      </c>
      <c r="Q80" s="48">
        <v>432</v>
      </c>
      <c r="R80" s="48">
        <v>2</v>
      </c>
      <c r="S80" s="48">
        <v>41</v>
      </c>
      <c r="T80" s="48">
        <v>5</v>
      </c>
      <c r="U80" s="48">
        <v>0.2446</v>
      </c>
      <c r="V80" s="48">
        <v>104</v>
      </c>
      <c r="W80" s="48">
        <v>4346</v>
      </c>
      <c r="X80" s="48">
        <v>911</v>
      </c>
      <c r="Y80" s="48">
        <v>28576</v>
      </c>
      <c r="Z80" s="48">
        <v>1975</v>
      </c>
      <c r="AA80" s="48">
        <v>27</v>
      </c>
      <c r="AB80" s="48">
        <v>10699</v>
      </c>
      <c r="AC80" s="48">
        <v>10209.3</v>
      </c>
      <c r="AD80" s="48">
        <v>11987.4363992172</v>
      </c>
      <c r="AE80" s="48">
        <v>27</v>
      </c>
      <c r="AF80" s="48">
        <v>27</v>
      </c>
      <c r="AG80" s="48">
        <v>11</v>
      </c>
      <c r="AH80" s="48">
        <v>4354</v>
      </c>
      <c r="AI80" s="48">
        <v>11</v>
      </c>
      <c r="AJ80" s="48">
        <v>0</v>
      </c>
      <c r="AK80" s="48">
        <v>0.0691</v>
      </c>
      <c r="AL80" s="48">
        <v>0.2096</v>
      </c>
      <c r="AM80" s="48">
        <v>0.0137</v>
      </c>
      <c r="AN80" s="48">
        <v>0.0296</v>
      </c>
      <c r="AO80" s="48">
        <v>0.0047</v>
      </c>
      <c r="AP80" s="48">
        <v>0.0055</v>
      </c>
      <c r="AQ80" s="48">
        <v>0</v>
      </c>
      <c r="AR80" s="48">
        <v>0</v>
      </c>
      <c r="AS80" s="48">
        <v>33</v>
      </c>
      <c r="AT80" s="48">
        <v>752.42</v>
      </c>
      <c r="AU80" s="48">
        <v>10301</v>
      </c>
      <c r="AV80" s="48">
        <v>26</v>
      </c>
      <c r="AW80" s="48">
        <v>398</v>
      </c>
      <c r="AX80" s="48">
        <v>1</v>
      </c>
      <c r="AY80" s="48">
        <v>0.0372</v>
      </c>
      <c r="AZ80" s="48">
        <v>6030.3</v>
      </c>
      <c r="BA80" s="48">
        <v>0.590667332726044</v>
      </c>
      <c r="BB80" s="48">
        <v>401.7</v>
      </c>
      <c r="BC80" s="48">
        <v>16</v>
      </c>
    </row>
    <row r="81" spans="1:55">
      <c r="A81" s="44" t="s">
        <v>188</v>
      </c>
      <c r="B81" s="20">
        <f t="shared" si="8"/>
        <v>46043</v>
      </c>
      <c r="C81" s="49" t="str">
        <f t="shared" si="9"/>
        <v>2026年</v>
      </c>
      <c r="D81" s="49" t="str">
        <f t="shared" si="10"/>
        <v>1月</v>
      </c>
      <c r="E81" s="50" t="str">
        <f t="shared" si="11"/>
        <v>W4</v>
      </c>
      <c r="F81" s="48" t="s">
        <v>517</v>
      </c>
      <c r="G81" s="48" t="s">
        <v>518</v>
      </c>
      <c r="H81" s="48">
        <v>35</v>
      </c>
      <c r="I81" s="48">
        <v>56227</v>
      </c>
      <c r="J81" s="48">
        <v>79843</v>
      </c>
      <c r="K81" s="48">
        <v>5643</v>
      </c>
      <c r="L81" s="48">
        <v>9659.91440798859</v>
      </c>
      <c r="M81" s="48">
        <v>6628</v>
      </c>
      <c r="N81" s="48">
        <v>216</v>
      </c>
      <c r="O81" s="48">
        <v>129</v>
      </c>
      <c r="P81" s="48">
        <v>0.57</v>
      </c>
      <c r="Q81" s="48">
        <v>380</v>
      </c>
      <c r="R81" s="48">
        <v>0</v>
      </c>
      <c r="S81" s="48">
        <v>32</v>
      </c>
      <c r="T81" s="48">
        <v>3</v>
      </c>
      <c r="U81" s="48">
        <v>0.2591</v>
      </c>
      <c r="V81" s="48">
        <v>104</v>
      </c>
      <c r="W81" s="48">
        <v>5185</v>
      </c>
      <c r="X81" s="48">
        <v>802</v>
      </c>
      <c r="Y81" s="48">
        <v>22918</v>
      </c>
      <c r="Z81" s="48">
        <v>1717</v>
      </c>
      <c r="AA81" s="48">
        <v>27</v>
      </c>
      <c r="AB81" s="48">
        <v>9765</v>
      </c>
      <c r="AC81" s="48">
        <v>9234.31</v>
      </c>
      <c r="AD81" s="48">
        <v>15807.6633380884</v>
      </c>
      <c r="AE81" s="48">
        <v>27</v>
      </c>
      <c r="AF81" s="48">
        <v>24</v>
      </c>
      <c r="AG81" s="48">
        <v>8</v>
      </c>
      <c r="AH81" s="48">
        <v>2606</v>
      </c>
      <c r="AI81" s="48">
        <v>8</v>
      </c>
      <c r="AJ81" s="48">
        <v>0</v>
      </c>
      <c r="AK81" s="48">
        <v>0.0749</v>
      </c>
      <c r="AL81" s="48">
        <v>0.1547</v>
      </c>
      <c r="AM81" s="48">
        <v>0.0157</v>
      </c>
      <c r="AN81" s="48">
        <v>0.0299</v>
      </c>
      <c r="AO81" s="48">
        <v>0.0041</v>
      </c>
      <c r="AP81" s="48">
        <v>0.0043</v>
      </c>
      <c r="AQ81" s="48">
        <v>0</v>
      </c>
      <c r="AR81" s="48">
        <v>0</v>
      </c>
      <c r="AS81" s="48">
        <v>42</v>
      </c>
      <c r="AT81" s="48">
        <v>522.36</v>
      </c>
      <c r="AU81" s="48">
        <v>7581</v>
      </c>
      <c r="AV81" s="48">
        <v>21</v>
      </c>
      <c r="AW81" s="48">
        <v>2184</v>
      </c>
      <c r="AX81" s="48">
        <v>6</v>
      </c>
      <c r="AY81" s="48">
        <v>0.2237</v>
      </c>
      <c r="AZ81" s="48">
        <v>5015.32</v>
      </c>
      <c r="BA81" s="48">
        <v>0.54311800231961</v>
      </c>
      <c r="BB81" s="48">
        <v>304.68</v>
      </c>
      <c r="BC81" s="48">
        <v>14</v>
      </c>
    </row>
    <row r="82" spans="1:55">
      <c r="A82" s="44" t="s">
        <v>188</v>
      </c>
      <c r="B82" s="20">
        <f t="shared" si="8"/>
        <v>46045</v>
      </c>
      <c r="C82" s="49" t="str">
        <f t="shared" si="9"/>
        <v>2026年</v>
      </c>
      <c r="D82" s="49" t="str">
        <f t="shared" si="10"/>
        <v>1月</v>
      </c>
      <c r="E82" s="50" t="str">
        <f t="shared" si="11"/>
        <v>W4</v>
      </c>
      <c r="F82" s="48" t="s">
        <v>519</v>
      </c>
      <c r="G82" s="48" t="s">
        <v>520</v>
      </c>
      <c r="H82" s="48">
        <v>11</v>
      </c>
      <c r="I82" s="48">
        <v>24683</v>
      </c>
      <c r="J82" s="48">
        <v>34012</v>
      </c>
      <c r="K82" s="48">
        <v>2852</v>
      </c>
      <c r="L82" s="48">
        <v>15233.234421365</v>
      </c>
      <c r="M82" s="48">
        <v>3177</v>
      </c>
      <c r="N82" s="48">
        <v>644</v>
      </c>
      <c r="O82" s="48">
        <v>298</v>
      </c>
      <c r="P82" s="48">
        <v>0.64</v>
      </c>
      <c r="Q82" s="48">
        <v>283</v>
      </c>
      <c r="R82" s="48">
        <v>0</v>
      </c>
      <c r="S82" s="48">
        <v>23</v>
      </c>
      <c r="T82" s="48">
        <v>5</v>
      </c>
      <c r="U82" s="48">
        <v>0.2973</v>
      </c>
      <c r="V82" s="48">
        <v>105</v>
      </c>
      <c r="W82" s="48">
        <v>2705</v>
      </c>
      <c r="X82" s="48">
        <v>631</v>
      </c>
      <c r="Y82" s="48">
        <v>16907</v>
      </c>
      <c r="Z82" s="48">
        <v>1290</v>
      </c>
      <c r="AA82" s="48">
        <v>3</v>
      </c>
      <c r="AB82" s="48">
        <v>748</v>
      </c>
      <c r="AC82" s="48">
        <v>668</v>
      </c>
      <c r="AD82" s="48">
        <v>3567.95252225519</v>
      </c>
      <c r="AE82" s="48">
        <v>3</v>
      </c>
      <c r="AF82" s="48">
        <v>1</v>
      </c>
      <c r="AG82" s="48">
        <v>0</v>
      </c>
      <c r="AH82" s="48">
        <v>0</v>
      </c>
      <c r="AI82" s="48">
        <v>0</v>
      </c>
      <c r="AJ82" s="48">
        <v>0</v>
      </c>
      <c r="AK82" s="48">
        <v>0.0763</v>
      </c>
      <c r="AL82" s="48">
        <v>0.2333</v>
      </c>
      <c r="AM82" s="48">
        <v>0.0023</v>
      </c>
      <c r="AN82" s="48">
        <v>0.0016</v>
      </c>
      <c r="AO82" s="48">
        <v>0.0009</v>
      </c>
      <c r="AP82" s="48">
        <v>0.0004</v>
      </c>
      <c r="AQ82" s="48">
        <v>0</v>
      </c>
      <c r="AR82" s="48">
        <v>0</v>
      </c>
      <c r="AS82" s="48">
        <v>20</v>
      </c>
      <c r="AT82" s="48">
        <v>157.14</v>
      </c>
      <c r="AU82" s="48">
        <v>748</v>
      </c>
      <c r="AV82" s="48">
        <v>3</v>
      </c>
      <c r="AW82" s="48">
        <v>0</v>
      </c>
      <c r="AX82" s="48">
        <v>0</v>
      </c>
      <c r="AY82" s="48">
        <v>0</v>
      </c>
      <c r="AZ82" s="48">
        <v>668</v>
      </c>
      <c r="BA82" s="48">
        <v>1</v>
      </c>
      <c r="BB82" s="48">
        <v>80</v>
      </c>
      <c r="BC82" s="48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workbookViewId="0">
      <pane ySplit="1" topLeftCell="A41" activePane="bottomLeft" state="frozen"/>
      <selection/>
      <selection pane="bottomLeft" activeCell="N63" sqref="N63"/>
    </sheetView>
  </sheetViews>
  <sheetFormatPr defaultColWidth="8.25" defaultRowHeight="14"/>
  <cols>
    <col min="1" max="1" width="8.25" style="31"/>
    <col min="2" max="2" width="11.1666666666667" style="31" customWidth="1"/>
    <col min="3" max="3" width="11.1666666666667" style="32" customWidth="1"/>
    <col min="4" max="4" width="8.83333333333333" style="32" customWidth="1"/>
    <col min="5" max="5" width="17.3333333333333" style="32" customWidth="1"/>
    <col min="6" max="6" width="13.3333333333333" style="33"/>
    <col min="7" max="7" width="15.25" style="33" customWidth="1"/>
    <col min="8" max="8" width="9.66666666666667" style="33"/>
    <col min="9" max="10" width="12.3333333333333" style="33" customWidth="1"/>
    <col min="11" max="12" width="12.1666666666667" style="33" customWidth="1"/>
    <col min="13" max="16384" width="8.25" style="22"/>
  </cols>
  <sheetData>
    <row r="1" s="22" customFormat="1" ht="14.5" spans="1:12">
      <c r="A1" s="34" t="s">
        <v>205</v>
      </c>
      <c r="B1" s="35" t="s">
        <v>301</v>
      </c>
      <c r="C1" s="36" t="s">
        <v>302</v>
      </c>
      <c r="D1" s="36" t="s">
        <v>303</v>
      </c>
      <c r="E1" s="36" t="s">
        <v>304</v>
      </c>
      <c r="F1" s="37" t="s">
        <v>2</v>
      </c>
      <c r="G1" s="38" t="s">
        <v>521</v>
      </c>
      <c r="H1" s="37" t="s">
        <v>190</v>
      </c>
      <c r="I1" s="38" t="s">
        <v>306</v>
      </c>
      <c r="J1" s="38" t="s">
        <v>307</v>
      </c>
      <c r="K1" s="37" t="s">
        <v>193</v>
      </c>
      <c r="L1" s="37" t="s">
        <v>308</v>
      </c>
    </row>
    <row r="2" s="22" customFormat="1" ht="14.5" spans="1:12">
      <c r="A2" s="31" t="s">
        <v>522</v>
      </c>
      <c r="B2" s="39">
        <v>46023</v>
      </c>
      <c r="C2" s="40" t="str">
        <f>TEXT(YEAR(B2),"0")&amp;"年"</f>
        <v>2026年</v>
      </c>
      <c r="D2" s="40" t="str">
        <f>TEXT(MONTH(B2),"0")&amp;"月"</f>
        <v>1月</v>
      </c>
      <c r="E2" s="41" t="str">
        <f>"W"&amp;TEXT(WEEKNUM(B2,2),"0")</f>
        <v>W1</v>
      </c>
      <c r="F2" s="42">
        <v>611208</v>
      </c>
      <c r="G2" s="42">
        <v>615446.42</v>
      </c>
      <c r="H2" s="42">
        <f>F2-G2</f>
        <v>-4238.42000000004</v>
      </c>
      <c r="I2" s="42">
        <v>147432.43</v>
      </c>
      <c r="J2" s="42">
        <v>457178.87</v>
      </c>
      <c r="K2" s="42">
        <v>2615.01</v>
      </c>
      <c r="L2" s="37">
        <f>J2/K2</f>
        <v>174.828727232401</v>
      </c>
    </row>
    <row r="3" s="22" customFormat="1" ht="14.5" spans="1:12">
      <c r="A3" s="31" t="s">
        <v>522</v>
      </c>
      <c r="B3" s="39">
        <v>46024</v>
      </c>
      <c r="C3" s="40" t="str">
        <f t="shared" ref="C3:C26" si="0">TEXT(YEAR(B3),"0")&amp;"年"</f>
        <v>2026年</v>
      </c>
      <c r="D3" s="40" t="str">
        <f t="shared" ref="D3:D26" si="1">TEXT(MONTH(B3),"0")&amp;"月"</f>
        <v>1月</v>
      </c>
      <c r="E3" s="41" t="str">
        <f t="shared" ref="E3:E26" si="2">"W"&amp;TEXT(WEEKNUM(B3,2),"0")</f>
        <v>W1</v>
      </c>
      <c r="F3" s="42">
        <v>605695</v>
      </c>
      <c r="G3" s="42">
        <v>641783.68</v>
      </c>
      <c r="H3" s="42">
        <f t="shared" ref="H3:H34" si="3">F3-G3</f>
        <v>-36088.6800000001</v>
      </c>
      <c r="I3" s="42">
        <v>163345.05</v>
      </c>
      <c r="J3" s="42">
        <v>427632.95</v>
      </c>
      <c r="K3" s="42">
        <v>2332.31</v>
      </c>
      <c r="L3" s="37">
        <f t="shared" ref="L3:L26" si="4">J3/K3</f>
        <v>183.351677092668</v>
      </c>
    </row>
    <row r="4" s="22" customFormat="1" ht="14.5" spans="1:12">
      <c r="A4" s="31" t="s">
        <v>522</v>
      </c>
      <c r="B4" s="39">
        <v>46025</v>
      </c>
      <c r="C4" s="40" t="str">
        <f t="shared" si="0"/>
        <v>2026年</v>
      </c>
      <c r="D4" s="40" t="str">
        <f t="shared" si="1"/>
        <v>1月</v>
      </c>
      <c r="E4" s="41" t="str">
        <f t="shared" si="2"/>
        <v>W1</v>
      </c>
      <c r="F4" s="42">
        <v>658154</v>
      </c>
      <c r="G4" s="42">
        <v>551374.13</v>
      </c>
      <c r="H4" s="42">
        <f t="shared" si="3"/>
        <v>106779.87</v>
      </c>
      <c r="I4" s="42">
        <v>199464.45</v>
      </c>
      <c r="J4" s="42">
        <v>441752.55</v>
      </c>
      <c r="K4" s="42">
        <v>2504.1</v>
      </c>
      <c r="L4" s="37">
        <f t="shared" si="4"/>
        <v>176.411704804121</v>
      </c>
    </row>
    <row r="5" s="22" customFormat="1" ht="14.5" spans="1:12">
      <c r="A5" s="31" t="s">
        <v>522</v>
      </c>
      <c r="B5" s="39">
        <v>46026</v>
      </c>
      <c r="C5" s="40" t="str">
        <f t="shared" si="0"/>
        <v>2026年</v>
      </c>
      <c r="D5" s="40" t="str">
        <f t="shared" si="1"/>
        <v>1月</v>
      </c>
      <c r="E5" s="41" t="str">
        <f t="shared" si="2"/>
        <v>W1</v>
      </c>
      <c r="F5" s="42">
        <v>429059</v>
      </c>
      <c r="G5" s="42">
        <v>508225.07</v>
      </c>
      <c r="H5" s="42">
        <f t="shared" si="3"/>
        <v>-79166.07</v>
      </c>
      <c r="I5" s="42">
        <v>139438</v>
      </c>
      <c r="J5" s="42">
        <v>280422</v>
      </c>
      <c r="K5" s="42">
        <v>1544.41</v>
      </c>
      <c r="L5" s="37">
        <f t="shared" si="4"/>
        <v>181.572250891926</v>
      </c>
    </row>
    <row r="6" s="22" customFormat="1" ht="14.5" spans="1:12">
      <c r="A6" s="31" t="s">
        <v>522</v>
      </c>
      <c r="B6" s="39">
        <v>46027</v>
      </c>
      <c r="C6" s="40" t="str">
        <f t="shared" si="0"/>
        <v>2026年</v>
      </c>
      <c r="D6" s="40" t="str">
        <f t="shared" si="1"/>
        <v>1月</v>
      </c>
      <c r="E6" s="41" t="str">
        <f t="shared" si="2"/>
        <v>W2</v>
      </c>
      <c r="F6" s="42">
        <v>501427</v>
      </c>
      <c r="G6" s="42">
        <v>538925.03</v>
      </c>
      <c r="H6" s="42">
        <f t="shared" si="3"/>
        <v>-37498.03</v>
      </c>
      <c r="I6" s="42">
        <v>124047.4</v>
      </c>
      <c r="J6" s="42">
        <v>369100.6</v>
      </c>
      <c r="K6" s="42">
        <v>1756.23</v>
      </c>
      <c r="L6" s="37">
        <f t="shared" si="4"/>
        <v>210.166436059058</v>
      </c>
    </row>
    <row r="7" s="22" customFormat="1" ht="14.5" spans="1:12">
      <c r="A7" s="31" t="s">
        <v>522</v>
      </c>
      <c r="B7" s="39">
        <v>46028</v>
      </c>
      <c r="C7" s="40" t="str">
        <f t="shared" si="0"/>
        <v>2026年</v>
      </c>
      <c r="D7" s="40" t="str">
        <f t="shared" si="1"/>
        <v>1月</v>
      </c>
      <c r="E7" s="41" t="str">
        <f t="shared" si="2"/>
        <v>W2</v>
      </c>
      <c r="F7" s="42">
        <v>447262</v>
      </c>
      <c r="G7" s="42">
        <v>503767.37</v>
      </c>
      <c r="H7" s="42">
        <f t="shared" si="3"/>
        <v>-56505.37</v>
      </c>
      <c r="I7" s="42">
        <v>118256</v>
      </c>
      <c r="J7" s="42">
        <v>328187</v>
      </c>
      <c r="K7" s="42">
        <v>1656.67</v>
      </c>
      <c r="L7" s="37">
        <f t="shared" si="4"/>
        <v>198.100406236607</v>
      </c>
    </row>
    <row r="8" s="22" customFormat="1" ht="14.5" spans="1:12">
      <c r="A8" s="31" t="s">
        <v>522</v>
      </c>
      <c r="B8" s="39">
        <v>46029</v>
      </c>
      <c r="C8" s="40" t="str">
        <f t="shared" si="0"/>
        <v>2026年</v>
      </c>
      <c r="D8" s="40" t="str">
        <f t="shared" si="1"/>
        <v>1月</v>
      </c>
      <c r="E8" s="41" t="str">
        <f t="shared" si="2"/>
        <v>W2</v>
      </c>
      <c r="F8" s="42">
        <v>472046</v>
      </c>
      <c r="G8" s="42">
        <v>531634.36</v>
      </c>
      <c r="H8" s="42">
        <f t="shared" si="3"/>
        <v>-59588.36</v>
      </c>
      <c r="I8" s="42">
        <v>119038</v>
      </c>
      <c r="J8" s="42">
        <v>344204</v>
      </c>
      <c r="K8" s="42">
        <v>1724.34</v>
      </c>
      <c r="L8" s="37">
        <f t="shared" si="4"/>
        <v>199.614925130775</v>
      </c>
    </row>
    <row r="9" s="22" customFormat="1" ht="14.5" spans="1:12">
      <c r="A9" s="31" t="s">
        <v>522</v>
      </c>
      <c r="B9" s="39">
        <v>46030</v>
      </c>
      <c r="C9" s="40" t="str">
        <f t="shared" si="0"/>
        <v>2026年</v>
      </c>
      <c r="D9" s="40" t="str">
        <f t="shared" si="1"/>
        <v>1月</v>
      </c>
      <c r="E9" s="41" t="str">
        <f t="shared" si="2"/>
        <v>W2</v>
      </c>
      <c r="F9" s="42">
        <v>806121</v>
      </c>
      <c r="G9" s="42">
        <v>615470.05</v>
      </c>
      <c r="H9" s="42">
        <f t="shared" si="3"/>
        <v>190650.95</v>
      </c>
      <c r="I9" s="42">
        <v>187028.44</v>
      </c>
      <c r="J9" s="42">
        <v>604616.56</v>
      </c>
      <c r="K9" s="42">
        <v>2817.16</v>
      </c>
      <c r="L9" s="37">
        <f t="shared" si="4"/>
        <v>214.619176759573</v>
      </c>
    </row>
    <row r="10" s="22" customFormat="1" ht="14.5" spans="1:12">
      <c r="A10" s="31" t="s">
        <v>522</v>
      </c>
      <c r="B10" s="39">
        <v>46031</v>
      </c>
      <c r="C10" s="40" t="str">
        <f t="shared" si="0"/>
        <v>2026年</v>
      </c>
      <c r="D10" s="40" t="str">
        <f t="shared" si="1"/>
        <v>1月</v>
      </c>
      <c r="E10" s="41" t="str">
        <f t="shared" si="2"/>
        <v>W2</v>
      </c>
      <c r="F10" s="42">
        <v>673851</v>
      </c>
      <c r="G10" s="42">
        <v>472453.19</v>
      </c>
      <c r="H10" s="42">
        <f t="shared" si="3"/>
        <v>201397.81</v>
      </c>
      <c r="I10" s="42">
        <v>124434.35</v>
      </c>
      <c r="J10" s="42">
        <v>537092.65</v>
      </c>
      <c r="K10" s="42">
        <v>2650.73</v>
      </c>
      <c r="L10" s="37">
        <f t="shared" si="4"/>
        <v>202.620655442086</v>
      </c>
    </row>
    <row r="11" s="22" customFormat="1" ht="14.5" spans="1:12">
      <c r="A11" s="31" t="s">
        <v>522</v>
      </c>
      <c r="B11" s="39">
        <v>46032</v>
      </c>
      <c r="C11" s="40" t="str">
        <f t="shared" si="0"/>
        <v>2026年</v>
      </c>
      <c r="D11" s="40" t="str">
        <f t="shared" si="1"/>
        <v>1月</v>
      </c>
      <c r="E11" s="41" t="str">
        <f t="shared" si="2"/>
        <v>W2</v>
      </c>
      <c r="F11" s="42">
        <v>609678</v>
      </c>
      <c r="G11" s="42">
        <v>473479.19</v>
      </c>
      <c r="H11" s="42">
        <f t="shared" si="3"/>
        <v>136198.81</v>
      </c>
      <c r="I11" s="42">
        <v>129680.05</v>
      </c>
      <c r="J11" s="42">
        <v>466303.95</v>
      </c>
      <c r="K11" s="42">
        <v>2276.75</v>
      </c>
      <c r="L11" s="37">
        <f t="shared" si="4"/>
        <v>204.811222136818</v>
      </c>
    </row>
    <row r="12" s="22" customFormat="1" ht="14.5" spans="1:12">
      <c r="A12" s="31" t="s">
        <v>522</v>
      </c>
      <c r="B12" s="39">
        <v>46033</v>
      </c>
      <c r="C12" s="40" t="str">
        <f t="shared" si="0"/>
        <v>2026年</v>
      </c>
      <c r="D12" s="40" t="str">
        <f t="shared" si="1"/>
        <v>1月</v>
      </c>
      <c r="E12" s="41" t="str">
        <f t="shared" si="2"/>
        <v>W2</v>
      </c>
      <c r="F12" s="42">
        <v>1033873</v>
      </c>
      <c r="G12" s="42">
        <v>573781.21</v>
      </c>
      <c r="H12" s="42">
        <f t="shared" si="3"/>
        <v>460091.79</v>
      </c>
      <c r="I12" s="42">
        <v>169485.84</v>
      </c>
      <c r="J12" s="42">
        <v>854885.16</v>
      </c>
      <c r="K12" s="42">
        <v>3929.56</v>
      </c>
      <c r="L12" s="37">
        <f t="shared" si="4"/>
        <v>217.552387544662</v>
      </c>
    </row>
    <row r="13" s="22" customFormat="1" ht="14.5" spans="1:12">
      <c r="A13" s="31" t="s">
        <v>522</v>
      </c>
      <c r="B13" s="39">
        <v>46034</v>
      </c>
      <c r="C13" s="40" t="str">
        <f t="shared" si="0"/>
        <v>2026年</v>
      </c>
      <c r="D13" s="40" t="str">
        <f t="shared" si="1"/>
        <v>1月</v>
      </c>
      <c r="E13" s="41" t="str">
        <f t="shared" si="2"/>
        <v>W3</v>
      </c>
      <c r="F13" s="42">
        <v>561854</v>
      </c>
      <c r="G13" s="42">
        <v>442793.47</v>
      </c>
      <c r="H13" s="42">
        <f t="shared" si="3"/>
        <v>119060.53</v>
      </c>
      <c r="I13" s="42">
        <v>115242.81</v>
      </c>
      <c r="J13" s="42">
        <v>435077.19</v>
      </c>
      <c r="K13" s="42">
        <v>2225.42</v>
      </c>
      <c r="L13" s="37">
        <f t="shared" si="4"/>
        <v>195.503406098624</v>
      </c>
    </row>
    <row r="14" s="22" customFormat="1" ht="14.5" spans="1:12">
      <c r="A14" s="31" t="s">
        <v>522</v>
      </c>
      <c r="B14" s="39">
        <v>46035</v>
      </c>
      <c r="C14" s="40" t="str">
        <f t="shared" si="0"/>
        <v>2026年</v>
      </c>
      <c r="D14" s="40" t="str">
        <f t="shared" si="1"/>
        <v>1月</v>
      </c>
      <c r="E14" s="41" t="str">
        <f t="shared" si="2"/>
        <v>W3</v>
      </c>
      <c r="F14" s="42">
        <v>585358</v>
      </c>
      <c r="G14" s="42">
        <v>594596.61</v>
      </c>
      <c r="H14" s="42">
        <f t="shared" si="3"/>
        <v>-9238.60999999999</v>
      </c>
      <c r="I14" s="42">
        <v>107242</v>
      </c>
      <c r="J14" s="42">
        <v>467042</v>
      </c>
      <c r="K14" s="42">
        <v>1978.87</v>
      </c>
      <c r="L14" s="37">
        <f t="shared" si="4"/>
        <v>236.014493119811</v>
      </c>
    </row>
    <row r="15" s="22" customFormat="1" ht="14.5" spans="1:12">
      <c r="A15" s="31" t="s">
        <v>522</v>
      </c>
      <c r="B15" s="39">
        <v>46036</v>
      </c>
      <c r="C15" s="40" t="str">
        <f t="shared" si="0"/>
        <v>2026年</v>
      </c>
      <c r="D15" s="40" t="str">
        <f t="shared" si="1"/>
        <v>1月</v>
      </c>
      <c r="E15" s="41" t="str">
        <f t="shared" si="2"/>
        <v>W3</v>
      </c>
      <c r="F15" s="42">
        <v>605495</v>
      </c>
      <c r="G15" s="42">
        <v>545583.22</v>
      </c>
      <c r="H15" s="42">
        <f t="shared" si="3"/>
        <v>59911.78</v>
      </c>
      <c r="I15" s="42">
        <v>99220</v>
      </c>
      <c r="J15" s="42">
        <v>489709</v>
      </c>
      <c r="K15" s="42">
        <v>2287.05</v>
      </c>
      <c r="L15" s="37">
        <f t="shared" si="4"/>
        <v>214.122559629217</v>
      </c>
    </row>
    <row r="16" s="22" customFormat="1" ht="14.5" spans="1:12">
      <c r="A16" s="31" t="s">
        <v>522</v>
      </c>
      <c r="B16" s="39">
        <v>46037</v>
      </c>
      <c r="C16" s="40" t="str">
        <f t="shared" si="0"/>
        <v>2026年</v>
      </c>
      <c r="D16" s="40" t="str">
        <f t="shared" si="1"/>
        <v>1月</v>
      </c>
      <c r="E16" s="41" t="str">
        <f t="shared" si="2"/>
        <v>W3</v>
      </c>
      <c r="F16" s="42">
        <v>614664</v>
      </c>
      <c r="G16" s="42">
        <v>626220.09</v>
      </c>
      <c r="H16" s="42">
        <f t="shared" si="3"/>
        <v>-11556.09</v>
      </c>
      <c r="I16" s="42">
        <v>143863.84</v>
      </c>
      <c r="J16" s="42">
        <v>463083.16</v>
      </c>
      <c r="K16" s="42">
        <v>2100.65</v>
      </c>
      <c r="L16" s="37">
        <f t="shared" si="4"/>
        <v>220.447556708638</v>
      </c>
    </row>
    <row r="17" s="22" customFormat="1" ht="14.5" spans="1:12">
      <c r="A17" s="31" t="s">
        <v>522</v>
      </c>
      <c r="B17" s="39">
        <v>46038</v>
      </c>
      <c r="C17" s="40" t="str">
        <f t="shared" si="0"/>
        <v>2026年</v>
      </c>
      <c r="D17" s="40" t="str">
        <f t="shared" si="1"/>
        <v>1月</v>
      </c>
      <c r="E17" s="41" t="str">
        <f t="shared" si="2"/>
        <v>W3</v>
      </c>
      <c r="F17" s="42">
        <v>840186</v>
      </c>
      <c r="G17" s="42">
        <v>665994.9</v>
      </c>
      <c r="H17" s="42">
        <f t="shared" si="3"/>
        <v>174191.1</v>
      </c>
      <c r="I17" s="42">
        <v>312997.64</v>
      </c>
      <c r="J17" s="42">
        <v>511128.36</v>
      </c>
      <c r="K17" s="42">
        <v>2404.45</v>
      </c>
      <c r="L17" s="37">
        <f t="shared" si="4"/>
        <v>212.575998669134</v>
      </c>
    </row>
    <row r="18" s="22" customFormat="1" ht="14.5" spans="1:12">
      <c r="A18" s="31" t="s">
        <v>522</v>
      </c>
      <c r="B18" s="39">
        <v>46039</v>
      </c>
      <c r="C18" s="40" t="str">
        <f t="shared" si="0"/>
        <v>2026年</v>
      </c>
      <c r="D18" s="40" t="str">
        <f t="shared" si="1"/>
        <v>1月</v>
      </c>
      <c r="E18" s="41" t="str">
        <f t="shared" si="2"/>
        <v>W3</v>
      </c>
      <c r="F18" s="42">
        <v>815648</v>
      </c>
      <c r="G18" s="42">
        <v>595138.73</v>
      </c>
      <c r="H18" s="42">
        <f t="shared" si="3"/>
        <v>220509.27</v>
      </c>
      <c r="I18" s="42">
        <v>267582</v>
      </c>
      <c r="J18" s="42">
        <v>524582</v>
      </c>
      <c r="K18" s="42">
        <v>2635.81</v>
      </c>
      <c r="L18" s="37">
        <f t="shared" si="4"/>
        <v>199.021173756834</v>
      </c>
    </row>
    <row r="19" s="22" customFormat="1" ht="14.5" spans="1:12">
      <c r="A19" s="31" t="s">
        <v>522</v>
      </c>
      <c r="B19" s="39">
        <v>46040</v>
      </c>
      <c r="C19" s="40" t="str">
        <f t="shared" si="0"/>
        <v>2026年</v>
      </c>
      <c r="D19" s="40" t="str">
        <f t="shared" si="1"/>
        <v>1月</v>
      </c>
      <c r="E19" s="41" t="str">
        <f t="shared" si="2"/>
        <v>W3</v>
      </c>
      <c r="F19" s="42">
        <v>1203847</v>
      </c>
      <c r="G19" s="42">
        <v>753154.91</v>
      </c>
      <c r="H19" s="42">
        <f t="shared" si="3"/>
        <v>450692.09</v>
      </c>
      <c r="I19" s="42">
        <v>324906.08</v>
      </c>
      <c r="J19" s="42">
        <v>854125.92</v>
      </c>
      <c r="K19" s="42">
        <v>3000</v>
      </c>
      <c r="L19" s="37">
        <f t="shared" si="4"/>
        <v>284.70864</v>
      </c>
    </row>
    <row r="20" s="22" customFormat="1" ht="14.5" spans="1:12">
      <c r="A20" s="31" t="s">
        <v>522</v>
      </c>
      <c r="B20" s="39">
        <v>46041</v>
      </c>
      <c r="C20" s="40" t="str">
        <f t="shared" si="0"/>
        <v>2026年</v>
      </c>
      <c r="D20" s="40" t="str">
        <f t="shared" si="1"/>
        <v>1月</v>
      </c>
      <c r="E20" s="41" t="str">
        <f t="shared" si="2"/>
        <v>W4</v>
      </c>
      <c r="F20" s="42">
        <v>963433</v>
      </c>
      <c r="G20" s="42">
        <v>760137.21</v>
      </c>
      <c r="H20" s="42">
        <f t="shared" si="3"/>
        <v>203295.79</v>
      </c>
      <c r="I20" s="42">
        <v>323905.92</v>
      </c>
      <c r="J20" s="42">
        <v>620685.08</v>
      </c>
      <c r="K20" s="42">
        <v>2115.79</v>
      </c>
      <c r="L20" s="37">
        <f t="shared" si="4"/>
        <v>293.358546925735</v>
      </c>
    </row>
    <row r="21" s="22" customFormat="1" ht="14.5" spans="1:12">
      <c r="A21" s="31" t="s">
        <v>522</v>
      </c>
      <c r="B21" s="39">
        <v>46042</v>
      </c>
      <c r="C21" s="40" t="str">
        <f t="shared" si="0"/>
        <v>2026年</v>
      </c>
      <c r="D21" s="40" t="str">
        <f t="shared" si="1"/>
        <v>1月</v>
      </c>
      <c r="E21" s="41" t="str">
        <f t="shared" si="2"/>
        <v>W4</v>
      </c>
      <c r="F21" s="42">
        <v>697256.09</v>
      </c>
      <c r="G21" s="42">
        <v>650274.35</v>
      </c>
      <c r="H21" s="42">
        <f t="shared" si="3"/>
        <v>46981.74</v>
      </c>
      <c r="I21" s="42">
        <v>231262.08</v>
      </c>
      <c r="J21" s="42">
        <v>450762.01</v>
      </c>
      <c r="K21" s="42">
        <v>2022.95</v>
      </c>
      <c r="L21" s="37">
        <f t="shared" si="4"/>
        <v>222.824098470056</v>
      </c>
    </row>
    <row r="22" s="22" customFormat="1" ht="14.5" spans="1:12">
      <c r="A22" s="31" t="s">
        <v>522</v>
      </c>
      <c r="B22" s="39">
        <v>46043</v>
      </c>
      <c r="C22" s="40" t="str">
        <f t="shared" si="0"/>
        <v>2026年</v>
      </c>
      <c r="D22" s="40" t="str">
        <f t="shared" si="1"/>
        <v>1月</v>
      </c>
      <c r="E22" s="41" t="str">
        <f t="shared" si="2"/>
        <v>W4</v>
      </c>
      <c r="F22" s="42">
        <v>685109.69</v>
      </c>
      <c r="G22" s="42">
        <v>749279.13</v>
      </c>
      <c r="H22" s="42">
        <f t="shared" si="3"/>
        <v>-64169.4400000001</v>
      </c>
      <c r="I22" s="42">
        <v>280949.67</v>
      </c>
      <c r="J22" s="42">
        <v>394032.29</v>
      </c>
      <c r="K22" s="42">
        <v>1944.94</v>
      </c>
      <c r="L22" s="37">
        <f t="shared" si="4"/>
        <v>202.593545302169</v>
      </c>
    </row>
    <row r="23" s="22" customFormat="1" ht="14.5" spans="1:12">
      <c r="A23" s="31" t="s">
        <v>522</v>
      </c>
      <c r="B23" s="39">
        <v>46044</v>
      </c>
      <c r="C23" s="40" t="str">
        <f t="shared" si="0"/>
        <v>2026年</v>
      </c>
      <c r="D23" s="40" t="str">
        <f t="shared" si="1"/>
        <v>1月</v>
      </c>
      <c r="E23" s="41" t="str">
        <f t="shared" si="2"/>
        <v>W4</v>
      </c>
      <c r="F23" s="42">
        <v>601916.83</v>
      </c>
      <c r="G23" s="42">
        <v>714664.2</v>
      </c>
      <c r="H23" s="42">
        <f t="shared" si="3"/>
        <v>-112747.37</v>
      </c>
      <c r="I23" s="42">
        <v>267817.82</v>
      </c>
      <c r="J23" s="42">
        <v>323395.01</v>
      </c>
      <c r="K23" s="42">
        <v>1590.85</v>
      </c>
      <c r="L23" s="37">
        <f t="shared" si="4"/>
        <v>203.28441399252</v>
      </c>
    </row>
    <row r="24" s="22" customFormat="1" ht="14.5" spans="1:12">
      <c r="A24" s="31" t="s">
        <v>522</v>
      </c>
      <c r="B24" s="39">
        <v>46045</v>
      </c>
      <c r="C24" s="40" t="str">
        <f t="shared" si="0"/>
        <v>2026年</v>
      </c>
      <c r="D24" s="40" t="str">
        <f t="shared" si="1"/>
        <v>1月</v>
      </c>
      <c r="E24" s="41" t="str">
        <f t="shared" si="2"/>
        <v>W4</v>
      </c>
      <c r="F24" s="42">
        <v>813793</v>
      </c>
      <c r="G24" s="42">
        <v>786760.45</v>
      </c>
      <c r="H24" s="42">
        <f t="shared" si="3"/>
        <v>27032.55</v>
      </c>
      <c r="I24" s="42">
        <v>291820</v>
      </c>
      <c r="J24" s="42">
        <v>510203</v>
      </c>
      <c r="K24" s="42">
        <v>2464.99</v>
      </c>
      <c r="L24" s="37">
        <f t="shared" si="4"/>
        <v>206.979744339734</v>
      </c>
    </row>
    <row r="25" s="22" customFormat="1" ht="14.5" spans="1:12">
      <c r="A25" s="31" t="s">
        <v>522</v>
      </c>
      <c r="B25" s="39">
        <v>46046</v>
      </c>
      <c r="C25" s="40" t="str">
        <f t="shared" si="0"/>
        <v>2026年</v>
      </c>
      <c r="D25" s="40" t="str">
        <f t="shared" si="1"/>
        <v>1月</v>
      </c>
      <c r="E25" s="41" t="str">
        <f t="shared" si="2"/>
        <v>W4</v>
      </c>
      <c r="F25" s="42">
        <v>1006395</v>
      </c>
      <c r="G25" s="42">
        <v>811461.38</v>
      </c>
      <c r="H25" s="42">
        <f t="shared" si="3"/>
        <v>194933.62</v>
      </c>
      <c r="I25" s="42">
        <v>345313.42</v>
      </c>
      <c r="J25" s="42">
        <v>639277.58</v>
      </c>
      <c r="K25" s="42">
        <v>2363.21</v>
      </c>
      <c r="L25" s="37">
        <f t="shared" si="4"/>
        <v>270.512387811494</v>
      </c>
    </row>
    <row r="26" s="22" customFormat="1" ht="14.5" spans="1:12">
      <c r="A26" s="31" t="s">
        <v>522</v>
      </c>
      <c r="B26" s="39">
        <v>46047</v>
      </c>
      <c r="C26" s="40" t="str">
        <f t="shared" si="0"/>
        <v>2026年</v>
      </c>
      <c r="D26" s="40" t="str">
        <f t="shared" si="1"/>
        <v>1月</v>
      </c>
      <c r="E26" s="41" t="str">
        <f t="shared" si="2"/>
        <v>W4</v>
      </c>
      <c r="F26" s="42">
        <v>892839</v>
      </c>
      <c r="G26" s="42">
        <v>725355.11</v>
      </c>
      <c r="H26" s="42">
        <f t="shared" si="3"/>
        <v>167483.89</v>
      </c>
      <c r="I26" s="42">
        <v>382746.71</v>
      </c>
      <c r="J26" s="42">
        <v>499809.07</v>
      </c>
      <c r="K26" s="42">
        <v>2308.44</v>
      </c>
      <c r="L26" s="37">
        <f t="shared" si="4"/>
        <v>216.513779868656</v>
      </c>
    </row>
    <row r="27" ht="14.5" spans="1:12">
      <c r="A27" s="31" t="s">
        <v>522</v>
      </c>
      <c r="B27" s="39">
        <v>46048</v>
      </c>
      <c r="C27" s="40" t="str">
        <f t="shared" ref="C27:C33" si="5">TEXT(YEAR(B27),"0")&amp;"年"</f>
        <v>2026年</v>
      </c>
      <c r="D27" s="40" t="str">
        <f t="shared" ref="D27:D33" si="6">TEXT(MONTH(B27),"0")&amp;"月"</f>
        <v>1月</v>
      </c>
      <c r="E27" s="41" t="str">
        <f t="shared" ref="E27:E33" si="7">"W"&amp;TEXT(WEEKNUM(B27,2),"0")</f>
        <v>W5</v>
      </c>
      <c r="F27" s="42">
        <v>802717.34</v>
      </c>
      <c r="G27" s="42">
        <v>591337.07</v>
      </c>
      <c r="H27" s="42">
        <f t="shared" si="3"/>
        <v>211380.27</v>
      </c>
      <c r="I27" s="42">
        <v>294828.13</v>
      </c>
      <c r="J27" s="42">
        <v>488244.07</v>
      </c>
      <c r="K27" s="42">
        <v>2336.91</v>
      </c>
      <c r="L27" s="37">
        <f t="shared" ref="L27:L33" si="8">J27/K27</f>
        <v>208.927203015948</v>
      </c>
    </row>
    <row r="28" ht="14.5" spans="1:12">
      <c r="A28" s="31" t="s">
        <v>522</v>
      </c>
      <c r="B28" s="39">
        <v>46049</v>
      </c>
      <c r="C28" s="40" t="str">
        <f t="shared" si="5"/>
        <v>2026年</v>
      </c>
      <c r="D28" s="40" t="str">
        <f t="shared" si="6"/>
        <v>1月</v>
      </c>
      <c r="E28" s="41" t="str">
        <f t="shared" si="7"/>
        <v>W5</v>
      </c>
      <c r="F28" s="42">
        <v>1079287</v>
      </c>
      <c r="G28" s="42">
        <v>689391.81</v>
      </c>
      <c r="H28" s="42">
        <f t="shared" si="3"/>
        <v>389895.19</v>
      </c>
      <c r="I28" s="42">
        <v>354928.02</v>
      </c>
      <c r="J28" s="42">
        <v>706456.98</v>
      </c>
      <c r="K28" s="42">
        <v>3242.53</v>
      </c>
      <c r="L28" s="37">
        <f t="shared" si="8"/>
        <v>217.872149216815</v>
      </c>
    </row>
    <row r="29" ht="14.5" spans="1:12">
      <c r="A29" s="31" t="s">
        <v>522</v>
      </c>
      <c r="B29" s="39">
        <v>46050</v>
      </c>
      <c r="C29" s="40" t="str">
        <f t="shared" si="5"/>
        <v>2026年</v>
      </c>
      <c r="D29" s="40" t="str">
        <f t="shared" si="6"/>
        <v>1月</v>
      </c>
      <c r="E29" s="41" t="str">
        <f t="shared" si="7"/>
        <v>W5</v>
      </c>
      <c r="F29" s="42">
        <v>863130</v>
      </c>
      <c r="G29" s="42">
        <v>739298.97</v>
      </c>
      <c r="H29" s="42">
        <f t="shared" si="3"/>
        <v>123831.03</v>
      </c>
      <c r="I29" s="42">
        <v>257008.67</v>
      </c>
      <c r="J29" s="42">
        <v>585094.33</v>
      </c>
      <c r="K29" s="42">
        <v>2468</v>
      </c>
      <c r="L29" s="37">
        <f t="shared" si="8"/>
        <v>237.072256888169</v>
      </c>
    </row>
    <row r="30" ht="14.5" spans="1:12">
      <c r="A30" s="31" t="s">
        <v>522</v>
      </c>
      <c r="B30" s="39">
        <v>46051</v>
      </c>
      <c r="C30" s="40" t="str">
        <f t="shared" si="5"/>
        <v>2026年</v>
      </c>
      <c r="D30" s="40" t="str">
        <f t="shared" si="6"/>
        <v>1月</v>
      </c>
      <c r="E30" s="41" t="str">
        <f t="shared" si="7"/>
        <v>W5</v>
      </c>
      <c r="F30" s="42">
        <v>629496.2</v>
      </c>
      <c r="G30" s="42">
        <v>736953.86</v>
      </c>
      <c r="H30" s="42">
        <f t="shared" si="3"/>
        <v>-107457.66</v>
      </c>
      <c r="I30" s="42">
        <v>303025.18</v>
      </c>
      <c r="J30" s="42">
        <v>309591.27</v>
      </c>
      <c r="K30" s="42">
        <v>2583.52</v>
      </c>
      <c r="L30" s="37">
        <f t="shared" si="8"/>
        <v>119.833123025949</v>
      </c>
    </row>
    <row r="31" ht="14.5" spans="1:12">
      <c r="A31" s="31" t="s">
        <v>522</v>
      </c>
      <c r="B31" s="39">
        <v>46052</v>
      </c>
      <c r="C31" s="40" t="str">
        <f t="shared" si="5"/>
        <v>2026年</v>
      </c>
      <c r="D31" s="40" t="str">
        <f t="shared" si="6"/>
        <v>1月</v>
      </c>
      <c r="E31" s="41" t="str">
        <f t="shared" si="7"/>
        <v>W5</v>
      </c>
      <c r="F31" s="42">
        <v>624576</v>
      </c>
      <c r="G31" s="42">
        <v>627756.84</v>
      </c>
      <c r="H31" s="42">
        <f t="shared" si="3"/>
        <v>-3180.83999999997</v>
      </c>
      <c r="I31" s="42">
        <v>251999.3</v>
      </c>
      <c r="J31" s="42">
        <v>349941.25</v>
      </c>
      <c r="K31" s="42">
        <v>1982.97</v>
      </c>
      <c r="L31" s="37">
        <f t="shared" si="8"/>
        <v>176.473295107843</v>
      </c>
    </row>
    <row r="32" ht="14.5" spans="1:12">
      <c r="A32" s="31" t="s">
        <v>522</v>
      </c>
      <c r="B32" s="39">
        <v>46053</v>
      </c>
      <c r="C32" s="40" t="str">
        <f t="shared" si="5"/>
        <v>2026年</v>
      </c>
      <c r="D32" s="40" t="str">
        <f t="shared" si="6"/>
        <v>1月</v>
      </c>
      <c r="E32" s="41" t="str">
        <f t="shared" si="7"/>
        <v>W5</v>
      </c>
      <c r="F32" s="42">
        <v>847812</v>
      </c>
      <c r="G32" s="42">
        <v>723220.89</v>
      </c>
      <c r="H32" s="42">
        <f t="shared" si="3"/>
        <v>124591.11</v>
      </c>
      <c r="I32" s="42">
        <v>307125</v>
      </c>
      <c r="J32" s="42">
        <v>530250</v>
      </c>
      <c r="K32" s="42">
        <v>2758.93</v>
      </c>
      <c r="L32" s="37">
        <f t="shared" si="8"/>
        <v>192.194075239314</v>
      </c>
    </row>
    <row r="33" ht="14.5" spans="1:12">
      <c r="A33" s="31" t="s">
        <v>522</v>
      </c>
      <c r="B33" s="39">
        <v>46054</v>
      </c>
      <c r="C33" s="40" t="str">
        <f t="shared" si="5"/>
        <v>2026年</v>
      </c>
      <c r="D33" s="40" t="str">
        <f t="shared" si="6"/>
        <v>2月</v>
      </c>
      <c r="E33" s="41" t="str">
        <f t="shared" si="7"/>
        <v>W5</v>
      </c>
      <c r="F33" s="42">
        <v>869870</v>
      </c>
      <c r="G33" s="42">
        <v>718943.69</v>
      </c>
      <c r="H33" s="42">
        <f t="shared" si="3"/>
        <v>150926.31</v>
      </c>
      <c r="I33" s="42">
        <v>294720.69</v>
      </c>
      <c r="J33" s="42">
        <v>545168.31</v>
      </c>
      <c r="K33" s="42">
        <v>2586.81</v>
      </c>
      <c r="L33" s="37">
        <f t="shared" si="8"/>
        <v>210.749266471059</v>
      </c>
    </row>
    <row r="34" ht="14.5" spans="1:12">
      <c r="A34" s="31" t="s">
        <v>522</v>
      </c>
      <c r="B34" s="39">
        <v>46055</v>
      </c>
      <c r="C34" s="40" t="str">
        <f t="shared" ref="C34:C40" si="9">TEXT(YEAR(B34),"0")&amp;"年"</f>
        <v>2026年</v>
      </c>
      <c r="D34" s="40" t="str">
        <f t="shared" ref="D34:D40" si="10">TEXT(MONTH(B34),"0")&amp;"月"</f>
        <v>2月</v>
      </c>
      <c r="E34" s="41" t="str">
        <f t="shared" ref="E34:E40" si="11">"W"&amp;TEXT(WEEKNUM(B34,2),"0")</f>
        <v>W6</v>
      </c>
      <c r="F34" s="42">
        <v>666882</v>
      </c>
      <c r="G34" s="42">
        <v>649220.83</v>
      </c>
      <c r="H34" s="42">
        <f t="shared" si="3"/>
        <v>17661.17</v>
      </c>
      <c r="I34" s="42">
        <v>271193.63</v>
      </c>
      <c r="J34" s="42">
        <v>370575.14</v>
      </c>
      <c r="K34" s="42">
        <v>1629.93</v>
      </c>
      <c r="L34" s="37">
        <f t="shared" ref="L34:L40" si="12">J34/K34</f>
        <v>227.35647543146</v>
      </c>
    </row>
    <row r="35" ht="14.5" spans="1:12">
      <c r="A35" s="31" t="s">
        <v>522</v>
      </c>
      <c r="B35" s="39">
        <v>46056</v>
      </c>
      <c r="C35" s="40" t="str">
        <f t="shared" si="9"/>
        <v>2026年</v>
      </c>
      <c r="D35" s="40" t="str">
        <f t="shared" si="10"/>
        <v>2月</v>
      </c>
      <c r="E35" s="41" t="str">
        <f t="shared" si="11"/>
        <v>W6</v>
      </c>
      <c r="F35" s="42">
        <v>700866.93</v>
      </c>
      <c r="G35" s="42">
        <v>637733.03</v>
      </c>
      <c r="H35" s="42">
        <f t="shared" ref="H35:H54" si="13">F35-G35</f>
        <v>63133.9</v>
      </c>
      <c r="I35" s="42">
        <v>355367.43</v>
      </c>
      <c r="J35" s="42">
        <v>329089.71</v>
      </c>
      <c r="K35" s="42">
        <v>1717.51</v>
      </c>
      <c r="L35" s="37">
        <f t="shared" si="12"/>
        <v>191.608613632526</v>
      </c>
    </row>
    <row r="36" ht="14.5" spans="1:12">
      <c r="A36" s="31" t="s">
        <v>522</v>
      </c>
      <c r="B36" s="39">
        <v>46057</v>
      </c>
      <c r="C36" s="40" t="str">
        <f t="shared" si="9"/>
        <v>2026年</v>
      </c>
      <c r="D36" s="40" t="str">
        <f t="shared" si="10"/>
        <v>2月</v>
      </c>
      <c r="E36" s="41" t="str">
        <f t="shared" si="11"/>
        <v>W6</v>
      </c>
      <c r="F36" s="42">
        <v>830057</v>
      </c>
      <c r="G36" s="42">
        <v>696365.25</v>
      </c>
      <c r="H36" s="42">
        <f t="shared" si="13"/>
        <v>133691.75</v>
      </c>
      <c r="I36" s="42">
        <v>344515.07</v>
      </c>
      <c r="J36" s="42">
        <v>459598.83</v>
      </c>
      <c r="K36" s="42">
        <v>2214.69</v>
      </c>
      <c r="L36" s="37">
        <f t="shared" si="12"/>
        <v>207.522872275578</v>
      </c>
    </row>
    <row r="37" ht="14.5" spans="1:12">
      <c r="A37" s="31" t="s">
        <v>522</v>
      </c>
      <c r="B37" s="39">
        <v>46058</v>
      </c>
      <c r="C37" s="40" t="str">
        <f t="shared" si="9"/>
        <v>2026年</v>
      </c>
      <c r="D37" s="40" t="str">
        <f t="shared" si="10"/>
        <v>2月</v>
      </c>
      <c r="E37" s="41" t="str">
        <f t="shared" si="11"/>
        <v>W6</v>
      </c>
      <c r="F37" s="42">
        <v>701187.45</v>
      </c>
      <c r="G37" s="42">
        <v>705270.87</v>
      </c>
      <c r="H37" s="42">
        <f t="shared" si="13"/>
        <v>-4083.42000000004</v>
      </c>
      <c r="I37" s="42">
        <v>235835.45</v>
      </c>
      <c r="J37" s="42">
        <v>435083</v>
      </c>
      <c r="K37" s="42">
        <v>2188.71</v>
      </c>
      <c r="L37" s="37">
        <f t="shared" si="12"/>
        <v>198.785129139996</v>
      </c>
    </row>
    <row r="38" ht="14.5" spans="1:12">
      <c r="A38" s="31" t="s">
        <v>522</v>
      </c>
      <c r="B38" s="39">
        <v>46059</v>
      </c>
      <c r="C38" s="40" t="str">
        <f t="shared" si="9"/>
        <v>2026年</v>
      </c>
      <c r="D38" s="40" t="str">
        <f t="shared" si="10"/>
        <v>2月</v>
      </c>
      <c r="E38" s="41" t="str">
        <f t="shared" si="11"/>
        <v>W6</v>
      </c>
      <c r="F38" s="42">
        <v>856136</v>
      </c>
      <c r="G38" s="42">
        <v>694954.05</v>
      </c>
      <c r="H38" s="42">
        <f t="shared" si="13"/>
        <v>161181.95</v>
      </c>
      <c r="I38" s="42">
        <v>333220.33</v>
      </c>
      <c r="J38" s="42">
        <v>501602.67</v>
      </c>
      <c r="K38" s="42">
        <v>2507.98</v>
      </c>
      <c r="L38" s="37">
        <f t="shared" si="12"/>
        <v>200.002659510841</v>
      </c>
    </row>
    <row r="39" ht="14.5" spans="1:12">
      <c r="A39" s="31" t="s">
        <v>522</v>
      </c>
      <c r="B39" s="39">
        <v>46060</v>
      </c>
      <c r="C39" s="40" t="str">
        <f t="shared" si="9"/>
        <v>2026年</v>
      </c>
      <c r="D39" s="40" t="str">
        <f t="shared" si="10"/>
        <v>2月</v>
      </c>
      <c r="E39" s="41" t="str">
        <f t="shared" si="11"/>
        <v>W6</v>
      </c>
      <c r="F39" s="42">
        <v>1087175</v>
      </c>
      <c r="G39" s="42">
        <v>783389.69</v>
      </c>
      <c r="H39" s="42">
        <f t="shared" si="13"/>
        <v>303785.31</v>
      </c>
      <c r="I39" s="42">
        <v>364964.59</v>
      </c>
      <c r="J39" s="42">
        <v>701880.41</v>
      </c>
      <c r="K39" s="42">
        <v>3492.79</v>
      </c>
      <c r="L39" s="37">
        <f t="shared" si="12"/>
        <v>200.951219512195</v>
      </c>
    </row>
    <row r="40" ht="14.5" spans="1:12">
      <c r="A40" s="31" t="s">
        <v>522</v>
      </c>
      <c r="B40" s="39">
        <v>46061</v>
      </c>
      <c r="C40" s="40" t="str">
        <f t="shared" si="9"/>
        <v>2026年</v>
      </c>
      <c r="D40" s="40" t="str">
        <f t="shared" si="10"/>
        <v>2月</v>
      </c>
      <c r="E40" s="41" t="str">
        <f t="shared" si="11"/>
        <v>W6</v>
      </c>
      <c r="F40" s="42">
        <v>770004</v>
      </c>
      <c r="G40" s="42">
        <v>675360.72</v>
      </c>
      <c r="H40" s="42">
        <f t="shared" si="13"/>
        <v>94643.28</v>
      </c>
      <c r="I40" s="42">
        <v>331704.65</v>
      </c>
      <c r="J40" s="42">
        <v>405068.35</v>
      </c>
      <c r="K40" s="42">
        <v>2193.99</v>
      </c>
      <c r="L40" s="37">
        <f t="shared" si="12"/>
        <v>184.62634287303</v>
      </c>
    </row>
    <row r="41" ht="14.5" spans="1:12">
      <c r="A41" s="31" t="s">
        <v>522</v>
      </c>
      <c r="B41" s="39">
        <v>46062</v>
      </c>
      <c r="C41" s="40" t="str">
        <f t="shared" ref="C41:C54" si="14">TEXT(YEAR(B41),"0")&amp;"年"</f>
        <v>2026年</v>
      </c>
      <c r="D41" s="40" t="str">
        <f t="shared" ref="D41:D54" si="15">TEXT(MONTH(B41),"0")&amp;"月"</f>
        <v>2月</v>
      </c>
      <c r="E41" s="41" t="str">
        <f t="shared" ref="E41:E54" si="16">"W"&amp;TEXT(WEEKNUM(B41,2),"0")</f>
        <v>W7</v>
      </c>
      <c r="F41" s="42">
        <v>1083982.92</v>
      </c>
      <c r="G41" s="42">
        <v>769426.02</v>
      </c>
      <c r="H41" s="42">
        <f t="shared" si="13"/>
        <v>314556.9</v>
      </c>
      <c r="I41" s="42">
        <v>380140.96</v>
      </c>
      <c r="J41" s="42">
        <v>669633.96</v>
      </c>
      <c r="K41" s="42">
        <v>3186.18</v>
      </c>
      <c r="L41" s="37">
        <f t="shared" ref="L41:L54" si="17">J41/K41</f>
        <v>210.168276745193</v>
      </c>
    </row>
    <row r="42" ht="14.5" spans="1:12">
      <c r="A42" s="31" t="s">
        <v>522</v>
      </c>
      <c r="B42" s="39">
        <v>46063</v>
      </c>
      <c r="C42" s="40" t="str">
        <f t="shared" si="14"/>
        <v>2026年</v>
      </c>
      <c r="D42" s="40" t="str">
        <f t="shared" si="15"/>
        <v>2月</v>
      </c>
      <c r="E42" s="41" t="str">
        <f t="shared" si="16"/>
        <v>W7</v>
      </c>
      <c r="F42" s="42">
        <v>1081127.96</v>
      </c>
      <c r="G42" s="42">
        <v>832477.03</v>
      </c>
      <c r="H42" s="42">
        <f t="shared" si="13"/>
        <v>248650.93</v>
      </c>
      <c r="I42" s="42">
        <v>361300.1</v>
      </c>
      <c r="J42" s="42">
        <v>699257.19</v>
      </c>
      <c r="K42" s="42">
        <v>3229.02</v>
      </c>
      <c r="L42" s="37">
        <f t="shared" si="17"/>
        <v>216.553997807384</v>
      </c>
    </row>
    <row r="43" ht="14.5" spans="1:12">
      <c r="A43" s="31" t="s">
        <v>522</v>
      </c>
      <c r="B43" s="39">
        <v>46064</v>
      </c>
      <c r="C43" s="40" t="str">
        <f t="shared" si="14"/>
        <v>2026年</v>
      </c>
      <c r="D43" s="40" t="str">
        <f t="shared" si="15"/>
        <v>2月</v>
      </c>
      <c r="E43" s="41" t="str">
        <f t="shared" si="16"/>
        <v>W7</v>
      </c>
      <c r="F43" s="42">
        <v>600991</v>
      </c>
      <c r="G43" s="42">
        <v>576269.65</v>
      </c>
      <c r="H43" s="42">
        <f t="shared" si="13"/>
        <v>24721.35</v>
      </c>
      <c r="I43" s="42">
        <v>165840.09</v>
      </c>
      <c r="J43" s="42">
        <v>412100.91</v>
      </c>
      <c r="K43" s="42">
        <v>2089.67</v>
      </c>
      <c r="L43" s="37">
        <f t="shared" si="17"/>
        <v>197.208607100643</v>
      </c>
    </row>
    <row r="44" ht="14.5" spans="1:12">
      <c r="A44" s="31" t="s">
        <v>522</v>
      </c>
      <c r="B44" s="39">
        <v>46065</v>
      </c>
      <c r="C44" s="40" t="str">
        <f t="shared" si="14"/>
        <v>2026年</v>
      </c>
      <c r="D44" s="40" t="str">
        <f t="shared" si="15"/>
        <v>2月</v>
      </c>
      <c r="E44" s="41" t="str">
        <f t="shared" si="16"/>
        <v>W7</v>
      </c>
      <c r="F44" s="42">
        <v>605106.33</v>
      </c>
      <c r="G44" s="42">
        <v>695694.41</v>
      </c>
      <c r="H44" s="42">
        <f t="shared" si="13"/>
        <v>-90588.0800000001</v>
      </c>
      <c r="I44" s="42">
        <v>211284.85</v>
      </c>
      <c r="J44" s="42">
        <v>369629.15</v>
      </c>
      <c r="K44" s="42">
        <v>1911.14</v>
      </c>
      <c r="L44" s="37">
        <f t="shared" si="17"/>
        <v>193.407678139749</v>
      </c>
    </row>
    <row r="45" ht="14.5" spans="1:12">
      <c r="A45" s="31" t="s">
        <v>522</v>
      </c>
      <c r="B45" s="39">
        <v>46066</v>
      </c>
      <c r="C45" s="40" t="str">
        <f t="shared" si="14"/>
        <v>2026年</v>
      </c>
      <c r="D45" s="40" t="str">
        <f t="shared" si="15"/>
        <v>2月</v>
      </c>
      <c r="E45" s="41" t="str">
        <f t="shared" si="16"/>
        <v>W7</v>
      </c>
      <c r="F45" s="42">
        <v>350662.32</v>
      </c>
      <c r="G45" s="42">
        <v>287214.47</v>
      </c>
      <c r="H45" s="42">
        <f t="shared" si="13"/>
        <v>63447.85</v>
      </c>
      <c r="I45" s="42">
        <v>120362.32</v>
      </c>
      <c r="J45" s="42">
        <v>213019</v>
      </c>
      <c r="K45" s="42">
        <v>996.58</v>
      </c>
      <c r="L45" s="37">
        <f t="shared" si="17"/>
        <v>213.750025085793</v>
      </c>
    </row>
    <row r="46" ht="14.5" spans="1:12">
      <c r="A46" s="31" t="s">
        <v>522</v>
      </c>
      <c r="B46" s="39">
        <v>46067</v>
      </c>
      <c r="C46" s="40" t="str">
        <f t="shared" si="14"/>
        <v>2026年</v>
      </c>
      <c r="D46" s="40" t="str">
        <f t="shared" si="15"/>
        <v>2月</v>
      </c>
      <c r="E46" s="41" t="str">
        <f t="shared" si="16"/>
        <v>W7</v>
      </c>
      <c r="F46" s="42">
        <v>335859.72</v>
      </c>
      <c r="G46" s="42">
        <v>264372.15</v>
      </c>
      <c r="H46" s="42">
        <f t="shared" si="13"/>
        <v>71487.5699999999</v>
      </c>
      <c r="I46" s="42">
        <v>111459</v>
      </c>
      <c r="J46" s="42">
        <v>216145.72</v>
      </c>
      <c r="K46" s="42">
        <v>1050.45</v>
      </c>
      <c r="L46" s="37">
        <f t="shared" si="17"/>
        <v>205.764881717359</v>
      </c>
    </row>
    <row r="47" ht="14.5" spans="1:12">
      <c r="A47" s="31" t="s">
        <v>522</v>
      </c>
      <c r="B47" s="39">
        <v>46068</v>
      </c>
      <c r="C47" s="40" t="str">
        <f t="shared" si="14"/>
        <v>2026年</v>
      </c>
      <c r="D47" s="40" t="str">
        <f t="shared" si="15"/>
        <v>2月</v>
      </c>
      <c r="E47" s="41" t="str">
        <f t="shared" si="16"/>
        <v>W7</v>
      </c>
      <c r="F47" s="42">
        <v>316166.37</v>
      </c>
      <c r="G47" s="42">
        <v>332204.11</v>
      </c>
      <c r="H47" s="42">
        <f t="shared" si="13"/>
        <v>-16037.74</v>
      </c>
      <c r="I47" s="42">
        <v>65012</v>
      </c>
      <c r="J47" s="42">
        <v>233545.37</v>
      </c>
      <c r="K47" s="42">
        <v>1111.55</v>
      </c>
      <c r="L47" s="37">
        <f t="shared" si="17"/>
        <v>210.107840403041</v>
      </c>
    </row>
    <row r="48" ht="14.5" spans="1:12">
      <c r="A48" s="31" t="s">
        <v>522</v>
      </c>
      <c r="B48" s="39">
        <v>46069</v>
      </c>
      <c r="C48" s="40" t="str">
        <f t="shared" si="14"/>
        <v>2026年</v>
      </c>
      <c r="D48" s="40" t="str">
        <f t="shared" si="15"/>
        <v>2月</v>
      </c>
      <c r="E48" s="41" t="str">
        <f t="shared" si="16"/>
        <v>W8</v>
      </c>
      <c r="F48" s="42">
        <v>105708</v>
      </c>
      <c r="G48" s="42">
        <v>80368.35</v>
      </c>
      <c r="H48" s="42">
        <f t="shared" si="13"/>
        <v>25339.65</v>
      </c>
      <c r="I48" s="42">
        <v>63312.89</v>
      </c>
      <c r="J48" s="42">
        <v>35872.11</v>
      </c>
      <c r="K48" s="42">
        <v>213.17</v>
      </c>
      <c r="L48" s="37">
        <f t="shared" si="17"/>
        <v>168.279354505794</v>
      </c>
    </row>
    <row r="49" ht="14.5" spans="1:12">
      <c r="A49" s="31" t="s">
        <v>522</v>
      </c>
      <c r="B49" s="39">
        <v>46070</v>
      </c>
      <c r="C49" s="40" t="str">
        <f t="shared" si="14"/>
        <v>2026年</v>
      </c>
      <c r="D49" s="40" t="str">
        <f t="shared" si="15"/>
        <v>2月</v>
      </c>
      <c r="E49" s="41" t="str">
        <f t="shared" si="16"/>
        <v>W8</v>
      </c>
      <c r="F49" s="42">
        <v>146120</v>
      </c>
      <c r="G49" s="42">
        <v>83272.38</v>
      </c>
      <c r="H49" s="42">
        <f t="shared" si="13"/>
        <v>62847.62</v>
      </c>
      <c r="I49" s="42">
        <v>88480</v>
      </c>
      <c r="J49" s="42">
        <v>50124</v>
      </c>
      <c r="K49" s="42">
        <v>235.92</v>
      </c>
      <c r="L49" s="37">
        <f t="shared" si="17"/>
        <v>212.461851475076</v>
      </c>
    </row>
    <row r="50" ht="14.5" spans="1:12">
      <c r="A50" s="31" t="s">
        <v>522</v>
      </c>
      <c r="B50" s="39">
        <v>46071</v>
      </c>
      <c r="C50" s="40" t="str">
        <f t="shared" si="14"/>
        <v>2026年</v>
      </c>
      <c r="D50" s="40" t="str">
        <f t="shared" si="15"/>
        <v>2月</v>
      </c>
      <c r="E50" s="41" t="str">
        <f t="shared" si="16"/>
        <v>W8</v>
      </c>
      <c r="F50" s="42">
        <v>109930.67</v>
      </c>
      <c r="G50" s="42">
        <v>51894.73</v>
      </c>
      <c r="H50" s="42">
        <f t="shared" si="13"/>
        <v>58035.94</v>
      </c>
      <c r="I50" s="42">
        <v>63586</v>
      </c>
      <c r="J50" s="42">
        <v>41818.67</v>
      </c>
      <c r="K50" s="42">
        <v>182.37</v>
      </c>
      <c r="L50" s="37">
        <f t="shared" si="17"/>
        <v>229.306739046992</v>
      </c>
    </row>
    <row r="51" ht="14.5" spans="1:12">
      <c r="A51" s="31" t="s">
        <v>522</v>
      </c>
      <c r="B51" s="39">
        <v>46072</v>
      </c>
      <c r="C51" s="40" t="str">
        <f t="shared" si="14"/>
        <v>2026年</v>
      </c>
      <c r="D51" s="40" t="str">
        <f t="shared" si="15"/>
        <v>2月</v>
      </c>
      <c r="E51" s="41" t="str">
        <f t="shared" si="16"/>
        <v>W8</v>
      </c>
      <c r="F51" s="42">
        <v>104555</v>
      </c>
      <c r="G51" s="42">
        <v>54583.74</v>
      </c>
      <c r="H51" s="42">
        <f t="shared" si="13"/>
        <v>49971.26</v>
      </c>
      <c r="I51" s="42">
        <v>64412.89</v>
      </c>
      <c r="J51" s="42">
        <v>37584.11</v>
      </c>
      <c r="K51" s="42">
        <v>200.12</v>
      </c>
      <c r="L51" s="37">
        <f t="shared" si="17"/>
        <v>187.807865280831</v>
      </c>
    </row>
    <row r="52" ht="14.5" spans="1:12">
      <c r="A52" s="31" t="s">
        <v>522</v>
      </c>
      <c r="B52" s="39">
        <v>46073</v>
      </c>
      <c r="C52" s="40" t="str">
        <f t="shared" si="14"/>
        <v>2026年</v>
      </c>
      <c r="D52" s="40" t="str">
        <f t="shared" si="15"/>
        <v>2月</v>
      </c>
      <c r="E52" s="41" t="str">
        <f t="shared" si="16"/>
        <v>W8</v>
      </c>
      <c r="F52" s="42">
        <v>247027</v>
      </c>
      <c r="G52" s="42">
        <v>98043.22</v>
      </c>
      <c r="H52" s="42">
        <f t="shared" si="13"/>
        <v>148983.78</v>
      </c>
      <c r="I52" s="42">
        <v>92166</v>
      </c>
      <c r="J52" s="42">
        <v>145355</v>
      </c>
      <c r="K52" s="42">
        <v>712.1</v>
      </c>
      <c r="L52" s="37">
        <f t="shared" si="17"/>
        <v>204.121612133127</v>
      </c>
    </row>
    <row r="53" ht="14.5" spans="1:12">
      <c r="A53" s="31" t="s">
        <v>522</v>
      </c>
      <c r="B53" s="39">
        <v>46074</v>
      </c>
      <c r="C53" s="40" t="str">
        <f t="shared" si="14"/>
        <v>2026年</v>
      </c>
      <c r="D53" s="40" t="str">
        <f t="shared" si="15"/>
        <v>2月</v>
      </c>
      <c r="E53" s="41" t="str">
        <f t="shared" si="16"/>
        <v>W8</v>
      </c>
      <c r="F53" s="42">
        <v>283350</v>
      </c>
      <c r="G53" s="42">
        <v>116278.78</v>
      </c>
      <c r="H53" s="42">
        <f t="shared" si="13"/>
        <v>167071.22</v>
      </c>
      <c r="I53" s="42">
        <v>98670</v>
      </c>
      <c r="J53" s="42">
        <v>175331</v>
      </c>
      <c r="K53" s="42">
        <v>841.73</v>
      </c>
      <c r="L53" s="37">
        <f t="shared" si="17"/>
        <v>208.298385468024</v>
      </c>
    </row>
    <row r="54" ht="14.5" spans="1:12">
      <c r="A54" s="31" t="s">
        <v>522</v>
      </c>
      <c r="B54" s="39">
        <v>46075</v>
      </c>
      <c r="C54" s="40" t="str">
        <f t="shared" si="14"/>
        <v>2026年</v>
      </c>
      <c r="D54" s="40" t="str">
        <f t="shared" si="15"/>
        <v>2月</v>
      </c>
      <c r="E54" s="41" t="str">
        <f t="shared" si="16"/>
        <v>W8</v>
      </c>
      <c r="F54" s="42">
        <v>290241</v>
      </c>
      <c r="G54" s="42">
        <v>97143.02</v>
      </c>
      <c r="H54" s="42">
        <f t="shared" si="13"/>
        <v>193097.98</v>
      </c>
      <c r="I54" s="42">
        <v>124706</v>
      </c>
      <c r="J54" s="42">
        <v>159746</v>
      </c>
      <c r="K54" s="42">
        <v>862.33</v>
      </c>
      <c r="L54" s="37">
        <f t="shared" si="17"/>
        <v>185.249266522097</v>
      </c>
    </row>
    <row r="55" ht="14.5" spans="1:12">
      <c r="A55" s="31" t="s">
        <v>522</v>
      </c>
      <c r="B55" s="39">
        <v>46076</v>
      </c>
      <c r="C55" s="40" t="str">
        <f t="shared" ref="C55:C61" si="18">TEXT(YEAR(B55),"0")&amp;"年"</f>
        <v>2026年</v>
      </c>
      <c r="D55" s="40" t="str">
        <f t="shared" ref="D55:D61" si="19">TEXT(MONTH(B55),"0")&amp;"月"</f>
        <v>2月</v>
      </c>
      <c r="E55" s="41" t="str">
        <f t="shared" ref="E55:E61" si="20">"W"&amp;TEXT(WEEKNUM(B55,2),"0")</f>
        <v>W9</v>
      </c>
      <c r="F55" s="42">
        <v>446498.17</v>
      </c>
      <c r="G55" s="42">
        <v>289446.81</v>
      </c>
      <c r="H55" s="42">
        <f t="shared" ref="H55:H61" si="21">F55-G55</f>
        <v>157051.36</v>
      </c>
      <c r="I55" s="42">
        <v>128552.24</v>
      </c>
      <c r="J55" s="42">
        <v>306444.71</v>
      </c>
      <c r="K55" s="42">
        <v>1351.92</v>
      </c>
      <c r="L55" s="37">
        <f t="shared" ref="L55:L61" si="22">J55/K55</f>
        <v>226.673701106574</v>
      </c>
    </row>
    <row r="56" ht="14.5" spans="1:12">
      <c r="A56" s="31" t="s">
        <v>522</v>
      </c>
      <c r="B56" s="39">
        <v>46077</v>
      </c>
      <c r="C56" s="40" t="str">
        <f t="shared" si="18"/>
        <v>2026年</v>
      </c>
      <c r="D56" s="40" t="str">
        <f t="shared" si="19"/>
        <v>2月</v>
      </c>
      <c r="E56" s="41" t="str">
        <f t="shared" si="20"/>
        <v>W9</v>
      </c>
      <c r="F56" s="42">
        <v>350971.17</v>
      </c>
      <c r="G56" s="42">
        <v>350162.13</v>
      </c>
      <c r="H56" s="42">
        <f t="shared" si="21"/>
        <v>809.039999999979</v>
      </c>
      <c r="I56" s="42">
        <v>111758.34</v>
      </c>
      <c r="J56" s="42">
        <v>222614.83</v>
      </c>
      <c r="K56" s="42">
        <v>913.8</v>
      </c>
      <c r="L56" s="37">
        <f t="shared" si="22"/>
        <v>243.614390457431</v>
      </c>
    </row>
    <row r="57" ht="14.5" spans="1:12">
      <c r="A57" s="31" t="s">
        <v>522</v>
      </c>
      <c r="B57" s="39">
        <v>46078</v>
      </c>
      <c r="C57" s="40" t="str">
        <f t="shared" si="18"/>
        <v>2026年</v>
      </c>
      <c r="D57" s="40" t="str">
        <f t="shared" si="19"/>
        <v>2月</v>
      </c>
      <c r="E57" s="41" t="str">
        <f t="shared" si="20"/>
        <v>W9</v>
      </c>
      <c r="F57" s="42">
        <v>535312.58</v>
      </c>
      <c r="G57" s="42">
        <v>772118.8</v>
      </c>
      <c r="H57" s="42">
        <f t="shared" si="21"/>
        <v>-236806.22</v>
      </c>
      <c r="I57" s="42">
        <v>128135</v>
      </c>
      <c r="J57" s="42">
        <v>387166.58</v>
      </c>
      <c r="K57" s="42">
        <v>1832.25</v>
      </c>
      <c r="L57" s="37">
        <f t="shared" si="22"/>
        <v>211.306633920044</v>
      </c>
    </row>
    <row r="58" ht="14.5" spans="1:12">
      <c r="A58" s="31" t="s">
        <v>522</v>
      </c>
      <c r="B58" s="39">
        <v>46079</v>
      </c>
      <c r="C58" s="40" t="str">
        <f t="shared" si="18"/>
        <v>2026年</v>
      </c>
      <c r="D58" s="40" t="str">
        <f t="shared" si="19"/>
        <v>2月</v>
      </c>
      <c r="E58" s="41" t="str">
        <f t="shared" si="20"/>
        <v>W9</v>
      </c>
      <c r="F58" s="42">
        <v>392513.38</v>
      </c>
      <c r="G58" s="42">
        <v>785155.93</v>
      </c>
      <c r="H58" s="42">
        <f t="shared" si="21"/>
        <v>-392642.55</v>
      </c>
      <c r="I58" s="42">
        <v>137950.72</v>
      </c>
      <c r="J58" s="42">
        <v>234793.38</v>
      </c>
      <c r="K58" s="42">
        <v>1174.16</v>
      </c>
      <c r="L58" s="37">
        <f t="shared" si="22"/>
        <v>199.967108400899</v>
      </c>
    </row>
    <row r="59" ht="14.5" spans="1:12">
      <c r="A59" s="31" t="s">
        <v>522</v>
      </c>
      <c r="B59" s="39">
        <v>46080</v>
      </c>
      <c r="C59" s="40" t="str">
        <f t="shared" si="18"/>
        <v>2026年</v>
      </c>
      <c r="D59" s="40" t="str">
        <f t="shared" si="19"/>
        <v>2月</v>
      </c>
      <c r="E59" s="41" t="str">
        <f t="shared" si="20"/>
        <v>W9</v>
      </c>
      <c r="F59" s="42">
        <v>644917</v>
      </c>
      <c r="G59" s="42">
        <v>558680.88</v>
      </c>
      <c r="H59" s="42">
        <f t="shared" si="21"/>
        <v>86236.12</v>
      </c>
      <c r="I59" s="42">
        <v>163233.48</v>
      </c>
      <c r="J59" s="42">
        <v>470150.52</v>
      </c>
      <c r="K59" s="42">
        <v>2150.8</v>
      </c>
      <c r="L59" s="37">
        <f t="shared" si="22"/>
        <v>218.593323414543</v>
      </c>
    </row>
    <row r="60" ht="14.5" spans="1:12">
      <c r="A60" s="31" t="s">
        <v>522</v>
      </c>
      <c r="B60" s="39">
        <v>46081</v>
      </c>
      <c r="C60" s="40" t="str">
        <f t="shared" si="18"/>
        <v>2026年</v>
      </c>
      <c r="D60" s="40" t="str">
        <f t="shared" si="19"/>
        <v>2月</v>
      </c>
      <c r="E60" s="41" t="str">
        <f t="shared" si="20"/>
        <v>W9</v>
      </c>
      <c r="F60" s="42">
        <v>776476.71</v>
      </c>
      <c r="G60" s="42">
        <v>462428.39</v>
      </c>
      <c r="H60" s="42">
        <f t="shared" si="21"/>
        <v>314048.32</v>
      </c>
      <c r="I60" s="42">
        <v>178764.74</v>
      </c>
      <c r="J60" s="42">
        <v>569140.97</v>
      </c>
      <c r="K60" s="42">
        <v>2732.56</v>
      </c>
      <c r="L60" s="37">
        <f t="shared" si="22"/>
        <v>208.281234446819</v>
      </c>
    </row>
    <row r="61" ht="14.5" spans="1:12">
      <c r="A61" s="31" t="s">
        <v>522</v>
      </c>
      <c r="B61" s="39">
        <v>46082</v>
      </c>
      <c r="C61" s="40" t="str">
        <f t="shared" si="18"/>
        <v>2026年</v>
      </c>
      <c r="D61" s="40" t="str">
        <f t="shared" si="19"/>
        <v>3月</v>
      </c>
      <c r="E61" s="41" t="str">
        <f t="shared" si="20"/>
        <v>W9</v>
      </c>
      <c r="F61" s="11">
        <v>556450.17</v>
      </c>
      <c r="G61" s="11">
        <v>369165.05</v>
      </c>
      <c r="H61" s="42">
        <f t="shared" si="21"/>
        <v>187285.12</v>
      </c>
      <c r="I61" s="42">
        <v>168146.27</v>
      </c>
      <c r="J61" s="42">
        <v>368066.9</v>
      </c>
      <c r="K61" s="43">
        <v>1863.27</v>
      </c>
      <c r="L61" s="37">
        <f t="shared" si="22"/>
        <v>197.538145303687</v>
      </c>
    </row>
    <row r="62" ht="14.5" spans="1:12">
      <c r="A62" s="31" t="s">
        <v>522</v>
      </c>
      <c r="B62" s="39">
        <v>46083</v>
      </c>
      <c r="C62" s="40" t="str">
        <f t="shared" ref="C62:C68" si="23">TEXT(YEAR(B62),"0")&amp;"年"</f>
        <v>2026年</v>
      </c>
      <c r="D62" s="40" t="str">
        <f t="shared" ref="D62:D68" si="24">TEXT(MONTH(B62),"0")&amp;"月"</f>
        <v>3月</v>
      </c>
      <c r="E62" s="41" t="str">
        <f t="shared" ref="E62:E68" si="25">"W"&amp;TEXT(WEEKNUM(B62,2),"0")</f>
        <v>W10</v>
      </c>
      <c r="F62" s="11">
        <v>509737.26</v>
      </c>
      <c r="G62" s="11">
        <v>405343.1</v>
      </c>
      <c r="H62" s="42">
        <f t="shared" ref="H62:H68" si="26">F62-G62</f>
        <v>104394.16</v>
      </c>
      <c r="I62" s="42">
        <v>121974.45</v>
      </c>
      <c r="J62" s="42">
        <v>368514.88</v>
      </c>
      <c r="K62" s="43">
        <v>1769.08</v>
      </c>
      <c r="L62" s="37">
        <f t="shared" ref="L62:L68" si="27">J62/K62</f>
        <v>208.308770660456</v>
      </c>
    </row>
    <row r="63" ht="14.5" spans="1:12">
      <c r="A63" s="31" t="s">
        <v>522</v>
      </c>
      <c r="B63" s="39">
        <v>46084</v>
      </c>
      <c r="C63" s="40" t="str">
        <f t="shared" si="23"/>
        <v>2026年</v>
      </c>
      <c r="D63" s="40" t="str">
        <f t="shared" si="24"/>
        <v>3月</v>
      </c>
      <c r="E63" s="41" t="str">
        <f t="shared" si="25"/>
        <v>W10</v>
      </c>
      <c r="F63" s="11">
        <v>325844.18</v>
      </c>
      <c r="G63" s="11">
        <v>415073.72</v>
      </c>
      <c r="H63" s="42">
        <f t="shared" si="26"/>
        <v>-89229.54</v>
      </c>
      <c r="I63" s="42">
        <v>90752</v>
      </c>
      <c r="J63" s="42">
        <v>220005</v>
      </c>
      <c r="K63" s="43">
        <v>1057.97</v>
      </c>
      <c r="L63" s="37">
        <f t="shared" si="27"/>
        <v>207.950130911084</v>
      </c>
    </row>
    <row r="64" ht="14.5" spans="1:12">
      <c r="A64" s="31" t="s">
        <v>522</v>
      </c>
      <c r="B64" s="39">
        <v>46085</v>
      </c>
      <c r="C64" s="40" t="str">
        <f t="shared" si="23"/>
        <v>2026年</v>
      </c>
      <c r="D64" s="40" t="str">
        <f t="shared" si="24"/>
        <v>3月</v>
      </c>
      <c r="E64" s="41" t="str">
        <f t="shared" si="25"/>
        <v>W10</v>
      </c>
      <c r="F64" s="11">
        <v>405818.32</v>
      </c>
      <c r="G64" s="11">
        <v>435091.19</v>
      </c>
      <c r="H64" s="42">
        <f t="shared" si="26"/>
        <v>-29272.87</v>
      </c>
      <c r="I64" s="42">
        <v>173222.8</v>
      </c>
      <c r="J64" s="42">
        <v>212208.52</v>
      </c>
      <c r="K64" s="43">
        <v>762.62</v>
      </c>
      <c r="L64" s="37">
        <f t="shared" si="27"/>
        <v>278.262463612284</v>
      </c>
    </row>
    <row r="65" ht="14.5" spans="1:12">
      <c r="A65" s="31" t="s">
        <v>522</v>
      </c>
      <c r="B65" s="39">
        <v>46086</v>
      </c>
      <c r="C65" s="40" t="str">
        <f t="shared" si="23"/>
        <v>2026年</v>
      </c>
      <c r="D65" s="40" t="str">
        <f t="shared" si="24"/>
        <v>3月</v>
      </c>
      <c r="E65" s="41" t="str">
        <f t="shared" si="25"/>
        <v>W10</v>
      </c>
      <c r="F65" s="11">
        <v>731043.92</v>
      </c>
      <c r="G65" s="11">
        <v>534419.4</v>
      </c>
      <c r="H65" s="42">
        <f t="shared" si="26"/>
        <v>196624.52</v>
      </c>
      <c r="I65" s="42">
        <v>291864.29</v>
      </c>
      <c r="J65" s="42">
        <v>425287.96</v>
      </c>
      <c r="K65" s="43">
        <v>1867.04</v>
      </c>
      <c r="L65" s="37">
        <f t="shared" si="27"/>
        <v>227.787278258634</v>
      </c>
    </row>
    <row r="66" ht="14.5" spans="1:12">
      <c r="A66" s="31" t="s">
        <v>522</v>
      </c>
      <c r="B66" s="39">
        <v>46087</v>
      </c>
      <c r="C66" s="40" t="str">
        <f t="shared" si="23"/>
        <v>2026年</v>
      </c>
      <c r="D66" s="40" t="str">
        <f t="shared" si="24"/>
        <v>3月</v>
      </c>
      <c r="E66" s="41" t="str">
        <f t="shared" si="25"/>
        <v>W10</v>
      </c>
      <c r="F66" s="11">
        <v>496735.36</v>
      </c>
      <c r="G66" s="11">
        <v>488741.18</v>
      </c>
      <c r="H66" s="42">
        <f t="shared" si="26"/>
        <v>7994.17999999999</v>
      </c>
      <c r="I66" s="42">
        <v>211473.15</v>
      </c>
      <c r="J66" s="42">
        <v>263386.31</v>
      </c>
      <c r="K66" s="43">
        <v>1331.19</v>
      </c>
      <c r="L66" s="37">
        <f t="shared" si="27"/>
        <v>197.85778889565</v>
      </c>
    </row>
    <row r="67" ht="14.5" spans="1:12">
      <c r="A67" s="31" t="s">
        <v>522</v>
      </c>
      <c r="B67" s="39">
        <v>46088</v>
      </c>
      <c r="C67" s="40" t="str">
        <f t="shared" si="23"/>
        <v>2026年</v>
      </c>
      <c r="D67" s="40" t="str">
        <f t="shared" si="24"/>
        <v>3月</v>
      </c>
      <c r="E67" s="41" t="str">
        <f t="shared" si="25"/>
        <v>W10</v>
      </c>
      <c r="F67" s="11">
        <v>732286.15</v>
      </c>
      <c r="G67" s="11">
        <v>598859.94</v>
      </c>
      <c r="H67" s="42">
        <f t="shared" si="26"/>
        <v>133426.21</v>
      </c>
      <c r="I67" s="42">
        <v>276199.4</v>
      </c>
      <c r="J67" s="42">
        <v>399976.71</v>
      </c>
      <c r="K67" s="43">
        <v>1776.88</v>
      </c>
      <c r="L67" s="37">
        <f t="shared" si="27"/>
        <v>225.100575165459</v>
      </c>
    </row>
    <row r="68" ht="14.5" spans="1:12">
      <c r="A68" s="31" t="s">
        <v>522</v>
      </c>
      <c r="B68" s="39">
        <v>46089</v>
      </c>
      <c r="C68" s="40" t="str">
        <f t="shared" si="23"/>
        <v>2026年</v>
      </c>
      <c r="D68" s="40" t="str">
        <f t="shared" si="24"/>
        <v>3月</v>
      </c>
      <c r="E68" s="41" t="str">
        <f t="shared" si="25"/>
        <v>W10</v>
      </c>
      <c r="F68" s="11">
        <v>997253.65</v>
      </c>
      <c r="G68" s="11">
        <v>782254.08</v>
      </c>
      <c r="H68" s="42">
        <f t="shared" si="26"/>
        <v>214999.57</v>
      </c>
      <c r="I68" s="42">
        <v>491118.48</v>
      </c>
      <c r="J68" s="42">
        <v>415117.76</v>
      </c>
      <c r="K68" s="43">
        <v>2023.27</v>
      </c>
      <c r="L68" s="37">
        <f t="shared" si="27"/>
        <v>205.171707186881</v>
      </c>
    </row>
    <row r="69" ht="14.5" spans="1:12">
      <c r="K69" s="12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workbookViewId="0">
      <pane ySplit="1" topLeftCell="A43" activePane="bottomLeft" state="frozen"/>
      <selection/>
      <selection pane="bottomLeft" activeCell="N60" sqref="N60"/>
    </sheetView>
  </sheetViews>
  <sheetFormatPr defaultColWidth="8.25" defaultRowHeight="14" outlineLevelCol="7"/>
  <cols>
    <col min="1" max="1" width="8.25" style="22"/>
    <col min="2" max="2" width="11.1666666666667" style="22" customWidth="1"/>
    <col min="3" max="3" width="11.1666666666667" style="23" customWidth="1"/>
    <col min="4" max="4" width="8.83333333333333" style="23" customWidth="1"/>
    <col min="5" max="5" width="17.3333333333333" style="23" customWidth="1"/>
    <col min="6" max="6" width="10.75" style="24"/>
    <col min="7" max="7" width="10.25" style="24"/>
    <col min="8" max="8" width="10.25" style="22"/>
    <col min="9" max="16384" width="8.25" style="22"/>
  </cols>
  <sheetData>
    <row r="1" s="22" customFormat="1" ht="14.5" spans="1:8">
      <c r="A1" s="25" t="s">
        <v>205</v>
      </c>
      <c r="B1" s="2" t="s">
        <v>301</v>
      </c>
      <c r="C1" s="26" t="s">
        <v>302</v>
      </c>
      <c r="D1" s="26" t="s">
        <v>303</v>
      </c>
      <c r="E1" s="26" t="s">
        <v>304</v>
      </c>
      <c r="F1" s="27" t="s">
        <v>2</v>
      </c>
      <c r="G1" s="27" t="s">
        <v>190</v>
      </c>
      <c r="H1" s="22" t="s">
        <v>523</v>
      </c>
    </row>
    <row r="2" s="22" customFormat="1" ht="15.5" spans="1:8">
      <c r="A2" s="22" t="s">
        <v>522</v>
      </c>
      <c r="B2" s="28">
        <v>46023</v>
      </c>
      <c r="C2" s="3" t="str">
        <f t="shared" ref="C2:C33" si="0">TEXT(YEAR(B2),"0")&amp;"年"</f>
        <v>2026年</v>
      </c>
      <c r="D2" s="3" t="str">
        <f t="shared" ref="D2:D33" si="1">TEXT(MONTH(B2),"0")&amp;"月"</f>
        <v>1月</v>
      </c>
      <c r="E2" s="4" t="str">
        <f t="shared" ref="E2:E33" si="2">"W"&amp;TEXT(WEEKNUM(B2,2),"0")</f>
        <v>W1</v>
      </c>
      <c r="F2" s="29">
        <v>62158</v>
      </c>
      <c r="G2" s="2">
        <f>F2-H2</f>
        <v>17303</v>
      </c>
      <c r="H2" s="29">
        <v>44855</v>
      </c>
    </row>
    <row r="3" s="22" customFormat="1" ht="15.5" spans="1:8">
      <c r="A3" s="22" t="s">
        <v>522</v>
      </c>
      <c r="B3" s="28">
        <v>46024</v>
      </c>
      <c r="C3" s="3" t="str">
        <f t="shared" si="0"/>
        <v>2026年</v>
      </c>
      <c r="D3" s="3" t="str">
        <f t="shared" si="1"/>
        <v>1月</v>
      </c>
      <c r="E3" s="4" t="str">
        <f t="shared" si="2"/>
        <v>W1</v>
      </c>
      <c r="F3" s="29">
        <v>28151</v>
      </c>
      <c r="G3" s="2">
        <f t="shared" ref="G3:G33" si="3">F3-H3</f>
        <v>-18404.97</v>
      </c>
      <c r="H3" s="29">
        <v>46555.97</v>
      </c>
    </row>
    <row r="4" s="22" customFormat="1" ht="15.5" spans="1:8">
      <c r="A4" s="22" t="s">
        <v>522</v>
      </c>
      <c r="B4" s="28">
        <v>46025</v>
      </c>
      <c r="C4" s="3" t="str">
        <f t="shared" si="0"/>
        <v>2026年</v>
      </c>
      <c r="D4" s="3" t="str">
        <f t="shared" si="1"/>
        <v>1月</v>
      </c>
      <c r="E4" s="4" t="str">
        <f t="shared" si="2"/>
        <v>W1</v>
      </c>
      <c r="F4" s="29">
        <v>51943</v>
      </c>
      <c r="G4" s="2">
        <f t="shared" si="3"/>
        <v>14569</v>
      </c>
      <c r="H4" s="29">
        <v>37374</v>
      </c>
    </row>
    <row r="5" s="22" customFormat="1" ht="15.5" spans="1:8">
      <c r="A5" s="22" t="s">
        <v>522</v>
      </c>
      <c r="B5" s="28">
        <v>46026</v>
      </c>
      <c r="C5" s="3" t="str">
        <f t="shared" si="0"/>
        <v>2026年</v>
      </c>
      <c r="D5" s="3" t="str">
        <f t="shared" si="1"/>
        <v>1月</v>
      </c>
      <c r="E5" s="4" t="str">
        <f t="shared" si="2"/>
        <v>W1</v>
      </c>
      <c r="F5" s="29">
        <v>26173</v>
      </c>
      <c r="G5" s="2">
        <f t="shared" si="3"/>
        <v>-6115</v>
      </c>
      <c r="H5" s="29">
        <v>32288</v>
      </c>
    </row>
    <row r="6" s="22" customFormat="1" ht="15.5" spans="1:8">
      <c r="A6" s="22" t="s">
        <v>522</v>
      </c>
      <c r="B6" s="28">
        <v>46027</v>
      </c>
      <c r="C6" s="3" t="str">
        <f t="shared" si="0"/>
        <v>2026年</v>
      </c>
      <c r="D6" s="3" t="str">
        <f t="shared" si="1"/>
        <v>1月</v>
      </c>
      <c r="E6" s="4" t="str">
        <f t="shared" si="2"/>
        <v>W2</v>
      </c>
      <c r="F6" s="29">
        <v>64752</v>
      </c>
      <c r="G6" s="2">
        <f t="shared" si="3"/>
        <v>17968</v>
      </c>
      <c r="H6" s="29">
        <v>46784</v>
      </c>
    </row>
    <row r="7" s="22" customFormat="1" ht="15.5" spans="1:8">
      <c r="A7" s="22" t="s">
        <v>522</v>
      </c>
      <c r="B7" s="28">
        <v>46028</v>
      </c>
      <c r="C7" s="3" t="str">
        <f t="shared" si="0"/>
        <v>2026年</v>
      </c>
      <c r="D7" s="3" t="str">
        <f t="shared" si="1"/>
        <v>1月</v>
      </c>
      <c r="E7" s="4" t="str">
        <f t="shared" si="2"/>
        <v>W2</v>
      </c>
      <c r="F7" s="29">
        <v>70629</v>
      </c>
      <c r="G7" s="2">
        <f t="shared" si="3"/>
        <v>19446</v>
      </c>
      <c r="H7" s="29">
        <v>51183</v>
      </c>
    </row>
    <row r="8" s="22" customFormat="1" ht="15.5" spans="1:8">
      <c r="A8" s="22" t="s">
        <v>522</v>
      </c>
      <c r="B8" s="28">
        <v>46029</v>
      </c>
      <c r="C8" s="3" t="str">
        <f t="shared" si="0"/>
        <v>2026年</v>
      </c>
      <c r="D8" s="3" t="str">
        <f t="shared" si="1"/>
        <v>1月</v>
      </c>
      <c r="E8" s="4" t="str">
        <f t="shared" si="2"/>
        <v>W2</v>
      </c>
      <c r="F8" s="29">
        <v>47334</v>
      </c>
      <c r="G8" s="2">
        <f t="shared" si="3"/>
        <v>9110</v>
      </c>
      <c r="H8" s="29">
        <v>38224</v>
      </c>
    </row>
    <row r="9" s="22" customFormat="1" ht="15.5" spans="1:8">
      <c r="A9" s="22" t="s">
        <v>522</v>
      </c>
      <c r="B9" s="28">
        <v>46030</v>
      </c>
      <c r="C9" s="3" t="str">
        <f t="shared" si="0"/>
        <v>2026年</v>
      </c>
      <c r="D9" s="3" t="str">
        <f t="shared" si="1"/>
        <v>1月</v>
      </c>
      <c r="E9" s="4" t="str">
        <f t="shared" si="2"/>
        <v>W2</v>
      </c>
      <c r="F9" s="29">
        <v>56806</v>
      </c>
      <c r="G9" s="2">
        <f t="shared" si="3"/>
        <v>9882</v>
      </c>
      <c r="H9" s="29">
        <v>46924</v>
      </c>
    </row>
    <row r="10" s="22" customFormat="1" ht="15.5" spans="1:8">
      <c r="A10" s="22" t="s">
        <v>522</v>
      </c>
      <c r="B10" s="28">
        <v>46031</v>
      </c>
      <c r="C10" s="3" t="str">
        <f t="shared" si="0"/>
        <v>2026年</v>
      </c>
      <c r="D10" s="3" t="str">
        <f t="shared" si="1"/>
        <v>1月</v>
      </c>
      <c r="E10" s="4" t="str">
        <f t="shared" si="2"/>
        <v>W2</v>
      </c>
      <c r="F10" s="29">
        <v>105132</v>
      </c>
      <c r="G10" s="2">
        <f t="shared" si="3"/>
        <v>53417</v>
      </c>
      <c r="H10" s="29">
        <v>51715</v>
      </c>
    </row>
    <row r="11" s="22" customFormat="1" ht="15.5" spans="1:8">
      <c r="A11" s="22" t="s">
        <v>522</v>
      </c>
      <c r="B11" s="28">
        <v>46032</v>
      </c>
      <c r="C11" s="3" t="str">
        <f t="shared" si="0"/>
        <v>2026年</v>
      </c>
      <c r="D11" s="3" t="str">
        <f t="shared" si="1"/>
        <v>1月</v>
      </c>
      <c r="E11" s="4" t="str">
        <f t="shared" si="2"/>
        <v>W2</v>
      </c>
      <c r="F11" s="29">
        <v>42097</v>
      </c>
      <c r="G11" s="2">
        <f t="shared" si="3"/>
        <v>2983</v>
      </c>
      <c r="H11" s="29">
        <v>39114</v>
      </c>
    </row>
    <row r="12" s="22" customFormat="1" ht="15.5" spans="1:8">
      <c r="A12" s="22" t="s">
        <v>522</v>
      </c>
      <c r="B12" s="28">
        <v>46033</v>
      </c>
      <c r="C12" s="3" t="str">
        <f t="shared" si="0"/>
        <v>2026年</v>
      </c>
      <c r="D12" s="3" t="str">
        <f t="shared" si="1"/>
        <v>1月</v>
      </c>
      <c r="E12" s="4" t="str">
        <f t="shared" si="2"/>
        <v>W2</v>
      </c>
      <c r="F12" s="29">
        <v>65197</v>
      </c>
      <c r="G12" s="2">
        <f t="shared" si="3"/>
        <v>13123</v>
      </c>
      <c r="H12" s="29">
        <v>52074</v>
      </c>
    </row>
    <row r="13" s="22" customFormat="1" ht="15.5" spans="1:8">
      <c r="A13" s="22" t="s">
        <v>522</v>
      </c>
      <c r="B13" s="28">
        <v>46034</v>
      </c>
      <c r="C13" s="3" t="str">
        <f t="shared" si="0"/>
        <v>2026年</v>
      </c>
      <c r="D13" s="3" t="str">
        <f t="shared" si="1"/>
        <v>1月</v>
      </c>
      <c r="E13" s="4" t="str">
        <f t="shared" si="2"/>
        <v>W3</v>
      </c>
      <c r="F13" s="29">
        <v>71671</v>
      </c>
      <c r="G13" s="2">
        <f t="shared" si="3"/>
        <v>34190</v>
      </c>
      <c r="H13" s="29">
        <v>37481</v>
      </c>
    </row>
    <row r="14" s="22" customFormat="1" ht="15.5" spans="1:8">
      <c r="A14" s="22" t="s">
        <v>522</v>
      </c>
      <c r="B14" s="28">
        <v>46035</v>
      </c>
      <c r="C14" s="3" t="str">
        <f t="shared" si="0"/>
        <v>2026年</v>
      </c>
      <c r="D14" s="3" t="str">
        <f t="shared" si="1"/>
        <v>1月</v>
      </c>
      <c r="E14" s="4" t="str">
        <f t="shared" si="2"/>
        <v>W3</v>
      </c>
      <c r="F14" s="29">
        <v>49083</v>
      </c>
      <c r="G14" s="2">
        <f t="shared" si="3"/>
        <v>-11455</v>
      </c>
      <c r="H14" s="29">
        <v>60538</v>
      </c>
    </row>
    <row r="15" s="22" customFormat="1" ht="15.5" spans="1:8">
      <c r="A15" s="22" t="s">
        <v>522</v>
      </c>
      <c r="B15" s="28">
        <v>46036</v>
      </c>
      <c r="C15" s="3" t="str">
        <f t="shared" si="0"/>
        <v>2026年</v>
      </c>
      <c r="D15" s="3" t="str">
        <f t="shared" si="1"/>
        <v>1月</v>
      </c>
      <c r="E15" s="4" t="str">
        <f t="shared" si="2"/>
        <v>W3</v>
      </c>
      <c r="F15" s="29">
        <v>56996</v>
      </c>
      <c r="G15" s="2">
        <f t="shared" si="3"/>
        <v>13110</v>
      </c>
      <c r="H15" s="29">
        <v>43886</v>
      </c>
    </row>
    <row r="16" s="22" customFormat="1" ht="15.5" spans="1:8">
      <c r="A16" s="22" t="s">
        <v>522</v>
      </c>
      <c r="B16" s="28">
        <v>46037</v>
      </c>
      <c r="C16" s="3" t="str">
        <f t="shared" si="0"/>
        <v>2026年</v>
      </c>
      <c r="D16" s="3" t="str">
        <f t="shared" si="1"/>
        <v>1月</v>
      </c>
      <c r="E16" s="4" t="str">
        <f t="shared" si="2"/>
        <v>W3</v>
      </c>
      <c r="F16" s="29">
        <v>64072</v>
      </c>
      <c r="G16" s="2">
        <f t="shared" si="3"/>
        <v>-2308</v>
      </c>
      <c r="H16" s="29">
        <v>66380</v>
      </c>
    </row>
    <row r="17" s="22" customFormat="1" ht="15.5" spans="1:8">
      <c r="A17" s="22" t="s">
        <v>522</v>
      </c>
      <c r="B17" s="28">
        <v>46038</v>
      </c>
      <c r="C17" s="3" t="str">
        <f t="shared" si="0"/>
        <v>2026年</v>
      </c>
      <c r="D17" s="3" t="str">
        <f t="shared" si="1"/>
        <v>1月</v>
      </c>
      <c r="E17" s="4" t="str">
        <f t="shared" si="2"/>
        <v>W3</v>
      </c>
      <c r="F17" s="29">
        <v>61741</v>
      </c>
      <c r="G17" s="2">
        <f t="shared" si="3"/>
        <v>-5859</v>
      </c>
      <c r="H17" s="29">
        <v>67600</v>
      </c>
    </row>
    <row r="18" s="22" customFormat="1" ht="15.5" spans="1:8">
      <c r="A18" s="22" t="s">
        <v>522</v>
      </c>
      <c r="B18" s="28">
        <v>46039</v>
      </c>
      <c r="C18" s="3" t="str">
        <f t="shared" si="0"/>
        <v>2026年</v>
      </c>
      <c r="D18" s="3" t="str">
        <f t="shared" si="1"/>
        <v>1月</v>
      </c>
      <c r="E18" s="4" t="str">
        <f t="shared" si="2"/>
        <v>W3</v>
      </c>
      <c r="F18" s="29">
        <v>51004</v>
      </c>
      <c r="G18" s="2">
        <f t="shared" si="3"/>
        <v>-3420</v>
      </c>
      <c r="H18" s="29">
        <v>54424</v>
      </c>
    </row>
    <row r="19" s="22" customFormat="1" ht="15.5" spans="1:8">
      <c r="A19" s="22" t="s">
        <v>522</v>
      </c>
      <c r="B19" s="28">
        <v>46040</v>
      </c>
      <c r="C19" s="3" t="str">
        <f t="shared" si="0"/>
        <v>2026年</v>
      </c>
      <c r="D19" s="3" t="str">
        <f t="shared" si="1"/>
        <v>1月</v>
      </c>
      <c r="E19" s="4" t="str">
        <f t="shared" si="2"/>
        <v>W3</v>
      </c>
      <c r="F19" s="29">
        <v>96791</v>
      </c>
      <c r="G19" s="2">
        <f t="shared" si="3"/>
        <v>28896</v>
      </c>
      <c r="H19" s="29">
        <v>67895</v>
      </c>
    </row>
    <row r="20" s="22" customFormat="1" ht="15.5" spans="1:8">
      <c r="A20" s="22" t="s">
        <v>522</v>
      </c>
      <c r="B20" s="28">
        <v>46041</v>
      </c>
      <c r="C20" s="3" t="str">
        <f t="shared" si="0"/>
        <v>2026年</v>
      </c>
      <c r="D20" s="3" t="str">
        <f t="shared" si="1"/>
        <v>1月</v>
      </c>
      <c r="E20" s="4" t="str">
        <f t="shared" si="2"/>
        <v>W4</v>
      </c>
      <c r="F20" s="29">
        <v>76324</v>
      </c>
      <c r="G20" s="2">
        <f t="shared" si="3"/>
        <v>36299</v>
      </c>
      <c r="H20" s="29">
        <v>40025</v>
      </c>
    </row>
    <row r="21" s="22" customFormat="1" ht="15.5" spans="1:8">
      <c r="A21" s="22" t="s">
        <v>522</v>
      </c>
      <c r="B21" s="28">
        <v>46042</v>
      </c>
      <c r="C21" s="3" t="str">
        <f t="shared" si="0"/>
        <v>2026年</v>
      </c>
      <c r="D21" s="3" t="str">
        <f t="shared" si="1"/>
        <v>1月</v>
      </c>
      <c r="E21" s="4" t="str">
        <f t="shared" si="2"/>
        <v>W4</v>
      </c>
      <c r="F21" s="29">
        <v>79305</v>
      </c>
      <c r="G21" s="2">
        <f t="shared" si="3"/>
        <v>31403</v>
      </c>
      <c r="H21" s="29">
        <v>47902</v>
      </c>
    </row>
    <row r="22" s="22" customFormat="1" ht="15.5" spans="1:8">
      <c r="A22" s="22" t="s">
        <v>522</v>
      </c>
      <c r="B22" s="28">
        <v>46043</v>
      </c>
      <c r="C22" s="3" t="str">
        <f t="shared" si="0"/>
        <v>2026年</v>
      </c>
      <c r="D22" s="3" t="str">
        <f t="shared" si="1"/>
        <v>1月</v>
      </c>
      <c r="E22" s="4" t="str">
        <f t="shared" si="2"/>
        <v>W4</v>
      </c>
      <c r="F22" s="29">
        <v>46745</v>
      </c>
      <c r="G22" s="2">
        <f t="shared" si="3"/>
        <v>1203</v>
      </c>
      <c r="H22" s="29">
        <v>45542</v>
      </c>
    </row>
    <row r="23" s="22" customFormat="1" ht="15.5" spans="1:8">
      <c r="A23" s="22" t="s">
        <v>522</v>
      </c>
      <c r="B23" s="28">
        <v>46044</v>
      </c>
      <c r="C23" s="3" t="str">
        <f t="shared" si="0"/>
        <v>2026年</v>
      </c>
      <c r="D23" s="3" t="str">
        <f t="shared" si="1"/>
        <v>1月</v>
      </c>
      <c r="E23" s="4" t="str">
        <f t="shared" si="2"/>
        <v>W4</v>
      </c>
      <c r="F23" s="29">
        <v>32301</v>
      </c>
      <c r="G23" s="2">
        <f t="shared" si="3"/>
        <v>-30543.82</v>
      </c>
      <c r="H23" s="29">
        <v>62844.82</v>
      </c>
    </row>
    <row r="24" s="22" customFormat="1" ht="15.5" spans="1:8">
      <c r="A24" s="22" t="s">
        <v>522</v>
      </c>
      <c r="B24" s="28">
        <v>46045</v>
      </c>
      <c r="C24" s="3" t="str">
        <f t="shared" si="0"/>
        <v>2026年</v>
      </c>
      <c r="D24" s="3" t="str">
        <f t="shared" si="1"/>
        <v>1月</v>
      </c>
      <c r="E24" s="4" t="str">
        <f t="shared" si="2"/>
        <v>W4</v>
      </c>
      <c r="F24" s="29">
        <v>44469</v>
      </c>
      <c r="G24" s="2">
        <f t="shared" si="3"/>
        <v>-10090.47</v>
      </c>
      <c r="H24" s="29">
        <v>54559.47</v>
      </c>
    </row>
    <row r="25" s="22" customFormat="1" ht="15.5" spans="1:8">
      <c r="A25" s="22" t="s">
        <v>522</v>
      </c>
      <c r="B25" s="28">
        <v>46046</v>
      </c>
      <c r="C25" s="3" t="str">
        <f t="shared" si="0"/>
        <v>2026年</v>
      </c>
      <c r="D25" s="3" t="str">
        <f t="shared" si="1"/>
        <v>1月</v>
      </c>
      <c r="E25" s="4" t="str">
        <f t="shared" si="2"/>
        <v>W4</v>
      </c>
      <c r="F25" s="29">
        <v>25765</v>
      </c>
      <c r="G25" s="2">
        <f t="shared" si="3"/>
        <v>-17871.93</v>
      </c>
      <c r="H25" s="29">
        <v>43636.93</v>
      </c>
    </row>
    <row r="26" s="22" customFormat="1" ht="15.5" spans="1:8">
      <c r="A26" s="22" t="s">
        <v>522</v>
      </c>
      <c r="B26" s="28">
        <v>46047</v>
      </c>
      <c r="C26" s="3" t="str">
        <f t="shared" si="0"/>
        <v>2026年</v>
      </c>
      <c r="D26" s="3" t="str">
        <f t="shared" si="1"/>
        <v>1月</v>
      </c>
      <c r="E26" s="4" t="str">
        <f t="shared" si="2"/>
        <v>W4</v>
      </c>
      <c r="F26" s="29">
        <v>57870</v>
      </c>
      <c r="G26" s="2">
        <f t="shared" si="3"/>
        <v>11339.47</v>
      </c>
      <c r="H26" s="29">
        <v>46530.53</v>
      </c>
    </row>
    <row r="27" ht="15.5" spans="1:8">
      <c r="A27" s="22" t="s">
        <v>522</v>
      </c>
      <c r="B27" s="28">
        <v>46048</v>
      </c>
      <c r="C27" s="3" t="str">
        <f t="shared" si="0"/>
        <v>2026年</v>
      </c>
      <c r="D27" s="3" t="str">
        <f t="shared" si="1"/>
        <v>1月</v>
      </c>
      <c r="E27" s="4" t="str">
        <f t="shared" si="2"/>
        <v>W5</v>
      </c>
      <c r="F27" s="29">
        <v>51941</v>
      </c>
      <c r="G27" s="2">
        <f t="shared" si="3"/>
        <v>-9343</v>
      </c>
      <c r="H27" s="29">
        <v>61284</v>
      </c>
    </row>
    <row r="28" ht="15.5" spans="1:8">
      <c r="A28" s="22" t="s">
        <v>522</v>
      </c>
      <c r="B28" s="28">
        <v>46049</v>
      </c>
      <c r="C28" s="3" t="str">
        <f t="shared" si="0"/>
        <v>2026年</v>
      </c>
      <c r="D28" s="3" t="str">
        <f t="shared" si="1"/>
        <v>1月</v>
      </c>
      <c r="E28" s="4" t="str">
        <f t="shared" si="2"/>
        <v>W5</v>
      </c>
      <c r="F28" s="29">
        <v>61542</v>
      </c>
      <c r="G28" s="2">
        <f t="shared" si="3"/>
        <v>32900</v>
      </c>
      <c r="H28" s="29">
        <v>28642</v>
      </c>
    </row>
    <row r="29" ht="15.5" spans="1:8">
      <c r="A29" s="22" t="s">
        <v>522</v>
      </c>
      <c r="B29" s="28">
        <v>46050</v>
      </c>
      <c r="C29" s="3" t="str">
        <f t="shared" si="0"/>
        <v>2026年</v>
      </c>
      <c r="D29" s="3" t="str">
        <f t="shared" si="1"/>
        <v>1月</v>
      </c>
      <c r="E29" s="4" t="str">
        <f t="shared" si="2"/>
        <v>W5</v>
      </c>
      <c r="F29" s="29">
        <v>35454</v>
      </c>
      <c r="G29" s="2">
        <f t="shared" si="3"/>
        <v>3567.71</v>
      </c>
      <c r="H29" s="29">
        <v>31886.29</v>
      </c>
    </row>
    <row r="30" ht="15.5" spans="1:8">
      <c r="A30" s="22" t="s">
        <v>522</v>
      </c>
      <c r="B30" s="28">
        <v>46051</v>
      </c>
      <c r="C30" s="3" t="str">
        <f t="shared" si="0"/>
        <v>2026年</v>
      </c>
      <c r="D30" s="3" t="str">
        <f t="shared" si="1"/>
        <v>1月</v>
      </c>
      <c r="E30" s="4" t="str">
        <f t="shared" si="2"/>
        <v>W5</v>
      </c>
      <c r="F30" s="29">
        <v>14381</v>
      </c>
      <c r="G30" s="2">
        <f t="shared" si="3"/>
        <v>-16682</v>
      </c>
      <c r="H30" s="29">
        <v>31063</v>
      </c>
    </row>
    <row r="31" ht="15.5" spans="1:8">
      <c r="A31" s="22" t="s">
        <v>522</v>
      </c>
      <c r="B31" s="28">
        <v>46052</v>
      </c>
      <c r="C31" s="3" t="str">
        <f t="shared" si="0"/>
        <v>2026年</v>
      </c>
      <c r="D31" s="3" t="str">
        <f t="shared" si="1"/>
        <v>1月</v>
      </c>
      <c r="E31" s="4" t="str">
        <f t="shared" si="2"/>
        <v>W5</v>
      </c>
      <c r="F31" s="29">
        <v>25246</v>
      </c>
      <c r="G31" s="2">
        <f t="shared" si="3"/>
        <v>-21074.39</v>
      </c>
      <c r="H31" s="29">
        <v>46320.39</v>
      </c>
    </row>
    <row r="32" ht="15.5" spans="1:8">
      <c r="A32" s="22" t="s">
        <v>522</v>
      </c>
      <c r="B32" s="28">
        <v>46053</v>
      </c>
      <c r="C32" s="3" t="str">
        <f t="shared" si="0"/>
        <v>2026年</v>
      </c>
      <c r="D32" s="3" t="str">
        <f t="shared" si="1"/>
        <v>1月</v>
      </c>
      <c r="E32" s="4" t="str">
        <f t="shared" si="2"/>
        <v>W5</v>
      </c>
      <c r="F32" s="29">
        <v>44355</v>
      </c>
      <c r="G32" s="2">
        <f t="shared" si="3"/>
        <v>12566</v>
      </c>
      <c r="H32" s="29">
        <v>31789</v>
      </c>
    </row>
    <row r="33" ht="15.5" spans="1:8">
      <c r="A33" s="22" t="s">
        <v>522</v>
      </c>
      <c r="B33" s="28">
        <v>46054</v>
      </c>
      <c r="C33" s="3" t="str">
        <f t="shared" si="0"/>
        <v>2026年</v>
      </c>
      <c r="D33" s="3" t="str">
        <f t="shared" si="1"/>
        <v>2月</v>
      </c>
      <c r="E33" s="4" t="str">
        <f t="shared" si="2"/>
        <v>W5</v>
      </c>
      <c r="F33" s="29">
        <v>95845</v>
      </c>
      <c r="G33" s="2">
        <f t="shared" si="3"/>
        <v>56151</v>
      </c>
      <c r="H33" s="29">
        <v>39694</v>
      </c>
    </row>
    <row r="34" ht="15.5" spans="1:8">
      <c r="A34" s="22" t="s">
        <v>522</v>
      </c>
      <c r="B34" s="28">
        <v>46055</v>
      </c>
      <c r="C34" s="3" t="str">
        <f t="shared" ref="C34:C40" si="4">TEXT(YEAR(B34),"0")&amp;"年"</f>
        <v>2026年</v>
      </c>
      <c r="D34" s="3" t="str">
        <f t="shared" ref="D34:D40" si="5">TEXT(MONTH(B34),"0")&amp;"月"</f>
        <v>2月</v>
      </c>
      <c r="E34" s="4" t="str">
        <f t="shared" ref="E34:E40" si="6">"W"&amp;TEXT(WEEKNUM(B34,2),"0")</f>
        <v>W6</v>
      </c>
      <c r="F34" s="29">
        <v>45453</v>
      </c>
      <c r="G34" s="2">
        <f t="shared" ref="G34:G40" si="7">F34-H34</f>
        <v>15181</v>
      </c>
      <c r="H34" s="29">
        <v>30272</v>
      </c>
    </row>
    <row r="35" ht="15.5" spans="1:8">
      <c r="A35" s="22" t="s">
        <v>522</v>
      </c>
      <c r="B35" s="28">
        <v>46056</v>
      </c>
      <c r="C35" s="3" t="str">
        <f t="shared" si="4"/>
        <v>2026年</v>
      </c>
      <c r="D35" s="3" t="str">
        <f t="shared" si="5"/>
        <v>2月</v>
      </c>
      <c r="E35" s="4" t="str">
        <f t="shared" si="6"/>
        <v>W6</v>
      </c>
      <c r="F35" s="29">
        <v>43751</v>
      </c>
      <c r="G35" s="2">
        <f t="shared" si="7"/>
        <v>9136</v>
      </c>
      <c r="H35" s="29">
        <v>34615</v>
      </c>
    </row>
    <row r="36" ht="15.5" spans="1:8">
      <c r="A36" s="22" t="s">
        <v>522</v>
      </c>
      <c r="B36" s="28">
        <v>46057</v>
      </c>
      <c r="C36" s="3" t="str">
        <f t="shared" si="4"/>
        <v>2026年</v>
      </c>
      <c r="D36" s="3" t="str">
        <f t="shared" si="5"/>
        <v>2月</v>
      </c>
      <c r="E36" s="4" t="str">
        <f t="shared" si="6"/>
        <v>W6</v>
      </c>
      <c r="F36" s="29">
        <v>36854</v>
      </c>
      <c r="G36" s="2">
        <f t="shared" si="7"/>
        <v>-793</v>
      </c>
      <c r="H36" s="29">
        <v>37647</v>
      </c>
    </row>
    <row r="37" ht="15.5" spans="1:8">
      <c r="A37" s="22" t="s">
        <v>522</v>
      </c>
      <c r="B37" s="28">
        <v>46058</v>
      </c>
      <c r="C37" s="3" t="str">
        <f t="shared" si="4"/>
        <v>2026年</v>
      </c>
      <c r="D37" s="3" t="str">
        <f t="shared" si="5"/>
        <v>2月</v>
      </c>
      <c r="E37" s="4" t="str">
        <f t="shared" si="6"/>
        <v>W6</v>
      </c>
      <c r="F37" s="29">
        <v>47219</v>
      </c>
      <c r="G37" s="2">
        <f t="shared" si="7"/>
        <v>12652.45</v>
      </c>
      <c r="H37" s="29">
        <v>34566.55</v>
      </c>
    </row>
    <row r="38" ht="15.5" spans="1:8">
      <c r="A38" s="22" t="s">
        <v>522</v>
      </c>
      <c r="B38" s="28">
        <v>46059</v>
      </c>
      <c r="C38" s="3" t="str">
        <f t="shared" si="4"/>
        <v>2026年</v>
      </c>
      <c r="D38" s="3" t="str">
        <f t="shared" si="5"/>
        <v>2月</v>
      </c>
      <c r="E38" s="4" t="str">
        <f t="shared" si="6"/>
        <v>W6</v>
      </c>
      <c r="F38" s="29">
        <v>30841</v>
      </c>
      <c r="G38" s="2">
        <f t="shared" si="7"/>
        <v>58</v>
      </c>
      <c r="H38" s="29">
        <v>30783</v>
      </c>
    </row>
    <row r="39" ht="15.5" spans="1:8">
      <c r="A39" s="22" t="s">
        <v>522</v>
      </c>
      <c r="B39" s="28">
        <v>46060</v>
      </c>
      <c r="C39" s="3" t="str">
        <f t="shared" si="4"/>
        <v>2026年</v>
      </c>
      <c r="D39" s="3" t="str">
        <f t="shared" si="5"/>
        <v>2月</v>
      </c>
      <c r="E39" s="4" t="str">
        <f t="shared" si="6"/>
        <v>W6</v>
      </c>
      <c r="F39" s="29">
        <v>62780</v>
      </c>
      <c r="G39" s="2">
        <f t="shared" si="7"/>
        <v>5517</v>
      </c>
      <c r="H39" s="29">
        <v>57263</v>
      </c>
    </row>
    <row r="40" ht="15.5" spans="1:8">
      <c r="A40" s="22" t="s">
        <v>522</v>
      </c>
      <c r="B40" s="28">
        <v>46061</v>
      </c>
      <c r="C40" s="3" t="str">
        <f t="shared" si="4"/>
        <v>2026年</v>
      </c>
      <c r="D40" s="3" t="str">
        <f t="shared" si="5"/>
        <v>2月</v>
      </c>
      <c r="E40" s="4" t="str">
        <f t="shared" si="6"/>
        <v>W6</v>
      </c>
      <c r="F40" s="29">
        <v>30504</v>
      </c>
      <c r="G40" s="2">
        <f t="shared" si="7"/>
        <v>-3914.06</v>
      </c>
      <c r="H40" s="29">
        <v>34418.06</v>
      </c>
    </row>
    <row r="41" ht="15.5" spans="1:8">
      <c r="A41" s="22" t="s">
        <v>522</v>
      </c>
      <c r="B41" s="28">
        <v>46062</v>
      </c>
      <c r="C41" s="3" t="str">
        <f t="shared" ref="C41:C54" si="8">TEXT(YEAR(B41),"0")&amp;"年"</f>
        <v>2026年</v>
      </c>
      <c r="D41" s="3" t="str">
        <f t="shared" ref="D41:D54" si="9">TEXT(MONTH(B41),"0")&amp;"月"</f>
        <v>2月</v>
      </c>
      <c r="E41" s="4" t="str">
        <f t="shared" ref="E41:E54" si="10">"W"&amp;TEXT(WEEKNUM(B41,2),"0")</f>
        <v>W7</v>
      </c>
      <c r="F41" s="29">
        <v>104774</v>
      </c>
      <c r="G41" s="2">
        <f t="shared" ref="G41:G54" si="11">F41-H41</f>
        <v>38671.63</v>
      </c>
      <c r="H41" s="29">
        <v>66102.37</v>
      </c>
    </row>
    <row r="42" ht="15.5" spans="1:8">
      <c r="A42" s="22" t="s">
        <v>522</v>
      </c>
      <c r="B42" s="28">
        <v>46063</v>
      </c>
      <c r="C42" s="3" t="str">
        <f t="shared" si="8"/>
        <v>2026年</v>
      </c>
      <c r="D42" s="3" t="str">
        <f t="shared" si="9"/>
        <v>2月</v>
      </c>
      <c r="E42" s="4" t="str">
        <f t="shared" si="10"/>
        <v>W7</v>
      </c>
      <c r="F42" s="29">
        <v>71260</v>
      </c>
      <c r="G42" s="2">
        <f t="shared" si="11"/>
        <v>11321</v>
      </c>
      <c r="H42" s="29">
        <v>59939</v>
      </c>
    </row>
    <row r="43" ht="15.5" spans="1:8">
      <c r="A43" s="22" t="s">
        <v>522</v>
      </c>
      <c r="B43" s="28">
        <v>46064</v>
      </c>
      <c r="C43" s="3" t="str">
        <f t="shared" si="8"/>
        <v>2026年</v>
      </c>
      <c r="D43" s="3" t="str">
        <f t="shared" si="9"/>
        <v>2月</v>
      </c>
      <c r="E43" s="4" t="str">
        <f t="shared" si="10"/>
        <v>W7</v>
      </c>
      <c r="F43" s="29">
        <v>76660</v>
      </c>
      <c r="G43" s="2">
        <f t="shared" si="11"/>
        <v>42077</v>
      </c>
      <c r="H43" s="29">
        <v>34583</v>
      </c>
    </row>
    <row r="44" ht="15.5" spans="1:8">
      <c r="A44" s="22" t="s">
        <v>522</v>
      </c>
      <c r="B44" s="28">
        <v>46065</v>
      </c>
      <c r="C44" s="3" t="str">
        <f t="shared" si="8"/>
        <v>2026年</v>
      </c>
      <c r="D44" s="3" t="str">
        <f t="shared" si="9"/>
        <v>2月</v>
      </c>
      <c r="E44" s="4" t="str">
        <f t="shared" si="10"/>
        <v>W7</v>
      </c>
      <c r="F44" s="29">
        <v>62928</v>
      </c>
      <c r="G44" s="2">
        <f t="shared" si="11"/>
        <v>9138</v>
      </c>
      <c r="H44" s="29">
        <v>53790</v>
      </c>
    </row>
    <row r="45" ht="15.5" spans="1:8">
      <c r="A45" s="22" t="s">
        <v>522</v>
      </c>
      <c r="B45" s="28">
        <v>46066</v>
      </c>
      <c r="C45" s="3" t="str">
        <f t="shared" si="8"/>
        <v>2026年</v>
      </c>
      <c r="D45" s="3" t="str">
        <f t="shared" si="9"/>
        <v>2月</v>
      </c>
      <c r="E45" s="4" t="str">
        <f t="shared" si="10"/>
        <v>W7</v>
      </c>
      <c r="F45" s="29">
        <v>12092</v>
      </c>
      <c r="G45" s="2">
        <f t="shared" si="11"/>
        <v>4484</v>
      </c>
      <c r="H45" s="29">
        <v>7608</v>
      </c>
    </row>
    <row r="46" ht="15.5" spans="1:8">
      <c r="A46" s="22" t="s">
        <v>522</v>
      </c>
      <c r="B46" s="28">
        <v>46067</v>
      </c>
      <c r="C46" s="3" t="str">
        <f t="shared" si="8"/>
        <v>2026年</v>
      </c>
      <c r="D46" s="3" t="str">
        <f t="shared" si="9"/>
        <v>2月</v>
      </c>
      <c r="E46" s="4" t="str">
        <f t="shared" si="10"/>
        <v>W7</v>
      </c>
      <c r="F46" s="29">
        <v>22319</v>
      </c>
      <c r="G46" s="2">
        <f t="shared" si="11"/>
        <v>2823</v>
      </c>
      <c r="H46" s="29">
        <v>19496</v>
      </c>
    </row>
    <row r="47" ht="15.5" spans="1:8">
      <c r="A47" s="22" t="s">
        <v>522</v>
      </c>
      <c r="B47" s="28">
        <v>46068</v>
      </c>
      <c r="C47" s="3" t="str">
        <f t="shared" si="8"/>
        <v>2026年</v>
      </c>
      <c r="D47" s="3" t="str">
        <f t="shared" si="9"/>
        <v>2月</v>
      </c>
      <c r="E47" s="4" t="str">
        <f t="shared" si="10"/>
        <v>W7</v>
      </c>
      <c r="F47" s="29">
        <v>28315</v>
      </c>
      <c r="G47" s="2">
        <f t="shared" si="11"/>
        <v>-903.880000000001</v>
      </c>
      <c r="H47" s="29">
        <v>29218.88</v>
      </c>
    </row>
    <row r="48" ht="15.5" spans="1:8">
      <c r="A48" s="22" t="s">
        <v>522</v>
      </c>
      <c r="B48" s="28">
        <v>46069</v>
      </c>
      <c r="C48" s="3" t="str">
        <f t="shared" si="8"/>
        <v>2026年</v>
      </c>
      <c r="D48" s="3" t="str">
        <f t="shared" si="9"/>
        <v>2月</v>
      </c>
      <c r="E48" s="4" t="str">
        <f t="shared" si="10"/>
        <v>W8</v>
      </c>
      <c r="F48" s="29">
        <v>20041</v>
      </c>
      <c r="G48" s="2">
        <f t="shared" si="11"/>
        <v>9886</v>
      </c>
      <c r="H48" s="29">
        <v>10155</v>
      </c>
    </row>
    <row r="49" ht="15.5" spans="1:8">
      <c r="A49" s="22" t="s">
        <v>522</v>
      </c>
      <c r="B49" s="28">
        <v>46070</v>
      </c>
      <c r="C49" s="3" t="str">
        <f t="shared" si="8"/>
        <v>2026年</v>
      </c>
      <c r="D49" s="3" t="str">
        <f t="shared" si="9"/>
        <v>2月</v>
      </c>
      <c r="E49" s="4" t="str">
        <f t="shared" si="10"/>
        <v>W8</v>
      </c>
      <c r="F49" s="29">
        <v>15158</v>
      </c>
      <c r="G49" s="2">
        <f t="shared" si="11"/>
        <v>15158</v>
      </c>
      <c r="H49" s="29">
        <v>0</v>
      </c>
    </row>
    <row r="50" ht="15.5" spans="1:8">
      <c r="A50" s="22" t="s">
        <v>522</v>
      </c>
      <c r="B50" s="28">
        <v>46071</v>
      </c>
      <c r="C50" s="3" t="str">
        <f t="shared" si="8"/>
        <v>2026年</v>
      </c>
      <c r="D50" s="3" t="str">
        <f t="shared" si="9"/>
        <v>2月</v>
      </c>
      <c r="E50" s="4" t="str">
        <f t="shared" si="10"/>
        <v>W8</v>
      </c>
      <c r="F50" s="29">
        <v>7715</v>
      </c>
      <c r="G50" s="2">
        <f t="shared" si="11"/>
        <v>3484</v>
      </c>
      <c r="H50" s="29">
        <v>4231</v>
      </c>
    </row>
    <row r="51" ht="15.5" spans="1:8">
      <c r="A51" s="22" t="s">
        <v>522</v>
      </c>
      <c r="B51" s="28">
        <v>46072</v>
      </c>
      <c r="C51" s="3" t="str">
        <f t="shared" si="8"/>
        <v>2026年</v>
      </c>
      <c r="D51" s="3" t="str">
        <f t="shared" si="9"/>
        <v>2月</v>
      </c>
      <c r="E51" s="4" t="str">
        <f t="shared" si="10"/>
        <v>W8</v>
      </c>
      <c r="F51" s="29">
        <v>13010</v>
      </c>
      <c r="G51" s="2">
        <f t="shared" si="11"/>
        <v>8849</v>
      </c>
      <c r="H51" s="29">
        <v>4161</v>
      </c>
    </row>
    <row r="52" ht="15.5" spans="1:8">
      <c r="A52" s="22" t="s">
        <v>522</v>
      </c>
      <c r="B52" s="28">
        <v>46073</v>
      </c>
      <c r="C52" s="3" t="str">
        <f t="shared" si="8"/>
        <v>2026年</v>
      </c>
      <c r="D52" s="3" t="str">
        <f t="shared" si="9"/>
        <v>2月</v>
      </c>
      <c r="E52" s="4" t="str">
        <f t="shared" si="10"/>
        <v>W8</v>
      </c>
      <c r="F52" s="29">
        <v>64934</v>
      </c>
      <c r="G52" s="2">
        <f t="shared" si="11"/>
        <v>58246</v>
      </c>
      <c r="H52" s="29">
        <v>6688</v>
      </c>
    </row>
    <row r="53" ht="15.5" spans="1:8">
      <c r="A53" s="22" t="s">
        <v>522</v>
      </c>
      <c r="B53" s="28">
        <v>46074</v>
      </c>
      <c r="C53" s="3" t="str">
        <f t="shared" si="8"/>
        <v>2026年</v>
      </c>
      <c r="D53" s="3" t="str">
        <f t="shared" si="9"/>
        <v>2月</v>
      </c>
      <c r="E53" s="4" t="str">
        <f t="shared" si="10"/>
        <v>W8</v>
      </c>
      <c r="F53" s="29">
        <v>38332</v>
      </c>
      <c r="G53" s="2">
        <f t="shared" si="11"/>
        <v>17304</v>
      </c>
      <c r="H53" s="29">
        <v>21028</v>
      </c>
    </row>
    <row r="54" ht="15.5" spans="1:8">
      <c r="A54" s="22" t="s">
        <v>522</v>
      </c>
      <c r="B54" s="28">
        <v>46075</v>
      </c>
      <c r="C54" s="3" t="str">
        <f t="shared" si="8"/>
        <v>2026年</v>
      </c>
      <c r="D54" s="3" t="str">
        <f t="shared" si="9"/>
        <v>2月</v>
      </c>
      <c r="E54" s="4" t="str">
        <f t="shared" si="10"/>
        <v>W8</v>
      </c>
      <c r="F54" s="29">
        <v>36518</v>
      </c>
      <c r="G54" s="2">
        <f t="shared" si="11"/>
        <v>17729</v>
      </c>
      <c r="H54" s="29">
        <v>18789</v>
      </c>
    </row>
    <row r="55" ht="15.5" spans="1:8">
      <c r="A55" s="22" t="s">
        <v>522</v>
      </c>
      <c r="B55" s="28">
        <v>46076</v>
      </c>
      <c r="C55" s="3" t="str">
        <f t="shared" ref="C55:C61" si="12">TEXT(YEAR(B55),"0")&amp;"年"</f>
        <v>2026年</v>
      </c>
      <c r="D55" s="3" t="str">
        <f t="shared" ref="D55:D61" si="13">TEXT(MONTH(B55),"0")&amp;"月"</f>
        <v>2月</v>
      </c>
      <c r="E55" s="4" t="str">
        <f t="shared" ref="E55:E61" si="14">"W"&amp;TEXT(WEEKNUM(B55,2),"0")</f>
        <v>W9</v>
      </c>
      <c r="F55" s="29">
        <v>30721</v>
      </c>
      <c r="G55" s="2">
        <f t="shared" ref="G55:G61" si="15">F55-H55</f>
        <v>-5077</v>
      </c>
      <c r="H55" s="29">
        <v>35798</v>
      </c>
    </row>
    <row r="56" ht="15.5" spans="1:8">
      <c r="A56" s="22" t="s">
        <v>522</v>
      </c>
      <c r="B56" s="28">
        <v>46077</v>
      </c>
      <c r="C56" s="3" t="str">
        <f t="shared" si="12"/>
        <v>2026年</v>
      </c>
      <c r="D56" s="3" t="str">
        <f t="shared" si="13"/>
        <v>2月</v>
      </c>
      <c r="E56" s="4" t="str">
        <f t="shared" si="14"/>
        <v>W9</v>
      </c>
      <c r="F56" s="29">
        <v>25366</v>
      </c>
      <c r="G56" s="2">
        <f t="shared" si="15"/>
        <v>7633</v>
      </c>
      <c r="H56" s="29">
        <v>17733</v>
      </c>
    </row>
    <row r="57" ht="15.5" spans="1:8">
      <c r="A57" s="22" t="s">
        <v>522</v>
      </c>
      <c r="B57" s="28">
        <v>46078</v>
      </c>
      <c r="C57" s="3" t="str">
        <f t="shared" si="12"/>
        <v>2026年</v>
      </c>
      <c r="D57" s="3" t="str">
        <f t="shared" si="13"/>
        <v>2月</v>
      </c>
      <c r="E57" s="4" t="str">
        <f t="shared" si="14"/>
        <v>W9</v>
      </c>
      <c r="F57" s="29">
        <v>53941</v>
      </c>
      <c r="G57" s="2">
        <f t="shared" si="15"/>
        <v>-10893</v>
      </c>
      <c r="H57" s="29">
        <v>64834</v>
      </c>
    </row>
    <row r="58" ht="15.5" spans="1:8">
      <c r="A58" s="22" t="s">
        <v>522</v>
      </c>
      <c r="B58" s="28">
        <v>46079</v>
      </c>
      <c r="C58" s="3" t="str">
        <f t="shared" si="12"/>
        <v>2026年</v>
      </c>
      <c r="D58" s="3" t="str">
        <f t="shared" si="13"/>
        <v>2月</v>
      </c>
      <c r="E58" s="4" t="str">
        <f t="shared" si="14"/>
        <v>W9</v>
      </c>
      <c r="F58" s="29">
        <v>42285</v>
      </c>
      <c r="G58" s="2">
        <f t="shared" si="15"/>
        <v>-41669.63</v>
      </c>
      <c r="H58" s="29">
        <v>83954.63</v>
      </c>
    </row>
    <row r="59" ht="15.5" spans="1:8">
      <c r="A59" s="22" t="s">
        <v>522</v>
      </c>
      <c r="B59" s="28">
        <v>46080</v>
      </c>
      <c r="C59" s="3" t="str">
        <f t="shared" si="12"/>
        <v>2026年</v>
      </c>
      <c r="D59" s="3" t="str">
        <f t="shared" si="13"/>
        <v>2月</v>
      </c>
      <c r="E59" s="4" t="str">
        <f t="shared" si="14"/>
        <v>W9</v>
      </c>
      <c r="F59" s="29">
        <v>34400</v>
      </c>
      <c r="G59" s="2">
        <f t="shared" si="15"/>
        <v>-3150</v>
      </c>
      <c r="H59" s="29">
        <v>37550</v>
      </c>
    </row>
    <row r="60" ht="15.5" spans="1:8">
      <c r="A60" s="22" t="s">
        <v>522</v>
      </c>
      <c r="B60" s="28">
        <v>46081</v>
      </c>
      <c r="C60" s="3" t="str">
        <f t="shared" si="12"/>
        <v>2026年</v>
      </c>
      <c r="D60" s="3" t="str">
        <f t="shared" si="13"/>
        <v>2月</v>
      </c>
      <c r="E60" s="4" t="str">
        <f t="shared" si="14"/>
        <v>W9</v>
      </c>
      <c r="F60" s="29">
        <v>127204</v>
      </c>
      <c r="G60" s="2">
        <f t="shared" si="15"/>
        <v>68094</v>
      </c>
      <c r="H60" s="29">
        <v>59110</v>
      </c>
    </row>
    <row r="61" ht="15.5" spans="1:8">
      <c r="A61" s="22" t="s">
        <v>522</v>
      </c>
      <c r="B61" s="28">
        <v>46082</v>
      </c>
      <c r="C61" s="3" t="str">
        <f t="shared" si="12"/>
        <v>2026年</v>
      </c>
      <c r="D61" s="3" t="str">
        <f t="shared" si="13"/>
        <v>3月</v>
      </c>
      <c r="E61" s="4" t="str">
        <f t="shared" si="14"/>
        <v>W9</v>
      </c>
      <c r="F61" s="29">
        <v>43561</v>
      </c>
      <c r="G61" s="2">
        <f t="shared" si="15"/>
        <v>24826</v>
      </c>
      <c r="H61" s="29">
        <v>18735</v>
      </c>
    </row>
    <row r="62" ht="15.5" spans="1:8">
      <c r="A62" s="22" t="s">
        <v>522</v>
      </c>
      <c r="B62" s="28">
        <v>46083</v>
      </c>
      <c r="C62" s="3" t="str">
        <f t="shared" ref="C62:C68" si="16">TEXT(YEAR(B62),"0")&amp;"年"</f>
        <v>2026年</v>
      </c>
      <c r="D62" s="3" t="str">
        <f t="shared" ref="D62:D68" si="17">TEXT(MONTH(B62),"0")&amp;"月"</f>
        <v>3月</v>
      </c>
      <c r="E62" s="4" t="str">
        <f t="shared" ref="E62:E68" si="18">"W"&amp;TEXT(WEEKNUM(B62,2),"0")</f>
        <v>W10</v>
      </c>
      <c r="F62" s="30">
        <v>75544</v>
      </c>
      <c r="G62" s="2">
        <f t="shared" ref="G62:G68" si="19">F62-H62</f>
        <v>19112</v>
      </c>
      <c r="H62" s="30">
        <v>56432</v>
      </c>
    </row>
    <row r="63" ht="15.5" spans="1:8">
      <c r="A63" s="22" t="s">
        <v>522</v>
      </c>
      <c r="B63" s="28">
        <v>46084</v>
      </c>
      <c r="C63" s="3" t="str">
        <f t="shared" si="16"/>
        <v>2026年</v>
      </c>
      <c r="D63" s="3" t="str">
        <f t="shared" si="17"/>
        <v>3月</v>
      </c>
      <c r="E63" s="4" t="str">
        <f t="shared" si="18"/>
        <v>W10</v>
      </c>
      <c r="F63" s="30">
        <v>41130</v>
      </c>
      <c r="G63" s="2">
        <f t="shared" si="19"/>
        <v>12754</v>
      </c>
      <c r="H63" s="30">
        <v>28376</v>
      </c>
    </row>
    <row r="64" ht="15.5" spans="1:8">
      <c r="A64" s="22" t="s">
        <v>522</v>
      </c>
      <c r="B64" s="28">
        <v>46085</v>
      </c>
      <c r="C64" s="3" t="str">
        <f t="shared" si="16"/>
        <v>2026年</v>
      </c>
      <c r="D64" s="3" t="str">
        <f t="shared" si="17"/>
        <v>3月</v>
      </c>
      <c r="E64" s="4" t="str">
        <f t="shared" si="18"/>
        <v>W10</v>
      </c>
      <c r="F64" s="30">
        <v>59874</v>
      </c>
      <c r="G64" s="2">
        <f t="shared" si="19"/>
        <v>21245</v>
      </c>
      <c r="H64" s="30">
        <v>38629</v>
      </c>
    </row>
    <row r="65" ht="15.5" spans="1:8">
      <c r="A65" s="22" t="s">
        <v>522</v>
      </c>
      <c r="B65" s="28">
        <v>46086</v>
      </c>
      <c r="C65" s="3" t="str">
        <f t="shared" si="16"/>
        <v>2026年</v>
      </c>
      <c r="D65" s="3" t="str">
        <f t="shared" si="17"/>
        <v>3月</v>
      </c>
      <c r="E65" s="4" t="str">
        <f t="shared" si="18"/>
        <v>W10</v>
      </c>
      <c r="F65" s="30">
        <v>53990</v>
      </c>
      <c r="G65" s="2">
        <f t="shared" si="19"/>
        <v>-6811</v>
      </c>
      <c r="H65" s="30">
        <v>60801</v>
      </c>
    </row>
    <row r="66" ht="15.5" spans="1:8">
      <c r="A66" s="22" t="s">
        <v>522</v>
      </c>
      <c r="B66" s="28">
        <v>46087</v>
      </c>
      <c r="C66" s="3" t="str">
        <f t="shared" si="16"/>
        <v>2026年</v>
      </c>
      <c r="D66" s="3" t="str">
        <f t="shared" si="17"/>
        <v>3月</v>
      </c>
      <c r="E66" s="4" t="str">
        <f t="shared" si="18"/>
        <v>W10</v>
      </c>
      <c r="F66" s="30">
        <v>50643</v>
      </c>
      <c r="G66" s="2">
        <f t="shared" si="19"/>
        <v>8443</v>
      </c>
      <c r="H66" s="30">
        <v>42200</v>
      </c>
    </row>
    <row r="67" ht="15.5" spans="1:8">
      <c r="A67" s="22" t="s">
        <v>522</v>
      </c>
      <c r="B67" s="28">
        <v>46088</v>
      </c>
      <c r="C67" s="3" t="str">
        <f t="shared" si="16"/>
        <v>2026年</v>
      </c>
      <c r="D67" s="3" t="str">
        <f t="shared" si="17"/>
        <v>3月</v>
      </c>
      <c r="E67" s="4" t="str">
        <f t="shared" si="18"/>
        <v>W10</v>
      </c>
      <c r="F67" s="30">
        <v>105164</v>
      </c>
      <c r="G67" s="2">
        <f t="shared" si="19"/>
        <v>64081</v>
      </c>
      <c r="H67" s="30">
        <v>41083</v>
      </c>
    </row>
    <row r="68" ht="15.5" spans="1:8">
      <c r="A68" s="22" t="s">
        <v>522</v>
      </c>
      <c r="B68" s="28">
        <v>46089</v>
      </c>
      <c r="C68" s="3" t="str">
        <f t="shared" si="16"/>
        <v>2026年</v>
      </c>
      <c r="D68" s="3" t="str">
        <f t="shared" si="17"/>
        <v>3月</v>
      </c>
      <c r="E68" s="4" t="str">
        <f t="shared" si="18"/>
        <v>W10</v>
      </c>
      <c r="F68" s="30">
        <v>43822</v>
      </c>
      <c r="G68" s="2">
        <f t="shared" si="19"/>
        <v>-368</v>
      </c>
      <c r="H68" s="30">
        <v>44190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7"/>
  <sheetViews>
    <sheetView workbookViewId="0">
      <pane ySplit="1" topLeftCell="A73" activePane="bottomLeft" state="frozen"/>
      <selection/>
      <selection pane="bottomLeft" activeCell="F99" sqref="F99"/>
    </sheetView>
  </sheetViews>
  <sheetFormatPr defaultColWidth="8.66666666666667" defaultRowHeight="13"/>
  <cols>
    <col min="1" max="1" width="8.66666666666667" style="15"/>
    <col min="2" max="2" width="19.4166666666667" style="15" customWidth="1"/>
    <col min="3" max="5" width="11.9166666666667" style="16" customWidth="1"/>
    <col min="6" max="6" width="13.3333333333333" style="15" customWidth="1"/>
    <col min="7" max="8" width="8.66666666666667" style="15"/>
    <col min="9" max="10" width="9.16666666666667" style="15"/>
    <col min="11" max="11" width="8.66666666666667" style="15"/>
    <col min="12" max="12" width="13.9166666666667" style="15"/>
    <col min="13" max="27" width="8.66666666666667" style="15"/>
    <col min="28" max="29" width="11.5" style="15"/>
    <col min="30" max="30" width="13.9166666666667" style="15"/>
    <col min="31" max="33" width="8.66666666666667" style="15"/>
    <col min="34" max="34" width="11.5" style="15"/>
    <col min="35" max="45" width="8.66666666666667" style="15"/>
    <col min="46" max="46" width="10.25" style="15"/>
    <col min="47" max="47" width="11.5" style="15"/>
    <col min="48" max="48" width="8.66666666666667" style="15"/>
    <col min="49" max="49" width="10.25" style="15"/>
    <col min="50" max="51" width="8.66666666666667" style="15"/>
    <col min="52" max="52" width="11.5" style="15"/>
    <col min="53" max="53" width="13.9166666666667" style="15"/>
    <col min="54" max="54" width="10.25" style="15"/>
    <col min="55" max="16384" width="8.66666666666667" style="15"/>
  </cols>
  <sheetData>
    <row r="1" spans="1:55">
      <c r="A1" s="17" t="s">
        <v>205</v>
      </c>
      <c r="B1" s="17" t="s">
        <v>310</v>
      </c>
      <c r="C1" s="18" t="s">
        <v>302</v>
      </c>
      <c r="D1" s="18" t="s">
        <v>303</v>
      </c>
      <c r="E1" s="18" t="s">
        <v>304</v>
      </c>
      <c r="F1" s="19" t="s">
        <v>311</v>
      </c>
      <c r="G1" s="19" t="s">
        <v>312</v>
      </c>
      <c r="H1" s="19" t="s">
        <v>313</v>
      </c>
      <c r="I1" s="19" t="s">
        <v>314</v>
      </c>
      <c r="J1" s="19" t="s">
        <v>315</v>
      </c>
      <c r="K1" s="19" t="s">
        <v>316</v>
      </c>
      <c r="L1" s="19" t="s">
        <v>317</v>
      </c>
      <c r="M1" s="19" t="s">
        <v>318</v>
      </c>
      <c r="N1" s="19" t="s">
        <v>74</v>
      </c>
      <c r="O1" s="19" t="s">
        <v>75</v>
      </c>
      <c r="P1" s="19" t="s">
        <v>319</v>
      </c>
      <c r="Q1" s="19" t="s">
        <v>320</v>
      </c>
      <c r="R1" s="19" t="s">
        <v>321</v>
      </c>
      <c r="S1" s="19" t="s">
        <v>322</v>
      </c>
      <c r="T1" s="19" t="s">
        <v>323</v>
      </c>
      <c r="U1" s="19" t="s">
        <v>324</v>
      </c>
      <c r="V1" s="19" t="s">
        <v>325</v>
      </c>
      <c r="W1" s="19" t="s">
        <v>326</v>
      </c>
      <c r="X1" s="19" t="s">
        <v>327</v>
      </c>
      <c r="Y1" s="19" t="s">
        <v>328</v>
      </c>
      <c r="Z1" s="19" t="s">
        <v>329</v>
      </c>
      <c r="AA1" s="19" t="s">
        <v>330</v>
      </c>
      <c r="AB1" s="19" t="s">
        <v>72</v>
      </c>
      <c r="AC1" s="19" t="s">
        <v>331</v>
      </c>
      <c r="AD1" s="19" t="s">
        <v>332</v>
      </c>
      <c r="AE1" s="19" t="s">
        <v>333</v>
      </c>
      <c r="AF1" s="19" t="s">
        <v>334</v>
      </c>
      <c r="AG1" s="19" t="s">
        <v>335</v>
      </c>
      <c r="AH1" s="19" t="s">
        <v>336</v>
      </c>
      <c r="AI1" s="19" t="s">
        <v>337</v>
      </c>
      <c r="AJ1" s="19" t="s">
        <v>338</v>
      </c>
      <c r="AK1" s="19" t="s">
        <v>339</v>
      </c>
      <c r="AL1" s="19" t="s">
        <v>340</v>
      </c>
      <c r="AM1" s="19" t="s">
        <v>341</v>
      </c>
      <c r="AN1" s="19" t="s">
        <v>342</v>
      </c>
      <c r="AO1" s="19" t="s">
        <v>343</v>
      </c>
      <c r="AP1" s="19" t="s">
        <v>344</v>
      </c>
      <c r="AQ1" s="19" t="s">
        <v>345</v>
      </c>
      <c r="AR1" s="19" t="s">
        <v>346</v>
      </c>
      <c r="AS1" s="19" t="s">
        <v>347</v>
      </c>
      <c r="AT1" s="19" t="s">
        <v>348</v>
      </c>
      <c r="AU1" s="19" t="s">
        <v>349</v>
      </c>
      <c r="AV1" s="19" t="s">
        <v>350</v>
      </c>
      <c r="AW1" s="19" t="s">
        <v>351</v>
      </c>
      <c r="AX1" s="19" t="s">
        <v>352</v>
      </c>
      <c r="AY1" s="19" t="s">
        <v>353</v>
      </c>
      <c r="AZ1" s="19" t="s">
        <v>354</v>
      </c>
      <c r="BA1" s="19" t="s">
        <v>355</v>
      </c>
      <c r="BB1" s="19" t="s">
        <v>356</v>
      </c>
      <c r="BC1" s="19" t="s">
        <v>357</v>
      </c>
    </row>
    <row r="2" spans="1:55">
      <c r="A2" s="15" t="s">
        <v>522</v>
      </c>
      <c r="B2" s="20">
        <f>DATE(YEAR(F2),MONTH(F2),DAY(F2))</f>
        <v>46033</v>
      </c>
      <c r="C2" s="21" t="str">
        <f t="shared" ref="C2:C59" si="0">TEXT(YEAR(B2),"0")&amp;"年"</f>
        <v>2026年</v>
      </c>
      <c r="D2" s="21" t="str">
        <f t="shared" ref="D2:D59" si="1">TEXT(MONTH(B2),"0")&amp;"月"</f>
        <v>1月</v>
      </c>
      <c r="E2" s="19" t="str">
        <f t="shared" ref="E2:E59" si="2">"W"&amp;TEXT(WEEKNUM(B2,2),"0")</f>
        <v>W2</v>
      </c>
      <c r="F2" s="19" t="s">
        <v>524</v>
      </c>
      <c r="G2" s="19" t="s">
        <v>525</v>
      </c>
      <c r="H2" s="19">
        <v>300</v>
      </c>
      <c r="I2" s="19">
        <v>92565</v>
      </c>
      <c r="J2" s="19">
        <v>186068</v>
      </c>
      <c r="K2" s="19">
        <v>13538</v>
      </c>
      <c r="L2" s="19">
        <v>2706.09661299278</v>
      </c>
      <c r="M2" s="19">
        <v>18033</v>
      </c>
      <c r="N2" s="19">
        <v>72</v>
      </c>
      <c r="O2" s="19">
        <v>53</v>
      </c>
      <c r="P2" s="19">
        <v>0.73</v>
      </c>
      <c r="Q2" s="19">
        <v>385</v>
      </c>
      <c r="R2" s="19">
        <v>0</v>
      </c>
      <c r="S2" s="19">
        <v>71</v>
      </c>
      <c r="T2" s="19">
        <v>8</v>
      </c>
      <c r="U2" s="19">
        <v>0.5314</v>
      </c>
      <c r="V2" s="19">
        <v>200</v>
      </c>
      <c r="W2" s="19">
        <v>12939</v>
      </c>
      <c r="X2" s="19">
        <v>4398</v>
      </c>
      <c r="Y2" s="19">
        <v>200235</v>
      </c>
      <c r="Z2" s="19">
        <v>15682</v>
      </c>
      <c r="AA2" s="19">
        <v>159</v>
      </c>
      <c r="AB2" s="19">
        <v>455504.3</v>
      </c>
      <c r="AC2" s="19">
        <v>455078.3</v>
      </c>
      <c r="AD2" s="19">
        <v>90965.1238200999</v>
      </c>
      <c r="AE2" s="19">
        <v>159</v>
      </c>
      <c r="AF2" s="19">
        <v>132</v>
      </c>
      <c r="AG2" s="19">
        <v>132</v>
      </c>
      <c r="AH2" s="19">
        <v>386772</v>
      </c>
      <c r="AI2" s="19">
        <v>107</v>
      </c>
      <c r="AJ2" s="19">
        <v>0</v>
      </c>
      <c r="AK2" s="19">
        <v>0.0783</v>
      </c>
      <c r="AL2" s="19">
        <v>0.3399</v>
      </c>
      <c r="AM2" s="19">
        <v>0.0101</v>
      </c>
      <c r="AN2" s="19">
        <v>0.03</v>
      </c>
      <c r="AO2" s="19">
        <v>0.0088</v>
      </c>
      <c r="AP2" s="19">
        <v>0.0098</v>
      </c>
      <c r="AQ2" s="19">
        <v>0</v>
      </c>
      <c r="AR2" s="19">
        <v>0</v>
      </c>
      <c r="AS2" s="19">
        <v>2</v>
      </c>
      <c r="AT2" s="19">
        <v>1795.98</v>
      </c>
      <c r="AU2" s="19">
        <v>367332.3</v>
      </c>
      <c r="AV2" s="19">
        <v>127</v>
      </c>
      <c r="AW2" s="19">
        <v>88172</v>
      </c>
      <c r="AX2" s="19">
        <v>32</v>
      </c>
      <c r="AY2" s="19">
        <v>0.1936</v>
      </c>
      <c r="AZ2" s="19" t="s">
        <v>360</v>
      </c>
      <c r="BA2" s="19" t="s">
        <v>360</v>
      </c>
      <c r="BB2" s="19" t="s">
        <v>360</v>
      </c>
      <c r="BC2" s="19" t="s">
        <v>360</v>
      </c>
    </row>
    <row r="3" spans="1:55">
      <c r="A3" s="15" t="s">
        <v>522</v>
      </c>
      <c r="B3" s="20">
        <f t="shared" ref="B2:B59" si="3">DATE(YEAR(F3),MONTH(F3),DAY(F3))</f>
        <v>46040</v>
      </c>
      <c r="C3" s="21" t="str">
        <f t="shared" si="0"/>
        <v>2026年</v>
      </c>
      <c r="D3" s="21" t="str">
        <f t="shared" si="1"/>
        <v>1月</v>
      </c>
      <c r="E3" s="19" t="str">
        <f t="shared" si="2"/>
        <v>W3</v>
      </c>
      <c r="F3" s="19" t="s">
        <v>526</v>
      </c>
      <c r="G3" s="19" t="s">
        <v>527</v>
      </c>
      <c r="H3" s="19">
        <v>310</v>
      </c>
      <c r="I3" s="19">
        <v>187244</v>
      </c>
      <c r="J3" s="19">
        <v>337731</v>
      </c>
      <c r="K3" s="19">
        <v>16448</v>
      </c>
      <c r="L3" s="19">
        <v>3183.14159767767</v>
      </c>
      <c r="M3" s="19">
        <v>20932</v>
      </c>
      <c r="N3" s="19">
        <v>110</v>
      </c>
      <c r="O3" s="19">
        <v>69</v>
      </c>
      <c r="P3" s="19">
        <v>0.85</v>
      </c>
      <c r="Q3" s="19">
        <v>580</v>
      </c>
      <c r="R3" s="19">
        <v>0</v>
      </c>
      <c r="S3" s="19">
        <v>160</v>
      </c>
      <c r="T3" s="19">
        <v>13</v>
      </c>
      <c r="U3" s="19">
        <v>0.4441</v>
      </c>
      <c r="V3" s="19">
        <v>199</v>
      </c>
      <c r="W3" s="19">
        <v>16205</v>
      </c>
      <c r="X3" s="19">
        <v>7776</v>
      </c>
      <c r="Y3" s="19">
        <v>269769</v>
      </c>
      <c r="Z3" s="19">
        <v>23513</v>
      </c>
      <c r="AA3" s="19">
        <v>342</v>
      </c>
      <c r="AB3" s="19">
        <v>429752.53</v>
      </c>
      <c r="AC3" s="19">
        <v>411838.73</v>
      </c>
      <c r="AD3" s="19">
        <v>79702.1518116332</v>
      </c>
      <c r="AE3" s="19">
        <v>342</v>
      </c>
      <c r="AF3" s="19">
        <v>286</v>
      </c>
      <c r="AG3" s="19">
        <v>119</v>
      </c>
      <c r="AH3" s="19">
        <v>144374.07</v>
      </c>
      <c r="AI3" s="19">
        <v>95</v>
      </c>
      <c r="AJ3" s="19">
        <v>0</v>
      </c>
      <c r="AK3" s="19">
        <v>0.0872</v>
      </c>
      <c r="AL3" s="19">
        <v>0.4799</v>
      </c>
      <c r="AM3" s="19">
        <v>0.0145</v>
      </c>
      <c r="AN3" s="19">
        <v>0.0368</v>
      </c>
      <c r="AO3" s="19">
        <v>0.0163</v>
      </c>
      <c r="AP3" s="19">
        <v>0.0174</v>
      </c>
      <c r="AQ3" s="19">
        <v>0</v>
      </c>
      <c r="AR3" s="19">
        <v>0</v>
      </c>
      <c r="AS3" s="19">
        <v>4</v>
      </c>
      <c r="AT3" s="19">
        <v>1467.67</v>
      </c>
      <c r="AU3" s="19">
        <v>367234.28</v>
      </c>
      <c r="AV3" s="19">
        <v>292</v>
      </c>
      <c r="AW3" s="19">
        <v>62518.25</v>
      </c>
      <c r="AX3" s="19">
        <v>50</v>
      </c>
      <c r="AY3" s="19">
        <v>0.1455</v>
      </c>
      <c r="AZ3" s="19">
        <v>270779.17</v>
      </c>
      <c r="BA3" s="19">
        <v>0.657488357153782</v>
      </c>
      <c r="BB3" s="19">
        <v>17757.4</v>
      </c>
      <c r="BC3" s="19">
        <v>216</v>
      </c>
    </row>
    <row r="4" spans="1:55">
      <c r="A4" s="15" t="s">
        <v>522</v>
      </c>
      <c r="B4" s="20">
        <f t="shared" si="3"/>
        <v>46030</v>
      </c>
      <c r="C4" s="21" t="str">
        <f t="shared" si="0"/>
        <v>2026年</v>
      </c>
      <c r="D4" s="21" t="str">
        <f t="shared" si="1"/>
        <v>1月</v>
      </c>
      <c r="E4" s="19" t="str">
        <f t="shared" si="2"/>
        <v>W2</v>
      </c>
      <c r="F4" s="19" t="s">
        <v>528</v>
      </c>
      <c r="G4" s="19" t="s">
        <v>529</v>
      </c>
      <c r="H4" s="19">
        <v>241</v>
      </c>
      <c r="I4" s="19">
        <v>61759</v>
      </c>
      <c r="J4" s="19">
        <v>168154</v>
      </c>
      <c r="K4" s="19">
        <v>11637</v>
      </c>
      <c r="L4" s="19">
        <v>2892.17811529168</v>
      </c>
      <c r="M4" s="19">
        <v>17749</v>
      </c>
      <c r="N4" s="19">
        <v>148</v>
      </c>
      <c r="O4" s="19">
        <v>83</v>
      </c>
      <c r="P4" s="19">
        <v>1.16</v>
      </c>
      <c r="Q4" s="19">
        <v>779</v>
      </c>
      <c r="R4" s="19">
        <v>0</v>
      </c>
      <c r="S4" s="19">
        <v>44</v>
      </c>
      <c r="T4" s="19">
        <v>9</v>
      </c>
      <c r="U4" s="19">
        <v>0.6588</v>
      </c>
      <c r="V4" s="19">
        <v>200</v>
      </c>
      <c r="W4" s="19">
        <v>11432</v>
      </c>
      <c r="X4" s="19">
        <v>5024</v>
      </c>
      <c r="Y4" s="19">
        <v>293838</v>
      </c>
      <c r="Z4" s="19">
        <v>26817</v>
      </c>
      <c r="AA4" s="19">
        <v>161</v>
      </c>
      <c r="AB4" s="19">
        <v>303862.5</v>
      </c>
      <c r="AC4" s="19">
        <v>303486.27</v>
      </c>
      <c r="AD4" s="19">
        <v>75426.3425612703</v>
      </c>
      <c r="AE4" s="19">
        <v>161</v>
      </c>
      <c r="AF4" s="19">
        <v>101</v>
      </c>
      <c r="AG4" s="19">
        <v>132</v>
      </c>
      <c r="AH4" s="19">
        <v>248319.49</v>
      </c>
      <c r="AI4" s="19">
        <v>78</v>
      </c>
      <c r="AJ4" s="19">
        <v>0</v>
      </c>
      <c r="AK4" s="19">
        <v>0.0913</v>
      </c>
      <c r="AL4" s="19">
        <v>0.4395</v>
      </c>
      <c r="AM4" s="19">
        <v>0.006</v>
      </c>
      <c r="AN4" s="19">
        <v>0.0201</v>
      </c>
      <c r="AO4" s="19">
        <v>0.0091</v>
      </c>
      <c r="AP4" s="19">
        <v>0.0087</v>
      </c>
      <c r="AQ4" s="19">
        <v>0</v>
      </c>
      <c r="AR4" s="19">
        <v>0</v>
      </c>
      <c r="AS4" s="19">
        <v>0</v>
      </c>
      <c r="AT4" s="19">
        <v>1396.82</v>
      </c>
      <c r="AU4" s="19">
        <v>259552.5</v>
      </c>
      <c r="AV4" s="19">
        <v>138</v>
      </c>
      <c r="AW4" s="19">
        <v>44310</v>
      </c>
      <c r="AX4" s="19">
        <v>23</v>
      </c>
      <c r="AY4" s="19">
        <v>0.1458</v>
      </c>
      <c r="AZ4" s="19" t="s">
        <v>360</v>
      </c>
      <c r="BA4" s="19" t="s">
        <v>360</v>
      </c>
      <c r="BB4" s="19" t="s">
        <v>360</v>
      </c>
      <c r="BC4" s="19" t="s">
        <v>360</v>
      </c>
    </row>
    <row r="5" spans="1:55">
      <c r="A5" s="15" t="s">
        <v>522</v>
      </c>
      <c r="B5" s="20">
        <f t="shared" si="3"/>
        <v>46036</v>
      </c>
      <c r="C5" s="21" t="str">
        <f t="shared" si="0"/>
        <v>2026年</v>
      </c>
      <c r="D5" s="21" t="str">
        <f t="shared" si="1"/>
        <v>1月</v>
      </c>
      <c r="E5" s="19" t="str">
        <f t="shared" si="2"/>
        <v>W3</v>
      </c>
      <c r="F5" s="19" t="s">
        <v>530</v>
      </c>
      <c r="G5" s="19" t="s">
        <v>531</v>
      </c>
      <c r="H5" s="19">
        <v>301</v>
      </c>
      <c r="I5" s="19">
        <v>67326</v>
      </c>
      <c r="J5" s="19">
        <v>157953</v>
      </c>
      <c r="K5" s="19">
        <v>9369</v>
      </c>
      <c r="L5" s="19">
        <v>1867.05784666482</v>
      </c>
      <c r="M5" s="19">
        <v>13192</v>
      </c>
      <c r="N5" s="19">
        <v>65</v>
      </c>
      <c r="O5" s="19">
        <v>38</v>
      </c>
      <c r="P5" s="19">
        <v>0.68</v>
      </c>
      <c r="Q5" s="19">
        <v>271</v>
      </c>
      <c r="R5" s="19">
        <v>0</v>
      </c>
      <c r="S5" s="19">
        <v>33</v>
      </c>
      <c r="T5" s="19">
        <v>4</v>
      </c>
      <c r="U5" s="19">
        <v>0.5937</v>
      </c>
      <c r="V5" s="19">
        <v>206</v>
      </c>
      <c r="W5" s="19">
        <v>8949</v>
      </c>
      <c r="X5" s="19">
        <v>3421</v>
      </c>
      <c r="Y5" s="19">
        <v>154651</v>
      </c>
      <c r="Z5" s="19">
        <v>11755</v>
      </c>
      <c r="AA5" s="19">
        <v>105</v>
      </c>
      <c r="AB5" s="19">
        <v>260733</v>
      </c>
      <c r="AC5" s="19">
        <v>260531</v>
      </c>
      <c r="AD5" s="19">
        <v>51918.7157486853</v>
      </c>
      <c r="AE5" s="19">
        <v>105</v>
      </c>
      <c r="AF5" s="19">
        <v>79</v>
      </c>
      <c r="AG5" s="19">
        <v>65</v>
      </c>
      <c r="AH5" s="19">
        <v>161695</v>
      </c>
      <c r="AI5" s="19">
        <v>50</v>
      </c>
      <c r="AJ5" s="19">
        <v>0</v>
      </c>
      <c r="AK5" s="19">
        <v>0.076</v>
      </c>
      <c r="AL5" s="19">
        <v>0.3823</v>
      </c>
      <c r="AM5" s="19">
        <v>0.0089</v>
      </c>
      <c r="AN5" s="19">
        <v>0.0231</v>
      </c>
      <c r="AO5" s="19">
        <v>0.008</v>
      </c>
      <c r="AP5" s="19">
        <v>0.0084</v>
      </c>
      <c r="AQ5" s="19">
        <v>0</v>
      </c>
      <c r="AR5" s="19">
        <v>0</v>
      </c>
      <c r="AS5" s="19">
        <v>3</v>
      </c>
      <c r="AT5" s="19">
        <v>1140.63</v>
      </c>
      <c r="AU5" s="19">
        <v>214499</v>
      </c>
      <c r="AV5" s="19">
        <v>89</v>
      </c>
      <c r="AW5" s="19">
        <v>46234</v>
      </c>
      <c r="AX5" s="19">
        <v>16</v>
      </c>
      <c r="AY5" s="19">
        <v>0.1773</v>
      </c>
      <c r="AZ5" s="19" t="s">
        <v>360</v>
      </c>
      <c r="BA5" s="19" t="s">
        <v>360</v>
      </c>
      <c r="BB5" s="19" t="s">
        <v>360</v>
      </c>
      <c r="BC5" s="19" t="s">
        <v>360</v>
      </c>
    </row>
    <row r="6" spans="1:55">
      <c r="A6" s="15" t="s">
        <v>522</v>
      </c>
      <c r="B6" s="20">
        <f t="shared" si="3"/>
        <v>46034</v>
      </c>
      <c r="C6" s="21" t="str">
        <f t="shared" si="0"/>
        <v>2026年</v>
      </c>
      <c r="D6" s="21" t="str">
        <f t="shared" si="1"/>
        <v>1月</v>
      </c>
      <c r="E6" s="19" t="str">
        <f t="shared" si="2"/>
        <v>W3</v>
      </c>
      <c r="F6" s="19" t="s">
        <v>532</v>
      </c>
      <c r="G6" s="19" t="s">
        <v>533</v>
      </c>
      <c r="H6" s="19">
        <v>308</v>
      </c>
      <c r="I6" s="19">
        <v>67366</v>
      </c>
      <c r="J6" s="19">
        <v>145363</v>
      </c>
      <c r="K6" s="19">
        <v>10002</v>
      </c>
      <c r="L6" s="19">
        <v>1948.01990911058</v>
      </c>
      <c r="M6" s="19">
        <v>13752</v>
      </c>
      <c r="N6" s="19">
        <v>66</v>
      </c>
      <c r="O6" s="19">
        <v>41</v>
      </c>
      <c r="P6" s="19">
        <v>0.77</v>
      </c>
      <c r="Q6" s="19">
        <v>378</v>
      </c>
      <c r="R6" s="19">
        <v>0</v>
      </c>
      <c r="S6" s="19">
        <v>38</v>
      </c>
      <c r="T6" s="19">
        <v>2</v>
      </c>
      <c r="U6" s="19">
        <v>0.5773</v>
      </c>
      <c r="V6" s="19">
        <v>198</v>
      </c>
      <c r="W6" s="19">
        <v>9455</v>
      </c>
      <c r="X6" s="19">
        <v>3183</v>
      </c>
      <c r="Y6" s="19">
        <v>152864</v>
      </c>
      <c r="Z6" s="19">
        <v>11302</v>
      </c>
      <c r="AA6" s="19">
        <v>122</v>
      </c>
      <c r="AB6" s="19">
        <v>255970</v>
      </c>
      <c r="AC6" s="19">
        <v>255673</v>
      </c>
      <c r="AD6" s="19">
        <v>49795.6502921446</v>
      </c>
      <c r="AE6" s="19">
        <v>122</v>
      </c>
      <c r="AF6" s="19">
        <v>101</v>
      </c>
      <c r="AG6" s="19">
        <v>96</v>
      </c>
      <c r="AH6" s="19">
        <v>205274</v>
      </c>
      <c r="AI6" s="19">
        <v>82</v>
      </c>
      <c r="AJ6" s="19">
        <v>0</v>
      </c>
      <c r="AK6" s="19">
        <v>0.0739</v>
      </c>
      <c r="AL6" s="19">
        <v>0.3366</v>
      </c>
      <c r="AM6" s="19">
        <v>0.0108</v>
      </c>
      <c r="AN6" s="19">
        <v>0.0317</v>
      </c>
      <c r="AO6" s="19">
        <v>0.0089</v>
      </c>
      <c r="AP6" s="19">
        <v>0.0101</v>
      </c>
      <c r="AQ6" s="19">
        <v>0</v>
      </c>
      <c r="AR6" s="19">
        <v>0</v>
      </c>
      <c r="AS6" s="19">
        <v>1</v>
      </c>
      <c r="AT6" s="19">
        <v>1317.97</v>
      </c>
      <c r="AU6" s="19">
        <v>218845</v>
      </c>
      <c r="AV6" s="19">
        <v>103</v>
      </c>
      <c r="AW6" s="19">
        <v>37125</v>
      </c>
      <c r="AX6" s="19">
        <v>19</v>
      </c>
      <c r="AY6" s="19">
        <v>0.145</v>
      </c>
      <c r="AZ6" s="19" t="s">
        <v>360</v>
      </c>
      <c r="BA6" s="19" t="s">
        <v>360</v>
      </c>
      <c r="BB6" s="19" t="s">
        <v>360</v>
      </c>
      <c r="BC6" s="19" t="s">
        <v>360</v>
      </c>
    </row>
    <row r="7" spans="1:55">
      <c r="A7" s="15" t="s">
        <v>522</v>
      </c>
      <c r="B7" s="20">
        <f t="shared" si="3"/>
        <v>46041</v>
      </c>
      <c r="C7" s="21" t="str">
        <f t="shared" si="0"/>
        <v>2026年</v>
      </c>
      <c r="D7" s="21" t="str">
        <f t="shared" si="1"/>
        <v>1月</v>
      </c>
      <c r="E7" s="19" t="str">
        <f t="shared" si="2"/>
        <v>W4</v>
      </c>
      <c r="F7" s="19" t="s">
        <v>534</v>
      </c>
      <c r="G7" s="19" t="s">
        <v>535</v>
      </c>
      <c r="H7" s="19">
        <v>245</v>
      </c>
      <c r="I7" s="19">
        <v>117636</v>
      </c>
      <c r="J7" s="19">
        <v>226305</v>
      </c>
      <c r="K7" s="19">
        <v>15952</v>
      </c>
      <c r="L7" s="19">
        <v>3901.30434782609</v>
      </c>
      <c r="M7" s="19">
        <v>20571</v>
      </c>
      <c r="N7" s="19">
        <v>126</v>
      </c>
      <c r="O7" s="19">
        <v>64</v>
      </c>
      <c r="P7" s="19">
        <v>0.59</v>
      </c>
      <c r="Q7" s="19">
        <v>440</v>
      </c>
      <c r="R7" s="19">
        <v>0</v>
      </c>
      <c r="S7" s="19">
        <v>71</v>
      </c>
      <c r="T7" s="19">
        <v>10</v>
      </c>
      <c r="U7" s="19">
        <v>0.4789</v>
      </c>
      <c r="V7" s="19">
        <v>201</v>
      </c>
      <c r="W7" s="19">
        <v>14889</v>
      </c>
      <c r="X7" s="19">
        <v>4920</v>
      </c>
      <c r="Y7" s="19">
        <v>205011</v>
      </c>
      <c r="Z7" s="19">
        <v>15969</v>
      </c>
      <c r="AA7" s="19">
        <v>151</v>
      </c>
      <c r="AB7" s="19">
        <v>263237.09</v>
      </c>
      <c r="AC7" s="19">
        <v>254849.94</v>
      </c>
      <c r="AD7" s="19">
        <v>62327.4309782609</v>
      </c>
      <c r="AE7" s="19">
        <v>151</v>
      </c>
      <c r="AF7" s="19">
        <v>117</v>
      </c>
      <c r="AG7" s="19">
        <v>58</v>
      </c>
      <c r="AH7" s="19">
        <v>101396.24</v>
      </c>
      <c r="AI7" s="19">
        <v>50</v>
      </c>
      <c r="AJ7" s="19">
        <v>0</v>
      </c>
      <c r="AK7" s="19">
        <v>0.0779</v>
      </c>
      <c r="AL7" s="19">
        <v>0.3304</v>
      </c>
      <c r="AM7" s="19">
        <v>0.0095</v>
      </c>
      <c r="AN7" s="19">
        <v>0.0238</v>
      </c>
      <c r="AO7" s="19">
        <v>0.0073</v>
      </c>
      <c r="AP7" s="19">
        <v>0.0073</v>
      </c>
      <c r="AQ7" s="19">
        <v>0</v>
      </c>
      <c r="AR7" s="19">
        <v>0</v>
      </c>
      <c r="AS7" s="19">
        <v>2</v>
      </c>
      <c r="AT7" s="19">
        <v>889.7</v>
      </c>
      <c r="AU7" s="19">
        <v>185758.59</v>
      </c>
      <c r="AV7" s="19">
        <v>109</v>
      </c>
      <c r="AW7" s="19">
        <v>77478.5</v>
      </c>
      <c r="AX7" s="19">
        <v>42</v>
      </c>
      <c r="AY7" s="19">
        <v>0.2943</v>
      </c>
      <c r="AZ7" s="19">
        <v>116229.85</v>
      </c>
      <c r="BA7" s="19">
        <v>0.456071718125576</v>
      </c>
      <c r="BB7" s="19">
        <v>8130.15</v>
      </c>
      <c r="BC7" s="19">
        <v>65</v>
      </c>
    </row>
    <row r="8" spans="1:55">
      <c r="A8" s="15" t="s">
        <v>522</v>
      </c>
      <c r="B8" s="20">
        <f t="shared" si="3"/>
        <v>46031</v>
      </c>
      <c r="C8" s="21" t="str">
        <f t="shared" si="0"/>
        <v>2026年</v>
      </c>
      <c r="D8" s="21" t="str">
        <f t="shared" si="1"/>
        <v>1月</v>
      </c>
      <c r="E8" s="19" t="str">
        <f t="shared" si="2"/>
        <v>W2</v>
      </c>
      <c r="F8" s="19" t="s">
        <v>536</v>
      </c>
      <c r="G8" s="19" t="s">
        <v>537</v>
      </c>
      <c r="H8" s="19">
        <v>300</v>
      </c>
      <c r="I8" s="19">
        <v>77743</v>
      </c>
      <c r="J8" s="19">
        <v>177990</v>
      </c>
      <c r="K8" s="19">
        <v>10811</v>
      </c>
      <c r="L8" s="19">
        <v>2160.39966694421</v>
      </c>
      <c r="M8" s="19">
        <v>15046</v>
      </c>
      <c r="N8" s="19">
        <v>75</v>
      </c>
      <c r="O8" s="19">
        <v>50</v>
      </c>
      <c r="P8" s="19">
        <v>0.83</v>
      </c>
      <c r="Q8" s="19">
        <v>331</v>
      </c>
      <c r="R8" s="19">
        <v>0</v>
      </c>
      <c r="S8" s="19">
        <v>45</v>
      </c>
      <c r="T8" s="19">
        <v>7</v>
      </c>
      <c r="U8" s="19">
        <v>0.6053</v>
      </c>
      <c r="V8" s="19">
        <v>195</v>
      </c>
      <c r="W8" s="19">
        <v>10416</v>
      </c>
      <c r="X8" s="19">
        <v>4237</v>
      </c>
      <c r="Y8" s="19">
        <v>183780</v>
      </c>
      <c r="Z8" s="19">
        <v>15223</v>
      </c>
      <c r="AA8" s="19">
        <v>97</v>
      </c>
      <c r="AB8" s="19">
        <v>239601</v>
      </c>
      <c r="AC8" s="19">
        <v>239372</v>
      </c>
      <c r="AD8" s="19">
        <v>47834.5378850958</v>
      </c>
      <c r="AE8" s="19">
        <v>97</v>
      </c>
      <c r="AF8" s="19">
        <v>75</v>
      </c>
      <c r="AG8" s="19">
        <v>79</v>
      </c>
      <c r="AH8" s="19">
        <v>202850.5</v>
      </c>
      <c r="AI8" s="19">
        <v>62</v>
      </c>
      <c r="AJ8" s="19">
        <v>0</v>
      </c>
      <c r="AK8" s="19">
        <v>0.0828</v>
      </c>
      <c r="AL8" s="19">
        <v>0.4068</v>
      </c>
      <c r="AM8" s="19">
        <v>0.0064</v>
      </c>
      <c r="AN8" s="19">
        <v>0.0177</v>
      </c>
      <c r="AO8" s="19">
        <v>0.0064</v>
      </c>
      <c r="AP8" s="19">
        <v>0.0069</v>
      </c>
      <c r="AQ8" s="19">
        <v>0</v>
      </c>
      <c r="AR8" s="19">
        <v>0</v>
      </c>
      <c r="AS8" s="19">
        <v>1</v>
      </c>
      <c r="AT8" s="19">
        <v>1077.96</v>
      </c>
      <c r="AU8" s="19">
        <v>205167</v>
      </c>
      <c r="AV8" s="19">
        <v>84</v>
      </c>
      <c r="AW8" s="19">
        <v>34434</v>
      </c>
      <c r="AX8" s="19">
        <v>13</v>
      </c>
      <c r="AY8" s="19">
        <v>0.1437</v>
      </c>
      <c r="AZ8" s="19" t="s">
        <v>360</v>
      </c>
      <c r="BA8" s="19" t="s">
        <v>360</v>
      </c>
      <c r="BB8" s="19" t="s">
        <v>360</v>
      </c>
      <c r="BC8" s="19" t="s">
        <v>360</v>
      </c>
    </row>
    <row r="9" spans="1:55">
      <c r="A9" s="15" t="s">
        <v>522</v>
      </c>
      <c r="B9" s="20">
        <f t="shared" si="3"/>
        <v>46023</v>
      </c>
      <c r="C9" s="21" t="str">
        <f t="shared" si="0"/>
        <v>2026年</v>
      </c>
      <c r="D9" s="21" t="str">
        <f t="shared" si="1"/>
        <v>1月</v>
      </c>
      <c r="E9" s="19" t="str">
        <f t="shared" si="2"/>
        <v>W1</v>
      </c>
      <c r="F9" s="19" t="s">
        <v>538</v>
      </c>
      <c r="G9" s="19" t="s">
        <v>539</v>
      </c>
      <c r="H9" s="19">
        <v>181</v>
      </c>
      <c r="I9" s="19">
        <v>78859</v>
      </c>
      <c r="J9" s="19">
        <v>157409</v>
      </c>
      <c r="K9" s="19">
        <v>9956</v>
      </c>
      <c r="L9" s="19">
        <v>3299.11634756996</v>
      </c>
      <c r="M9" s="19">
        <v>13221</v>
      </c>
      <c r="N9" s="19">
        <v>121</v>
      </c>
      <c r="O9" s="19">
        <v>64</v>
      </c>
      <c r="P9" s="19">
        <v>0.72</v>
      </c>
      <c r="Q9" s="19">
        <v>357</v>
      </c>
      <c r="R9" s="19">
        <v>0</v>
      </c>
      <c r="S9" s="19">
        <v>40</v>
      </c>
      <c r="T9" s="19">
        <v>3</v>
      </c>
      <c r="U9" s="19">
        <v>0.5833</v>
      </c>
      <c r="V9" s="19">
        <v>199</v>
      </c>
      <c r="W9" s="19">
        <v>9568</v>
      </c>
      <c r="X9" s="19">
        <v>3680</v>
      </c>
      <c r="Y9" s="19">
        <v>176285</v>
      </c>
      <c r="Z9" s="19">
        <v>13829</v>
      </c>
      <c r="AA9" s="19">
        <v>118</v>
      </c>
      <c r="AB9" s="19">
        <v>223587.78</v>
      </c>
      <c r="AC9" s="19">
        <v>223175.78</v>
      </c>
      <c r="AD9" s="19">
        <v>73953.6826215022</v>
      </c>
      <c r="AE9" s="19">
        <v>118</v>
      </c>
      <c r="AF9" s="19">
        <v>92</v>
      </c>
      <c r="AG9" s="19">
        <v>96</v>
      </c>
      <c r="AH9" s="19">
        <v>182897.48</v>
      </c>
      <c r="AI9" s="19">
        <v>77</v>
      </c>
      <c r="AJ9" s="19">
        <v>0</v>
      </c>
      <c r="AK9" s="19">
        <v>0.0784</v>
      </c>
      <c r="AL9" s="19">
        <v>0.3846</v>
      </c>
      <c r="AM9" s="19">
        <v>0.0085</v>
      </c>
      <c r="AN9" s="19">
        <v>0.025</v>
      </c>
      <c r="AO9" s="19">
        <v>0.0089</v>
      </c>
      <c r="AP9" s="19">
        <v>0.0092</v>
      </c>
      <c r="AQ9" s="19">
        <v>0</v>
      </c>
      <c r="AR9" s="19">
        <v>0</v>
      </c>
      <c r="AS9" s="19">
        <v>0</v>
      </c>
      <c r="AT9" s="19">
        <v>1047</v>
      </c>
      <c r="AU9" s="19">
        <v>200264.78</v>
      </c>
      <c r="AV9" s="19">
        <v>102</v>
      </c>
      <c r="AW9" s="19">
        <v>23323</v>
      </c>
      <c r="AX9" s="19">
        <v>16</v>
      </c>
      <c r="AY9" s="19">
        <v>0.1043</v>
      </c>
      <c r="AZ9" s="19" t="s">
        <v>360</v>
      </c>
      <c r="BA9" s="19" t="s">
        <v>360</v>
      </c>
      <c r="BB9" s="19" t="s">
        <v>360</v>
      </c>
      <c r="BC9" s="19" t="s">
        <v>360</v>
      </c>
    </row>
    <row r="10" spans="1:55">
      <c r="A10" s="15" t="s">
        <v>522</v>
      </c>
      <c r="B10" s="20">
        <f t="shared" si="3"/>
        <v>46032</v>
      </c>
      <c r="C10" s="21" t="str">
        <f t="shared" si="0"/>
        <v>2026年</v>
      </c>
      <c r="D10" s="21" t="str">
        <f t="shared" si="1"/>
        <v>1月</v>
      </c>
      <c r="E10" s="19" t="str">
        <f t="shared" si="2"/>
        <v>W2</v>
      </c>
      <c r="F10" s="19" t="s">
        <v>540</v>
      </c>
      <c r="G10" s="19" t="s">
        <v>541</v>
      </c>
      <c r="H10" s="19">
        <v>301</v>
      </c>
      <c r="I10" s="19">
        <v>63138</v>
      </c>
      <c r="J10" s="19">
        <v>169817</v>
      </c>
      <c r="K10" s="19">
        <v>10600</v>
      </c>
      <c r="L10" s="19">
        <v>2108.8698535507</v>
      </c>
      <c r="M10" s="19">
        <v>15327</v>
      </c>
      <c r="N10" s="19">
        <v>83</v>
      </c>
      <c r="O10" s="19">
        <v>50</v>
      </c>
      <c r="P10" s="19">
        <v>0.94</v>
      </c>
      <c r="Q10" s="19">
        <v>371</v>
      </c>
      <c r="R10" s="19">
        <v>0</v>
      </c>
      <c r="S10" s="19">
        <v>42</v>
      </c>
      <c r="T10" s="19">
        <v>7</v>
      </c>
      <c r="U10" s="19">
        <v>0.6562</v>
      </c>
      <c r="V10" s="19">
        <v>200</v>
      </c>
      <c r="W10" s="19">
        <v>10223</v>
      </c>
      <c r="X10" s="19">
        <v>3494</v>
      </c>
      <c r="Y10" s="19">
        <v>207754</v>
      </c>
      <c r="Z10" s="19">
        <v>13890</v>
      </c>
      <c r="AA10" s="19">
        <v>78</v>
      </c>
      <c r="AB10" s="19">
        <v>219910</v>
      </c>
      <c r="AC10" s="19">
        <v>219732</v>
      </c>
      <c r="AD10" s="19">
        <v>43715.678364189</v>
      </c>
      <c r="AE10" s="19">
        <v>78</v>
      </c>
      <c r="AF10" s="19">
        <v>65</v>
      </c>
      <c r="AG10" s="19">
        <v>60</v>
      </c>
      <c r="AH10" s="19">
        <v>167630</v>
      </c>
      <c r="AI10" s="19">
        <v>49</v>
      </c>
      <c r="AJ10" s="19">
        <v>0</v>
      </c>
      <c r="AK10" s="19">
        <v>0.0669</v>
      </c>
      <c r="AL10" s="19">
        <v>0.3418</v>
      </c>
      <c r="AM10" s="19">
        <v>0.0056</v>
      </c>
      <c r="AN10" s="19">
        <v>0.0186</v>
      </c>
      <c r="AO10" s="19">
        <v>0.0051</v>
      </c>
      <c r="AP10" s="19">
        <v>0.0061</v>
      </c>
      <c r="AQ10" s="19">
        <v>0</v>
      </c>
      <c r="AR10" s="19">
        <v>0</v>
      </c>
      <c r="AS10" s="19">
        <v>1</v>
      </c>
      <c r="AT10" s="19">
        <v>987.34</v>
      </c>
      <c r="AU10" s="19">
        <v>174168</v>
      </c>
      <c r="AV10" s="19">
        <v>63</v>
      </c>
      <c r="AW10" s="19">
        <v>45742</v>
      </c>
      <c r="AX10" s="19">
        <v>15</v>
      </c>
      <c r="AY10" s="19">
        <v>0.208</v>
      </c>
      <c r="AZ10" s="19" t="s">
        <v>360</v>
      </c>
      <c r="BA10" s="19" t="s">
        <v>360</v>
      </c>
      <c r="BB10" s="19" t="s">
        <v>360</v>
      </c>
      <c r="BC10" s="19" t="s">
        <v>360</v>
      </c>
    </row>
    <row r="11" spans="1:55">
      <c r="A11" s="15" t="s">
        <v>522</v>
      </c>
      <c r="B11" s="20">
        <f t="shared" si="3"/>
        <v>46038</v>
      </c>
      <c r="C11" s="21" t="str">
        <f t="shared" si="0"/>
        <v>2026年</v>
      </c>
      <c r="D11" s="21" t="str">
        <f t="shared" si="1"/>
        <v>1月</v>
      </c>
      <c r="E11" s="19" t="str">
        <f t="shared" si="2"/>
        <v>W3</v>
      </c>
      <c r="F11" s="19" t="s">
        <v>542</v>
      </c>
      <c r="G11" s="19" t="s">
        <v>543</v>
      </c>
      <c r="H11" s="19">
        <v>301</v>
      </c>
      <c r="I11" s="19">
        <v>81740</v>
      </c>
      <c r="J11" s="19">
        <v>187183</v>
      </c>
      <c r="K11" s="19">
        <v>9831</v>
      </c>
      <c r="L11" s="19">
        <v>1953.61006844778</v>
      </c>
      <c r="M11" s="19">
        <v>13533</v>
      </c>
      <c r="N11" s="19">
        <v>74</v>
      </c>
      <c r="O11" s="19">
        <v>51</v>
      </c>
      <c r="P11" s="19">
        <v>1.06</v>
      </c>
      <c r="Q11" s="19">
        <v>479</v>
      </c>
      <c r="R11" s="19">
        <v>0</v>
      </c>
      <c r="S11" s="19">
        <v>57</v>
      </c>
      <c r="T11" s="19">
        <v>6</v>
      </c>
      <c r="U11" s="19">
        <v>0.5979</v>
      </c>
      <c r="V11" s="19">
        <v>202</v>
      </c>
      <c r="W11" s="19">
        <v>9577</v>
      </c>
      <c r="X11" s="19">
        <v>4000</v>
      </c>
      <c r="Y11" s="19">
        <v>211286</v>
      </c>
      <c r="Z11" s="19">
        <v>16527</v>
      </c>
      <c r="AA11" s="19">
        <v>113</v>
      </c>
      <c r="AB11" s="19">
        <v>217316</v>
      </c>
      <c r="AC11" s="19">
        <v>216132.2</v>
      </c>
      <c r="AD11" s="19">
        <v>42949.6533451093</v>
      </c>
      <c r="AE11" s="19">
        <v>113</v>
      </c>
      <c r="AF11" s="19">
        <v>80</v>
      </c>
      <c r="AG11" s="19">
        <v>36</v>
      </c>
      <c r="AH11" s="19">
        <v>72576</v>
      </c>
      <c r="AI11" s="19">
        <v>30</v>
      </c>
      <c r="AJ11" s="19">
        <v>0</v>
      </c>
      <c r="AK11" s="19">
        <v>0.0782</v>
      </c>
      <c r="AL11" s="19">
        <v>0.4177</v>
      </c>
      <c r="AM11" s="19">
        <v>0.0068</v>
      </c>
      <c r="AN11" s="19">
        <v>0.02</v>
      </c>
      <c r="AO11" s="19">
        <v>0.0083</v>
      </c>
      <c r="AP11" s="19">
        <v>0.0081</v>
      </c>
      <c r="AQ11" s="19">
        <v>0</v>
      </c>
      <c r="AR11" s="19">
        <v>0</v>
      </c>
      <c r="AS11" s="19">
        <v>3</v>
      </c>
      <c r="AT11" s="19">
        <v>916.76</v>
      </c>
      <c r="AU11" s="19">
        <v>184818</v>
      </c>
      <c r="AV11" s="19">
        <v>97</v>
      </c>
      <c r="AW11" s="19">
        <v>32498</v>
      </c>
      <c r="AX11" s="19">
        <v>16</v>
      </c>
      <c r="AY11" s="19">
        <v>0.1495</v>
      </c>
      <c r="AZ11" s="19">
        <v>11516.05</v>
      </c>
      <c r="BA11" s="19">
        <v>0.0532824354723637</v>
      </c>
      <c r="BB11" s="19">
        <v>908.95</v>
      </c>
      <c r="BC11" s="19">
        <v>8</v>
      </c>
    </row>
    <row r="12" spans="1:55">
      <c r="A12" s="15" t="s">
        <v>522</v>
      </c>
      <c r="B12" s="20">
        <f t="shared" si="3"/>
        <v>46040</v>
      </c>
      <c r="C12" s="21" t="str">
        <f t="shared" si="0"/>
        <v>2026年</v>
      </c>
      <c r="D12" s="21" t="str">
        <f t="shared" si="1"/>
        <v>1月</v>
      </c>
      <c r="E12" s="19" t="str">
        <f t="shared" si="2"/>
        <v>W3</v>
      </c>
      <c r="F12" s="19" t="s">
        <v>544</v>
      </c>
      <c r="G12" s="19" t="s">
        <v>545</v>
      </c>
      <c r="H12" s="19">
        <v>301</v>
      </c>
      <c r="I12" s="19">
        <v>128678</v>
      </c>
      <c r="J12" s="19">
        <v>253062</v>
      </c>
      <c r="K12" s="19">
        <v>11117</v>
      </c>
      <c r="L12" s="19">
        <v>2215.64524165421</v>
      </c>
      <c r="M12" s="19">
        <v>14890</v>
      </c>
      <c r="N12" s="19">
        <v>90</v>
      </c>
      <c r="O12" s="19">
        <v>44</v>
      </c>
      <c r="P12" s="19">
        <v>0.74</v>
      </c>
      <c r="Q12" s="19">
        <v>343</v>
      </c>
      <c r="R12" s="19">
        <v>0</v>
      </c>
      <c r="S12" s="19">
        <v>79</v>
      </c>
      <c r="T12" s="19">
        <v>11</v>
      </c>
      <c r="U12" s="19">
        <v>0.5146</v>
      </c>
      <c r="V12" s="19">
        <v>202</v>
      </c>
      <c r="W12" s="19">
        <v>10734</v>
      </c>
      <c r="X12" s="19">
        <v>4706</v>
      </c>
      <c r="Y12" s="19">
        <v>195631</v>
      </c>
      <c r="Z12" s="19">
        <v>14542</v>
      </c>
      <c r="AA12" s="19">
        <v>122</v>
      </c>
      <c r="AB12" s="19">
        <v>211518.87</v>
      </c>
      <c r="AC12" s="19">
        <v>207151</v>
      </c>
      <c r="AD12" s="19">
        <v>41285.7000498256</v>
      </c>
      <c r="AE12" s="19">
        <v>122</v>
      </c>
      <c r="AF12" s="19">
        <v>107</v>
      </c>
      <c r="AG12" s="19">
        <v>31</v>
      </c>
      <c r="AH12" s="19">
        <v>54350.67</v>
      </c>
      <c r="AI12" s="19">
        <v>30</v>
      </c>
      <c r="AJ12" s="19">
        <v>0</v>
      </c>
      <c r="AK12" s="19">
        <v>0.0743</v>
      </c>
      <c r="AL12" s="19">
        <v>0.4384</v>
      </c>
      <c r="AM12" s="19">
        <v>0.0084</v>
      </c>
      <c r="AN12" s="19">
        <v>0.0227</v>
      </c>
      <c r="AO12" s="19">
        <v>0.0082</v>
      </c>
      <c r="AP12" s="19">
        <v>0.0096</v>
      </c>
      <c r="AQ12" s="19">
        <v>0</v>
      </c>
      <c r="AR12" s="19">
        <v>0</v>
      </c>
      <c r="AS12" s="19">
        <v>1</v>
      </c>
      <c r="AT12" s="19">
        <v>1169.64</v>
      </c>
      <c r="AU12" s="19">
        <v>186567.64</v>
      </c>
      <c r="AV12" s="19">
        <v>108</v>
      </c>
      <c r="AW12" s="19">
        <v>24951.23</v>
      </c>
      <c r="AX12" s="19">
        <v>14</v>
      </c>
      <c r="AY12" s="19">
        <v>0.118</v>
      </c>
      <c r="AZ12" s="19">
        <v>59327.39</v>
      </c>
      <c r="BA12" s="19">
        <v>0.286396831296977</v>
      </c>
      <c r="BB12" s="19">
        <v>4035.87</v>
      </c>
      <c r="BC12" s="19">
        <v>44</v>
      </c>
    </row>
    <row r="13" spans="1:55">
      <c r="A13" s="15" t="s">
        <v>522</v>
      </c>
      <c r="B13" s="20">
        <f t="shared" si="3"/>
        <v>46037</v>
      </c>
      <c r="C13" s="21" t="str">
        <f t="shared" si="0"/>
        <v>2026年</v>
      </c>
      <c r="D13" s="21" t="str">
        <f t="shared" si="1"/>
        <v>1月</v>
      </c>
      <c r="E13" s="19" t="str">
        <f t="shared" si="2"/>
        <v>W3</v>
      </c>
      <c r="F13" s="19" t="s">
        <v>546</v>
      </c>
      <c r="G13" s="19" t="s">
        <v>547</v>
      </c>
      <c r="H13" s="19">
        <v>243</v>
      </c>
      <c r="I13" s="19">
        <v>72541</v>
      </c>
      <c r="J13" s="19">
        <v>149850</v>
      </c>
      <c r="K13" s="19">
        <v>8622</v>
      </c>
      <c r="L13" s="19">
        <v>2126.26387176326</v>
      </c>
      <c r="M13" s="19">
        <v>11426</v>
      </c>
      <c r="N13" s="19">
        <v>70</v>
      </c>
      <c r="O13" s="19">
        <v>43</v>
      </c>
      <c r="P13" s="19">
        <v>0.76</v>
      </c>
      <c r="Q13" s="19">
        <v>357</v>
      </c>
      <c r="R13" s="19">
        <v>1</v>
      </c>
      <c r="S13" s="19">
        <v>40</v>
      </c>
      <c r="T13" s="19">
        <v>5</v>
      </c>
      <c r="U13" s="19">
        <v>0.6138</v>
      </c>
      <c r="V13" s="19">
        <v>201</v>
      </c>
      <c r="W13" s="19">
        <v>8234</v>
      </c>
      <c r="X13" s="19">
        <v>3436</v>
      </c>
      <c r="Y13" s="19">
        <v>160309</v>
      </c>
      <c r="Z13" s="19">
        <v>12412</v>
      </c>
      <c r="AA13" s="19">
        <v>91</v>
      </c>
      <c r="AB13" s="19">
        <v>204899</v>
      </c>
      <c r="AC13" s="19">
        <v>204333.42</v>
      </c>
      <c r="AD13" s="19">
        <v>50390.4858199753</v>
      </c>
      <c r="AE13" s="19">
        <v>91</v>
      </c>
      <c r="AF13" s="19">
        <v>77</v>
      </c>
      <c r="AG13" s="19">
        <v>45</v>
      </c>
      <c r="AH13" s="19">
        <v>94789.42</v>
      </c>
      <c r="AI13" s="19">
        <v>40</v>
      </c>
      <c r="AJ13" s="19">
        <v>0</v>
      </c>
      <c r="AK13" s="19">
        <v>0.0774</v>
      </c>
      <c r="AL13" s="19">
        <v>0.4173</v>
      </c>
      <c r="AM13" s="19">
        <v>0.0073</v>
      </c>
      <c r="AN13" s="19">
        <v>0.0224</v>
      </c>
      <c r="AO13" s="19">
        <v>0.008</v>
      </c>
      <c r="AP13" s="19">
        <v>0.0089</v>
      </c>
      <c r="AQ13" s="19">
        <v>0</v>
      </c>
      <c r="AR13" s="19">
        <v>0</v>
      </c>
      <c r="AS13" s="19">
        <v>0</v>
      </c>
      <c r="AT13" s="19">
        <v>906.87</v>
      </c>
      <c r="AU13" s="19">
        <v>167809.72</v>
      </c>
      <c r="AV13" s="19">
        <v>74</v>
      </c>
      <c r="AW13" s="19">
        <v>37089.28</v>
      </c>
      <c r="AX13" s="19">
        <v>17</v>
      </c>
      <c r="AY13" s="19">
        <v>0.181</v>
      </c>
      <c r="AZ13" s="19" t="s">
        <v>360</v>
      </c>
      <c r="BA13" s="19" t="s">
        <v>360</v>
      </c>
      <c r="BB13" s="19" t="s">
        <v>360</v>
      </c>
      <c r="BC13" s="19" t="s">
        <v>360</v>
      </c>
    </row>
    <row r="14" spans="1:55">
      <c r="A14" s="15" t="s">
        <v>522</v>
      </c>
      <c r="B14" s="20">
        <f t="shared" si="3"/>
        <v>46035</v>
      </c>
      <c r="C14" s="21" t="str">
        <f t="shared" si="0"/>
        <v>2026年</v>
      </c>
      <c r="D14" s="21" t="str">
        <f t="shared" si="1"/>
        <v>1月</v>
      </c>
      <c r="E14" s="19" t="str">
        <f t="shared" si="2"/>
        <v>W3</v>
      </c>
      <c r="F14" s="19" t="s">
        <v>548</v>
      </c>
      <c r="G14" s="19" t="s">
        <v>549</v>
      </c>
      <c r="H14" s="19">
        <v>300</v>
      </c>
      <c r="I14" s="19">
        <v>53183</v>
      </c>
      <c r="J14" s="19">
        <v>127511</v>
      </c>
      <c r="K14" s="19">
        <v>7473</v>
      </c>
      <c r="L14" s="19">
        <v>1494.35094150975</v>
      </c>
      <c r="M14" s="19">
        <v>10473</v>
      </c>
      <c r="N14" s="19">
        <v>60</v>
      </c>
      <c r="O14" s="19">
        <v>33</v>
      </c>
      <c r="P14" s="19">
        <v>0.75</v>
      </c>
      <c r="Q14" s="19">
        <v>207</v>
      </c>
      <c r="R14" s="19">
        <v>0</v>
      </c>
      <c r="S14" s="19">
        <v>21</v>
      </c>
      <c r="T14" s="19">
        <v>9</v>
      </c>
      <c r="U14" s="19">
        <v>0.6458</v>
      </c>
      <c r="V14" s="19">
        <v>200</v>
      </c>
      <c r="W14" s="19">
        <v>7043</v>
      </c>
      <c r="X14" s="19">
        <v>2500</v>
      </c>
      <c r="Y14" s="19">
        <v>125149</v>
      </c>
      <c r="Z14" s="19">
        <v>8856</v>
      </c>
      <c r="AA14" s="19">
        <v>91</v>
      </c>
      <c r="AB14" s="19">
        <v>198057.66</v>
      </c>
      <c r="AC14" s="19">
        <v>197661.58</v>
      </c>
      <c r="AD14" s="19">
        <v>39525.7283786036</v>
      </c>
      <c r="AE14" s="19">
        <v>91</v>
      </c>
      <c r="AF14" s="19">
        <v>76</v>
      </c>
      <c r="AG14" s="19">
        <v>63</v>
      </c>
      <c r="AH14" s="19">
        <v>133210.58</v>
      </c>
      <c r="AI14" s="19">
        <v>53</v>
      </c>
      <c r="AJ14" s="19">
        <v>0</v>
      </c>
      <c r="AK14" s="19">
        <v>0.0708</v>
      </c>
      <c r="AL14" s="19">
        <v>0.355</v>
      </c>
      <c r="AM14" s="19">
        <v>0.0103</v>
      </c>
      <c r="AN14" s="19">
        <v>0.0304</v>
      </c>
      <c r="AO14" s="19">
        <v>0.0087</v>
      </c>
      <c r="AP14" s="19">
        <v>0.0102</v>
      </c>
      <c r="AQ14" s="19">
        <v>0</v>
      </c>
      <c r="AR14" s="19">
        <v>0</v>
      </c>
      <c r="AS14" s="19">
        <v>2</v>
      </c>
      <c r="AT14" s="19">
        <v>684.89</v>
      </c>
      <c r="AU14" s="19">
        <v>154169.66</v>
      </c>
      <c r="AV14" s="19">
        <v>71</v>
      </c>
      <c r="AW14" s="19">
        <v>43888</v>
      </c>
      <c r="AX14" s="19">
        <v>20</v>
      </c>
      <c r="AY14" s="19">
        <v>0.2216</v>
      </c>
      <c r="AZ14" s="19" t="s">
        <v>360</v>
      </c>
      <c r="BA14" s="19" t="s">
        <v>360</v>
      </c>
      <c r="BB14" s="19" t="s">
        <v>360</v>
      </c>
      <c r="BC14" s="19" t="s">
        <v>360</v>
      </c>
    </row>
    <row r="15" spans="1:55">
      <c r="A15" s="15" t="s">
        <v>522</v>
      </c>
      <c r="B15" s="20">
        <f t="shared" si="3"/>
        <v>46024</v>
      </c>
      <c r="C15" s="21" t="str">
        <f t="shared" si="0"/>
        <v>2026年</v>
      </c>
      <c r="D15" s="21" t="str">
        <f t="shared" si="1"/>
        <v>1月</v>
      </c>
      <c r="E15" s="19" t="str">
        <f t="shared" si="2"/>
        <v>W1</v>
      </c>
      <c r="F15" s="19" t="s">
        <v>550</v>
      </c>
      <c r="G15" s="19" t="s">
        <v>551</v>
      </c>
      <c r="H15" s="19">
        <v>303</v>
      </c>
      <c r="I15" s="19">
        <v>67379</v>
      </c>
      <c r="J15" s="19">
        <v>169132</v>
      </c>
      <c r="K15" s="19">
        <v>11324</v>
      </c>
      <c r="L15" s="19">
        <v>2238.43619591478</v>
      </c>
      <c r="M15" s="19">
        <v>16370</v>
      </c>
      <c r="N15" s="19">
        <v>81</v>
      </c>
      <c r="O15" s="19">
        <v>51</v>
      </c>
      <c r="P15" s="19">
        <v>0.84</v>
      </c>
      <c r="Q15" s="19">
        <v>396</v>
      </c>
      <c r="R15" s="19">
        <v>0</v>
      </c>
      <c r="S15" s="19">
        <v>39</v>
      </c>
      <c r="T15" s="19">
        <v>8</v>
      </c>
      <c r="U15" s="19">
        <v>0.6307</v>
      </c>
      <c r="V15" s="19">
        <v>200</v>
      </c>
      <c r="W15" s="19">
        <v>10822</v>
      </c>
      <c r="X15" s="19">
        <v>3819</v>
      </c>
      <c r="Y15" s="19">
        <v>219708</v>
      </c>
      <c r="Z15" s="19">
        <v>15368</v>
      </c>
      <c r="AA15" s="19">
        <v>78</v>
      </c>
      <c r="AB15" s="19">
        <v>193426</v>
      </c>
      <c r="AC15" s="19">
        <v>193150</v>
      </c>
      <c r="AD15" s="19">
        <v>38180.3206676916</v>
      </c>
      <c r="AE15" s="19">
        <v>78</v>
      </c>
      <c r="AF15" s="19">
        <v>66</v>
      </c>
      <c r="AG15" s="19">
        <v>60</v>
      </c>
      <c r="AH15" s="19">
        <v>150612</v>
      </c>
      <c r="AI15" s="19">
        <v>49</v>
      </c>
      <c r="AJ15" s="19">
        <v>0</v>
      </c>
      <c r="AK15" s="19">
        <v>0.0699</v>
      </c>
      <c r="AL15" s="19">
        <v>0.3529</v>
      </c>
      <c r="AM15" s="19">
        <v>0.0051</v>
      </c>
      <c r="AN15" s="19">
        <v>0.0173</v>
      </c>
      <c r="AO15" s="19">
        <v>0.0048</v>
      </c>
      <c r="AP15" s="19">
        <v>0.0058</v>
      </c>
      <c r="AQ15" s="19">
        <v>0</v>
      </c>
      <c r="AR15" s="19">
        <v>0</v>
      </c>
      <c r="AS15" s="19">
        <v>2</v>
      </c>
      <c r="AT15" s="19">
        <v>1012.86</v>
      </c>
      <c r="AU15" s="19">
        <v>166476</v>
      </c>
      <c r="AV15" s="19">
        <v>68</v>
      </c>
      <c r="AW15" s="19">
        <v>26950</v>
      </c>
      <c r="AX15" s="19">
        <v>10</v>
      </c>
      <c r="AY15" s="19">
        <v>0.1393</v>
      </c>
      <c r="AZ15" s="19" t="s">
        <v>360</v>
      </c>
      <c r="BA15" s="19" t="s">
        <v>360</v>
      </c>
      <c r="BB15" s="19" t="s">
        <v>360</v>
      </c>
      <c r="BC15" s="19" t="s">
        <v>360</v>
      </c>
    </row>
    <row r="16" spans="1:55">
      <c r="A16" s="15" t="s">
        <v>522</v>
      </c>
      <c r="B16" s="20">
        <f t="shared" si="3"/>
        <v>46037</v>
      </c>
      <c r="C16" s="21" t="str">
        <f t="shared" si="0"/>
        <v>2026年</v>
      </c>
      <c r="D16" s="21" t="str">
        <f t="shared" si="1"/>
        <v>1月</v>
      </c>
      <c r="E16" s="19" t="str">
        <f t="shared" si="2"/>
        <v>W3</v>
      </c>
      <c r="F16" s="19" t="s">
        <v>552</v>
      </c>
      <c r="G16" s="19" t="s">
        <v>553</v>
      </c>
      <c r="H16" s="19">
        <v>302</v>
      </c>
      <c r="I16" s="19">
        <v>69508</v>
      </c>
      <c r="J16" s="19">
        <v>148178</v>
      </c>
      <c r="K16" s="19">
        <v>7114</v>
      </c>
      <c r="L16" s="19">
        <v>1412.909632572</v>
      </c>
      <c r="M16" s="19">
        <v>9542</v>
      </c>
      <c r="N16" s="19">
        <v>54</v>
      </c>
      <c r="O16" s="19">
        <v>32</v>
      </c>
      <c r="P16" s="19">
        <v>0.82</v>
      </c>
      <c r="Q16" s="19">
        <v>309</v>
      </c>
      <c r="R16" s="19">
        <v>0</v>
      </c>
      <c r="S16" s="19">
        <v>44</v>
      </c>
      <c r="T16" s="19">
        <v>9</v>
      </c>
      <c r="U16" s="19">
        <v>0.6209</v>
      </c>
      <c r="V16" s="19">
        <v>210</v>
      </c>
      <c r="W16" s="19">
        <v>6848</v>
      </c>
      <c r="X16" s="19">
        <v>2710</v>
      </c>
      <c r="Y16" s="19">
        <v>124777</v>
      </c>
      <c r="Z16" s="19">
        <v>8647</v>
      </c>
      <c r="AA16" s="19">
        <v>91</v>
      </c>
      <c r="AB16" s="19">
        <v>192128</v>
      </c>
      <c r="AC16" s="19">
        <v>191696.49</v>
      </c>
      <c r="AD16" s="19">
        <v>38072.7884806356</v>
      </c>
      <c r="AE16" s="19">
        <v>91</v>
      </c>
      <c r="AF16" s="19">
        <v>78</v>
      </c>
      <c r="AG16" s="19">
        <v>56</v>
      </c>
      <c r="AH16" s="19">
        <v>112281.49</v>
      </c>
      <c r="AI16" s="19">
        <v>50</v>
      </c>
      <c r="AJ16" s="19">
        <v>0</v>
      </c>
      <c r="AK16" s="19">
        <v>0.0693</v>
      </c>
      <c r="AL16" s="19">
        <v>0.3957</v>
      </c>
      <c r="AM16" s="19">
        <v>0.0105</v>
      </c>
      <c r="AN16" s="19">
        <v>0.0288</v>
      </c>
      <c r="AO16" s="19">
        <v>0.0095</v>
      </c>
      <c r="AP16" s="19">
        <v>0.011</v>
      </c>
      <c r="AQ16" s="19">
        <v>0</v>
      </c>
      <c r="AR16" s="19">
        <v>0</v>
      </c>
      <c r="AS16" s="19">
        <v>1</v>
      </c>
      <c r="AT16" s="19">
        <v>760.55</v>
      </c>
      <c r="AU16" s="19">
        <v>152313</v>
      </c>
      <c r="AV16" s="19">
        <v>69</v>
      </c>
      <c r="AW16" s="19">
        <v>39815</v>
      </c>
      <c r="AX16" s="19">
        <v>22</v>
      </c>
      <c r="AY16" s="19">
        <v>0.2072</v>
      </c>
      <c r="AZ16" s="19" t="s">
        <v>360</v>
      </c>
      <c r="BA16" s="19" t="s">
        <v>360</v>
      </c>
      <c r="BB16" s="19" t="s">
        <v>360</v>
      </c>
      <c r="BC16" s="19" t="s">
        <v>360</v>
      </c>
    </row>
    <row r="17" spans="1:55">
      <c r="A17" s="15" t="s">
        <v>522</v>
      </c>
      <c r="B17" s="20">
        <f t="shared" si="3"/>
        <v>46039</v>
      </c>
      <c r="C17" s="21" t="str">
        <f t="shared" si="0"/>
        <v>2026年</v>
      </c>
      <c r="D17" s="21" t="str">
        <f t="shared" si="1"/>
        <v>1月</v>
      </c>
      <c r="E17" s="19" t="str">
        <f t="shared" si="2"/>
        <v>W3</v>
      </c>
      <c r="F17" s="19" t="s">
        <v>554</v>
      </c>
      <c r="G17" s="19" t="s">
        <v>555</v>
      </c>
      <c r="H17" s="19">
        <v>301</v>
      </c>
      <c r="I17" s="19">
        <v>102863</v>
      </c>
      <c r="J17" s="19">
        <v>211437</v>
      </c>
      <c r="K17" s="19">
        <v>10804</v>
      </c>
      <c r="L17" s="19">
        <v>2149.57444456726</v>
      </c>
      <c r="M17" s="19">
        <v>14390</v>
      </c>
      <c r="N17" s="19">
        <v>67</v>
      </c>
      <c r="O17" s="19">
        <v>46</v>
      </c>
      <c r="P17" s="19">
        <v>0.82</v>
      </c>
      <c r="Q17" s="19">
        <v>350</v>
      </c>
      <c r="R17" s="19">
        <v>0</v>
      </c>
      <c r="S17" s="19">
        <v>88</v>
      </c>
      <c r="T17" s="19">
        <v>14</v>
      </c>
      <c r="U17" s="19">
        <v>0.5911</v>
      </c>
      <c r="V17" s="19">
        <v>204</v>
      </c>
      <c r="W17" s="19">
        <v>10351</v>
      </c>
      <c r="X17" s="19">
        <v>4244</v>
      </c>
      <c r="Y17" s="19">
        <v>197058</v>
      </c>
      <c r="Z17" s="19">
        <v>15178</v>
      </c>
      <c r="AA17" s="19">
        <v>154</v>
      </c>
      <c r="AB17" s="19">
        <v>184755.85</v>
      </c>
      <c r="AC17" s="19">
        <v>176461.05</v>
      </c>
      <c r="AD17" s="19">
        <v>35108.8637117276</v>
      </c>
      <c r="AE17" s="19">
        <v>154</v>
      </c>
      <c r="AF17" s="19">
        <v>136</v>
      </c>
      <c r="AG17" s="19">
        <v>59</v>
      </c>
      <c r="AH17" s="19">
        <v>62175.57</v>
      </c>
      <c r="AI17" s="19">
        <v>52</v>
      </c>
      <c r="AJ17" s="19">
        <v>0</v>
      </c>
      <c r="AK17" s="19">
        <v>0.077</v>
      </c>
      <c r="AL17" s="19">
        <v>0.41</v>
      </c>
      <c r="AM17" s="19">
        <v>0.0101</v>
      </c>
      <c r="AN17" s="19">
        <v>0.032</v>
      </c>
      <c r="AO17" s="19">
        <v>0.0107</v>
      </c>
      <c r="AP17" s="19">
        <v>0.0126</v>
      </c>
      <c r="AQ17" s="19">
        <v>0</v>
      </c>
      <c r="AR17" s="19">
        <v>0</v>
      </c>
      <c r="AS17" s="19">
        <v>6</v>
      </c>
      <c r="AT17" s="19">
        <v>994.93</v>
      </c>
      <c r="AU17" s="19">
        <v>153714.85</v>
      </c>
      <c r="AV17" s="19">
        <v>125</v>
      </c>
      <c r="AW17" s="19">
        <v>31041</v>
      </c>
      <c r="AX17" s="19">
        <v>29</v>
      </c>
      <c r="AY17" s="19">
        <v>0.168</v>
      </c>
      <c r="AZ17" s="19">
        <v>87339.45</v>
      </c>
      <c r="BA17" s="19">
        <v>0.494950302063827</v>
      </c>
      <c r="BB17" s="19">
        <v>8063.4</v>
      </c>
      <c r="BC17" s="19">
        <v>89</v>
      </c>
    </row>
    <row r="18" spans="1:55">
      <c r="A18" s="15" t="s">
        <v>522</v>
      </c>
      <c r="B18" s="20">
        <f t="shared" si="3"/>
        <v>46040</v>
      </c>
      <c r="C18" s="21" t="str">
        <f t="shared" si="0"/>
        <v>2026年</v>
      </c>
      <c r="D18" s="21" t="str">
        <f t="shared" si="1"/>
        <v>1月</v>
      </c>
      <c r="E18" s="19" t="str">
        <f t="shared" si="2"/>
        <v>W3</v>
      </c>
      <c r="F18" s="19" t="s">
        <v>556</v>
      </c>
      <c r="G18" s="19" t="s">
        <v>557</v>
      </c>
      <c r="H18" s="19">
        <v>245</v>
      </c>
      <c r="I18" s="19">
        <v>84271</v>
      </c>
      <c r="J18" s="19">
        <v>170929</v>
      </c>
      <c r="K18" s="19">
        <v>9871</v>
      </c>
      <c r="L18" s="19">
        <v>2415.08767160527</v>
      </c>
      <c r="M18" s="19">
        <v>12920</v>
      </c>
      <c r="N18" s="19">
        <v>78</v>
      </c>
      <c r="O18" s="19">
        <v>46</v>
      </c>
      <c r="P18" s="19">
        <v>0.69</v>
      </c>
      <c r="Q18" s="19">
        <v>215</v>
      </c>
      <c r="R18" s="19">
        <v>0</v>
      </c>
      <c r="S18" s="19">
        <v>47</v>
      </c>
      <c r="T18" s="19">
        <v>12</v>
      </c>
      <c r="U18" s="19">
        <v>0.5854</v>
      </c>
      <c r="V18" s="19">
        <v>196</v>
      </c>
      <c r="W18" s="19">
        <v>9302</v>
      </c>
      <c r="X18" s="19">
        <v>4263</v>
      </c>
      <c r="Y18" s="19">
        <v>166284</v>
      </c>
      <c r="Z18" s="19">
        <v>14744</v>
      </c>
      <c r="AA18" s="19">
        <v>94</v>
      </c>
      <c r="AB18" s="19">
        <v>176346.44</v>
      </c>
      <c r="AC18" s="19">
        <v>174942.44</v>
      </c>
      <c r="AD18" s="19">
        <v>42802.2824520865</v>
      </c>
      <c r="AE18" s="19">
        <v>94</v>
      </c>
      <c r="AF18" s="19">
        <v>72</v>
      </c>
      <c r="AG18" s="19">
        <v>18</v>
      </c>
      <c r="AH18" s="19">
        <v>38420</v>
      </c>
      <c r="AI18" s="19">
        <v>16</v>
      </c>
      <c r="AJ18" s="19">
        <v>0</v>
      </c>
      <c r="AK18" s="19">
        <v>0.0887</v>
      </c>
      <c r="AL18" s="19">
        <v>0.4583</v>
      </c>
      <c r="AM18" s="19">
        <v>0.0064</v>
      </c>
      <c r="AN18" s="19">
        <v>0.0169</v>
      </c>
      <c r="AO18" s="19">
        <v>0.0073</v>
      </c>
      <c r="AP18" s="19">
        <v>0.0073</v>
      </c>
      <c r="AQ18" s="19">
        <v>0</v>
      </c>
      <c r="AR18" s="19">
        <v>0</v>
      </c>
      <c r="AS18" s="19">
        <v>1</v>
      </c>
      <c r="AT18" s="19">
        <v>209.54</v>
      </c>
      <c r="AU18" s="19">
        <v>159909.44</v>
      </c>
      <c r="AV18" s="19">
        <v>84</v>
      </c>
      <c r="AW18" s="19">
        <v>16437</v>
      </c>
      <c r="AX18" s="19">
        <v>10</v>
      </c>
      <c r="AY18" s="19">
        <v>0.0932</v>
      </c>
      <c r="AZ18" s="19">
        <v>17579</v>
      </c>
      <c r="BA18" s="19">
        <v>0.10048447935218</v>
      </c>
      <c r="BB18" s="19">
        <v>1380</v>
      </c>
      <c r="BC18" s="19">
        <v>14</v>
      </c>
    </row>
    <row r="19" spans="1:55">
      <c r="A19" s="15" t="s">
        <v>522</v>
      </c>
      <c r="B19" s="20">
        <f t="shared" si="3"/>
        <v>46042</v>
      </c>
      <c r="C19" s="21" t="str">
        <f t="shared" si="0"/>
        <v>2026年</v>
      </c>
      <c r="D19" s="21" t="str">
        <f t="shared" si="1"/>
        <v>1月</v>
      </c>
      <c r="E19" s="19" t="str">
        <f t="shared" si="2"/>
        <v>W4</v>
      </c>
      <c r="F19" s="19" t="s">
        <v>558</v>
      </c>
      <c r="G19" s="19" t="s">
        <v>559</v>
      </c>
      <c r="H19" s="19">
        <v>307</v>
      </c>
      <c r="I19" s="19">
        <v>79903</v>
      </c>
      <c r="J19" s="19">
        <v>175156</v>
      </c>
      <c r="K19" s="19">
        <v>10676</v>
      </c>
      <c r="L19" s="19">
        <v>2085.72203831334</v>
      </c>
      <c r="M19" s="19">
        <v>14405</v>
      </c>
      <c r="N19" s="19">
        <v>65</v>
      </c>
      <c r="O19" s="19">
        <v>38</v>
      </c>
      <c r="P19" s="19">
        <v>0.69</v>
      </c>
      <c r="Q19" s="19">
        <v>334</v>
      </c>
      <c r="R19" s="19">
        <v>0</v>
      </c>
      <c r="S19" s="19">
        <v>44</v>
      </c>
      <c r="T19" s="19">
        <v>3</v>
      </c>
      <c r="U19" s="19">
        <v>0.551</v>
      </c>
      <c r="V19" s="19">
        <v>203</v>
      </c>
      <c r="W19" s="19">
        <v>10042</v>
      </c>
      <c r="X19" s="19">
        <v>3758</v>
      </c>
      <c r="Y19" s="19">
        <v>154653</v>
      </c>
      <c r="Z19" s="19">
        <v>11758</v>
      </c>
      <c r="AA19" s="19">
        <v>140</v>
      </c>
      <c r="AB19" s="19">
        <v>181967.3</v>
      </c>
      <c r="AC19" s="19">
        <v>174616.6</v>
      </c>
      <c r="AD19" s="19">
        <v>34114.0587181853</v>
      </c>
      <c r="AE19" s="19">
        <v>140</v>
      </c>
      <c r="AF19" s="19">
        <v>115</v>
      </c>
      <c r="AG19" s="19">
        <v>47</v>
      </c>
      <c r="AH19" s="19">
        <v>60203.16</v>
      </c>
      <c r="AI19" s="19">
        <v>35</v>
      </c>
      <c r="AJ19" s="19">
        <v>0</v>
      </c>
      <c r="AK19" s="19">
        <v>0.076</v>
      </c>
      <c r="AL19" s="19">
        <v>0.3742</v>
      </c>
      <c r="AM19" s="19">
        <v>0.0119</v>
      </c>
      <c r="AN19" s="19">
        <v>0.0306</v>
      </c>
      <c r="AO19" s="19">
        <v>0.0097</v>
      </c>
      <c r="AP19" s="19">
        <v>0.0108</v>
      </c>
      <c r="AQ19" s="19">
        <v>0</v>
      </c>
      <c r="AR19" s="19">
        <v>0</v>
      </c>
      <c r="AS19" s="19">
        <v>2</v>
      </c>
      <c r="AT19" s="19">
        <v>645.18</v>
      </c>
      <c r="AU19" s="19">
        <v>132402.82</v>
      </c>
      <c r="AV19" s="19">
        <v>102</v>
      </c>
      <c r="AW19" s="19">
        <v>49564.48</v>
      </c>
      <c r="AX19" s="19">
        <v>38</v>
      </c>
      <c r="AY19" s="19">
        <v>0.2724</v>
      </c>
      <c r="AZ19" s="19">
        <v>75375.85</v>
      </c>
      <c r="BA19" s="19">
        <v>0.431664858896577</v>
      </c>
      <c r="BB19" s="19">
        <v>7218.45</v>
      </c>
      <c r="BC19" s="19">
        <v>67</v>
      </c>
    </row>
    <row r="20" spans="1:55">
      <c r="A20" s="15" t="s">
        <v>522</v>
      </c>
      <c r="B20" s="20">
        <f t="shared" si="3"/>
        <v>46032</v>
      </c>
      <c r="C20" s="21" t="str">
        <f t="shared" si="0"/>
        <v>2026年</v>
      </c>
      <c r="D20" s="21" t="str">
        <f t="shared" si="1"/>
        <v>1月</v>
      </c>
      <c r="E20" s="19" t="str">
        <f t="shared" si="2"/>
        <v>W2</v>
      </c>
      <c r="F20" s="19" t="s">
        <v>560</v>
      </c>
      <c r="G20" s="19" t="s">
        <v>561</v>
      </c>
      <c r="H20" s="19">
        <v>300</v>
      </c>
      <c r="I20" s="19">
        <v>50883</v>
      </c>
      <c r="J20" s="19">
        <v>130564</v>
      </c>
      <c r="K20" s="19">
        <v>8239</v>
      </c>
      <c r="L20" s="19">
        <v>1647.52541243126</v>
      </c>
      <c r="M20" s="19">
        <v>11857</v>
      </c>
      <c r="N20" s="19">
        <v>80</v>
      </c>
      <c r="O20" s="19">
        <v>38</v>
      </c>
      <c r="P20" s="19">
        <v>0.82</v>
      </c>
      <c r="Q20" s="19">
        <v>215</v>
      </c>
      <c r="R20" s="19">
        <v>0</v>
      </c>
      <c r="S20" s="19">
        <v>24</v>
      </c>
      <c r="T20" s="19">
        <v>6</v>
      </c>
      <c r="U20" s="19">
        <v>0.6649</v>
      </c>
      <c r="V20" s="19">
        <v>200</v>
      </c>
      <c r="W20" s="19">
        <v>7795</v>
      </c>
      <c r="X20" s="19">
        <v>2853</v>
      </c>
      <c r="Y20" s="19">
        <v>154012</v>
      </c>
      <c r="Z20" s="19">
        <v>10827</v>
      </c>
      <c r="AA20" s="19">
        <v>75</v>
      </c>
      <c r="AB20" s="19">
        <v>172657.5</v>
      </c>
      <c r="AC20" s="19">
        <v>172498.7</v>
      </c>
      <c r="AD20" s="19">
        <v>34493.9910014998</v>
      </c>
      <c r="AE20" s="19">
        <v>75</v>
      </c>
      <c r="AF20" s="19">
        <v>62</v>
      </c>
      <c r="AG20" s="19">
        <v>56</v>
      </c>
      <c r="AH20" s="19">
        <v>126680.02</v>
      </c>
      <c r="AI20" s="19">
        <v>47</v>
      </c>
      <c r="AJ20" s="19">
        <v>0</v>
      </c>
      <c r="AK20" s="19">
        <v>0.0703</v>
      </c>
      <c r="AL20" s="19">
        <v>0.366</v>
      </c>
      <c r="AM20" s="19">
        <v>0.0069</v>
      </c>
      <c r="AN20" s="19">
        <v>0.0217</v>
      </c>
      <c r="AO20" s="19">
        <v>0.0063</v>
      </c>
      <c r="AP20" s="19">
        <v>0.0075</v>
      </c>
      <c r="AQ20" s="19">
        <v>0</v>
      </c>
      <c r="AR20" s="19">
        <v>0</v>
      </c>
      <c r="AS20" s="19">
        <v>2</v>
      </c>
      <c r="AT20" s="19">
        <v>724.24</v>
      </c>
      <c r="AU20" s="19">
        <v>151761.5</v>
      </c>
      <c r="AV20" s="19">
        <v>66</v>
      </c>
      <c r="AW20" s="19">
        <v>20896</v>
      </c>
      <c r="AX20" s="19">
        <v>9</v>
      </c>
      <c r="AY20" s="19">
        <v>0.121</v>
      </c>
      <c r="AZ20" s="19" t="s">
        <v>360</v>
      </c>
      <c r="BA20" s="19" t="s">
        <v>360</v>
      </c>
      <c r="BB20" s="19" t="s">
        <v>360</v>
      </c>
      <c r="BC20" s="19" t="s">
        <v>360</v>
      </c>
    </row>
    <row r="21" spans="1:55">
      <c r="A21" s="15" t="s">
        <v>522</v>
      </c>
      <c r="B21" s="20">
        <f t="shared" si="3"/>
        <v>46038</v>
      </c>
      <c r="C21" s="21" t="str">
        <f t="shared" si="0"/>
        <v>2026年</v>
      </c>
      <c r="D21" s="21" t="str">
        <f t="shared" si="1"/>
        <v>1月</v>
      </c>
      <c r="E21" s="19" t="str">
        <f t="shared" si="2"/>
        <v>W3</v>
      </c>
      <c r="F21" s="19" t="s">
        <v>562</v>
      </c>
      <c r="G21" s="19" t="s">
        <v>563</v>
      </c>
      <c r="H21" s="19">
        <v>300</v>
      </c>
      <c r="I21" s="19">
        <v>45811</v>
      </c>
      <c r="J21" s="19">
        <v>108614</v>
      </c>
      <c r="K21" s="19">
        <v>5138</v>
      </c>
      <c r="L21" s="19">
        <v>1027.42876187302</v>
      </c>
      <c r="M21" s="19">
        <v>7190</v>
      </c>
      <c r="N21" s="19">
        <v>51</v>
      </c>
      <c r="O21" s="19">
        <v>29</v>
      </c>
      <c r="P21" s="19">
        <v>1.1</v>
      </c>
      <c r="Q21" s="19">
        <v>224</v>
      </c>
      <c r="R21" s="19">
        <v>0</v>
      </c>
      <c r="S21" s="19">
        <v>32</v>
      </c>
      <c r="T21" s="19">
        <v>3</v>
      </c>
      <c r="U21" s="19">
        <v>0.6355</v>
      </c>
      <c r="V21" s="19">
        <v>195</v>
      </c>
      <c r="W21" s="19">
        <v>4954</v>
      </c>
      <c r="X21" s="19">
        <v>1816</v>
      </c>
      <c r="Y21" s="19">
        <v>107921</v>
      </c>
      <c r="Z21" s="19">
        <v>6716</v>
      </c>
      <c r="AA21" s="19">
        <v>74</v>
      </c>
      <c r="AB21" s="19">
        <v>175048.85</v>
      </c>
      <c r="AC21" s="19">
        <v>169458.63</v>
      </c>
      <c r="AD21" s="19">
        <v>33886.07832028</v>
      </c>
      <c r="AE21" s="19">
        <v>74</v>
      </c>
      <c r="AF21" s="19">
        <v>55</v>
      </c>
      <c r="AG21" s="19">
        <v>41</v>
      </c>
      <c r="AH21" s="19">
        <v>95207.32</v>
      </c>
      <c r="AI21" s="19">
        <v>28</v>
      </c>
      <c r="AJ21" s="19">
        <v>0</v>
      </c>
      <c r="AK21" s="19">
        <v>0.0622</v>
      </c>
      <c r="AL21" s="19">
        <v>0.3666</v>
      </c>
      <c r="AM21" s="19">
        <v>0.011</v>
      </c>
      <c r="AN21" s="19">
        <v>0.0303</v>
      </c>
      <c r="AO21" s="19">
        <v>0.0103</v>
      </c>
      <c r="AP21" s="19">
        <v>0.0107</v>
      </c>
      <c r="AQ21" s="19">
        <v>0</v>
      </c>
      <c r="AR21" s="19">
        <v>0</v>
      </c>
      <c r="AS21" s="19">
        <v>1</v>
      </c>
      <c r="AT21" s="19">
        <v>955.58</v>
      </c>
      <c r="AU21" s="19">
        <v>144542.85</v>
      </c>
      <c r="AV21" s="19">
        <v>60</v>
      </c>
      <c r="AW21" s="19">
        <v>30506</v>
      </c>
      <c r="AX21" s="19">
        <v>14</v>
      </c>
      <c r="AY21" s="19">
        <v>0.1743</v>
      </c>
      <c r="AZ21" s="19">
        <v>53768.7</v>
      </c>
      <c r="BA21" s="19">
        <v>0.317296911936559</v>
      </c>
      <c r="BB21" s="19">
        <v>5436.22</v>
      </c>
      <c r="BC21" s="19">
        <v>24</v>
      </c>
    </row>
    <row r="22" spans="1:55">
      <c r="A22" s="15" t="s">
        <v>522</v>
      </c>
      <c r="B22" s="20">
        <f t="shared" si="3"/>
        <v>46033</v>
      </c>
      <c r="C22" s="21" t="str">
        <f t="shared" si="0"/>
        <v>2026年</v>
      </c>
      <c r="D22" s="21" t="str">
        <f t="shared" si="1"/>
        <v>1月</v>
      </c>
      <c r="E22" s="19" t="str">
        <f t="shared" si="2"/>
        <v>W2</v>
      </c>
      <c r="F22" s="19" t="s">
        <v>564</v>
      </c>
      <c r="G22" s="19" t="s">
        <v>565</v>
      </c>
      <c r="H22" s="19">
        <v>301</v>
      </c>
      <c r="I22" s="19">
        <v>61664</v>
      </c>
      <c r="J22" s="19">
        <v>144519</v>
      </c>
      <c r="K22" s="19">
        <v>9462</v>
      </c>
      <c r="L22" s="19">
        <v>1884.65198627863</v>
      </c>
      <c r="M22" s="19">
        <v>13531</v>
      </c>
      <c r="N22" s="19">
        <v>79</v>
      </c>
      <c r="O22" s="19">
        <v>40</v>
      </c>
      <c r="P22" s="19">
        <v>0.76</v>
      </c>
      <c r="Q22" s="19">
        <v>335</v>
      </c>
      <c r="R22" s="19">
        <v>0</v>
      </c>
      <c r="S22" s="19">
        <v>43</v>
      </c>
      <c r="T22" s="19">
        <v>2</v>
      </c>
      <c r="U22" s="19">
        <v>0.6031</v>
      </c>
      <c r="V22" s="19">
        <v>203</v>
      </c>
      <c r="W22" s="19">
        <v>8798</v>
      </c>
      <c r="X22" s="19">
        <v>2826</v>
      </c>
      <c r="Y22" s="19">
        <v>165062</v>
      </c>
      <c r="Z22" s="19">
        <v>10832</v>
      </c>
      <c r="AA22" s="19">
        <v>73</v>
      </c>
      <c r="AB22" s="19">
        <v>169476</v>
      </c>
      <c r="AC22" s="19">
        <v>169307</v>
      </c>
      <c r="AD22" s="19">
        <v>33722.7619785327</v>
      </c>
      <c r="AE22" s="19">
        <v>73</v>
      </c>
      <c r="AF22" s="19">
        <v>56</v>
      </c>
      <c r="AG22" s="19">
        <v>56</v>
      </c>
      <c r="AH22" s="19">
        <v>134133</v>
      </c>
      <c r="AI22" s="19">
        <v>44</v>
      </c>
      <c r="AJ22" s="19">
        <v>0</v>
      </c>
      <c r="AK22" s="19">
        <v>0.0656</v>
      </c>
      <c r="AL22" s="19">
        <v>0.3212</v>
      </c>
      <c r="AM22" s="19">
        <v>0.0067</v>
      </c>
      <c r="AN22" s="19">
        <v>0.0198</v>
      </c>
      <c r="AO22" s="19">
        <v>0.0054</v>
      </c>
      <c r="AP22" s="19">
        <v>0.0059</v>
      </c>
      <c r="AQ22" s="19">
        <v>0</v>
      </c>
      <c r="AR22" s="19">
        <v>0</v>
      </c>
      <c r="AS22" s="19">
        <v>4</v>
      </c>
      <c r="AT22" s="19">
        <v>1018.11</v>
      </c>
      <c r="AU22" s="19">
        <v>138049</v>
      </c>
      <c r="AV22" s="19">
        <v>60</v>
      </c>
      <c r="AW22" s="19">
        <v>31427</v>
      </c>
      <c r="AX22" s="19">
        <v>13</v>
      </c>
      <c r="AY22" s="19">
        <v>0.1854</v>
      </c>
      <c r="AZ22" s="19" t="s">
        <v>360</v>
      </c>
      <c r="BA22" s="19" t="s">
        <v>360</v>
      </c>
      <c r="BB22" s="19" t="s">
        <v>360</v>
      </c>
      <c r="BC22" s="19" t="s">
        <v>360</v>
      </c>
    </row>
    <row r="23" spans="1:55">
      <c r="A23" s="15" t="s">
        <v>522</v>
      </c>
      <c r="B23" s="20">
        <f t="shared" si="3"/>
        <v>46031</v>
      </c>
      <c r="C23" s="21" t="str">
        <f t="shared" si="0"/>
        <v>2026年</v>
      </c>
      <c r="D23" s="21" t="str">
        <f t="shared" si="1"/>
        <v>1月</v>
      </c>
      <c r="E23" s="19" t="str">
        <f t="shared" si="2"/>
        <v>W2</v>
      </c>
      <c r="F23" s="19" t="s">
        <v>566</v>
      </c>
      <c r="G23" s="19" t="s">
        <v>567</v>
      </c>
      <c r="H23" s="19">
        <v>304</v>
      </c>
      <c r="I23" s="19">
        <v>73580</v>
      </c>
      <c r="J23" s="19">
        <v>173646</v>
      </c>
      <c r="K23" s="19">
        <v>11425</v>
      </c>
      <c r="L23" s="19">
        <v>2253.69863013699</v>
      </c>
      <c r="M23" s="19">
        <v>16473</v>
      </c>
      <c r="N23" s="19">
        <v>87</v>
      </c>
      <c r="O23" s="19">
        <v>53</v>
      </c>
      <c r="P23" s="19">
        <v>0.9</v>
      </c>
      <c r="Q23" s="19">
        <v>392</v>
      </c>
      <c r="R23" s="19">
        <v>0</v>
      </c>
      <c r="S23" s="19">
        <v>48</v>
      </c>
      <c r="T23" s="19">
        <v>10</v>
      </c>
      <c r="U23" s="19">
        <v>0.6249</v>
      </c>
      <c r="V23" s="19">
        <v>196</v>
      </c>
      <c r="W23" s="19">
        <v>10944</v>
      </c>
      <c r="X23" s="19">
        <v>3939</v>
      </c>
      <c r="Y23" s="19">
        <v>219957</v>
      </c>
      <c r="Z23" s="19">
        <v>16288</v>
      </c>
      <c r="AA23" s="19">
        <v>67</v>
      </c>
      <c r="AB23" s="19">
        <v>168343.95</v>
      </c>
      <c r="AC23" s="19">
        <v>168199.95</v>
      </c>
      <c r="AD23" s="19">
        <v>33179.1682191781</v>
      </c>
      <c r="AE23" s="19">
        <v>67</v>
      </c>
      <c r="AF23" s="19">
        <v>49</v>
      </c>
      <c r="AG23" s="19">
        <v>59</v>
      </c>
      <c r="AH23" s="19">
        <v>146620.95</v>
      </c>
      <c r="AI23" s="19">
        <v>46</v>
      </c>
      <c r="AJ23" s="19">
        <v>0</v>
      </c>
      <c r="AK23" s="19">
        <v>0.0741</v>
      </c>
      <c r="AL23" s="19">
        <v>0.3599</v>
      </c>
      <c r="AM23" s="19">
        <v>0.0041</v>
      </c>
      <c r="AN23" s="19">
        <v>0.0124</v>
      </c>
      <c r="AO23" s="19">
        <v>0.0041</v>
      </c>
      <c r="AP23" s="19">
        <v>0.0043</v>
      </c>
      <c r="AQ23" s="19">
        <v>0</v>
      </c>
      <c r="AR23" s="19">
        <v>0</v>
      </c>
      <c r="AS23" s="19">
        <v>3</v>
      </c>
      <c r="AT23" s="19">
        <v>882.3</v>
      </c>
      <c r="AU23" s="19">
        <v>133625.95</v>
      </c>
      <c r="AV23" s="19">
        <v>54</v>
      </c>
      <c r="AW23" s="19">
        <v>34718</v>
      </c>
      <c r="AX23" s="19">
        <v>13</v>
      </c>
      <c r="AY23" s="19">
        <v>0.2062</v>
      </c>
      <c r="AZ23" s="19" t="s">
        <v>360</v>
      </c>
      <c r="BA23" s="19" t="s">
        <v>360</v>
      </c>
      <c r="BB23" s="19" t="s">
        <v>360</v>
      </c>
      <c r="BC23" s="19" t="s">
        <v>360</v>
      </c>
    </row>
    <row r="24" spans="1:55">
      <c r="A24" s="15" t="s">
        <v>522</v>
      </c>
      <c r="B24" s="20">
        <f t="shared" si="3"/>
        <v>46029</v>
      </c>
      <c r="C24" s="21" t="str">
        <f t="shared" si="0"/>
        <v>2026年</v>
      </c>
      <c r="D24" s="21" t="str">
        <f t="shared" si="1"/>
        <v>1月</v>
      </c>
      <c r="E24" s="19" t="str">
        <f t="shared" si="2"/>
        <v>W2</v>
      </c>
      <c r="F24" s="19" t="s">
        <v>411</v>
      </c>
      <c r="G24" s="19" t="s">
        <v>568</v>
      </c>
      <c r="H24" s="19">
        <v>310</v>
      </c>
      <c r="I24" s="19">
        <v>63468</v>
      </c>
      <c r="J24" s="19">
        <v>139145</v>
      </c>
      <c r="K24" s="19">
        <v>8959</v>
      </c>
      <c r="L24" s="19">
        <v>1733.06824288017</v>
      </c>
      <c r="M24" s="19">
        <v>12229</v>
      </c>
      <c r="N24" s="19">
        <v>75</v>
      </c>
      <c r="O24" s="19">
        <v>38</v>
      </c>
      <c r="P24" s="19">
        <v>0.82</v>
      </c>
      <c r="Q24" s="19">
        <v>296</v>
      </c>
      <c r="R24" s="19">
        <v>0</v>
      </c>
      <c r="S24" s="19">
        <v>30</v>
      </c>
      <c r="T24" s="19">
        <v>8</v>
      </c>
      <c r="U24" s="19">
        <v>0.6155</v>
      </c>
      <c r="V24" s="19">
        <v>212</v>
      </c>
      <c r="W24" s="19">
        <v>8460</v>
      </c>
      <c r="X24" s="19">
        <v>3180</v>
      </c>
      <c r="Y24" s="19">
        <v>152017</v>
      </c>
      <c r="Z24" s="19">
        <v>12208</v>
      </c>
      <c r="AA24" s="19">
        <v>82</v>
      </c>
      <c r="AB24" s="19">
        <v>167923</v>
      </c>
      <c r="AC24" s="19">
        <v>167741</v>
      </c>
      <c r="AD24" s="19">
        <v>32448.5545405696</v>
      </c>
      <c r="AE24" s="19">
        <v>82</v>
      </c>
      <c r="AF24" s="19">
        <v>64</v>
      </c>
      <c r="AG24" s="19">
        <v>63</v>
      </c>
      <c r="AH24" s="19">
        <v>135720</v>
      </c>
      <c r="AI24" s="19">
        <v>46</v>
      </c>
      <c r="AJ24" s="19">
        <v>0</v>
      </c>
      <c r="AK24" s="19">
        <v>0.0803</v>
      </c>
      <c r="AL24" s="19">
        <v>0.3759</v>
      </c>
      <c r="AM24" s="19">
        <v>0.0067</v>
      </c>
      <c r="AN24" s="19">
        <v>0.0201</v>
      </c>
      <c r="AO24" s="19">
        <v>0.0067</v>
      </c>
      <c r="AP24" s="19">
        <v>0.0071</v>
      </c>
      <c r="AQ24" s="19">
        <v>0</v>
      </c>
      <c r="AR24" s="19">
        <v>0</v>
      </c>
      <c r="AS24" s="19">
        <v>0</v>
      </c>
      <c r="AT24" s="19">
        <v>516.81</v>
      </c>
      <c r="AU24" s="19">
        <v>122318</v>
      </c>
      <c r="AV24" s="19">
        <v>60</v>
      </c>
      <c r="AW24" s="19">
        <v>45605</v>
      </c>
      <c r="AX24" s="19">
        <v>22</v>
      </c>
      <c r="AY24" s="19">
        <v>0.2716</v>
      </c>
      <c r="AZ24" s="19" t="s">
        <v>360</v>
      </c>
      <c r="BA24" s="19" t="s">
        <v>360</v>
      </c>
      <c r="BB24" s="19" t="s">
        <v>360</v>
      </c>
      <c r="BC24" s="19" t="s">
        <v>360</v>
      </c>
    </row>
    <row r="25" spans="1:55">
      <c r="A25" s="15" t="s">
        <v>522</v>
      </c>
      <c r="B25" s="20">
        <f t="shared" si="3"/>
        <v>46035</v>
      </c>
      <c r="C25" s="21" t="str">
        <f t="shared" si="0"/>
        <v>2026年</v>
      </c>
      <c r="D25" s="21" t="str">
        <f t="shared" si="1"/>
        <v>1月</v>
      </c>
      <c r="E25" s="19" t="str">
        <f t="shared" si="2"/>
        <v>W3</v>
      </c>
      <c r="F25" s="19" t="s">
        <v>569</v>
      </c>
      <c r="G25" s="19" t="s">
        <v>570</v>
      </c>
      <c r="H25" s="19">
        <v>240</v>
      </c>
      <c r="I25" s="19">
        <v>80740</v>
      </c>
      <c r="J25" s="19">
        <v>161314</v>
      </c>
      <c r="K25" s="19">
        <v>10983</v>
      </c>
      <c r="L25" s="19">
        <v>2737.00678388481</v>
      </c>
      <c r="M25" s="19">
        <v>14334</v>
      </c>
      <c r="N25" s="19">
        <v>80</v>
      </c>
      <c r="O25" s="19">
        <v>46</v>
      </c>
      <c r="P25" s="19">
        <v>0.63</v>
      </c>
      <c r="Q25" s="19">
        <v>344</v>
      </c>
      <c r="R25" s="19">
        <v>0</v>
      </c>
      <c r="S25" s="19">
        <v>51</v>
      </c>
      <c r="T25" s="19">
        <v>5</v>
      </c>
      <c r="U25" s="19">
        <v>0.5282</v>
      </c>
      <c r="V25" s="19">
        <v>202</v>
      </c>
      <c r="W25" s="19">
        <v>10430</v>
      </c>
      <c r="X25" s="19">
        <v>3447</v>
      </c>
      <c r="Y25" s="19">
        <v>152254</v>
      </c>
      <c r="Z25" s="19">
        <v>11242</v>
      </c>
      <c r="AA25" s="19">
        <v>91</v>
      </c>
      <c r="AB25" s="19">
        <v>165002.03</v>
      </c>
      <c r="AC25" s="19">
        <v>164533.16</v>
      </c>
      <c r="AD25" s="19">
        <v>41002.3103973418</v>
      </c>
      <c r="AE25" s="19">
        <v>91</v>
      </c>
      <c r="AF25" s="19">
        <v>69</v>
      </c>
      <c r="AG25" s="19">
        <v>70</v>
      </c>
      <c r="AH25" s="19">
        <v>128952</v>
      </c>
      <c r="AI25" s="19">
        <v>54</v>
      </c>
      <c r="AJ25" s="19">
        <v>0</v>
      </c>
      <c r="AK25" s="19">
        <v>0.0738</v>
      </c>
      <c r="AL25" s="19">
        <v>0.3305</v>
      </c>
      <c r="AM25" s="19">
        <v>0.0081</v>
      </c>
      <c r="AN25" s="19">
        <v>0.02</v>
      </c>
      <c r="AO25" s="19">
        <v>0.0063</v>
      </c>
      <c r="AP25" s="19">
        <v>0.0063</v>
      </c>
      <c r="AQ25" s="19">
        <v>0</v>
      </c>
      <c r="AR25" s="19">
        <v>0</v>
      </c>
      <c r="AS25" s="19">
        <v>0</v>
      </c>
      <c r="AT25" s="19">
        <v>725.37</v>
      </c>
      <c r="AU25" s="19">
        <v>96300.03</v>
      </c>
      <c r="AV25" s="19">
        <v>56</v>
      </c>
      <c r="AW25" s="19">
        <v>68702</v>
      </c>
      <c r="AX25" s="19">
        <v>35</v>
      </c>
      <c r="AY25" s="19">
        <v>0.4164</v>
      </c>
      <c r="AZ25" s="19" t="s">
        <v>360</v>
      </c>
      <c r="BA25" s="19" t="s">
        <v>360</v>
      </c>
      <c r="BB25" s="19" t="s">
        <v>360</v>
      </c>
      <c r="BC25" s="19" t="s">
        <v>360</v>
      </c>
    </row>
    <row r="26" spans="1:55">
      <c r="A26" s="15" t="s">
        <v>522</v>
      </c>
      <c r="B26" s="20">
        <f t="shared" si="3"/>
        <v>46025</v>
      </c>
      <c r="C26" s="21" t="str">
        <f t="shared" si="0"/>
        <v>2026年</v>
      </c>
      <c r="D26" s="21" t="str">
        <f t="shared" si="1"/>
        <v>1月</v>
      </c>
      <c r="E26" s="19" t="str">
        <f t="shared" si="2"/>
        <v>W1</v>
      </c>
      <c r="F26" s="19" t="s">
        <v>571</v>
      </c>
      <c r="G26" s="19" t="s">
        <v>572</v>
      </c>
      <c r="H26" s="19">
        <v>300</v>
      </c>
      <c r="I26" s="19">
        <v>58115</v>
      </c>
      <c r="J26" s="19">
        <v>144019</v>
      </c>
      <c r="K26" s="19">
        <v>9013</v>
      </c>
      <c r="L26" s="19">
        <v>1802.39973336296</v>
      </c>
      <c r="M26" s="19">
        <v>12947</v>
      </c>
      <c r="N26" s="19">
        <v>55</v>
      </c>
      <c r="O26" s="19">
        <v>37</v>
      </c>
      <c r="P26" s="19">
        <v>0.68</v>
      </c>
      <c r="Q26" s="19">
        <v>246</v>
      </c>
      <c r="R26" s="19">
        <v>0</v>
      </c>
      <c r="S26" s="19">
        <v>34</v>
      </c>
      <c r="T26" s="19">
        <v>2</v>
      </c>
      <c r="U26" s="19">
        <v>0.6345</v>
      </c>
      <c r="V26" s="19">
        <v>201</v>
      </c>
      <c r="W26" s="19">
        <v>8453</v>
      </c>
      <c r="X26" s="19">
        <v>2823</v>
      </c>
      <c r="Y26" s="19">
        <v>147598</v>
      </c>
      <c r="Z26" s="19">
        <v>10230</v>
      </c>
      <c r="AA26" s="19">
        <v>84</v>
      </c>
      <c r="AB26" s="19">
        <v>162986</v>
      </c>
      <c r="AC26" s="19">
        <v>162805.42</v>
      </c>
      <c r="AD26" s="19">
        <v>32557.4665037218</v>
      </c>
      <c r="AE26" s="19">
        <v>84</v>
      </c>
      <c r="AF26" s="19">
        <v>68</v>
      </c>
      <c r="AG26" s="19">
        <v>70</v>
      </c>
      <c r="AH26" s="19">
        <v>135405.52</v>
      </c>
      <c r="AI26" s="19">
        <v>58</v>
      </c>
      <c r="AJ26" s="19">
        <v>0</v>
      </c>
      <c r="AK26" s="19">
        <v>0.0693</v>
      </c>
      <c r="AL26" s="19">
        <v>0.334</v>
      </c>
      <c r="AM26" s="19">
        <v>0.0082</v>
      </c>
      <c r="AN26" s="19">
        <v>0.0241</v>
      </c>
      <c r="AO26" s="19">
        <v>0.0065</v>
      </c>
      <c r="AP26" s="19">
        <v>0.0075</v>
      </c>
      <c r="AQ26" s="19">
        <v>0</v>
      </c>
      <c r="AR26" s="19">
        <v>0</v>
      </c>
      <c r="AS26" s="19">
        <v>2</v>
      </c>
      <c r="AT26" s="19">
        <v>815.72</v>
      </c>
      <c r="AU26" s="19">
        <v>139498</v>
      </c>
      <c r="AV26" s="19">
        <v>72</v>
      </c>
      <c r="AW26" s="19">
        <v>23488</v>
      </c>
      <c r="AX26" s="19">
        <v>12</v>
      </c>
      <c r="AY26" s="19">
        <v>0.1441</v>
      </c>
      <c r="AZ26" s="19" t="s">
        <v>360</v>
      </c>
      <c r="BA26" s="19" t="s">
        <v>360</v>
      </c>
      <c r="BB26" s="19" t="s">
        <v>360</v>
      </c>
      <c r="BC26" s="19" t="s">
        <v>360</v>
      </c>
    </row>
    <row r="27" spans="1:55">
      <c r="A27" s="15" t="s">
        <v>522</v>
      </c>
      <c r="B27" s="20">
        <f t="shared" si="3"/>
        <v>46041</v>
      </c>
      <c r="C27" s="21" t="str">
        <f t="shared" si="0"/>
        <v>2026年</v>
      </c>
      <c r="D27" s="21" t="str">
        <f t="shared" si="1"/>
        <v>1月</v>
      </c>
      <c r="E27" s="19" t="str">
        <f t="shared" si="2"/>
        <v>W4</v>
      </c>
      <c r="F27" s="19" t="s">
        <v>573</v>
      </c>
      <c r="G27" s="19" t="s">
        <v>574</v>
      </c>
      <c r="H27" s="19">
        <v>303</v>
      </c>
      <c r="I27" s="19">
        <v>88330</v>
      </c>
      <c r="J27" s="19">
        <v>193350</v>
      </c>
      <c r="K27" s="19">
        <v>9617</v>
      </c>
      <c r="L27" s="19">
        <v>1903.72814252722</v>
      </c>
      <c r="M27" s="19">
        <v>13191</v>
      </c>
      <c r="N27" s="19">
        <v>68</v>
      </c>
      <c r="O27" s="19">
        <v>44</v>
      </c>
      <c r="P27" s="19">
        <v>0.9</v>
      </c>
      <c r="Q27" s="19">
        <v>377</v>
      </c>
      <c r="R27" s="19">
        <v>0</v>
      </c>
      <c r="S27" s="19">
        <v>51</v>
      </c>
      <c r="T27" s="19">
        <v>4</v>
      </c>
      <c r="U27" s="19">
        <v>0.585</v>
      </c>
      <c r="V27" s="19">
        <v>200</v>
      </c>
      <c r="W27" s="19">
        <v>9385</v>
      </c>
      <c r="X27" s="19">
        <v>4087</v>
      </c>
      <c r="Y27" s="19">
        <v>173090</v>
      </c>
      <c r="Z27" s="19">
        <v>13164</v>
      </c>
      <c r="AA27" s="19">
        <v>76</v>
      </c>
      <c r="AB27" s="19">
        <v>161871.47</v>
      </c>
      <c r="AC27" s="19">
        <v>156836.3</v>
      </c>
      <c r="AD27" s="19">
        <v>31046.446717255</v>
      </c>
      <c r="AE27" s="19">
        <v>76</v>
      </c>
      <c r="AF27" s="19">
        <v>65</v>
      </c>
      <c r="AG27" s="19">
        <v>41</v>
      </c>
      <c r="AH27" s="19">
        <v>86793.63</v>
      </c>
      <c r="AI27" s="19">
        <v>36</v>
      </c>
      <c r="AJ27" s="19">
        <v>0</v>
      </c>
      <c r="AK27" s="19">
        <v>0.0761</v>
      </c>
      <c r="AL27" s="19">
        <v>0.4355</v>
      </c>
      <c r="AM27" s="19">
        <v>0.0058</v>
      </c>
      <c r="AN27" s="19">
        <v>0.0159</v>
      </c>
      <c r="AO27" s="19">
        <v>0.0058</v>
      </c>
      <c r="AP27" s="19">
        <v>0.0068</v>
      </c>
      <c r="AQ27" s="19">
        <v>0</v>
      </c>
      <c r="AR27" s="19">
        <v>0</v>
      </c>
      <c r="AS27" s="19">
        <v>1</v>
      </c>
      <c r="AT27" s="19">
        <v>529.33</v>
      </c>
      <c r="AU27" s="19">
        <v>107906.36</v>
      </c>
      <c r="AV27" s="19">
        <v>52</v>
      </c>
      <c r="AW27" s="19">
        <v>53965.11</v>
      </c>
      <c r="AX27" s="19">
        <v>24</v>
      </c>
      <c r="AY27" s="19">
        <v>0.3334</v>
      </c>
      <c r="AZ27" s="19">
        <v>64040.03</v>
      </c>
      <c r="BA27" s="19">
        <v>0.408324029577336</v>
      </c>
      <c r="BB27" s="19">
        <v>4865.97</v>
      </c>
      <c r="BC27" s="19">
        <v>34</v>
      </c>
    </row>
    <row r="28" spans="1:55">
      <c r="A28" s="15" t="s">
        <v>522</v>
      </c>
      <c r="B28" s="20">
        <f t="shared" si="3"/>
        <v>46031</v>
      </c>
      <c r="C28" s="21" t="str">
        <f t="shared" si="0"/>
        <v>2026年</v>
      </c>
      <c r="D28" s="21" t="str">
        <f t="shared" si="1"/>
        <v>1月</v>
      </c>
      <c r="E28" s="19" t="str">
        <f t="shared" si="2"/>
        <v>W2</v>
      </c>
      <c r="F28" s="19" t="s">
        <v>575</v>
      </c>
      <c r="G28" s="19" t="s">
        <v>576</v>
      </c>
      <c r="H28" s="19">
        <v>289</v>
      </c>
      <c r="I28" s="19">
        <v>37129</v>
      </c>
      <c r="J28" s="19">
        <v>100484</v>
      </c>
      <c r="K28" s="19">
        <v>6361</v>
      </c>
      <c r="L28" s="19">
        <v>1320.1660325147</v>
      </c>
      <c r="M28" s="19">
        <v>9270</v>
      </c>
      <c r="N28" s="19">
        <v>56</v>
      </c>
      <c r="O28" s="19">
        <v>38</v>
      </c>
      <c r="P28" s="19">
        <v>1.16</v>
      </c>
      <c r="Q28" s="19">
        <v>312</v>
      </c>
      <c r="R28" s="19">
        <v>0</v>
      </c>
      <c r="S28" s="19">
        <v>18</v>
      </c>
      <c r="T28" s="19">
        <v>9</v>
      </c>
      <c r="U28" s="19">
        <v>0.7038</v>
      </c>
      <c r="V28" s="19">
        <v>195</v>
      </c>
      <c r="W28" s="19">
        <v>6056</v>
      </c>
      <c r="X28" s="19">
        <v>2613</v>
      </c>
      <c r="Y28" s="19">
        <v>132840</v>
      </c>
      <c r="Z28" s="19">
        <v>10735</v>
      </c>
      <c r="AA28" s="19">
        <v>73</v>
      </c>
      <c r="AB28" s="19">
        <v>149422.16</v>
      </c>
      <c r="AC28" s="19">
        <v>149241.16</v>
      </c>
      <c r="AD28" s="19">
        <v>30973.6063645797</v>
      </c>
      <c r="AE28" s="19">
        <v>73</v>
      </c>
      <c r="AF28" s="19">
        <v>58</v>
      </c>
      <c r="AG28" s="19">
        <v>53</v>
      </c>
      <c r="AH28" s="19">
        <v>113745</v>
      </c>
      <c r="AI28" s="19">
        <v>41</v>
      </c>
      <c r="AJ28" s="19">
        <v>0</v>
      </c>
      <c r="AK28" s="19">
        <v>0.0808</v>
      </c>
      <c r="AL28" s="19">
        <v>0.4315</v>
      </c>
      <c r="AM28" s="19">
        <v>0.0068</v>
      </c>
      <c r="AN28" s="19">
        <v>0.0222</v>
      </c>
      <c r="AO28" s="19">
        <v>0.0079</v>
      </c>
      <c r="AP28" s="19">
        <v>0.0091</v>
      </c>
      <c r="AQ28" s="19">
        <v>0</v>
      </c>
      <c r="AR28" s="19">
        <v>0</v>
      </c>
      <c r="AS28" s="19">
        <v>0</v>
      </c>
      <c r="AT28" s="19">
        <v>793.32</v>
      </c>
      <c r="AU28" s="19">
        <v>134871.16</v>
      </c>
      <c r="AV28" s="19">
        <v>65</v>
      </c>
      <c r="AW28" s="19">
        <v>14551</v>
      </c>
      <c r="AX28" s="19">
        <v>8</v>
      </c>
      <c r="AY28" s="19">
        <v>0.0974</v>
      </c>
      <c r="AZ28" s="19" t="s">
        <v>360</v>
      </c>
      <c r="BA28" s="19" t="s">
        <v>360</v>
      </c>
      <c r="BB28" s="19" t="s">
        <v>360</v>
      </c>
      <c r="BC28" s="19" t="s">
        <v>360</v>
      </c>
    </row>
    <row r="29" spans="1:55">
      <c r="A29" s="15" t="s">
        <v>522</v>
      </c>
      <c r="B29" s="20">
        <f t="shared" si="3"/>
        <v>46030</v>
      </c>
      <c r="C29" s="21" t="str">
        <f t="shared" si="0"/>
        <v>2026年</v>
      </c>
      <c r="D29" s="21" t="str">
        <f t="shared" si="1"/>
        <v>1月</v>
      </c>
      <c r="E29" s="19" t="str">
        <f t="shared" si="2"/>
        <v>W2</v>
      </c>
      <c r="F29" s="19" t="s">
        <v>577</v>
      </c>
      <c r="G29" s="19" t="s">
        <v>578</v>
      </c>
      <c r="H29" s="19">
        <v>300</v>
      </c>
      <c r="I29" s="19">
        <v>37436</v>
      </c>
      <c r="J29" s="19">
        <v>92779</v>
      </c>
      <c r="K29" s="19">
        <v>5829</v>
      </c>
      <c r="L29" s="19">
        <v>1165.54099089091</v>
      </c>
      <c r="M29" s="19">
        <v>8139</v>
      </c>
      <c r="N29" s="19">
        <v>53</v>
      </c>
      <c r="O29" s="19">
        <v>28</v>
      </c>
      <c r="P29" s="19">
        <v>0.76</v>
      </c>
      <c r="Q29" s="19">
        <v>197</v>
      </c>
      <c r="R29" s="19">
        <v>0</v>
      </c>
      <c r="S29" s="19">
        <v>21</v>
      </c>
      <c r="T29" s="19">
        <v>2</v>
      </c>
      <c r="U29" s="19">
        <v>0.6806</v>
      </c>
      <c r="V29" s="19">
        <v>193</v>
      </c>
      <c r="W29" s="19">
        <v>5481</v>
      </c>
      <c r="X29" s="19">
        <v>1987</v>
      </c>
      <c r="Y29" s="19">
        <v>94142</v>
      </c>
      <c r="Z29" s="19">
        <v>7260</v>
      </c>
      <c r="AA29" s="19">
        <v>60</v>
      </c>
      <c r="AB29" s="19">
        <v>139657.39</v>
      </c>
      <c r="AC29" s="19">
        <v>139566.39</v>
      </c>
      <c r="AD29" s="19">
        <v>27907.0764274606</v>
      </c>
      <c r="AE29" s="19">
        <v>60</v>
      </c>
      <c r="AF29" s="19">
        <v>49</v>
      </c>
      <c r="AG29" s="19">
        <v>53</v>
      </c>
      <c r="AH29" s="19">
        <v>124897.39</v>
      </c>
      <c r="AI29" s="19">
        <v>42</v>
      </c>
      <c r="AJ29" s="19">
        <v>0</v>
      </c>
      <c r="AK29" s="19">
        <v>0.0771</v>
      </c>
      <c r="AL29" s="19">
        <v>0.3625</v>
      </c>
      <c r="AM29" s="19">
        <v>0.0083</v>
      </c>
      <c r="AN29" s="19">
        <v>0.0247</v>
      </c>
      <c r="AO29" s="19">
        <v>0.0074</v>
      </c>
      <c r="AP29" s="19">
        <v>0.0084</v>
      </c>
      <c r="AQ29" s="19">
        <v>0</v>
      </c>
      <c r="AR29" s="19">
        <v>0</v>
      </c>
      <c r="AS29" s="19">
        <v>1</v>
      </c>
      <c r="AT29" s="19">
        <v>708.95</v>
      </c>
      <c r="AU29" s="19">
        <v>123414.39</v>
      </c>
      <c r="AV29" s="19">
        <v>53</v>
      </c>
      <c r="AW29" s="19">
        <v>16243</v>
      </c>
      <c r="AX29" s="19">
        <v>7</v>
      </c>
      <c r="AY29" s="19">
        <v>0.1163</v>
      </c>
      <c r="AZ29" s="19" t="s">
        <v>360</v>
      </c>
      <c r="BA29" s="19" t="s">
        <v>360</v>
      </c>
      <c r="BB29" s="19" t="s">
        <v>360</v>
      </c>
      <c r="BC29" s="19" t="s">
        <v>360</v>
      </c>
    </row>
    <row r="30" spans="1:55">
      <c r="A30" s="15" t="s">
        <v>522</v>
      </c>
      <c r="B30" s="20">
        <f t="shared" si="3"/>
        <v>46025</v>
      </c>
      <c r="C30" s="21" t="str">
        <f t="shared" si="0"/>
        <v>2026年</v>
      </c>
      <c r="D30" s="21" t="str">
        <f t="shared" si="1"/>
        <v>1月</v>
      </c>
      <c r="E30" s="19" t="str">
        <f t="shared" si="2"/>
        <v>W1</v>
      </c>
      <c r="F30" s="19" t="s">
        <v>579</v>
      </c>
      <c r="G30" s="19" t="s">
        <v>580</v>
      </c>
      <c r="H30" s="19">
        <v>300</v>
      </c>
      <c r="I30" s="19">
        <v>38212</v>
      </c>
      <c r="J30" s="19">
        <v>95562</v>
      </c>
      <c r="K30" s="19">
        <v>6379</v>
      </c>
      <c r="L30" s="19">
        <v>1275.37487504165</v>
      </c>
      <c r="M30" s="19">
        <v>8941</v>
      </c>
      <c r="N30" s="19">
        <v>62</v>
      </c>
      <c r="O30" s="19">
        <v>28</v>
      </c>
      <c r="P30" s="19">
        <v>0.77</v>
      </c>
      <c r="Q30" s="19">
        <v>151</v>
      </c>
      <c r="R30" s="19">
        <v>0</v>
      </c>
      <c r="S30" s="19">
        <v>25</v>
      </c>
      <c r="T30" s="19">
        <v>2</v>
      </c>
      <c r="U30" s="19">
        <v>0.6793</v>
      </c>
      <c r="V30" s="19">
        <v>203</v>
      </c>
      <c r="W30" s="19">
        <v>6142</v>
      </c>
      <c r="X30" s="19">
        <v>1801</v>
      </c>
      <c r="Y30" s="19">
        <v>107702</v>
      </c>
      <c r="Z30" s="19">
        <v>7276</v>
      </c>
      <c r="AA30" s="19">
        <v>63</v>
      </c>
      <c r="AB30" s="19">
        <v>136273.4</v>
      </c>
      <c r="AC30" s="19">
        <v>136081.16</v>
      </c>
      <c r="AD30" s="19">
        <v>27207.1629456848</v>
      </c>
      <c r="AE30" s="19">
        <v>63</v>
      </c>
      <c r="AF30" s="19">
        <v>46</v>
      </c>
      <c r="AG30" s="19">
        <v>52</v>
      </c>
      <c r="AH30" s="19">
        <v>114422.16</v>
      </c>
      <c r="AI30" s="19">
        <v>37</v>
      </c>
      <c r="AJ30" s="19">
        <v>0</v>
      </c>
      <c r="AK30" s="19">
        <v>0.0676</v>
      </c>
      <c r="AL30" s="19">
        <v>0.2932</v>
      </c>
      <c r="AM30" s="19">
        <v>0.0087</v>
      </c>
      <c r="AN30" s="19">
        <v>0.0255</v>
      </c>
      <c r="AO30" s="19">
        <v>0.007</v>
      </c>
      <c r="AP30" s="19">
        <v>0.0072</v>
      </c>
      <c r="AQ30" s="19">
        <v>0</v>
      </c>
      <c r="AR30" s="19">
        <v>0</v>
      </c>
      <c r="AS30" s="19">
        <v>3</v>
      </c>
      <c r="AT30" s="19">
        <v>844.28</v>
      </c>
      <c r="AU30" s="19">
        <v>111454.4</v>
      </c>
      <c r="AV30" s="19">
        <v>51</v>
      </c>
      <c r="AW30" s="19">
        <v>24819</v>
      </c>
      <c r="AX30" s="19">
        <v>12</v>
      </c>
      <c r="AY30" s="19">
        <v>0.1821</v>
      </c>
      <c r="AZ30" s="19" t="s">
        <v>360</v>
      </c>
      <c r="BA30" s="19" t="s">
        <v>360</v>
      </c>
      <c r="BB30" s="19" t="s">
        <v>360</v>
      </c>
      <c r="BC30" s="19" t="s">
        <v>360</v>
      </c>
    </row>
    <row r="31" spans="1:55">
      <c r="A31" s="15" t="s">
        <v>522</v>
      </c>
      <c r="B31" s="20">
        <f t="shared" si="3"/>
        <v>46041</v>
      </c>
      <c r="C31" s="21" t="str">
        <f t="shared" si="0"/>
        <v>2026年</v>
      </c>
      <c r="D31" s="21" t="str">
        <f t="shared" si="1"/>
        <v>1月</v>
      </c>
      <c r="E31" s="19" t="str">
        <f t="shared" si="2"/>
        <v>W4</v>
      </c>
      <c r="F31" s="19" t="s">
        <v>581</v>
      </c>
      <c r="G31" s="19" t="s">
        <v>582</v>
      </c>
      <c r="H31" s="19">
        <v>193</v>
      </c>
      <c r="I31" s="19">
        <v>71915</v>
      </c>
      <c r="J31" s="19">
        <v>127242</v>
      </c>
      <c r="K31" s="19">
        <v>6168</v>
      </c>
      <c r="L31" s="19">
        <v>1917.01631701632</v>
      </c>
      <c r="M31" s="19">
        <v>7965</v>
      </c>
      <c r="N31" s="19">
        <v>84</v>
      </c>
      <c r="O31" s="19">
        <v>42</v>
      </c>
      <c r="P31" s="19">
        <v>0.82</v>
      </c>
      <c r="Q31" s="19">
        <v>207</v>
      </c>
      <c r="R31" s="19">
        <v>0</v>
      </c>
      <c r="S31" s="19">
        <v>46</v>
      </c>
      <c r="T31" s="19">
        <v>5</v>
      </c>
      <c r="U31" s="19">
        <v>0.5227</v>
      </c>
      <c r="V31" s="19">
        <v>197</v>
      </c>
      <c r="W31" s="19">
        <v>5849</v>
      </c>
      <c r="X31" s="19">
        <v>2507</v>
      </c>
      <c r="Y31" s="19">
        <v>98137</v>
      </c>
      <c r="Z31" s="19">
        <v>7179</v>
      </c>
      <c r="AA31" s="19">
        <v>75</v>
      </c>
      <c r="AB31" s="19">
        <v>139333</v>
      </c>
      <c r="AC31" s="19">
        <v>135159.61</v>
      </c>
      <c r="AD31" s="19">
        <v>42007.6487956488</v>
      </c>
      <c r="AE31" s="19">
        <v>75</v>
      </c>
      <c r="AF31" s="19">
        <v>65</v>
      </c>
      <c r="AG31" s="19">
        <v>27</v>
      </c>
      <c r="AH31" s="19">
        <v>49691.07</v>
      </c>
      <c r="AI31" s="19">
        <v>22</v>
      </c>
      <c r="AJ31" s="19">
        <v>0</v>
      </c>
      <c r="AK31" s="19">
        <v>0.0732</v>
      </c>
      <c r="AL31" s="19">
        <v>0.4286</v>
      </c>
      <c r="AM31" s="19">
        <v>0.0104</v>
      </c>
      <c r="AN31" s="19">
        <v>0.0259</v>
      </c>
      <c r="AO31" s="19">
        <v>0.0094</v>
      </c>
      <c r="AP31" s="19">
        <v>0.0105</v>
      </c>
      <c r="AQ31" s="19">
        <v>0</v>
      </c>
      <c r="AR31" s="19">
        <v>0</v>
      </c>
      <c r="AS31" s="19">
        <v>3</v>
      </c>
      <c r="AT31" s="19">
        <v>532.62</v>
      </c>
      <c r="AU31" s="19">
        <v>102602.96</v>
      </c>
      <c r="AV31" s="19">
        <v>56</v>
      </c>
      <c r="AW31" s="19">
        <v>36730.04</v>
      </c>
      <c r="AX31" s="19">
        <v>19</v>
      </c>
      <c r="AY31" s="19">
        <v>0.2636</v>
      </c>
      <c r="AZ31" s="19">
        <v>77529.83</v>
      </c>
      <c r="BA31" s="19">
        <v>0.573616851957475</v>
      </c>
      <c r="BB31" s="19">
        <v>4284.17</v>
      </c>
      <c r="BC31" s="19">
        <v>45</v>
      </c>
    </row>
    <row r="32" spans="1:55">
      <c r="A32" s="15" t="s">
        <v>522</v>
      </c>
      <c r="B32" s="20">
        <f t="shared" si="3"/>
        <v>46025</v>
      </c>
      <c r="C32" s="21" t="str">
        <f t="shared" si="0"/>
        <v>2026年</v>
      </c>
      <c r="D32" s="21" t="str">
        <f t="shared" si="1"/>
        <v>1月</v>
      </c>
      <c r="E32" s="19" t="str">
        <f t="shared" si="2"/>
        <v>W1</v>
      </c>
      <c r="F32" s="19" t="s">
        <v>583</v>
      </c>
      <c r="G32" s="19" t="s">
        <v>584</v>
      </c>
      <c r="H32" s="19">
        <v>302</v>
      </c>
      <c r="I32" s="19">
        <v>58113</v>
      </c>
      <c r="J32" s="19">
        <v>146306</v>
      </c>
      <c r="K32" s="19">
        <v>9613</v>
      </c>
      <c r="L32" s="19">
        <v>1908.39307378405</v>
      </c>
      <c r="M32" s="19">
        <v>13564</v>
      </c>
      <c r="N32" s="19">
        <v>61</v>
      </c>
      <c r="O32" s="19">
        <v>43</v>
      </c>
      <c r="P32" s="19">
        <v>0.88</v>
      </c>
      <c r="Q32" s="19">
        <v>345</v>
      </c>
      <c r="R32" s="19">
        <v>0</v>
      </c>
      <c r="S32" s="19">
        <v>25</v>
      </c>
      <c r="T32" s="19">
        <v>8</v>
      </c>
      <c r="U32" s="19">
        <v>0.6668</v>
      </c>
      <c r="V32" s="19">
        <v>198</v>
      </c>
      <c r="W32" s="19">
        <v>9122</v>
      </c>
      <c r="X32" s="19">
        <v>3110</v>
      </c>
      <c r="Y32" s="19">
        <v>168055</v>
      </c>
      <c r="Z32" s="19">
        <v>11892</v>
      </c>
      <c r="AA32" s="19">
        <v>60</v>
      </c>
      <c r="AB32" s="19">
        <v>135009.09</v>
      </c>
      <c r="AC32" s="19">
        <v>134756.09</v>
      </c>
      <c r="AD32" s="19">
        <v>26752.0637476563</v>
      </c>
      <c r="AE32" s="19">
        <v>60</v>
      </c>
      <c r="AF32" s="19">
        <v>54</v>
      </c>
      <c r="AG32" s="19">
        <v>47</v>
      </c>
      <c r="AH32" s="19">
        <v>105491.09</v>
      </c>
      <c r="AI32" s="19">
        <v>42</v>
      </c>
      <c r="AJ32" s="19">
        <v>0</v>
      </c>
      <c r="AK32" s="19">
        <v>0.0708</v>
      </c>
      <c r="AL32" s="19">
        <v>0.3409</v>
      </c>
      <c r="AM32" s="19">
        <v>0.005</v>
      </c>
      <c r="AN32" s="19">
        <v>0.0174</v>
      </c>
      <c r="AO32" s="19">
        <v>0.0044</v>
      </c>
      <c r="AP32" s="19">
        <v>0.0056</v>
      </c>
      <c r="AQ32" s="19">
        <v>0</v>
      </c>
      <c r="AR32" s="19">
        <v>0</v>
      </c>
      <c r="AS32" s="19">
        <v>0</v>
      </c>
      <c r="AT32" s="19">
        <v>836.26</v>
      </c>
      <c r="AU32" s="19">
        <v>117489.09</v>
      </c>
      <c r="AV32" s="19">
        <v>53</v>
      </c>
      <c r="AW32" s="19">
        <v>17520</v>
      </c>
      <c r="AX32" s="19">
        <v>7</v>
      </c>
      <c r="AY32" s="19">
        <v>0.1298</v>
      </c>
      <c r="AZ32" s="19" t="s">
        <v>360</v>
      </c>
      <c r="BA32" s="19" t="s">
        <v>360</v>
      </c>
      <c r="BB32" s="19" t="s">
        <v>360</v>
      </c>
      <c r="BC32" s="19" t="s">
        <v>360</v>
      </c>
    </row>
    <row r="33" spans="1:55">
      <c r="A33" s="15" t="s">
        <v>522</v>
      </c>
      <c r="B33" s="20">
        <f t="shared" si="3"/>
        <v>46023</v>
      </c>
      <c r="C33" s="21" t="str">
        <f t="shared" si="0"/>
        <v>2026年</v>
      </c>
      <c r="D33" s="21" t="str">
        <f t="shared" si="1"/>
        <v>1月</v>
      </c>
      <c r="E33" s="19" t="str">
        <f t="shared" si="2"/>
        <v>W1</v>
      </c>
      <c r="F33" s="19" t="s">
        <v>585</v>
      </c>
      <c r="G33" s="19" t="s">
        <v>586</v>
      </c>
      <c r="H33" s="19">
        <v>302</v>
      </c>
      <c r="I33" s="19">
        <v>77483</v>
      </c>
      <c r="J33" s="19">
        <v>178612</v>
      </c>
      <c r="K33" s="19">
        <v>12460</v>
      </c>
      <c r="L33" s="19">
        <v>2473.04002646378</v>
      </c>
      <c r="M33" s="19">
        <v>17128</v>
      </c>
      <c r="N33" s="19">
        <v>72</v>
      </c>
      <c r="O33" s="19">
        <v>46</v>
      </c>
      <c r="P33" s="19">
        <v>0.68</v>
      </c>
      <c r="Q33" s="19">
        <v>307</v>
      </c>
      <c r="R33" s="19">
        <v>1</v>
      </c>
      <c r="S33" s="19">
        <v>42</v>
      </c>
      <c r="T33" s="19">
        <v>6</v>
      </c>
      <c r="U33" s="19">
        <v>0.5951</v>
      </c>
      <c r="V33" s="19">
        <v>199</v>
      </c>
      <c r="W33" s="19">
        <v>11900</v>
      </c>
      <c r="X33" s="19">
        <v>3751</v>
      </c>
      <c r="Y33" s="19">
        <v>205672</v>
      </c>
      <c r="Z33" s="19">
        <v>13821</v>
      </c>
      <c r="AA33" s="19">
        <v>62</v>
      </c>
      <c r="AB33" s="19">
        <v>134551</v>
      </c>
      <c r="AC33" s="19">
        <v>134427</v>
      </c>
      <c r="AD33" s="19">
        <v>26680.8468408865</v>
      </c>
      <c r="AE33" s="19">
        <v>62</v>
      </c>
      <c r="AF33" s="19">
        <v>45</v>
      </c>
      <c r="AG33" s="19">
        <v>52</v>
      </c>
      <c r="AH33" s="19">
        <v>110469</v>
      </c>
      <c r="AI33" s="19">
        <v>35</v>
      </c>
      <c r="AJ33" s="19">
        <v>0</v>
      </c>
      <c r="AK33" s="19">
        <v>0.0672</v>
      </c>
      <c r="AL33" s="19">
        <v>0.3152</v>
      </c>
      <c r="AM33" s="19">
        <v>0.0045</v>
      </c>
      <c r="AN33" s="19">
        <v>0.012</v>
      </c>
      <c r="AO33" s="19">
        <v>0.0036</v>
      </c>
      <c r="AP33" s="19">
        <v>0.0036</v>
      </c>
      <c r="AQ33" s="19">
        <v>0</v>
      </c>
      <c r="AR33" s="19">
        <v>0</v>
      </c>
      <c r="AS33" s="19">
        <v>2</v>
      </c>
      <c r="AT33" s="19">
        <v>947.07</v>
      </c>
      <c r="AU33" s="19">
        <v>119975</v>
      </c>
      <c r="AV33" s="19">
        <v>54</v>
      </c>
      <c r="AW33" s="19">
        <v>14576</v>
      </c>
      <c r="AX33" s="19">
        <v>8</v>
      </c>
      <c r="AY33" s="19">
        <v>0.1083</v>
      </c>
      <c r="AZ33" s="19" t="s">
        <v>360</v>
      </c>
      <c r="BA33" s="19" t="s">
        <v>360</v>
      </c>
      <c r="BB33" s="19" t="s">
        <v>360</v>
      </c>
      <c r="BC33" s="19" t="s">
        <v>360</v>
      </c>
    </row>
    <row r="34" spans="1:55">
      <c r="A34" s="15" t="s">
        <v>522</v>
      </c>
      <c r="B34" s="20">
        <f t="shared" si="3"/>
        <v>46029</v>
      </c>
      <c r="C34" s="21" t="str">
        <f t="shared" si="0"/>
        <v>2026年</v>
      </c>
      <c r="D34" s="21" t="str">
        <f t="shared" si="1"/>
        <v>1月</v>
      </c>
      <c r="E34" s="19" t="str">
        <f t="shared" si="2"/>
        <v>W2</v>
      </c>
      <c r="F34" s="19" t="s">
        <v>587</v>
      </c>
      <c r="G34" s="19" t="s">
        <v>588</v>
      </c>
      <c r="H34" s="19">
        <v>247</v>
      </c>
      <c r="I34" s="19">
        <v>72712</v>
      </c>
      <c r="J34" s="19">
        <v>145515</v>
      </c>
      <c r="K34" s="19">
        <v>10206</v>
      </c>
      <c r="L34" s="19">
        <v>2470.85406859449</v>
      </c>
      <c r="M34" s="19">
        <v>13588</v>
      </c>
      <c r="N34" s="19">
        <v>89</v>
      </c>
      <c r="O34" s="19">
        <v>48</v>
      </c>
      <c r="P34" s="19">
        <v>0.68</v>
      </c>
      <c r="Q34" s="19">
        <v>275</v>
      </c>
      <c r="R34" s="19">
        <v>0</v>
      </c>
      <c r="S34" s="19">
        <v>40</v>
      </c>
      <c r="T34" s="19">
        <v>7</v>
      </c>
      <c r="U34" s="19">
        <v>0.5514</v>
      </c>
      <c r="V34" s="19">
        <v>202</v>
      </c>
      <c r="W34" s="19">
        <v>9853</v>
      </c>
      <c r="X34" s="19">
        <v>3313</v>
      </c>
      <c r="Y34" s="19">
        <v>161179</v>
      </c>
      <c r="Z34" s="19">
        <v>12806</v>
      </c>
      <c r="AA34" s="19">
        <v>80</v>
      </c>
      <c r="AB34" s="19">
        <v>134172</v>
      </c>
      <c r="AC34" s="19">
        <v>134102</v>
      </c>
      <c r="AD34" s="19">
        <v>32465.8507061197</v>
      </c>
      <c r="AE34" s="19">
        <v>80</v>
      </c>
      <c r="AF34" s="19">
        <v>67</v>
      </c>
      <c r="AG34" s="19">
        <v>66</v>
      </c>
      <c r="AH34" s="19">
        <v>111042</v>
      </c>
      <c r="AI34" s="19">
        <v>60</v>
      </c>
      <c r="AJ34" s="19">
        <v>0</v>
      </c>
      <c r="AK34" s="19">
        <v>0.0795</v>
      </c>
      <c r="AL34" s="19">
        <v>0.3362</v>
      </c>
      <c r="AM34" s="19">
        <v>0.0062</v>
      </c>
      <c r="AN34" s="19">
        <v>0.0202</v>
      </c>
      <c r="AO34" s="19">
        <v>0.0059</v>
      </c>
      <c r="AP34" s="19">
        <v>0.0066</v>
      </c>
      <c r="AQ34" s="19">
        <v>0</v>
      </c>
      <c r="AR34" s="19">
        <v>0</v>
      </c>
      <c r="AS34" s="19">
        <v>0</v>
      </c>
      <c r="AT34" s="19">
        <v>861.44</v>
      </c>
      <c r="AU34" s="19">
        <v>110831</v>
      </c>
      <c r="AV34" s="19">
        <v>64</v>
      </c>
      <c r="AW34" s="19">
        <v>23341</v>
      </c>
      <c r="AX34" s="19">
        <v>16</v>
      </c>
      <c r="AY34" s="19">
        <v>0.174</v>
      </c>
      <c r="AZ34" s="19" t="s">
        <v>360</v>
      </c>
      <c r="BA34" s="19" t="s">
        <v>360</v>
      </c>
      <c r="BB34" s="19" t="s">
        <v>360</v>
      </c>
      <c r="BC34" s="19" t="s">
        <v>360</v>
      </c>
    </row>
    <row r="35" spans="1:55">
      <c r="A35" s="15" t="s">
        <v>522</v>
      </c>
      <c r="B35" s="20">
        <f t="shared" si="3"/>
        <v>46033</v>
      </c>
      <c r="C35" s="21" t="str">
        <f t="shared" si="0"/>
        <v>2026年</v>
      </c>
      <c r="D35" s="21" t="str">
        <f t="shared" si="1"/>
        <v>1月</v>
      </c>
      <c r="E35" s="19" t="str">
        <f t="shared" si="2"/>
        <v>W2</v>
      </c>
      <c r="F35" s="19" t="s">
        <v>589</v>
      </c>
      <c r="G35" s="19" t="s">
        <v>590</v>
      </c>
      <c r="H35" s="19">
        <v>240</v>
      </c>
      <c r="I35" s="19">
        <v>59258</v>
      </c>
      <c r="J35" s="19">
        <v>129096</v>
      </c>
      <c r="K35" s="19">
        <v>9050</v>
      </c>
      <c r="L35" s="19">
        <v>2261.08682073704</v>
      </c>
      <c r="M35" s="19">
        <v>12278</v>
      </c>
      <c r="N35" s="19">
        <v>70</v>
      </c>
      <c r="O35" s="19">
        <v>42</v>
      </c>
      <c r="P35" s="19">
        <v>0.66</v>
      </c>
      <c r="Q35" s="19">
        <v>202</v>
      </c>
      <c r="R35" s="19">
        <v>0</v>
      </c>
      <c r="S35" s="19">
        <v>36</v>
      </c>
      <c r="T35" s="19">
        <v>4</v>
      </c>
      <c r="U35" s="19">
        <v>0.6133</v>
      </c>
      <c r="V35" s="19">
        <v>198</v>
      </c>
      <c r="W35" s="19">
        <v>8662</v>
      </c>
      <c r="X35" s="19">
        <v>2615</v>
      </c>
      <c r="Y35" s="19">
        <v>144846</v>
      </c>
      <c r="Z35" s="19">
        <v>9614</v>
      </c>
      <c r="AA35" s="19">
        <v>54</v>
      </c>
      <c r="AB35" s="19">
        <v>133607</v>
      </c>
      <c r="AC35" s="19">
        <v>133327.99</v>
      </c>
      <c r="AD35" s="19">
        <v>33311.1780137414</v>
      </c>
      <c r="AE35" s="19">
        <v>54</v>
      </c>
      <c r="AF35" s="19">
        <v>45</v>
      </c>
      <c r="AG35" s="19">
        <v>31</v>
      </c>
      <c r="AH35" s="19">
        <v>79460.99</v>
      </c>
      <c r="AI35" s="19">
        <v>26</v>
      </c>
      <c r="AJ35" s="19">
        <v>0</v>
      </c>
      <c r="AK35" s="19">
        <v>0.0664</v>
      </c>
      <c r="AL35" s="19">
        <v>0.3019</v>
      </c>
      <c r="AM35" s="19">
        <v>0.0056</v>
      </c>
      <c r="AN35" s="19">
        <v>0.0172</v>
      </c>
      <c r="AO35" s="19">
        <v>0.0044</v>
      </c>
      <c r="AP35" s="19">
        <v>0.005</v>
      </c>
      <c r="AQ35" s="19">
        <v>0</v>
      </c>
      <c r="AR35" s="19">
        <v>0</v>
      </c>
      <c r="AS35" s="19">
        <v>1</v>
      </c>
      <c r="AT35" s="19">
        <v>863.15</v>
      </c>
      <c r="AU35" s="19">
        <v>114717</v>
      </c>
      <c r="AV35" s="19">
        <v>47</v>
      </c>
      <c r="AW35" s="19">
        <v>18890</v>
      </c>
      <c r="AX35" s="19">
        <v>7</v>
      </c>
      <c r="AY35" s="19">
        <v>0.1414</v>
      </c>
      <c r="AZ35" s="19" t="s">
        <v>360</v>
      </c>
      <c r="BA35" s="19" t="s">
        <v>360</v>
      </c>
      <c r="BB35" s="19" t="s">
        <v>360</v>
      </c>
      <c r="BC35" s="19" t="s">
        <v>360</v>
      </c>
    </row>
    <row r="36" spans="1:55">
      <c r="A36" s="15" t="s">
        <v>522</v>
      </c>
      <c r="B36" s="20">
        <f t="shared" si="3"/>
        <v>46038</v>
      </c>
      <c r="C36" s="21" t="str">
        <f t="shared" si="0"/>
        <v>2026年</v>
      </c>
      <c r="D36" s="21" t="str">
        <f t="shared" si="1"/>
        <v>1月</v>
      </c>
      <c r="E36" s="19" t="str">
        <f t="shared" si="2"/>
        <v>W3</v>
      </c>
      <c r="F36" s="19" t="s">
        <v>591</v>
      </c>
      <c r="G36" s="19" t="s">
        <v>592</v>
      </c>
      <c r="H36" s="19">
        <v>300</v>
      </c>
      <c r="I36" s="19">
        <v>49494</v>
      </c>
      <c r="J36" s="19">
        <v>118883</v>
      </c>
      <c r="K36" s="19">
        <v>5347</v>
      </c>
      <c r="L36" s="19">
        <v>1066.79228552427</v>
      </c>
      <c r="M36" s="19">
        <v>7382</v>
      </c>
      <c r="N36" s="19">
        <v>45</v>
      </c>
      <c r="O36" s="19">
        <v>26</v>
      </c>
      <c r="P36" s="19">
        <v>0.83</v>
      </c>
      <c r="Q36" s="19">
        <v>201</v>
      </c>
      <c r="R36" s="19">
        <v>0</v>
      </c>
      <c r="S36" s="19">
        <v>28</v>
      </c>
      <c r="T36" s="19">
        <v>4</v>
      </c>
      <c r="U36" s="19">
        <v>0.6323</v>
      </c>
      <c r="V36" s="19">
        <v>217</v>
      </c>
      <c r="W36" s="19">
        <v>5081</v>
      </c>
      <c r="X36" s="19">
        <v>1969</v>
      </c>
      <c r="Y36" s="19">
        <v>104340</v>
      </c>
      <c r="Z36" s="19">
        <v>6877</v>
      </c>
      <c r="AA36" s="19">
        <v>63</v>
      </c>
      <c r="AB36" s="19">
        <v>134866.51</v>
      </c>
      <c r="AC36" s="19">
        <v>133175.64</v>
      </c>
      <c r="AD36" s="19">
        <v>26570.1786743516</v>
      </c>
      <c r="AE36" s="19">
        <v>63</v>
      </c>
      <c r="AF36" s="19">
        <v>49</v>
      </c>
      <c r="AG36" s="19">
        <v>21</v>
      </c>
      <c r="AH36" s="19">
        <v>43025.07</v>
      </c>
      <c r="AI36" s="19">
        <v>18</v>
      </c>
      <c r="AJ36" s="19">
        <v>0</v>
      </c>
      <c r="AK36" s="19">
        <v>0.0659</v>
      </c>
      <c r="AL36" s="19">
        <v>0.3875</v>
      </c>
      <c r="AM36" s="19">
        <v>0.0092</v>
      </c>
      <c r="AN36" s="19">
        <v>0.0249</v>
      </c>
      <c r="AO36" s="19">
        <v>0.0085</v>
      </c>
      <c r="AP36" s="19">
        <v>0.0092</v>
      </c>
      <c r="AQ36" s="19">
        <v>0</v>
      </c>
      <c r="AR36" s="19">
        <v>0</v>
      </c>
      <c r="AS36" s="19">
        <v>0</v>
      </c>
      <c r="AT36" s="19">
        <v>666.18</v>
      </c>
      <c r="AU36" s="19">
        <v>121284.01</v>
      </c>
      <c r="AV36" s="19">
        <v>57</v>
      </c>
      <c r="AW36" s="19">
        <v>13582.5</v>
      </c>
      <c r="AX36" s="19">
        <v>6</v>
      </c>
      <c r="AY36" s="19">
        <v>0.1007</v>
      </c>
      <c r="AZ36" s="19">
        <v>14841.04</v>
      </c>
      <c r="BA36" s="19">
        <v>0.111439599614464</v>
      </c>
      <c r="BB36" s="19">
        <v>1447.47</v>
      </c>
      <c r="BC36" s="19">
        <v>8</v>
      </c>
    </row>
    <row r="37" spans="1:55">
      <c r="A37" s="15" t="s">
        <v>522</v>
      </c>
      <c r="B37" s="20">
        <f t="shared" si="3"/>
        <v>46039</v>
      </c>
      <c r="C37" s="21" t="str">
        <f t="shared" si="0"/>
        <v>2026年</v>
      </c>
      <c r="D37" s="21" t="str">
        <f t="shared" si="1"/>
        <v>1月</v>
      </c>
      <c r="E37" s="19" t="str">
        <f t="shared" si="2"/>
        <v>W3</v>
      </c>
      <c r="F37" s="19" t="s">
        <v>593</v>
      </c>
      <c r="G37" s="19" t="s">
        <v>594</v>
      </c>
      <c r="H37" s="19">
        <v>300</v>
      </c>
      <c r="I37" s="19">
        <v>52896</v>
      </c>
      <c r="J37" s="19">
        <v>115848</v>
      </c>
      <c r="K37" s="19">
        <v>5918</v>
      </c>
      <c r="L37" s="19">
        <v>1183.13989004276</v>
      </c>
      <c r="M37" s="19">
        <v>7991</v>
      </c>
      <c r="N37" s="19">
        <v>84</v>
      </c>
      <c r="O37" s="19">
        <v>28</v>
      </c>
      <c r="P37" s="19">
        <v>0.86</v>
      </c>
      <c r="Q37" s="19">
        <v>193</v>
      </c>
      <c r="R37" s="19">
        <v>1</v>
      </c>
      <c r="S37" s="19">
        <v>49</v>
      </c>
      <c r="T37" s="19">
        <v>4</v>
      </c>
      <c r="U37" s="19">
        <v>0.6063</v>
      </c>
      <c r="V37" s="19">
        <v>201</v>
      </c>
      <c r="W37" s="19">
        <v>5700</v>
      </c>
      <c r="X37" s="19">
        <v>2029</v>
      </c>
      <c r="Y37" s="19">
        <v>98102</v>
      </c>
      <c r="Z37" s="19">
        <v>7553</v>
      </c>
      <c r="AA37" s="19">
        <v>55</v>
      </c>
      <c r="AB37" s="19">
        <v>135826.59</v>
      </c>
      <c r="AC37" s="19">
        <v>132690.83</v>
      </c>
      <c r="AD37" s="19">
        <v>26527.849614039</v>
      </c>
      <c r="AE37" s="19">
        <v>55</v>
      </c>
      <c r="AF37" s="19">
        <v>45</v>
      </c>
      <c r="AG37" s="19">
        <v>17</v>
      </c>
      <c r="AH37" s="19">
        <v>44100.83</v>
      </c>
      <c r="AI37" s="19">
        <v>12</v>
      </c>
      <c r="AJ37" s="19">
        <v>0</v>
      </c>
      <c r="AK37" s="19">
        <v>0.077</v>
      </c>
      <c r="AL37" s="19">
        <v>0.356</v>
      </c>
      <c r="AM37" s="19">
        <v>0.0073</v>
      </c>
      <c r="AN37" s="19">
        <v>0.0222</v>
      </c>
      <c r="AO37" s="19">
        <v>0.0069</v>
      </c>
      <c r="AP37" s="19">
        <v>0.0076</v>
      </c>
      <c r="AQ37" s="19">
        <v>0</v>
      </c>
      <c r="AR37" s="19">
        <v>0</v>
      </c>
      <c r="AS37" s="19">
        <v>1</v>
      </c>
      <c r="AT37" s="19">
        <v>782.72</v>
      </c>
      <c r="AU37" s="19">
        <v>130703</v>
      </c>
      <c r="AV37" s="19">
        <v>52</v>
      </c>
      <c r="AW37" s="19">
        <v>5123.59</v>
      </c>
      <c r="AX37" s="19">
        <v>3</v>
      </c>
      <c r="AY37" s="19">
        <v>0.0377</v>
      </c>
      <c r="AZ37" s="19">
        <v>29367.83</v>
      </c>
      <c r="BA37" s="19">
        <v>0.221325241540806</v>
      </c>
      <c r="BB37" s="19">
        <v>3049.76</v>
      </c>
      <c r="BC37" s="19">
        <v>11</v>
      </c>
    </row>
    <row r="38" spans="1:55">
      <c r="A38" s="15" t="s">
        <v>522</v>
      </c>
      <c r="B38" s="20">
        <f t="shared" si="3"/>
        <v>46030</v>
      </c>
      <c r="C38" s="21" t="str">
        <f t="shared" si="0"/>
        <v>2026年</v>
      </c>
      <c r="D38" s="21" t="str">
        <f t="shared" si="1"/>
        <v>1月</v>
      </c>
      <c r="E38" s="19" t="str">
        <f t="shared" si="2"/>
        <v>W2</v>
      </c>
      <c r="F38" s="19" t="s">
        <v>595</v>
      </c>
      <c r="G38" s="19" t="s">
        <v>596</v>
      </c>
      <c r="H38" s="19">
        <v>301</v>
      </c>
      <c r="I38" s="19">
        <v>53074</v>
      </c>
      <c r="J38" s="19">
        <v>134631</v>
      </c>
      <c r="K38" s="19">
        <v>8357</v>
      </c>
      <c r="L38" s="19">
        <v>1665.38610572931</v>
      </c>
      <c r="M38" s="19">
        <v>12016</v>
      </c>
      <c r="N38" s="19">
        <v>78</v>
      </c>
      <c r="O38" s="19">
        <v>40</v>
      </c>
      <c r="P38" s="19">
        <v>0.87</v>
      </c>
      <c r="Q38" s="19">
        <v>301</v>
      </c>
      <c r="R38" s="19">
        <v>0</v>
      </c>
      <c r="S38" s="19">
        <v>38</v>
      </c>
      <c r="T38" s="19">
        <v>3</v>
      </c>
      <c r="U38" s="19">
        <v>0.6291</v>
      </c>
      <c r="V38" s="19">
        <v>196</v>
      </c>
      <c r="W38" s="19">
        <v>7947</v>
      </c>
      <c r="X38" s="19">
        <v>2900</v>
      </c>
      <c r="Y38" s="19">
        <v>156121</v>
      </c>
      <c r="Z38" s="19">
        <v>11609</v>
      </c>
      <c r="AA38" s="19">
        <v>56</v>
      </c>
      <c r="AB38" s="19">
        <v>130537.97</v>
      </c>
      <c r="AC38" s="19">
        <v>130468.97</v>
      </c>
      <c r="AD38" s="19">
        <v>25999.9054525325</v>
      </c>
      <c r="AE38" s="19">
        <v>56</v>
      </c>
      <c r="AF38" s="19">
        <v>48</v>
      </c>
      <c r="AG38" s="19">
        <v>46</v>
      </c>
      <c r="AH38" s="19">
        <v>107031.97</v>
      </c>
      <c r="AI38" s="19">
        <v>39</v>
      </c>
      <c r="AJ38" s="19">
        <v>0</v>
      </c>
      <c r="AK38" s="19">
        <v>0.0744</v>
      </c>
      <c r="AL38" s="19">
        <v>0.3649</v>
      </c>
      <c r="AM38" s="19">
        <v>0.0048</v>
      </c>
      <c r="AN38" s="19">
        <v>0.0166</v>
      </c>
      <c r="AO38" s="19">
        <v>0.0047</v>
      </c>
      <c r="AP38" s="19">
        <v>0.0057</v>
      </c>
      <c r="AQ38" s="19">
        <v>0</v>
      </c>
      <c r="AR38" s="19">
        <v>0</v>
      </c>
      <c r="AS38" s="19">
        <v>1</v>
      </c>
      <c r="AT38" s="19">
        <v>659.32</v>
      </c>
      <c r="AU38" s="19">
        <v>115397.97</v>
      </c>
      <c r="AV38" s="19">
        <v>49</v>
      </c>
      <c r="AW38" s="19">
        <v>15140</v>
      </c>
      <c r="AX38" s="19">
        <v>7</v>
      </c>
      <c r="AY38" s="19">
        <v>0.116</v>
      </c>
      <c r="AZ38" s="19" t="s">
        <v>360</v>
      </c>
      <c r="BA38" s="19" t="s">
        <v>360</v>
      </c>
      <c r="BB38" s="19" t="s">
        <v>360</v>
      </c>
      <c r="BC38" s="19" t="s">
        <v>360</v>
      </c>
    </row>
    <row r="39" spans="1:55">
      <c r="A39" s="15" t="s">
        <v>522</v>
      </c>
      <c r="B39" s="20">
        <f t="shared" si="3"/>
        <v>46028</v>
      </c>
      <c r="C39" s="21" t="str">
        <f t="shared" si="0"/>
        <v>2026年</v>
      </c>
      <c r="D39" s="21" t="str">
        <f t="shared" si="1"/>
        <v>1月</v>
      </c>
      <c r="E39" s="19" t="str">
        <f t="shared" si="2"/>
        <v>W2</v>
      </c>
      <c r="F39" s="19" t="s">
        <v>597</v>
      </c>
      <c r="G39" s="19" t="s">
        <v>598</v>
      </c>
      <c r="H39" s="19">
        <v>244</v>
      </c>
      <c r="I39" s="19">
        <v>74013</v>
      </c>
      <c r="J39" s="19">
        <v>148846</v>
      </c>
      <c r="K39" s="19">
        <v>11377</v>
      </c>
      <c r="L39" s="19">
        <v>2795.52248993243</v>
      </c>
      <c r="M39" s="19">
        <v>15235</v>
      </c>
      <c r="N39" s="19">
        <v>95</v>
      </c>
      <c r="O39" s="19">
        <v>48</v>
      </c>
      <c r="P39" s="19">
        <v>0.67</v>
      </c>
      <c r="Q39" s="19">
        <v>278</v>
      </c>
      <c r="R39" s="19">
        <v>0</v>
      </c>
      <c r="S39" s="19">
        <v>48</v>
      </c>
      <c r="T39" s="19">
        <v>6</v>
      </c>
      <c r="U39" s="19">
        <v>0.5547</v>
      </c>
      <c r="V39" s="19">
        <v>201</v>
      </c>
      <c r="W39" s="19">
        <v>10864</v>
      </c>
      <c r="X39" s="19">
        <v>3535</v>
      </c>
      <c r="Y39" s="19">
        <v>157446</v>
      </c>
      <c r="Z39" s="19">
        <v>13559</v>
      </c>
      <c r="AA39" s="19">
        <v>87</v>
      </c>
      <c r="AB39" s="19">
        <v>130705</v>
      </c>
      <c r="AC39" s="19">
        <v>130378</v>
      </c>
      <c r="AD39" s="19">
        <v>32036.0930994471</v>
      </c>
      <c r="AE39" s="19">
        <v>87</v>
      </c>
      <c r="AF39" s="19">
        <v>79</v>
      </c>
      <c r="AG39" s="19">
        <v>77</v>
      </c>
      <c r="AH39" s="19">
        <v>115477</v>
      </c>
      <c r="AI39" s="19">
        <v>69</v>
      </c>
      <c r="AJ39" s="19">
        <v>0</v>
      </c>
      <c r="AK39" s="19">
        <v>0.0861</v>
      </c>
      <c r="AL39" s="19">
        <v>0.3254</v>
      </c>
      <c r="AM39" s="19">
        <v>0.0064</v>
      </c>
      <c r="AN39" s="19">
        <v>0.0223</v>
      </c>
      <c r="AO39" s="19">
        <v>0.0057</v>
      </c>
      <c r="AP39" s="19">
        <v>0.0069</v>
      </c>
      <c r="AQ39" s="19">
        <v>0</v>
      </c>
      <c r="AR39" s="19">
        <v>0</v>
      </c>
      <c r="AS39" s="19">
        <v>2</v>
      </c>
      <c r="AT39" s="19">
        <v>688.31</v>
      </c>
      <c r="AU39" s="19">
        <v>98330</v>
      </c>
      <c r="AV39" s="19">
        <v>65</v>
      </c>
      <c r="AW39" s="19">
        <v>32375</v>
      </c>
      <c r="AX39" s="19">
        <v>22</v>
      </c>
      <c r="AY39" s="19">
        <v>0.2477</v>
      </c>
      <c r="AZ39" s="19" t="s">
        <v>360</v>
      </c>
      <c r="BA39" s="19" t="s">
        <v>360</v>
      </c>
      <c r="BB39" s="19" t="s">
        <v>360</v>
      </c>
      <c r="BC39" s="19" t="s">
        <v>360</v>
      </c>
    </row>
    <row r="40" spans="1:55">
      <c r="A40" s="15" t="s">
        <v>522</v>
      </c>
      <c r="B40" s="20">
        <f t="shared" si="3"/>
        <v>46032</v>
      </c>
      <c r="C40" s="21" t="str">
        <f t="shared" si="0"/>
        <v>2026年</v>
      </c>
      <c r="D40" s="21" t="str">
        <f t="shared" si="1"/>
        <v>1月</v>
      </c>
      <c r="E40" s="19" t="str">
        <f t="shared" si="2"/>
        <v>W2</v>
      </c>
      <c r="F40" s="19" t="s">
        <v>599</v>
      </c>
      <c r="G40" s="19" t="s">
        <v>600</v>
      </c>
      <c r="H40" s="19">
        <v>287</v>
      </c>
      <c r="I40" s="19">
        <v>40014</v>
      </c>
      <c r="J40" s="19">
        <v>99597</v>
      </c>
      <c r="K40" s="19">
        <v>6958</v>
      </c>
      <c r="L40" s="19">
        <v>1453.95867192942</v>
      </c>
      <c r="M40" s="19">
        <v>9696</v>
      </c>
      <c r="N40" s="19">
        <v>72</v>
      </c>
      <c r="O40" s="19">
        <v>34</v>
      </c>
      <c r="P40" s="19">
        <v>0.79</v>
      </c>
      <c r="Q40" s="19">
        <v>153</v>
      </c>
      <c r="R40" s="19">
        <v>0</v>
      </c>
      <c r="S40" s="19">
        <v>29</v>
      </c>
      <c r="T40" s="19">
        <v>3</v>
      </c>
      <c r="U40" s="19">
        <v>0.6611</v>
      </c>
      <c r="V40" s="19">
        <v>197</v>
      </c>
      <c r="W40" s="19">
        <v>6672</v>
      </c>
      <c r="X40" s="19">
        <v>2195</v>
      </c>
      <c r="Y40" s="19">
        <v>114272</v>
      </c>
      <c r="Z40" s="19">
        <v>8149</v>
      </c>
      <c r="AA40" s="19">
        <v>45</v>
      </c>
      <c r="AB40" s="19">
        <v>130180.02</v>
      </c>
      <c r="AC40" s="19">
        <v>129970.83</v>
      </c>
      <c r="AD40" s="19">
        <v>27158.9846761087</v>
      </c>
      <c r="AE40" s="19">
        <v>45</v>
      </c>
      <c r="AF40" s="19">
        <v>43</v>
      </c>
      <c r="AG40" s="19">
        <v>39</v>
      </c>
      <c r="AH40" s="19">
        <v>115939.1</v>
      </c>
      <c r="AI40" s="19">
        <v>37</v>
      </c>
      <c r="AJ40" s="19">
        <v>0</v>
      </c>
      <c r="AK40" s="19">
        <v>0.0713</v>
      </c>
      <c r="AL40" s="19">
        <v>0.329</v>
      </c>
      <c r="AM40" s="19">
        <v>0.0055</v>
      </c>
      <c r="AN40" s="19">
        <v>0.0196</v>
      </c>
      <c r="AO40" s="19">
        <v>0.0046</v>
      </c>
      <c r="AP40" s="19">
        <v>0.0062</v>
      </c>
      <c r="AQ40" s="19">
        <v>0</v>
      </c>
      <c r="AR40" s="19">
        <v>0</v>
      </c>
      <c r="AS40" s="19">
        <v>2</v>
      </c>
      <c r="AT40" s="19">
        <v>716.18</v>
      </c>
      <c r="AU40" s="19">
        <v>117944.02</v>
      </c>
      <c r="AV40" s="19">
        <v>41</v>
      </c>
      <c r="AW40" s="19">
        <v>12236</v>
      </c>
      <c r="AX40" s="19">
        <v>4</v>
      </c>
      <c r="AY40" s="19">
        <v>0.094</v>
      </c>
      <c r="AZ40" s="19" t="s">
        <v>360</v>
      </c>
      <c r="BA40" s="19" t="s">
        <v>360</v>
      </c>
      <c r="BB40" s="19" t="s">
        <v>360</v>
      </c>
      <c r="BC40" s="19" t="s">
        <v>360</v>
      </c>
    </row>
    <row r="41" spans="1:55">
      <c r="A41" s="15" t="s">
        <v>522</v>
      </c>
      <c r="B41" s="20">
        <f t="shared" si="3"/>
        <v>46027</v>
      </c>
      <c r="C41" s="21" t="str">
        <f t="shared" si="0"/>
        <v>2026年</v>
      </c>
      <c r="D41" s="21" t="str">
        <f t="shared" si="1"/>
        <v>1月</v>
      </c>
      <c r="E41" s="19" t="str">
        <f t="shared" si="2"/>
        <v>W2</v>
      </c>
      <c r="F41" s="19" t="s">
        <v>601</v>
      </c>
      <c r="G41" s="19" t="s">
        <v>602</v>
      </c>
      <c r="H41" s="19">
        <v>246</v>
      </c>
      <c r="I41" s="19">
        <v>48818</v>
      </c>
      <c r="J41" s="19">
        <v>114286</v>
      </c>
      <c r="K41" s="19">
        <v>8111</v>
      </c>
      <c r="L41" s="19">
        <v>1971.74691066244</v>
      </c>
      <c r="M41" s="19">
        <v>11088</v>
      </c>
      <c r="N41" s="19">
        <v>60</v>
      </c>
      <c r="O41" s="19">
        <v>38</v>
      </c>
      <c r="P41" s="19">
        <v>0.71</v>
      </c>
      <c r="Q41" s="19">
        <v>195</v>
      </c>
      <c r="R41" s="19">
        <v>0</v>
      </c>
      <c r="S41" s="19">
        <v>23</v>
      </c>
      <c r="T41" s="19">
        <v>3</v>
      </c>
      <c r="U41" s="19">
        <v>0.642</v>
      </c>
      <c r="V41" s="19">
        <v>198</v>
      </c>
      <c r="W41" s="19">
        <v>7777</v>
      </c>
      <c r="X41" s="19">
        <v>2565</v>
      </c>
      <c r="Y41" s="19">
        <v>124332</v>
      </c>
      <c r="Z41" s="19">
        <v>9514</v>
      </c>
      <c r="AA41" s="19">
        <v>75</v>
      </c>
      <c r="AB41" s="19">
        <v>127895</v>
      </c>
      <c r="AC41" s="19">
        <v>127618.56</v>
      </c>
      <c r="AD41" s="19">
        <v>31023.4867985684</v>
      </c>
      <c r="AE41" s="19">
        <v>75</v>
      </c>
      <c r="AF41" s="19">
        <v>67</v>
      </c>
      <c r="AG41" s="19">
        <v>65</v>
      </c>
      <c r="AH41" s="19">
        <v>112393</v>
      </c>
      <c r="AI41" s="19">
        <v>58</v>
      </c>
      <c r="AJ41" s="19">
        <v>0</v>
      </c>
      <c r="AK41" s="19">
        <v>0.0765</v>
      </c>
      <c r="AL41" s="19">
        <v>0.3298</v>
      </c>
      <c r="AM41" s="19">
        <v>0.0079</v>
      </c>
      <c r="AN41" s="19">
        <v>0.0261</v>
      </c>
      <c r="AO41" s="19">
        <v>0.0068</v>
      </c>
      <c r="AP41" s="19">
        <v>0.0083</v>
      </c>
      <c r="AQ41" s="19">
        <v>0</v>
      </c>
      <c r="AR41" s="19">
        <v>0</v>
      </c>
      <c r="AS41" s="19">
        <v>2</v>
      </c>
      <c r="AT41" s="19">
        <v>699.33</v>
      </c>
      <c r="AU41" s="19">
        <v>109563</v>
      </c>
      <c r="AV41" s="19">
        <v>64</v>
      </c>
      <c r="AW41" s="19">
        <v>18332</v>
      </c>
      <c r="AX41" s="19">
        <v>11</v>
      </c>
      <c r="AY41" s="19">
        <v>0.1433</v>
      </c>
      <c r="AZ41" s="19" t="s">
        <v>360</v>
      </c>
      <c r="BA41" s="19" t="s">
        <v>360</v>
      </c>
      <c r="BB41" s="19" t="s">
        <v>360</v>
      </c>
      <c r="BC41" s="19" t="s">
        <v>360</v>
      </c>
    </row>
    <row r="42" spans="1:55">
      <c r="A42" s="15" t="s">
        <v>522</v>
      </c>
      <c r="B42" s="20">
        <f t="shared" si="3"/>
        <v>46036</v>
      </c>
      <c r="C42" s="21" t="str">
        <f t="shared" si="0"/>
        <v>2026年</v>
      </c>
      <c r="D42" s="21" t="str">
        <f t="shared" si="1"/>
        <v>1月</v>
      </c>
      <c r="E42" s="19" t="str">
        <f t="shared" si="2"/>
        <v>W3</v>
      </c>
      <c r="F42" s="19" t="s">
        <v>603</v>
      </c>
      <c r="G42" s="19" t="s">
        <v>604</v>
      </c>
      <c r="H42" s="19">
        <v>300</v>
      </c>
      <c r="I42" s="19">
        <v>33449</v>
      </c>
      <c r="J42" s="19">
        <v>82678</v>
      </c>
      <c r="K42" s="19">
        <v>5534</v>
      </c>
      <c r="L42" s="19">
        <v>1106.61556407265</v>
      </c>
      <c r="M42" s="19">
        <v>7674</v>
      </c>
      <c r="N42" s="19">
        <v>48</v>
      </c>
      <c r="O42" s="19">
        <v>26</v>
      </c>
      <c r="P42" s="19">
        <v>0.77</v>
      </c>
      <c r="Q42" s="19">
        <v>135</v>
      </c>
      <c r="R42" s="19">
        <v>0</v>
      </c>
      <c r="S42" s="19">
        <v>16</v>
      </c>
      <c r="T42" s="19">
        <v>5</v>
      </c>
      <c r="U42" s="19">
        <v>0.6805</v>
      </c>
      <c r="V42" s="19">
        <v>202</v>
      </c>
      <c r="W42" s="19">
        <v>5163</v>
      </c>
      <c r="X42" s="19">
        <v>1491</v>
      </c>
      <c r="Y42" s="19">
        <v>84936</v>
      </c>
      <c r="Z42" s="19">
        <v>5568</v>
      </c>
      <c r="AA42" s="19">
        <v>56</v>
      </c>
      <c r="AB42" s="19">
        <v>127471.64</v>
      </c>
      <c r="AC42" s="19">
        <v>127329.64</v>
      </c>
      <c r="AD42" s="19">
        <v>25461.6843859357</v>
      </c>
      <c r="AE42" s="19">
        <v>56</v>
      </c>
      <c r="AF42" s="19">
        <v>42</v>
      </c>
      <c r="AG42" s="19">
        <v>42</v>
      </c>
      <c r="AH42" s="19">
        <v>98792</v>
      </c>
      <c r="AI42" s="19">
        <v>30</v>
      </c>
      <c r="AJ42" s="19">
        <v>0</v>
      </c>
      <c r="AK42" s="19">
        <v>0.0656</v>
      </c>
      <c r="AL42" s="19">
        <v>0.2888</v>
      </c>
      <c r="AM42" s="19">
        <v>0.0101</v>
      </c>
      <c r="AN42" s="19">
        <v>0.0282</v>
      </c>
      <c r="AO42" s="19">
        <v>0.0073</v>
      </c>
      <c r="AP42" s="19">
        <v>0.0076</v>
      </c>
      <c r="AQ42" s="19">
        <v>0</v>
      </c>
      <c r="AR42" s="19">
        <v>0</v>
      </c>
      <c r="AS42" s="19">
        <v>1</v>
      </c>
      <c r="AT42" s="19">
        <v>583.46</v>
      </c>
      <c r="AU42" s="19">
        <v>101785.64</v>
      </c>
      <c r="AV42" s="19">
        <v>45</v>
      </c>
      <c r="AW42" s="19">
        <v>25686</v>
      </c>
      <c r="AX42" s="19">
        <v>11</v>
      </c>
      <c r="AY42" s="19">
        <v>0.2015</v>
      </c>
      <c r="AZ42" s="19" t="s">
        <v>360</v>
      </c>
      <c r="BA42" s="19" t="s">
        <v>360</v>
      </c>
      <c r="BB42" s="19" t="s">
        <v>360</v>
      </c>
      <c r="BC42" s="19" t="s">
        <v>360</v>
      </c>
    </row>
    <row r="43" spans="1:55">
      <c r="A43" s="15" t="s">
        <v>522</v>
      </c>
      <c r="B43" s="20">
        <f t="shared" si="3"/>
        <v>46024</v>
      </c>
      <c r="C43" s="21" t="str">
        <f t="shared" si="0"/>
        <v>2026年</v>
      </c>
      <c r="D43" s="21" t="str">
        <f t="shared" si="1"/>
        <v>1月</v>
      </c>
      <c r="E43" s="19" t="str">
        <f t="shared" si="2"/>
        <v>W1</v>
      </c>
      <c r="F43" s="19" t="s">
        <v>605</v>
      </c>
      <c r="G43" s="19" t="s">
        <v>606</v>
      </c>
      <c r="H43" s="19">
        <v>300</v>
      </c>
      <c r="I43" s="19">
        <v>37347</v>
      </c>
      <c r="J43" s="19">
        <v>92662</v>
      </c>
      <c r="K43" s="19">
        <v>6235</v>
      </c>
      <c r="L43" s="19">
        <v>1244.9941760497</v>
      </c>
      <c r="M43" s="19">
        <v>8761</v>
      </c>
      <c r="N43" s="19">
        <v>59</v>
      </c>
      <c r="O43" s="19">
        <v>29</v>
      </c>
      <c r="P43" s="19">
        <v>0.75</v>
      </c>
      <c r="Q43" s="19">
        <v>180</v>
      </c>
      <c r="R43" s="19">
        <v>0</v>
      </c>
      <c r="S43" s="19">
        <v>17</v>
      </c>
      <c r="T43" s="19">
        <v>3</v>
      </c>
      <c r="U43" s="19">
        <v>0.685</v>
      </c>
      <c r="V43" s="19">
        <v>201</v>
      </c>
      <c r="W43" s="19">
        <v>5969</v>
      </c>
      <c r="X43" s="19">
        <v>1811</v>
      </c>
      <c r="Y43" s="19">
        <v>110498</v>
      </c>
      <c r="Z43" s="19">
        <v>6945</v>
      </c>
      <c r="AA43" s="19">
        <v>60</v>
      </c>
      <c r="AB43" s="19">
        <v>125512</v>
      </c>
      <c r="AC43" s="19">
        <v>125468</v>
      </c>
      <c r="AD43" s="19">
        <v>25053.2364523823</v>
      </c>
      <c r="AE43" s="19">
        <v>60</v>
      </c>
      <c r="AF43" s="19">
        <v>46</v>
      </c>
      <c r="AG43" s="19">
        <v>50</v>
      </c>
      <c r="AH43" s="19">
        <v>109146</v>
      </c>
      <c r="AI43" s="19">
        <v>40</v>
      </c>
      <c r="AJ43" s="19">
        <v>0</v>
      </c>
      <c r="AK43" s="19">
        <v>0.0629</v>
      </c>
      <c r="AL43" s="19">
        <v>0.3034</v>
      </c>
      <c r="AM43" s="19">
        <v>0.0086</v>
      </c>
      <c r="AN43" s="19">
        <v>0.0254</v>
      </c>
      <c r="AO43" s="19">
        <v>0.0068</v>
      </c>
      <c r="AP43" s="19">
        <v>0.0074</v>
      </c>
      <c r="AQ43" s="19">
        <v>0</v>
      </c>
      <c r="AR43" s="19">
        <v>0</v>
      </c>
      <c r="AS43" s="19">
        <v>1</v>
      </c>
      <c r="AT43" s="19">
        <v>749.71</v>
      </c>
      <c r="AU43" s="19">
        <v>105602</v>
      </c>
      <c r="AV43" s="19">
        <v>53</v>
      </c>
      <c r="AW43" s="19">
        <v>19910</v>
      </c>
      <c r="AX43" s="19">
        <v>7</v>
      </c>
      <c r="AY43" s="19">
        <v>0.1586</v>
      </c>
      <c r="AZ43" s="19" t="s">
        <v>360</v>
      </c>
      <c r="BA43" s="19" t="s">
        <v>360</v>
      </c>
      <c r="BB43" s="19" t="s">
        <v>360</v>
      </c>
      <c r="BC43" s="19" t="s">
        <v>360</v>
      </c>
    </row>
    <row r="44" spans="1:55">
      <c r="A44" s="15" t="s">
        <v>522</v>
      </c>
      <c r="B44" s="20">
        <f t="shared" si="3"/>
        <v>46042</v>
      </c>
      <c r="C44" s="21" t="str">
        <f t="shared" si="0"/>
        <v>2026年</v>
      </c>
      <c r="D44" s="21" t="str">
        <f t="shared" si="1"/>
        <v>1月</v>
      </c>
      <c r="E44" s="19" t="str">
        <f t="shared" si="2"/>
        <v>W4</v>
      </c>
      <c r="F44" s="19" t="s">
        <v>607</v>
      </c>
      <c r="G44" s="19" t="s">
        <v>608</v>
      </c>
      <c r="H44" s="19">
        <v>244</v>
      </c>
      <c r="I44" s="19">
        <v>108744</v>
      </c>
      <c r="J44" s="19">
        <v>201258</v>
      </c>
      <c r="K44" s="19">
        <v>16842</v>
      </c>
      <c r="L44" s="19">
        <v>4140.90971178801</v>
      </c>
      <c r="M44" s="19">
        <v>21025</v>
      </c>
      <c r="N44" s="19">
        <v>104</v>
      </c>
      <c r="O44" s="19">
        <v>52</v>
      </c>
      <c r="P44" s="19">
        <v>0.55</v>
      </c>
      <c r="Q44" s="19">
        <v>309</v>
      </c>
      <c r="R44" s="19">
        <v>1</v>
      </c>
      <c r="S44" s="19">
        <v>69</v>
      </c>
      <c r="T44" s="19">
        <v>0</v>
      </c>
      <c r="U44" s="19">
        <v>0.4226</v>
      </c>
      <c r="V44" s="19">
        <v>203</v>
      </c>
      <c r="W44" s="19">
        <v>15372</v>
      </c>
      <c r="X44" s="19">
        <v>4349</v>
      </c>
      <c r="Y44" s="19">
        <v>175894</v>
      </c>
      <c r="Z44" s="19">
        <v>13533</v>
      </c>
      <c r="AA44" s="19">
        <v>108</v>
      </c>
      <c r="AB44" s="19">
        <v>128613.99</v>
      </c>
      <c r="AC44" s="19">
        <v>124312.43</v>
      </c>
      <c r="AD44" s="19">
        <v>30564.454855894</v>
      </c>
      <c r="AE44" s="19">
        <v>108</v>
      </c>
      <c r="AF44" s="19">
        <v>98</v>
      </c>
      <c r="AG44" s="19">
        <v>33</v>
      </c>
      <c r="AH44" s="19">
        <v>43519.14</v>
      </c>
      <c r="AI44" s="19">
        <v>31</v>
      </c>
      <c r="AJ44" s="19">
        <v>0</v>
      </c>
      <c r="AK44" s="19">
        <v>0.0769</v>
      </c>
      <c r="AL44" s="19">
        <v>0.2829</v>
      </c>
      <c r="AM44" s="19">
        <v>0.008</v>
      </c>
      <c r="AN44" s="19">
        <v>0.0225</v>
      </c>
      <c r="AO44" s="19">
        <v>0.0051</v>
      </c>
      <c r="AP44" s="19">
        <v>0.0058</v>
      </c>
      <c r="AQ44" s="19">
        <v>0</v>
      </c>
      <c r="AR44" s="19">
        <v>0</v>
      </c>
      <c r="AS44" s="19">
        <v>1</v>
      </c>
      <c r="AT44" s="19">
        <v>609.46</v>
      </c>
      <c r="AU44" s="19">
        <v>91974.37</v>
      </c>
      <c r="AV44" s="19">
        <v>81</v>
      </c>
      <c r="AW44" s="19">
        <v>36639.62</v>
      </c>
      <c r="AX44" s="19">
        <v>27</v>
      </c>
      <c r="AY44" s="19">
        <v>0.2849</v>
      </c>
      <c r="AZ44" s="19">
        <v>49729.43</v>
      </c>
      <c r="BA44" s="19">
        <v>0.400035861256996</v>
      </c>
      <c r="BB44" s="19">
        <v>4256.36</v>
      </c>
      <c r="BC44" s="19">
        <v>47</v>
      </c>
    </row>
    <row r="45" spans="1:55">
      <c r="A45" s="15" t="s">
        <v>522</v>
      </c>
      <c r="B45" s="20">
        <f t="shared" si="3"/>
        <v>46026</v>
      </c>
      <c r="C45" s="21" t="str">
        <f t="shared" si="0"/>
        <v>2026年</v>
      </c>
      <c r="D45" s="21" t="str">
        <f t="shared" si="1"/>
        <v>1月</v>
      </c>
      <c r="E45" s="19" t="str">
        <f t="shared" si="2"/>
        <v>W1</v>
      </c>
      <c r="F45" s="19" t="s">
        <v>609</v>
      </c>
      <c r="G45" s="19" t="s">
        <v>610</v>
      </c>
      <c r="H45" s="19">
        <v>300</v>
      </c>
      <c r="I45" s="19">
        <v>44359</v>
      </c>
      <c r="J45" s="19">
        <v>110187</v>
      </c>
      <c r="K45" s="19">
        <v>7457</v>
      </c>
      <c r="L45" s="19">
        <v>1491.15147475421</v>
      </c>
      <c r="M45" s="19">
        <v>10451</v>
      </c>
      <c r="N45" s="19">
        <v>53</v>
      </c>
      <c r="O45" s="19">
        <v>34</v>
      </c>
      <c r="P45" s="19">
        <v>0.83</v>
      </c>
      <c r="Q45" s="19">
        <v>269</v>
      </c>
      <c r="R45" s="19">
        <v>0</v>
      </c>
      <c r="S45" s="19">
        <v>26</v>
      </c>
      <c r="T45" s="19">
        <v>4</v>
      </c>
      <c r="U45" s="19">
        <v>0.643</v>
      </c>
      <c r="V45" s="19">
        <v>223</v>
      </c>
      <c r="W45" s="19">
        <v>6997</v>
      </c>
      <c r="X45" s="19">
        <v>2518</v>
      </c>
      <c r="Y45" s="19">
        <v>134327</v>
      </c>
      <c r="Z45" s="19">
        <v>8830</v>
      </c>
      <c r="AA45" s="19">
        <v>65</v>
      </c>
      <c r="AB45" s="19">
        <v>117889</v>
      </c>
      <c r="AC45" s="19">
        <v>117834</v>
      </c>
      <c r="AD45" s="19">
        <v>23562.8728545242</v>
      </c>
      <c r="AE45" s="19">
        <v>65</v>
      </c>
      <c r="AF45" s="19">
        <v>54</v>
      </c>
      <c r="AG45" s="19">
        <v>54</v>
      </c>
      <c r="AH45" s="19">
        <v>97892</v>
      </c>
      <c r="AI45" s="19">
        <v>44</v>
      </c>
      <c r="AJ45" s="19">
        <v>0</v>
      </c>
      <c r="AK45" s="19">
        <v>0.0657</v>
      </c>
      <c r="AL45" s="19">
        <v>0.3599</v>
      </c>
      <c r="AM45" s="19">
        <v>0.0074</v>
      </c>
      <c r="AN45" s="19">
        <v>0.0214</v>
      </c>
      <c r="AO45" s="19">
        <v>0.0062</v>
      </c>
      <c r="AP45" s="19">
        <v>0.0072</v>
      </c>
      <c r="AQ45" s="19">
        <v>0</v>
      </c>
      <c r="AR45" s="19">
        <v>0</v>
      </c>
      <c r="AS45" s="19">
        <v>1</v>
      </c>
      <c r="AT45" s="19">
        <v>696.85</v>
      </c>
      <c r="AU45" s="19">
        <v>93676</v>
      </c>
      <c r="AV45" s="19">
        <v>52</v>
      </c>
      <c r="AW45" s="19">
        <v>24213</v>
      </c>
      <c r="AX45" s="19">
        <v>13</v>
      </c>
      <c r="AY45" s="19">
        <v>0.2054</v>
      </c>
      <c r="AZ45" s="19" t="s">
        <v>360</v>
      </c>
      <c r="BA45" s="19" t="s">
        <v>360</v>
      </c>
      <c r="BB45" s="19" t="s">
        <v>360</v>
      </c>
      <c r="BC45" s="19" t="s">
        <v>360</v>
      </c>
    </row>
    <row r="46" spans="1:55">
      <c r="A46" s="15" t="s">
        <v>522</v>
      </c>
      <c r="B46" s="20">
        <f t="shared" si="3"/>
        <v>46039</v>
      </c>
      <c r="C46" s="21" t="str">
        <f t="shared" si="0"/>
        <v>2026年</v>
      </c>
      <c r="D46" s="21" t="str">
        <f t="shared" si="1"/>
        <v>1月</v>
      </c>
      <c r="E46" s="19" t="str">
        <f t="shared" si="2"/>
        <v>W3</v>
      </c>
      <c r="F46" s="19" t="s">
        <v>611</v>
      </c>
      <c r="G46" s="19" t="s">
        <v>612</v>
      </c>
      <c r="H46" s="19">
        <v>128</v>
      </c>
      <c r="I46" s="19">
        <v>75265</v>
      </c>
      <c r="J46" s="19">
        <v>121120</v>
      </c>
      <c r="K46" s="19">
        <v>6278</v>
      </c>
      <c r="L46" s="19">
        <v>2942.04634209841</v>
      </c>
      <c r="M46" s="19">
        <v>7601</v>
      </c>
      <c r="N46" s="19">
        <v>85</v>
      </c>
      <c r="O46" s="19">
        <v>52</v>
      </c>
      <c r="P46" s="19">
        <v>0.66</v>
      </c>
      <c r="Q46" s="19">
        <v>183</v>
      </c>
      <c r="R46" s="19">
        <v>0</v>
      </c>
      <c r="S46" s="19">
        <v>60</v>
      </c>
      <c r="T46" s="19">
        <v>3</v>
      </c>
      <c r="U46" s="19">
        <v>0.5304</v>
      </c>
      <c r="V46" s="19">
        <v>201</v>
      </c>
      <c r="W46" s="19">
        <v>6007</v>
      </c>
      <c r="X46" s="19">
        <v>2661</v>
      </c>
      <c r="Y46" s="19">
        <v>98393</v>
      </c>
      <c r="Z46" s="19">
        <v>8286</v>
      </c>
      <c r="AA46" s="19">
        <v>126</v>
      </c>
      <c r="AB46" s="19">
        <v>123283</v>
      </c>
      <c r="AC46" s="19">
        <v>116750.43</v>
      </c>
      <c r="AD46" s="19">
        <v>54712.5160114554</v>
      </c>
      <c r="AE46" s="19">
        <v>126</v>
      </c>
      <c r="AF46" s="19">
        <v>111</v>
      </c>
      <c r="AG46" s="19">
        <v>59</v>
      </c>
      <c r="AH46" s="19">
        <v>51252.03</v>
      </c>
      <c r="AI46" s="19">
        <v>52</v>
      </c>
      <c r="AJ46" s="19">
        <v>0</v>
      </c>
      <c r="AK46" s="19">
        <v>0.0842</v>
      </c>
      <c r="AL46" s="19">
        <v>0.443</v>
      </c>
      <c r="AM46" s="19">
        <v>0.0152</v>
      </c>
      <c r="AN46" s="19">
        <v>0.0417</v>
      </c>
      <c r="AO46" s="19">
        <v>0.0166</v>
      </c>
      <c r="AP46" s="19">
        <v>0.0177</v>
      </c>
      <c r="AQ46" s="19">
        <v>0</v>
      </c>
      <c r="AR46" s="19">
        <v>0</v>
      </c>
      <c r="AS46" s="19">
        <v>3</v>
      </c>
      <c r="AT46" s="19">
        <v>412.09</v>
      </c>
      <c r="AU46" s="19">
        <v>103583</v>
      </c>
      <c r="AV46" s="19">
        <v>106</v>
      </c>
      <c r="AW46" s="19">
        <v>19700</v>
      </c>
      <c r="AX46" s="19">
        <v>20</v>
      </c>
      <c r="AY46" s="19">
        <v>0.1598</v>
      </c>
      <c r="AZ46" s="19">
        <v>72458.17</v>
      </c>
      <c r="BA46" s="19">
        <v>0.620624437957102</v>
      </c>
      <c r="BB46" s="19">
        <v>6352.57</v>
      </c>
      <c r="BC46" s="19">
        <v>81</v>
      </c>
    </row>
    <row r="47" spans="1:55">
      <c r="A47" s="15" t="s">
        <v>522</v>
      </c>
      <c r="B47" s="20">
        <f t="shared" si="3"/>
        <v>46024</v>
      </c>
      <c r="C47" s="21" t="str">
        <f t="shared" si="0"/>
        <v>2026年</v>
      </c>
      <c r="D47" s="21" t="str">
        <f t="shared" si="1"/>
        <v>1月</v>
      </c>
      <c r="E47" s="19" t="str">
        <f t="shared" si="2"/>
        <v>W1</v>
      </c>
      <c r="F47" s="19" t="s">
        <v>613</v>
      </c>
      <c r="G47" s="19" t="s">
        <v>614</v>
      </c>
      <c r="H47" s="19">
        <v>266</v>
      </c>
      <c r="I47" s="19">
        <v>44893</v>
      </c>
      <c r="J47" s="19">
        <v>107294</v>
      </c>
      <c r="K47" s="19">
        <v>6795</v>
      </c>
      <c r="L47" s="19">
        <v>1532.22674600689</v>
      </c>
      <c r="M47" s="19">
        <v>9483</v>
      </c>
      <c r="N47" s="19">
        <v>69</v>
      </c>
      <c r="O47" s="19">
        <v>31</v>
      </c>
      <c r="P47" s="19">
        <v>0.68</v>
      </c>
      <c r="Q47" s="19">
        <v>154</v>
      </c>
      <c r="R47" s="19">
        <v>0</v>
      </c>
      <c r="S47" s="19">
        <v>17</v>
      </c>
      <c r="T47" s="19">
        <v>5</v>
      </c>
      <c r="U47" s="19">
        <v>0.6781</v>
      </c>
      <c r="V47" s="19">
        <v>203</v>
      </c>
      <c r="W47" s="19">
        <v>6402</v>
      </c>
      <c r="X47" s="19">
        <v>2242</v>
      </c>
      <c r="Y47" s="19">
        <v>117626</v>
      </c>
      <c r="Z47" s="19">
        <v>7553</v>
      </c>
      <c r="AA47" s="19">
        <v>54</v>
      </c>
      <c r="AB47" s="19">
        <v>114345.95</v>
      </c>
      <c r="AC47" s="19">
        <v>114086.94</v>
      </c>
      <c r="AD47" s="19">
        <v>25725.8367679298</v>
      </c>
      <c r="AE47" s="19">
        <v>54</v>
      </c>
      <c r="AF47" s="19">
        <v>45</v>
      </c>
      <c r="AG47" s="19">
        <v>45</v>
      </c>
      <c r="AH47" s="19">
        <v>94181.95</v>
      </c>
      <c r="AI47" s="19">
        <v>37</v>
      </c>
      <c r="AJ47" s="19">
        <v>0</v>
      </c>
      <c r="AK47" s="19">
        <v>0.0642</v>
      </c>
      <c r="AL47" s="19">
        <v>0.3502</v>
      </c>
      <c r="AM47" s="19">
        <v>0.0071</v>
      </c>
      <c r="AN47" s="19">
        <v>0.0201</v>
      </c>
      <c r="AO47" s="19">
        <v>0.0057</v>
      </c>
      <c r="AP47" s="19">
        <v>0.0066</v>
      </c>
      <c r="AQ47" s="19">
        <v>0</v>
      </c>
      <c r="AR47" s="19">
        <v>0</v>
      </c>
      <c r="AS47" s="19">
        <v>2</v>
      </c>
      <c r="AT47" s="19">
        <v>627.72</v>
      </c>
      <c r="AU47" s="19">
        <v>96418.95</v>
      </c>
      <c r="AV47" s="19">
        <v>46</v>
      </c>
      <c r="AW47" s="19">
        <v>17927</v>
      </c>
      <c r="AX47" s="19">
        <v>8</v>
      </c>
      <c r="AY47" s="19">
        <v>0.1568</v>
      </c>
      <c r="AZ47" s="19" t="s">
        <v>360</v>
      </c>
      <c r="BA47" s="19" t="s">
        <v>360</v>
      </c>
      <c r="BB47" s="19" t="s">
        <v>360</v>
      </c>
      <c r="BC47" s="19" t="s">
        <v>360</v>
      </c>
    </row>
    <row r="48" spans="1:55">
      <c r="A48" s="15" t="s">
        <v>522</v>
      </c>
      <c r="B48" s="20">
        <f t="shared" si="3"/>
        <v>46027</v>
      </c>
      <c r="C48" s="21" t="str">
        <f t="shared" si="0"/>
        <v>2026年</v>
      </c>
      <c r="D48" s="21" t="str">
        <f t="shared" si="1"/>
        <v>1月</v>
      </c>
      <c r="E48" s="19" t="str">
        <f t="shared" si="2"/>
        <v>W2</v>
      </c>
      <c r="F48" s="19" t="s">
        <v>615</v>
      </c>
      <c r="G48" s="19" t="s">
        <v>616</v>
      </c>
      <c r="H48" s="19">
        <v>300</v>
      </c>
      <c r="I48" s="19">
        <v>52367</v>
      </c>
      <c r="J48" s="19">
        <v>121419</v>
      </c>
      <c r="K48" s="19">
        <v>8278</v>
      </c>
      <c r="L48" s="19">
        <v>1654.77261369315</v>
      </c>
      <c r="M48" s="19">
        <v>11261</v>
      </c>
      <c r="N48" s="19">
        <v>59</v>
      </c>
      <c r="O48" s="19">
        <v>34</v>
      </c>
      <c r="P48" s="19">
        <v>0.72</v>
      </c>
      <c r="Q48" s="19">
        <v>227</v>
      </c>
      <c r="R48" s="19">
        <v>0</v>
      </c>
      <c r="S48" s="19">
        <v>18</v>
      </c>
      <c r="T48" s="19">
        <v>2</v>
      </c>
      <c r="U48" s="19">
        <v>0.6028</v>
      </c>
      <c r="V48" s="19">
        <v>200</v>
      </c>
      <c r="W48" s="19">
        <v>7773</v>
      </c>
      <c r="X48" s="19">
        <v>2702</v>
      </c>
      <c r="Y48" s="19">
        <v>126181</v>
      </c>
      <c r="Z48" s="19">
        <v>8797</v>
      </c>
      <c r="AA48" s="19">
        <v>51</v>
      </c>
      <c r="AB48" s="19">
        <v>112594</v>
      </c>
      <c r="AC48" s="19">
        <v>112461</v>
      </c>
      <c r="AD48" s="19">
        <v>22480.9595202399</v>
      </c>
      <c r="AE48" s="19">
        <v>51</v>
      </c>
      <c r="AF48" s="19">
        <v>44</v>
      </c>
      <c r="AG48" s="19">
        <v>42</v>
      </c>
      <c r="AH48" s="19">
        <v>93993</v>
      </c>
      <c r="AI48" s="19">
        <v>36</v>
      </c>
      <c r="AJ48" s="19">
        <v>0</v>
      </c>
      <c r="AK48" s="19">
        <v>0.0697</v>
      </c>
      <c r="AL48" s="19">
        <v>0.3476</v>
      </c>
      <c r="AM48" s="19">
        <v>0.0058</v>
      </c>
      <c r="AN48" s="19">
        <v>0.0163</v>
      </c>
      <c r="AO48" s="19">
        <v>0.0045</v>
      </c>
      <c r="AP48" s="19">
        <v>0.0053</v>
      </c>
      <c r="AQ48" s="19">
        <v>0</v>
      </c>
      <c r="AR48" s="19">
        <v>0</v>
      </c>
      <c r="AS48" s="19">
        <v>0</v>
      </c>
      <c r="AT48" s="19">
        <v>432.33</v>
      </c>
      <c r="AU48" s="19">
        <v>79646</v>
      </c>
      <c r="AV48" s="19">
        <v>37</v>
      </c>
      <c r="AW48" s="19">
        <v>32948</v>
      </c>
      <c r="AX48" s="19">
        <v>14</v>
      </c>
      <c r="AY48" s="19">
        <v>0.2926</v>
      </c>
      <c r="AZ48" s="19" t="s">
        <v>360</v>
      </c>
      <c r="BA48" s="19" t="s">
        <v>360</v>
      </c>
      <c r="BB48" s="19" t="s">
        <v>360</v>
      </c>
      <c r="BC48" s="19" t="s">
        <v>360</v>
      </c>
    </row>
    <row r="49" spans="1:55">
      <c r="A49" s="15" t="s">
        <v>522</v>
      </c>
      <c r="B49" s="20">
        <f t="shared" si="3"/>
        <v>46042</v>
      </c>
      <c r="C49" s="21" t="str">
        <f t="shared" si="0"/>
        <v>2026年</v>
      </c>
      <c r="D49" s="21" t="str">
        <f t="shared" si="1"/>
        <v>1月</v>
      </c>
      <c r="E49" s="19" t="str">
        <f t="shared" si="2"/>
        <v>W4</v>
      </c>
      <c r="F49" s="19" t="s">
        <v>617</v>
      </c>
      <c r="G49" s="19" t="s">
        <v>618</v>
      </c>
      <c r="H49" s="19">
        <v>300</v>
      </c>
      <c r="I49" s="19">
        <v>49156</v>
      </c>
      <c r="J49" s="19">
        <v>111962</v>
      </c>
      <c r="K49" s="19">
        <v>7194</v>
      </c>
      <c r="L49" s="19">
        <v>1438.24068417837</v>
      </c>
      <c r="M49" s="19">
        <v>9554</v>
      </c>
      <c r="N49" s="19">
        <v>51</v>
      </c>
      <c r="O49" s="19">
        <v>29</v>
      </c>
      <c r="P49" s="19">
        <v>0.75</v>
      </c>
      <c r="Q49" s="19">
        <v>154</v>
      </c>
      <c r="R49" s="19">
        <v>0</v>
      </c>
      <c r="S49" s="19">
        <v>27</v>
      </c>
      <c r="T49" s="19">
        <v>3</v>
      </c>
      <c r="U49" s="19">
        <v>0.5859</v>
      </c>
      <c r="V49" s="19">
        <v>200</v>
      </c>
      <c r="W49" s="19">
        <v>6639</v>
      </c>
      <c r="X49" s="19">
        <v>2036</v>
      </c>
      <c r="Y49" s="19">
        <v>102410</v>
      </c>
      <c r="Z49" s="19">
        <v>6890</v>
      </c>
      <c r="AA49" s="19">
        <v>57</v>
      </c>
      <c r="AB49" s="19">
        <v>114803</v>
      </c>
      <c r="AC49" s="19">
        <v>111156.23</v>
      </c>
      <c r="AD49" s="19">
        <v>22222.6038762703</v>
      </c>
      <c r="AE49" s="19">
        <v>57</v>
      </c>
      <c r="AF49" s="19">
        <v>45</v>
      </c>
      <c r="AG49" s="19">
        <v>20</v>
      </c>
      <c r="AH49" s="19">
        <v>47910.97</v>
      </c>
      <c r="AI49" s="19">
        <v>17</v>
      </c>
      <c r="AJ49" s="19">
        <v>0</v>
      </c>
      <c r="AK49" s="19">
        <v>0.0673</v>
      </c>
      <c r="AL49" s="19">
        <v>0.3067</v>
      </c>
      <c r="AM49" s="19">
        <v>0.0083</v>
      </c>
      <c r="AN49" s="19">
        <v>0.0221</v>
      </c>
      <c r="AO49" s="19">
        <v>0.006</v>
      </c>
      <c r="AP49" s="19">
        <v>0.0063</v>
      </c>
      <c r="AQ49" s="19">
        <v>0</v>
      </c>
      <c r="AR49" s="19">
        <v>0</v>
      </c>
      <c r="AS49" s="19">
        <v>1</v>
      </c>
      <c r="AT49" s="19">
        <v>717.64</v>
      </c>
      <c r="AU49" s="19">
        <v>84226</v>
      </c>
      <c r="AV49" s="19">
        <v>44</v>
      </c>
      <c r="AW49" s="19">
        <v>30577</v>
      </c>
      <c r="AX49" s="19">
        <v>13</v>
      </c>
      <c r="AY49" s="19">
        <v>0.2663</v>
      </c>
      <c r="AZ49" s="19">
        <v>41090.23</v>
      </c>
      <c r="BA49" s="19">
        <v>0.369661961367348</v>
      </c>
      <c r="BB49" s="19">
        <v>3457.77</v>
      </c>
      <c r="BC49" s="19">
        <v>22</v>
      </c>
    </row>
    <row r="50" spans="1:55">
      <c r="A50" s="15" t="s">
        <v>522</v>
      </c>
      <c r="B50" s="20">
        <f t="shared" si="3"/>
        <v>46028</v>
      </c>
      <c r="C50" s="21" t="str">
        <f t="shared" si="0"/>
        <v>2026年</v>
      </c>
      <c r="D50" s="21" t="str">
        <f t="shared" si="1"/>
        <v>1月</v>
      </c>
      <c r="E50" s="19" t="str">
        <f t="shared" si="2"/>
        <v>W2</v>
      </c>
      <c r="F50" s="19" t="s">
        <v>619</v>
      </c>
      <c r="G50" s="19" t="s">
        <v>620</v>
      </c>
      <c r="H50" s="19">
        <v>300</v>
      </c>
      <c r="I50" s="19">
        <v>34639</v>
      </c>
      <c r="J50" s="19">
        <v>87538</v>
      </c>
      <c r="K50" s="19">
        <v>5961</v>
      </c>
      <c r="L50" s="19">
        <v>1191.60419790105</v>
      </c>
      <c r="M50" s="19">
        <v>8494</v>
      </c>
      <c r="N50" s="19">
        <v>54</v>
      </c>
      <c r="O50" s="19">
        <v>27</v>
      </c>
      <c r="P50" s="19">
        <v>0.8</v>
      </c>
      <c r="Q50" s="19">
        <v>166</v>
      </c>
      <c r="R50" s="19">
        <v>0</v>
      </c>
      <c r="S50" s="19">
        <v>29</v>
      </c>
      <c r="T50" s="19">
        <v>6</v>
      </c>
      <c r="U50" s="19">
        <v>0.697</v>
      </c>
      <c r="V50" s="19">
        <v>200</v>
      </c>
      <c r="W50" s="19">
        <v>5704</v>
      </c>
      <c r="X50" s="19">
        <v>1945</v>
      </c>
      <c r="Y50" s="19">
        <v>88726</v>
      </c>
      <c r="Z50" s="19">
        <v>6443</v>
      </c>
      <c r="AA50" s="19">
        <v>66</v>
      </c>
      <c r="AB50" s="19">
        <v>109772</v>
      </c>
      <c r="AC50" s="19">
        <v>109476</v>
      </c>
      <c r="AD50" s="19">
        <v>21884.2578710645</v>
      </c>
      <c r="AE50" s="19">
        <v>66</v>
      </c>
      <c r="AF50" s="19">
        <v>51</v>
      </c>
      <c r="AG50" s="19">
        <v>55</v>
      </c>
      <c r="AH50" s="19">
        <v>94206</v>
      </c>
      <c r="AI50" s="19">
        <v>43</v>
      </c>
      <c r="AJ50" s="19">
        <v>0</v>
      </c>
      <c r="AK50" s="19">
        <v>0.0726</v>
      </c>
      <c r="AL50" s="19">
        <v>0.341</v>
      </c>
      <c r="AM50" s="19">
        <v>0.0102</v>
      </c>
      <c r="AN50" s="19">
        <v>0.0262</v>
      </c>
      <c r="AO50" s="19">
        <v>0.0078</v>
      </c>
      <c r="AP50" s="19">
        <v>0.0086</v>
      </c>
      <c r="AQ50" s="19">
        <v>0</v>
      </c>
      <c r="AR50" s="19">
        <v>0</v>
      </c>
      <c r="AS50" s="19">
        <v>0</v>
      </c>
      <c r="AT50" s="19">
        <v>594.78</v>
      </c>
      <c r="AU50" s="19">
        <v>90421</v>
      </c>
      <c r="AV50" s="19">
        <v>54</v>
      </c>
      <c r="AW50" s="19">
        <v>19351</v>
      </c>
      <c r="AX50" s="19">
        <v>12</v>
      </c>
      <c r="AY50" s="19">
        <v>0.1763</v>
      </c>
      <c r="AZ50" s="19" t="s">
        <v>360</v>
      </c>
      <c r="BA50" s="19" t="s">
        <v>360</v>
      </c>
      <c r="BB50" s="19" t="s">
        <v>360</v>
      </c>
      <c r="BC50" s="19" t="s">
        <v>360</v>
      </c>
    </row>
    <row r="51" spans="1:55">
      <c r="A51" s="15" t="s">
        <v>522</v>
      </c>
      <c r="B51" s="20">
        <f t="shared" si="3"/>
        <v>46035</v>
      </c>
      <c r="C51" s="21" t="str">
        <f t="shared" si="0"/>
        <v>2026年</v>
      </c>
      <c r="D51" s="21" t="str">
        <f t="shared" si="1"/>
        <v>1月</v>
      </c>
      <c r="E51" s="19" t="str">
        <f t="shared" si="2"/>
        <v>W3</v>
      </c>
      <c r="F51" s="19" t="s">
        <v>621</v>
      </c>
      <c r="G51" s="19" t="s">
        <v>622</v>
      </c>
      <c r="H51" s="19">
        <v>300</v>
      </c>
      <c r="I51" s="19">
        <v>31048</v>
      </c>
      <c r="J51" s="19">
        <v>79890</v>
      </c>
      <c r="K51" s="19">
        <v>5084</v>
      </c>
      <c r="L51" s="19">
        <v>1016.57409464563</v>
      </c>
      <c r="M51" s="19">
        <v>7226</v>
      </c>
      <c r="N51" s="19">
        <v>37</v>
      </c>
      <c r="O51" s="19">
        <v>24</v>
      </c>
      <c r="P51" s="19">
        <v>0.73</v>
      </c>
      <c r="Q51" s="19">
        <v>121</v>
      </c>
      <c r="R51" s="19">
        <v>0</v>
      </c>
      <c r="S51" s="19">
        <v>14</v>
      </c>
      <c r="T51" s="19">
        <v>4</v>
      </c>
      <c r="U51" s="19">
        <v>0.6861</v>
      </c>
      <c r="V51" s="19">
        <v>202</v>
      </c>
      <c r="W51" s="19">
        <v>4727</v>
      </c>
      <c r="X51" s="19">
        <v>1389</v>
      </c>
      <c r="Y51" s="19">
        <v>74645</v>
      </c>
      <c r="Z51" s="19">
        <v>4822</v>
      </c>
      <c r="AA51" s="19">
        <v>48</v>
      </c>
      <c r="AB51" s="19">
        <v>106207</v>
      </c>
      <c r="AC51" s="19">
        <v>106051</v>
      </c>
      <c r="AD51" s="19">
        <v>21205.4876694068</v>
      </c>
      <c r="AE51" s="19">
        <v>48</v>
      </c>
      <c r="AF51" s="19">
        <v>34</v>
      </c>
      <c r="AG51" s="19">
        <v>33</v>
      </c>
      <c r="AH51" s="19">
        <v>76969</v>
      </c>
      <c r="AI51" s="19">
        <v>20</v>
      </c>
      <c r="AJ51" s="19">
        <v>0</v>
      </c>
      <c r="AK51" s="19">
        <v>0.0646</v>
      </c>
      <c r="AL51" s="19">
        <v>0.2938</v>
      </c>
      <c r="AM51" s="19">
        <v>0.01</v>
      </c>
      <c r="AN51" s="19">
        <v>0.0245</v>
      </c>
      <c r="AO51" s="19">
        <v>0.0066</v>
      </c>
      <c r="AP51" s="19">
        <v>0.0067</v>
      </c>
      <c r="AQ51" s="19">
        <v>0</v>
      </c>
      <c r="AR51" s="19">
        <v>0</v>
      </c>
      <c r="AS51" s="19">
        <v>0</v>
      </c>
      <c r="AT51" s="19">
        <v>571.21</v>
      </c>
      <c r="AU51" s="19">
        <v>88417</v>
      </c>
      <c r="AV51" s="19">
        <v>41</v>
      </c>
      <c r="AW51" s="19">
        <v>17790</v>
      </c>
      <c r="AX51" s="19">
        <v>7</v>
      </c>
      <c r="AY51" s="19">
        <v>0.1675</v>
      </c>
      <c r="AZ51" s="19" t="s">
        <v>360</v>
      </c>
      <c r="BA51" s="19" t="s">
        <v>360</v>
      </c>
      <c r="BB51" s="19" t="s">
        <v>360</v>
      </c>
      <c r="BC51" s="19" t="s">
        <v>360</v>
      </c>
    </row>
    <row r="52" spans="1:55">
      <c r="A52" s="15" t="s">
        <v>522</v>
      </c>
      <c r="B52" s="20">
        <f t="shared" si="3"/>
        <v>46036</v>
      </c>
      <c r="C52" s="21" t="str">
        <f t="shared" si="0"/>
        <v>2026年</v>
      </c>
      <c r="D52" s="21" t="str">
        <f t="shared" si="1"/>
        <v>1月</v>
      </c>
      <c r="E52" s="19" t="str">
        <f t="shared" si="2"/>
        <v>W3</v>
      </c>
      <c r="F52" s="19" t="s">
        <v>623</v>
      </c>
      <c r="G52" s="19" t="s">
        <v>624</v>
      </c>
      <c r="H52" s="19">
        <v>241</v>
      </c>
      <c r="I52" s="19">
        <v>50013</v>
      </c>
      <c r="J52" s="19">
        <v>113559</v>
      </c>
      <c r="K52" s="19">
        <v>6256</v>
      </c>
      <c r="L52" s="19">
        <v>1554.17845559313</v>
      </c>
      <c r="M52" s="19">
        <v>8618</v>
      </c>
      <c r="N52" s="19">
        <v>51</v>
      </c>
      <c r="O52" s="19">
        <v>31</v>
      </c>
      <c r="P52" s="19">
        <v>0.66</v>
      </c>
      <c r="Q52" s="19">
        <v>139</v>
      </c>
      <c r="R52" s="19">
        <v>0</v>
      </c>
      <c r="S52" s="19">
        <v>18</v>
      </c>
      <c r="T52" s="19">
        <v>8</v>
      </c>
      <c r="U52" s="19">
        <v>0.6808</v>
      </c>
      <c r="V52" s="19">
        <v>200</v>
      </c>
      <c r="W52" s="19">
        <v>5949</v>
      </c>
      <c r="X52" s="19">
        <v>2015</v>
      </c>
      <c r="Y52" s="19">
        <v>115932</v>
      </c>
      <c r="Z52" s="19">
        <v>7475</v>
      </c>
      <c r="AA52" s="19">
        <v>53</v>
      </c>
      <c r="AB52" s="19">
        <v>103974</v>
      </c>
      <c r="AC52" s="19">
        <v>103776</v>
      </c>
      <c r="AD52" s="19">
        <v>25781.0779104272</v>
      </c>
      <c r="AE52" s="19">
        <v>53</v>
      </c>
      <c r="AF52" s="19">
        <v>43</v>
      </c>
      <c r="AG52" s="19">
        <v>31</v>
      </c>
      <c r="AH52" s="19">
        <v>59373</v>
      </c>
      <c r="AI52" s="19">
        <v>24</v>
      </c>
      <c r="AJ52" s="19">
        <v>0</v>
      </c>
      <c r="AK52" s="19">
        <v>0.0645</v>
      </c>
      <c r="AL52" s="19">
        <v>0.3387</v>
      </c>
      <c r="AM52" s="19">
        <v>0.0071</v>
      </c>
      <c r="AN52" s="19">
        <v>0.0213</v>
      </c>
      <c r="AO52" s="19">
        <v>0.0061</v>
      </c>
      <c r="AP52" s="19">
        <v>0.0069</v>
      </c>
      <c r="AQ52" s="19">
        <v>0</v>
      </c>
      <c r="AR52" s="19">
        <v>0</v>
      </c>
      <c r="AS52" s="19">
        <v>0</v>
      </c>
      <c r="AT52" s="19">
        <v>566.95</v>
      </c>
      <c r="AU52" s="19">
        <v>86917</v>
      </c>
      <c r="AV52" s="19">
        <v>44</v>
      </c>
      <c r="AW52" s="19">
        <v>17057</v>
      </c>
      <c r="AX52" s="19">
        <v>9</v>
      </c>
      <c r="AY52" s="19">
        <v>0.1641</v>
      </c>
      <c r="AZ52" s="19" t="s">
        <v>360</v>
      </c>
      <c r="BA52" s="19" t="s">
        <v>360</v>
      </c>
      <c r="BB52" s="19" t="s">
        <v>360</v>
      </c>
      <c r="BC52" s="19" t="s">
        <v>360</v>
      </c>
    </row>
    <row r="53" spans="1:55">
      <c r="A53" s="15" t="s">
        <v>522</v>
      </c>
      <c r="B53" s="20">
        <f t="shared" si="3"/>
        <v>46027</v>
      </c>
      <c r="C53" s="21" t="str">
        <f t="shared" si="0"/>
        <v>2026年</v>
      </c>
      <c r="D53" s="21" t="str">
        <f t="shared" si="1"/>
        <v>1月</v>
      </c>
      <c r="E53" s="19" t="str">
        <f t="shared" si="2"/>
        <v>W2</v>
      </c>
      <c r="F53" s="19" t="s">
        <v>625</v>
      </c>
      <c r="G53" s="19" t="s">
        <v>626</v>
      </c>
      <c r="H53" s="19">
        <v>285</v>
      </c>
      <c r="I53" s="19">
        <v>39519</v>
      </c>
      <c r="J53" s="19">
        <v>96752</v>
      </c>
      <c r="K53" s="19">
        <v>6955</v>
      </c>
      <c r="L53" s="19">
        <v>1463.78251973107</v>
      </c>
      <c r="M53" s="19">
        <v>9713</v>
      </c>
      <c r="N53" s="19">
        <v>55</v>
      </c>
      <c r="O53" s="19">
        <v>33</v>
      </c>
      <c r="P53" s="19">
        <v>0.83</v>
      </c>
      <c r="Q53" s="19">
        <v>222</v>
      </c>
      <c r="R53" s="19">
        <v>0</v>
      </c>
      <c r="S53" s="19">
        <v>18</v>
      </c>
      <c r="T53" s="19">
        <v>2</v>
      </c>
      <c r="U53" s="19">
        <v>0.6354</v>
      </c>
      <c r="V53" s="19">
        <v>197</v>
      </c>
      <c r="W53" s="19">
        <v>6648</v>
      </c>
      <c r="X53" s="19">
        <v>2406</v>
      </c>
      <c r="Y53" s="19">
        <v>118976</v>
      </c>
      <c r="Z53" s="19">
        <v>8235</v>
      </c>
      <c r="AA53" s="19">
        <v>52</v>
      </c>
      <c r="AB53" s="19">
        <v>101434</v>
      </c>
      <c r="AC53" s="19">
        <v>101269</v>
      </c>
      <c r="AD53" s="19">
        <v>21313.5574393452</v>
      </c>
      <c r="AE53" s="19">
        <v>52</v>
      </c>
      <c r="AF53" s="19">
        <v>37</v>
      </c>
      <c r="AG53" s="19">
        <v>47</v>
      </c>
      <c r="AH53" s="19">
        <v>94606</v>
      </c>
      <c r="AI53" s="19">
        <v>34</v>
      </c>
      <c r="AJ53" s="19">
        <v>0</v>
      </c>
      <c r="AK53" s="19">
        <v>0.0692</v>
      </c>
      <c r="AL53" s="19">
        <v>0.3619</v>
      </c>
      <c r="AM53" s="19">
        <v>0.0063</v>
      </c>
      <c r="AN53" s="19">
        <v>0.0154</v>
      </c>
      <c r="AO53" s="19">
        <v>0.0054</v>
      </c>
      <c r="AP53" s="19">
        <v>0.0053</v>
      </c>
      <c r="AQ53" s="19">
        <v>0</v>
      </c>
      <c r="AR53" s="19">
        <v>0</v>
      </c>
      <c r="AS53" s="19">
        <v>1</v>
      </c>
      <c r="AT53" s="19">
        <v>611.93</v>
      </c>
      <c r="AU53" s="19">
        <v>69378</v>
      </c>
      <c r="AV53" s="19">
        <v>36</v>
      </c>
      <c r="AW53" s="19">
        <v>32056</v>
      </c>
      <c r="AX53" s="19">
        <v>16</v>
      </c>
      <c r="AY53" s="19">
        <v>0.316</v>
      </c>
      <c r="AZ53" s="19" t="s">
        <v>360</v>
      </c>
      <c r="BA53" s="19" t="s">
        <v>360</v>
      </c>
      <c r="BB53" s="19" t="s">
        <v>360</v>
      </c>
      <c r="BC53" s="19" t="s">
        <v>360</v>
      </c>
    </row>
    <row r="54" spans="1:55">
      <c r="A54" s="15" t="s">
        <v>522</v>
      </c>
      <c r="B54" s="20">
        <f t="shared" si="3"/>
        <v>46026</v>
      </c>
      <c r="C54" s="21" t="str">
        <f t="shared" si="0"/>
        <v>2026年</v>
      </c>
      <c r="D54" s="21" t="str">
        <f t="shared" si="1"/>
        <v>1月</v>
      </c>
      <c r="E54" s="19" t="str">
        <f t="shared" si="2"/>
        <v>W1</v>
      </c>
      <c r="F54" s="19" t="s">
        <v>627</v>
      </c>
      <c r="G54" s="19" t="s">
        <v>628</v>
      </c>
      <c r="H54" s="19">
        <v>223</v>
      </c>
      <c r="I54" s="19">
        <v>33074</v>
      </c>
      <c r="J54" s="19">
        <v>80655</v>
      </c>
      <c r="K54" s="19">
        <v>5213</v>
      </c>
      <c r="L54" s="19">
        <v>1398.21189092535</v>
      </c>
      <c r="M54" s="19">
        <v>7143</v>
      </c>
      <c r="N54" s="19">
        <v>54</v>
      </c>
      <c r="O54" s="19">
        <v>30</v>
      </c>
      <c r="P54" s="19">
        <v>0.65</v>
      </c>
      <c r="Q54" s="19">
        <v>173</v>
      </c>
      <c r="R54" s="19">
        <v>0</v>
      </c>
      <c r="S54" s="19">
        <v>11</v>
      </c>
      <c r="T54" s="19">
        <v>5</v>
      </c>
      <c r="U54" s="19">
        <v>0.6612</v>
      </c>
      <c r="V54" s="19">
        <v>198</v>
      </c>
      <c r="W54" s="19">
        <v>4874</v>
      </c>
      <c r="X54" s="19">
        <v>1550</v>
      </c>
      <c r="Y54" s="19">
        <v>83651</v>
      </c>
      <c r="Z54" s="19">
        <v>5120</v>
      </c>
      <c r="AA54" s="19">
        <v>42</v>
      </c>
      <c r="AB54" s="19">
        <v>97140.22</v>
      </c>
      <c r="AC54" s="19">
        <v>97046.22</v>
      </c>
      <c r="AD54" s="19">
        <v>26029.3839964238</v>
      </c>
      <c r="AE54" s="19">
        <v>42</v>
      </c>
      <c r="AF54" s="19">
        <v>35</v>
      </c>
      <c r="AG54" s="19">
        <v>34</v>
      </c>
      <c r="AH54" s="19">
        <v>80964.22</v>
      </c>
      <c r="AI54" s="19">
        <v>28</v>
      </c>
      <c r="AJ54" s="19">
        <v>0</v>
      </c>
      <c r="AK54" s="19">
        <v>0.0612</v>
      </c>
      <c r="AL54" s="19">
        <v>0.318</v>
      </c>
      <c r="AM54" s="19">
        <v>0.0082</v>
      </c>
      <c r="AN54" s="19">
        <v>0.0226</v>
      </c>
      <c r="AO54" s="19">
        <v>0.0059</v>
      </c>
      <c r="AP54" s="19">
        <v>0.0067</v>
      </c>
      <c r="AQ54" s="19">
        <v>0</v>
      </c>
      <c r="AR54" s="19">
        <v>0</v>
      </c>
      <c r="AS54" s="19">
        <v>0</v>
      </c>
      <c r="AT54" s="19">
        <v>291.36</v>
      </c>
      <c r="AU54" s="19">
        <v>78533.68</v>
      </c>
      <c r="AV54" s="19">
        <v>35</v>
      </c>
      <c r="AW54" s="19">
        <v>18606.54</v>
      </c>
      <c r="AX54" s="19">
        <v>7</v>
      </c>
      <c r="AY54" s="19">
        <v>0.1915</v>
      </c>
      <c r="AZ54" s="19" t="s">
        <v>360</v>
      </c>
      <c r="BA54" s="19" t="s">
        <v>360</v>
      </c>
      <c r="BB54" s="19" t="s">
        <v>360</v>
      </c>
      <c r="BC54" s="19" t="s">
        <v>360</v>
      </c>
    </row>
    <row r="55" spans="1:55">
      <c r="A55" s="15" t="s">
        <v>522</v>
      </c>
      <c r="B55" s="20">
        <f t="shared" si="3"/>
        <v>46034</v>
      </c>
      <c r="C55" s="21" t="str">
        <f t="shared" si="0"/>
        <v>2026年</v>
      </c>
      <c r="D55" s="21" t="str">
        <f t="shared" si="1"/>
        <v>1月</v>
      </c>
      <c r="E55" s="19" t="str">
        <f t="shared" si="2"/>
        <v>W3</v>
      </c>
      <c r="F55" s="19" t="s">
        <v>629</v>
      </c>
      <c r="G55" s="19" t="s">
        <v>630</v>
      </c>
      <c r="H55" s="19">
        <v>242</v>
      </c>
      <c r="I55" s="19">
        <v>54743</v>
      </c>
      <c r="J55" s="19">
        <v>121235</v>
      </c>
      <c r="K55" s="19">
        <v>8413</v>
      </c>
      <c r="L55" s="19">
        <v>2082.13941977176</v>
      </c>
      <c r="M55" s="19">
        <v>11353</v>
      </c>
      <c r="N55" s="19">
        <v>58</v>
      </c>
      <c r="O55" s="19">
        <v>36</v>
      </c>
      <c r="P55" s="19">
        <v>0.63</v>
      </c>
      <c r="Q55" s="19">
        <v>137</v>
      </c>
      <c r="R55" s="19">
        <v>0</v>
      </c>
      <c r="S55" s="19">
        <v>27</v>
      </c>
      <c r="T55" s="19">
        <v>10</v>
      </c>
      <c r="U55" s="19">
        <v>0.6261</v>
      </c>
      <c r="V55" s="19">
        <v>200</v>
      </c>
      <c r="W55" s="19">
        <v>7970</v>
      </c>
      <c r="X55" s="19">
        <v>2541</v>
      </c>
      <c r="Y55" s="19">
        <v>126912</v>
      </c>
      <c r="Z55" s="19">
        <v>8825</v>
      </c>
      <c r="AA55" s="19">
        <v>58</v>
      </c>
      <c r="AB55" s="19">
        <v>96545.19</v>
      </c>
      <c r="AC55" s="19">
        <v>96516.87</v>
      </c>
      <c r="AD55" s="19">
        <v>23887.0295613914</v>
      </c>
      <c r="AE55" s="19">
        <v>58</v>
      </c>
      <c r="AF55" s="19">
        <v>48</v>
      </c>
      <c r="AG55" s="19">
        <v>46</v>
      </c>
      <c r="AH55" s="19">
        <v>78353.23</v>
      </c>
      <c r="AI55" s="19">
        <v>40</v>
      </c>
      <c r="AJ55" s="19">
        <v>0</v>
      </c>
      <c r="AK55" s="19">
        <v>0.0695</v>
      </c>
      <c r="AL55" s="19">
        <v>0.3188</v>
      </c>
      <c r="AM55" s="19">
        <v>0.0066</v>
      </c>
      <c r="AN55" s="19">
        <v>0.0189</v>
      </c>
      <c r="AO55" s="19">
        <v>0.0051</v>
      </c>
      <c r="AP55" s="19">
        <v>0.0057</v>
      </c>
      <c r="AQ55" s="19">
        <v>0</v>
      </c>
      <c r="AR55" s="19">
        <v>0</v>
      </c>
      <c r="AS55" s="19">
        <v>2</v>
      </c>
      <c r="AT55" s="19">
        <v>342.02</v>
      </c>
      <c r="AU55" s="19">
        <v>82003.19</v>
      </c>
      <c r="AV55" s="19">
        <v>48</v>
      </c>
      <c r="AW55" s="19">
        <v>14542</v>
      </c>
      <c r="AX55" s="19">
        <v>10</v>
      </c>
      <c r="AY55" s="19">
        <v>0.1506</v>
      </c>
      <c r="AZ55" s="19" t="s">
        <v>360</v>
      </c>
      <c r="BA55" s="19" t="s">
        <v>360</v>
      </c>
      <c r="BB55" s="19" t="s">
        <v>360</v>
      </c>
      <c r="BC55" s="19" t="s">
        <v>360</v>
      </c>
    </row>
    <row r="56" spans="1:55">
      <c r="A56" s="15" t="s">
        <v>522</v>
      </c>
      <c r="B56" s="20">
        <f t="shared" si="3"/>
        <v>46034</v>
      </c>
      <c r="C56" s="21" t="str">
        <f t="shared" si="0"/>
        <v>2026年</v>
      </c>
      <c r="D56" s="21" t="str">
        <f t="shared" si="1"/>
        <v>1月</v>
      </c>
      <c r="E56" s="19" t="str">
        <f t="shared" si="2"/>
        <v>W3</v>
      </c>
      <c r="F56" s="19" t="s">
        <v>631</v>
      </c>
      <c r="G56" s="19" t="s">
        <v>632</v>
      </c>
      <c r="H56" s="19">
        <v>270</v>
      </c>
      <c r="I56" s="19">
        <v>41924</v>
      </c>
      <c r="J56" s="19">
        <v>100646</v>
      </c>
      <c r="K56" s="19">
        <v>6045</v>
      </c>
      <c r="L56" s="19">
        <v>1338.7880652107</v>
      </c>
      <c r="M56" s="19">
        <v>8418</v>
      </c>
      <c r="N56" s="19">
        <v>55</v>
      </c>
      <c r="O56" s="19">
        <v>28</v>
      </c>
      <c r="P56" s="19">
        <v>0.7</v>
      </c>
      <c r="Q56" s="19">
        <v>158</v>
      </c>
      <c r="R56" s="19">
        <v>0</v>
      </c>
      <c r="S56" s="19">
        <v>15</v>
      </c>
      <c r="T56" s="19">
        <v>4</v>
      </c>
      <c r="U56" s="19">
        <v>0.6409</v>
      </c>
      <c r="V56" s="19">
        <v>198</v>
      </c>
      <c r="W56" s="19">
        <v>5459</v>
      </c>
      <c r="X56" s="19">
        <v>1747</v>
      </c>
      <c r="Y56" s="19">
        <v>92792</v>
      </c>
      <c r="Z56" s="19">
        <v>6143</v>
      </c>
      <c r="AA56" s="19">
        <v>39</v>
      </c>
      <c r="AB56" s="19">
        <v>92019.69</v>
      </c>
      <c r="AC56" s="19">
        <v>91992.61</v>
      </c>
      <c r="AD56" s="19">
        <v>20373.6324823131</v>
      </c>
      <c r="AE56" s="19">
        <v>39</v>
      </c>
      <c r="AF56" s="19">
        <v>35</v>
      </c>
      <c r="AG56" s="19">
        <v>28</v>
      </c>
      <c r="AH56" s="19">
        <v>64942</v>
      </c>
      <c r="AI56" s="19">
        <v>26</v>
      </c>
      <c r="AJ56" s="19">
        <v>0</v>
      </c>
      <c r="AK56" s="19">
        <v>0.0662</v>
      </c>
      <c r="AL56" s="19">
        <v>0.32</v>
      </c>
      <c r="AM56" s="19">
        <v>0.0063</v>
      </c>
      <c r="AN56" s="19">
        <v>0.02</v>
      </c>
      <c r="AO56" s="19">
        <v>0.0046</v>
      </c>
      <c r="AP56" s="19">
        <v>0.0058</v>
      </c>
      <c r="AQ56" s="19">
        <v>0</v>
      </c>
      <c r="AR56" s="19">
        <v>0</v>
      </c>
      <c r="AS56" s="19">
        <v>1</v>
      </c>
      <c r="AT56" s="19">
        <v>571.55</v>
      </c>
      <c r="AU56" s="19">
        <v>70727.69</v>
      </c>
      <c r="AV56" s="19">
        <v>31</v>
      </c>
      <c r="AW56" s="19">
        <v>21292</v>
      </c>
      <c r="AX56" s="19">
        <v>8</v>
      </c>
      <c r="AY56" s="19">
        <v>0.2314</v>
      </c>
      <c r="AZ56" s="19" t="s">
        <v>360</v>
      </c>
      <c r="BA56" s="19" t="s">
        <v>360</v>
      </c>
      <c r="BB56" s="19" t="s">
        <v>360</v>
      </c>
      <c r="BC56" s="19" t="s">
        <v>360</v>
      </c>
    </row>
    <row r="57" spans="1:55">
      <c r="A57" s="15" t="s">
        <v>522</v>
      </c>
      <c r="B57" s="20">
        <f t="shared" si="3"/>
        <v>46023</v>
      </c>
      <c r="C57" s="21" t="str">
        <f t="shared" si="0"/>
        <v>2026年</v>
      </c>
      <c r="D57" s="21" t="str">
        <f t="shared" si="1"/>
        <v>1月</v>
      </c>
      <c r="E57" s="19" t="str">
        <f t="shared" si="2"/>
        <v>W1</v>
      </c>
      <c r="F57" s="19" t="s">
        <v>633</v>
      </c>
      <c r="G57" s="19" t="s">
        <v>634</v>
      </c>
      <c r="H57" s="19">
        <v>240</v>
      </c>
      <c r="I57" s="19">
        <v>36225</v>
      </c>
      <c r="J57" s="19">
        <v>81981</v>
      </c>
      <c r="K57" s="19">
        <v>5491</v>
      </c>
      <c r="L57" s="19">
        <v>1372.08301520094</v>
      </c>
      <c r="M57" s="19">
        <v>7448</v>
      </c>
      <c r="N57" s="19">
        <v>41</v>
      </c>
      <c r="O57" s="19">
        <v>26</v>
      </c>
      <c r="P57" s="19">
        <v>0.62</v>
      </c>
      <c r="Q57" s="19">
        <v>76</v>
      </c>
      <c r="R57" s="19">
        <v>0</v>
      </c>
      <c r="S57" s="19">
        <v>10</v>
      </c>
      <c r="T57" s="19">
        <v>1</v>
      </c>
      <c r="U57" s="19">
        <v>0.6838</v>
      </c>
      <c r="V57" s="19">
        <v>193</v>
      </c>
      <c r="W57" s="19">
        <v>5189</v>
      </c>
      <c r="X57" s="19">
        <v>1398</v>
      </c>
      <c r="Y57" s="19">
        <v>76291</v>
      </c>
      <c r="Z57" s="19">
        <v>4896</v>
      </c>
      <c r="AA57" s="19">
        <v>38</v>
      </c>
      <c r="AB57" s="19">
        <v>80596.99</v>
      </c>
      <c r="AC57" s="19">
        <v>80432.59</v>
      </c>
      <c r="AD57" s="19">
        <v>20098.3774554036</v>
      </c>
      <c r="AE57" s="19">
        <v>38</v>
      </c>
      <c r="AF57" s="19">
        <v>26</v>
      </c>
      <c r="AG57" s="19">
        <v>35</v>
      </c>
      <c r="AH57" s="19">
        <v>75415.59</v>
      </c>
      <c r="AI57" s="19">
        <v>23</v>
      </c>
      <c r="AJ57" s="19">
        <v>0</v>
      </c>
      <c r="AK57" s="19">
        <v>0.0642</v>
      </c>
      <c r="AL57" s="19">
        <v>0.2694</v>
      </c>
      <c r="AM57" s="19">
        <v>0.0078</v>
      </c>
      <c r="AN57" s="19">
        <v>0.0186</v>
      </c>
      <c r="AO57" s="19">
        <v>0.0051</v>
      </c>
      <c r="AP57" s="19">
        <v>0.0047</v>
      </c>
      <c r="AQ57" s="19">
        <v>0</v>
      </c>
      <c r="AR57" s="19">
        <v>0</v>
      </c>
      <c r="AS57" s="19">
        <v>1</v>
      </c>
      <c r="AT57" s="19">
        <v>452.6</v>
      </c>
      <c r="AU57" s="19">
        <v>66606.99</v>
      </c>
      <c r="AV57" s="19">
        <v>31</v>
      </c>
      <c r="AW57" s="19">
        <v>13990</v>
      </c>
      <c r="AX57" s="19">
        <v>7</v>
      </c>
      <c r="AY57" s="19">
        <v>0.1736</v>
      </c>
      <c r="AZ57" s="19" t="s">
        <v>360</v>
      </c>
      <c r="BA57" s="19" t="s">
        <v>360</v>
      </c>
      <c r="BB57" s="19" t="s">
        <v>360</v>
      </c>
      <c r="BC57" s="19" t="s">
        <v>360</v>
      </c>
    </row>
    <row r="58" spans="1:55">
      <c r="A58" s="15" t="s">
        <v>522</v>
      </c>
      <c r="B58" s="20">
        <f t="shared" si="3"/>
        <v>46028</v>
      </c>
      <c r="C58" s="21" t="str">
        <f t="shared" si="0"/>
        <v>2026年</v>
      </c>
      <c r="D58" s="21" t="str">
        <f t="shared" si="1"/>
        <v>1月</v>
      </c>
      <c r="E58" s="19" t="str">
        <f t="shared" si="2"/>
        <v>W2</v>
      </c>
      <c r="F58" s="19" t="s">
        <v>635</v>
      </c>
      <c r="G58" s="19" t="s">
        <v>636</v>
      </c>
      <c r="H58" s="19">
        <v>143</v>
      </c>
      <c r="I58" s="19">
        <v>31441</v>
      </c>
      <c r="J58" s="19">
        <v>61654</v>
      </c>
      <c r="K58" s="19">
        <v>4317</v>
      </c>
      <c r="L58" s="19">
        <v>1809.43066713238</v>
      </c>
      <c r="M58" s="19">
        <v>5505</v>
      </c>
      <c r="N58" s="19">
        <v>60</v>
      </c>
      <c r="O58" s="19">
        <v>34</v>
      </c>
      <c r="P58" s="19">
        <v>0.65</v>
      </c>
      <c r="Q58" s="19">
        <v>161</v>
      </c>
      <c r="R58" s="19">
        <v>0</v>
      </c>
      <c r="S58" s="19">
        <v>11</v>
      </c>
      <c r="T58" s="19">
        <v>3</v>
      </c>
      <c r="U58" s="19">
        <v>0.6426</v>
      </c>
      <c r="V58" s="19">
        <v>206</v>
      </c>
      <c r="W58" s="19">
        <v>3990</v>
      </c>
      <c r="X58" s="19">
        <v>1362</v>
      </c>
      <c r="Y58" s="19">
        <v>60318</v>
      </c>
      <c r="Z58" s="19">
        <v>4276</v>
      </c>
      <c r="AA58" s="19">
        <v>29</v>
      </c>
      <c r="AB58" s="19">
        <v>69369.18</v>
      </c>
      <c r="AC58" s="19">
        <v>69337.18</v>
      </c>
      <c r="AD58" s="19">
        <v>29062.0384212365</v>
      </c>
      <c r="AE58" s="19">
        <v>29</v>
      </c>
      <c r="AF58" s="19">
        <v>28</v>
      </c>
      <c r="AG58" s="19">
        <v>23</v>
      </c>
      <c r="AH58" s="19">
        <v>56857.18</v>
      </c>
      <c r="AI58" s="19">
        <v>22</v>
      </c>
      <c r="AJ58" s="19">
        <v>0</v>
      </c>
      <c r="AK58" s="19">
        <v>0.0709</v>
      </c>
      <c r="AL58" s="19">
        <v>0.3414</v>
      </c>
      <c r="AM58" s="19">
        <v>0.0068</v>
      </c>
      <c r="AN58" s="19">
        <v>0.0206</v>
      </c>
      <c r="AO58" s="19">
        <v>0.0053</v>
      </c>
      <c r="AP58" s="19">
        <v>0.0065</v>
      </c>
      <c r="AQ58" s="19">
        <v>0</v>
      </c>
      <c r="AR58" s="19">
        <v>0</v>
      </c>
      <c r="AS58" s="19">
        <v>1</v>
      </c>
      <c r="AT58" s="19">
        <v>173.39</v>
      </c>
      <c r="AU58" s="19">
        <v>57393.18</v>
      </c>
      <c r="AV58" s="19">
        <v>25</v>
      </c>
      <c r="AW58" s="19">
        <v>11976</v>
      </c>
      <c r="AX58" s="19">
        <v>4</v>
      </c>
      <c r="AY58" s="19">
        <v>0.1726</v>
      </c>
      <c r="AZ58" s="19" t="s">
        <v>360</v>
      </c>
      <c r="BA58" s="19" t="s">
        <v>360</v>
      </c>
      <c r="BB58" s="19" t="s">
        <v>360</v>
      </c>
      <c r="BC58" s="19" t="s">
        <v>360</v>
      </c>
    </row>
    <row r="59" spans="1:55">
      <c r="A59" s="15" t="s">
        <v>522</v>
      </c>
      <c r="B59" s="20">
        <f t="shared" si="3"/>
        <v>46037</v>
      </c>
      <c r="C59" s="21" t="str">
        <f t="shared" si="0"/>
        <v>2026年</v>
      </c>
      <c r="D59" s="21" t="str">
        <f t="shared" si="1"/>
        <v>1月</v>
      </c>
      <c r="E59" s="19" t="str">
        <f t="shared" si="2"/>
        <v>W3</v>
      </c>
      <c r="F59" s="19" t="s">
        <v>637</v>
      </c>
      <c r="G59" s="19" t="s">
        <v>638</v>
      </c>
      <c r="H59" s="19">
        <v>184</v>
      </c>
      <c r="I59" s="19">
        <v>25579</v>
      </c>
      <c r="J59" s="19">
        <v>54822</v>
      </c>
      <c r="K59" s="19">
        <v>2763</v>
      </c>
      <c r="L59" s="19">
        <v>900.733496332518</v>
      </c>
      <c r="M59" s="19">
        <v>3626</v>
      </c>
      <c r="N59" s="19">
        <v>37</v>
      </c>
      <c r="O59" s="19">
        <v>23</v>
      </c>
      <c r="P59" s="19">
        <v>0.93</v>
      </c>
      <c r="Q59" s="19">
        <v>97</v>
      </c>
      <c r="R59" s="19">
        <v>0</v>
      </c>
      <c r="S59" s="19">
        <v>14</v>
      </c>
      <c r="T59" s="19">
        <v>2</v>
      </c>
      <c r="U59" s="19">
        <v>0.7014</v>
      </c>
      <c r="V59" s="19">
        <v>195</v>
      </c>
      <c r="W59" s="19">
        <v>2585</v>
      </c>
      <c r="X59" s="19">
        <v>909</v>
      </c>
      <c r="Y59" s="19">
        <v>43039</v>
      </c>
      <c r="Z59" s="19">
        <v>2780</v>
      </c>
      <c r="AA59" s="19">
        <v>27</v>
      </c>
      <c r="AB59" s="19">
        <v>62065</v>
      </c>
      <c r="AC59" s="19">
        <v>61784.4</v>
      </c>
      <c r="AD59" s="19">
        <v>20141.6136919315</v>
      </c>
      <c r="AE59" s="19">
        <v>27</v>
      </c>
      <c r="AF59" s="19">
        <v>24</v>
      </c>
      <c r="AG59" s="19">
        <v>14</v>
      </c>
      <c r="AH59" s="19">
        <v>29817</v>
      </c>
      <c r="AI59" s="19">
        <v>11</v>
      </c>
      <c r="AJ59" s="19">
        <v>0</v>
      </c>
      <c r="AK59" s="19">
        <v>0.0646</v>
      </c>
      <c r="AL59" s="19">
        <v>0.3516</v>
      </c>
      <c r="AM59" s="19">
        <v>0.0097</v>
      </c>
      <c r="AN59" s="19">
        <v>0.0264</v>
      </c>
      <c r="AO59" s="19">
        <v>0.0074</v>
      </c>
      <c r="AP59" s="19">
        <v>0.0087</v>
      </c>
      <c r="AQ59" s="19">
        <v>0</v>
      </c>
      <c r="AR59" s="19">
        <v>0</v>
      </c>
      <c r="AS59" s="19">
        <v>0</v>
      </c>
      <c r="AT59" s="19">
        <v>347.29</v>
      </c>
      <c r="AU59" s="19">
        <v>62065</v>
      </c>
      <c r="AV59" s="19">
        <v>27</v>
      </c>
      <c r="AW59" s="19">
        <v>0</v>
      </c>
      <c r="AX59" s="19">
        <v>0</v>
      </c>
      <c r="AY59" s="19">
        <v>0</v>
      </c>
      <c r="AZ59" s="19" t="s">
        <v>360</v>
      </c>
      <c r="BA59" s="19" t="s">
        <v>360</v>
      </c>
      <c r="BB59" s="19" t="s">
        <v>360</v>
      </c>
      <c r="BC59" s="19" t="s">
        <v>360</v>
      </c>
    </row>
    <row r="60" spans="1:55">
      <c r="A60" s="15" t="s">
        <v>522</v>
      </c>
      <c r="B60" s="20">
        <f t="shared" ref="B60:B69" si="4">DATE(YEAR(F60),MONTH(F60),DAY(F60))</f>
        <v>46039</v>
      </c>
      <c r="C60" s="21" t="str">
        <f t="shared" ref="C60:C69" si="5">TEXT(YEAR(B60),"0")&amp;"年"</f>
        <v>2026年</v>
      </c>
      <c r="D60" s="21" t="str">
        <f t="shared" ref="D60:D69" si="6">TEXT(MONTH(B60),"0")&amp;"月"</f>
        <v>1月</v>
      </c>
      <c r="E60" s="19" t="str">
        <f t="shared" ref="E60:E69" si="7">"W"&amp;TEXT(WEEKNUM(B60,2),"0")</f>
        <v>W3</v>
      </c>
      <c r="F60" s="19" t="s">
        <v>639</v>
      </c>
      <c r="G60" s="19" t="s">
        <v>640</v>
      </c>
      <c r="H60" s="19">
        <v>181</v>
      </c>
      <c r="I60" s="19">
        <v>51779</v>
      </c>
      <c r="J60" s="19">
        <v>98768</v>
      </c>
      <c r="K60" s="19">
        <v>5040</v>
      </c>
      <c r="L60" s="19">
        <v>1670.25683512842</v>
      </c>
      <c r="M60" s="19">
        <v>6531</v>
      </c>
      <c r="N60" s="19">
        <v>45</v>
      </c>
      <c r="O60" s="19">
        <v>33</v>
      </c>
      <c r="P60" s="19">
        <v>0.67</v>
      </c>
      <c r="Q60" s="19">
        <v>124</v>
      </c>
      <c r="R60" s="19">
        <v>0</v>
      </c>
      <c r="S60" s="19">
        <v>30</v>
      </c>
      <c r="T60" s="19">
        <v>5</v>
      </c>
      <c r="U60" s="19">
        <v>0.5677</v>
      </c>
      <c r="V60" s="19">
        <v>199</v>
      </c>
      <c r="W60" s="19">
        <v>4802</v>
      </c>
      <c r="X60" s="19">
        <v>1814</v>
      </c>
      <c r="Y60" s="19">
        <v>82436</v>
      </c>
      <c r="Z60" s="19">
        <v>6073</v>
      </c>
      <c r="AA60" s="19">
        <v>28</v>
      </c>
      <c r="AB60" s="19">
        <v>63186</v>
      </c>
      <c r="AC60" s="19">
        <v>61069.08</v>
      </c>
      <c r="AD60" s="19">
        <v>20238.3032311516</v>
      </c>
      <c r="AE60" s="19">
        <v>28</v>
      </c>
      <c r="AF60" s="19">
        <v>24</v>
      </c>
      <c r="AG60" s="19">
        <v>10</v>
      </c>
      <c r="AH60" s="19">
        <v>22050</v>
      </c>
      <c r="AI60" s="19">
        <v>9</v>
      </c>
      <c r="AJ60" s="19">
        <v>0</v>
      </c>
      <c r="AK60" s="19">
        <v>0.0737</v>
      </c>
      <c r="AL60" s="19">
        <v>0.3778</v>
      </c>
      <c r="AM60" s="19">
        <v>0.0046</v>
      </c>
      <c r="AN60" s="19">
        <v>0.0132</v>
      </c>
      <c r="AO60" s="19">
        <v>0.0043</v>
      </c>
      <c r="AP60" s="19">
        <v>0.0048</v>
      </c>
      <c r="AQ60" s="19">
        <v>0</v>
      </c>
      <c r="AR60" s="19">
        <v>0</v>
      </c>
      <c r="AS60" s="19">
        <v>1</v>
      </c>
      <c r="AT60" s="19">
        <v>441.67</v>
      </c>
      <c r="AU60" s="19">
        <v>52391</v>
      </c>
      <c r="AV60" s="19">
        <v>23</v>
      </c>
      <c r="AW60" s="19">
        <v>10795</v>
      </c>
      <c r="AX60" s="19">
        <v>5</v>
      </c>
      <c r="AY60" s="19">
        <v>0.1708</v>
      </c>
      <c r="AZ60" s="19">
        <v>25226.08</v>
      </c>
      <c r="BA60" s="19">
        <v>0.413074505134186</v>
      </c>
      <c r="BB60" s="19">
        <v>2065.92</v>
      </c>
      <c r="BC60" s="19">
        <v>13</v>
      </c>
    </row>
    <row r="61" spans="1:55">
      <c r="A61" s="15" t="s">
        <v>522</v>
      </c>
      <c r="B61" s="20">
        <f t="shared" si="4"/>
        <v>46026</v>
      </c>
      <c r="C61" s="21" t="str">
        <f t="shared" si="5"/>
        <v>2026年</v>
      </c>
      <c r="D61" s="21" t="str">
        <f t="shared" si="6"/>
        <v>1月</v>
      </c>
      <c r="E61" s="19" t="str">
        <f t="shared" si="7"/>
        <v>W1</v>
      </c>
      <c r="F61" s="19" t="s">
        <v>641</v>
      </c>
      <c r="G61" s="19" t="s">
        <v>642</v>
      </c>
      <c r="H61" s="19">
        <v>152</v>
      </c>
      <c r="I61" s="19">
        <v>28709</v>
      </c>
      <c r="J61" s="19">
        <v>61272</v>
      </c>
      <c r="K61" s="19">
        <v>4953</v>
      </c>
      <c r="L61" s="19">
        <v>1948.08259587021</v>
      </c>
      <c r="M61" s="19">
        <v>6392</v>
      </c>
      <c r="N61" s="19">
        <v>49</v>
      </c>
      <c r="O61" s="19">
        <v>33</v>
      </c>
      <c r="P61" s="19">
        <v>0.58</v>
      </c>
      <c r="Q61" s="19">
        <v>110</v>
      </c>
      <c r="R61" s="19">
        <v>0</v>
      </c>
      <c r="S61" s="19">
        <v>12</v>
      </c>
      <c r="T61" s="19">
        <v>2</v>
      </c>
      <c r="U61" s="19">
        <v>0.639</v>
      </c>
      <c r="V61" s="19">
        <v>198</v>
      </c>
      <c r="W61" s="19">
        <v>4680</v>
      </c>
      <c r="X61" s="19">
        <v>1339</v>
      </c>
      <c r="Y61" s="19">
        <v>72363</v>
      </c>
      <c r="Z61" s="19">
        <v>4596</v>
      </c>
      <c r="AA61" s="19">
        <v>27</v>
      </c>
      <c r="AB61" s="19">
        <v>58823</v>
      </c>
      <c r="AC61" s="19">
        <v>58653</v>
      </c>
      <c r="AD61" s="19">
        <v>23069.0265486726</v>
      </c>
      <c r="AE61" s="19">
        <v>27</v>
      </c>
      <c r="AF61" s="19">
        <v>22</v>
      </c>
      <c r="AG61" s="19">
        <v>23</v>
      </c>
      <c r="AH61" s="19">
        <v>52070.32</v>
      </c>
      <c r="AI61" s="19">
        <v>19</v>
      </c>
      <c r="AJ61" s="19">
        <v>0</v>
      </c>
      <c r="AK61" s="19">
        <v>0.0635</v>
      </c>
      <c r="AL61" s="19">
        <v>0.2861</v>
      </c>
      <c r="AM61" s="19">
        <v>0.0059</v>
      </c>
      <c r="AN61" s="19">
        <v>0.0164</v>
      </c>
      <c r="AO61" s="19">
        <v>0.0042</v>
      </c>
      <c r="AP61" s="19">
        <v>0.0044</v>
      </c>
      <c r="AQ61" s="19">
        <v>0</v>
      </c>
      <c r="AR61" s="19">
        <v>0</v>
      </c>
      <c r="AS61" s="19">
        <v>0</v>
      </c>
      <c r="AT61" s="19">
        <v>208.21</v>
      </c>
      <c r="AU61" s="19">
        <v>55699</v>
      </c>
      <c r="AV61" s="19">
        <v>25</v>
      </c>
      <c r="AW61" s="19">
        <v>3124</v>
      </c>
      <c r="AX61" s="19">
        <v>2</v>
      </c>
      <c r="AY61" s="19">
        <v>0.0531</v>
      </c>
      <c r="AZ61" s="19" t="s">
        <v>360</v>
      </c>
      <c r="BA61" s="19" t="s">
        <v>360</v>
      </c>
      <c r="BB61" s="19" t="s">
        <v>360</v>
      </c>
      <c r="BC61" s="19" t="s">
        <v>360</v>
      </c>
    </row>
    <row r="62" spans="1:55">
      <c r="A62" s="15" t="s">
        <v>522</v>
      </c>
      <c r="B62" s="20">
        <f t="shared" si="4"/>
        <v>46041</v>
      </c>
      <c r="C62" s="21" t="str">
        <f t="shared" si="5"/>
        <v>2026年</v>
      </c>
      <c r="D62" s="21" t="str">
        <f t="shared" si="6"/>
        <v>1月</v>
      </c>
      <c r="E62" s="19" t="str">
        <f t="shared" si="7"/>
        <v>W4</v>
      </c>
      <c r="F62" s="19" t="s">
        <v>643</v>
      </c>
      <c r="G62" s="19" t="s">
        <v>644</v>
      </c>
      <c r="H62" s="19">
        <v>107</v>
      </c>
      <c r="I62" s="19">
        <v>29309</v>
      </c>
      <c r="J62" s="19">
        <v>50725</v>
      </c>
      <c r="K62" s="19">
        <v>3133</v>
      </c>
      <c r="L62" s="19">
        <v>1755.45525291829</v>
      </c>
      <c r="M62" s="19">
        <v>3879</v>
      </c>
      <c r="N62" s="19">
        <v>60</v>
      </c>
      <c r="O62" s="19">
        <v>40</v>
      </c>
      <c r="P62" s="19">
        <v>0.86</v>
      </c>
      <c r="Q62" s="19">
        <v>97</v>
      </c>
      <c r="R62" s="19">
        <v>0</v>
      </c>
      <c r="S62" s="19">
        <v>20</v>
      </c>
      <c r="T62" s="19">
        <v>3</v>
      </c>
      <c r="U62" s="19">
        <v>0.6457</v>
      </c>
      <c r="V62" s="19">
        <v>196</v>
      </c>
      <c r="W62" s="19">
        <v>3079</v>
      </c>
      <c r="X62" s="19">
        <v>1334</v>
      </c>
      <c r="Y62" s="19">
        <v>56154</v>
      </c>
      <c r="Z62" s="19">
        <v>4600</v>
      </c>
      <c r="AA62" s="19">
        <v>45</v>
      </c>
      <c r="AB62" s="19">
        <v>46701.48</v>
      </c>
      <c r="AC62" s="19">
        <v>45629.34</v>
      </c>
      <c r="AD62" s="19">
        <v>25566.6340856031</v>
      </c>
      <c r="AE62" s="19">
        <v>45</v>
      </c>
      <c r="AF62" s="19">
        <v>41</v>
      </c>
      <c r="AG62" s="19">
        <v>11</v>
      </c>
      <c r="AH62" s="19">
        <v>11672</v>
      </c>
      <c r="AI62" s="19">
        <v>11</v>
      </c>
      <c r="AJ62" s="19">
        <v>0</v>
      </c>
      <c r="AK62" s="19">
        <v>0.0819</v>
      </c>
      <c r="AL62" s="19">
        <v>0.4333</v>
      </c>
      <c r="AM62" s="19">
        <v>0.0098</v>
      </c>
      <c r="AN62" s="19">
        <v>0.0307</v>
      </c>
      <c r="AO62" s="19">
        <v>0.0116</v>
      </c>
      <c r="AP62" s="19">
        <v>0.0131</v>
      </c>
      <c r="AQ62" s="19">
        <v>0</v>
      </c>
      <c r="AR62" s="19">
        <v>0</v>
      </c>
      <c r="AS62" s="19">
        <v>2</v>
      </c>
      <c r="AT62" s="19">
        <v>239.73</v>
      </c>
      <c r="AU62" s="19">
        <v>36700.48</v>
      </c>
      <c r="AV62" s="19">
        <v>36</v>
      </c>
      <c r="AW62" s="19">
        <v>10001</v>
      </c>
      <c r="AX62" s="19">
        <v>9</v>
      </c>
      <c r="AY62" s="19">
        <v>0.2141</v>
      </c>
      <c r="AZ62" s="19">
        <v>12168.7</v>
      </c>
      <c r="BA62" s="19">
        <v>0.266685864840473</v>
      </c>
      <c r="BB62" s="19">
        <v>991.14</v>
      </c>
      <c r="BC62" s="19">
        <v>9</v>
      </c>
    </row>
    <row r="63" spans="1:55">
      <c r="A63" s="15" t="s">
        <v>522</v>
      </c>
      <c r="B63" s="20">
        <f t="shared" si="4"/>
        <v>46028</v>
      </c>
      <c r="C63" s="21" t="str">
        <f t="shared" si="5"/>
        <v>2026年</v>
      </c>
      <c r="D63" s="21" t="str">
        <f t="shared" si="6"/>
        <v>1月</v>
      </c>
      <c r="E63" s="19" t="str">
        <f t="shared" si="7"/>
        <v>W2</v>
      </c>
      <c r="F63" s="19" t="s">
        <v>645</v>
      </c>
      <c r="G63" s="19" t="s">
        <v>646</v>
      </c>
      <c r="H63" s="19">
        <v>147</v>
      </c>
      <c r="I63" s="19">
        <v>20929</v>
      </c>
      <c r="J63" s="19">
        <v>46894</v>
      </c>
      <c r="K63" s="19">
        <v>3001</v>
      </c>
      <c r="L63" s="19">
        <v>1223.92658887504</v>
      </c>
      <c r="M63" s="19">
        <v>3843</v>
      </c>
      <c r="N63" s="19">
        <v>37</v>
      </c>
      <c r="O63" s="19">
        <v>25</v>
      </c>
      <c r="P63" s="19">
        <v>0.72</v>
      </c>
      <c r="Q63" s="19">
        <v>57</v>
      </c>
      <c r="R63" s="19">
        <v>0</v>
      </c>
      <c r="S63" s="19">
        <v>10</v>
      </c>
      <c r="T63" s="19">
        <v>0</v>
      </c>
      <c r="U63" s="19">
        <v>0.7068</v>
      </c>
      <c r="V63" s="19">
        <v>198</v>
      </c>
      <c r="W63" s="19">
        <v>2821</v>
      </c>
      <c r="X63" s="19">
        <v>972</v>
      </c>
      <c r="Y63" s="19">
        <v>52685</v>
      </c>
      <c r="Z63" s="19">
        <v>3440</v>
      </c>
      <c r="AA63" s="19">
        <v>16</v>
      </c>
      <c r="AB63" s="19">
        <v>35030.82</v>
      </c>
      <c r="AC63" s="19">
        <v>34980.82</v>
      </c>
      <c r="AD63" s="19">
        <v>14266.5630452022</v>
      </c>
      <c r="AE63" s="19">
        <v>16</v>
      </c>
      <c r="AF63" s="19">
        <v>15</v>
      </c>
      <c r="AG63" s="19">
        <v>13</v>
      </c>
      <c r="AH63" s="19">
        <v>27311.82</v>
      </c>
      <c r="AI63" s="19">
        <v>13</v>
      </c>
      <c r="AJ63" s="19">
        <v>0</v>
      </c>
      <c r="AK63" s="19">
        <v>0.0653</v>
      </c>
      <c r="AL63" s="19">
        <v>0.3446</v>
      </c>
      <c r="AM63" s="19">
        <v>0.0047</v>
      </c>
      <c r="AN63" s="19">
        <v>0.0154</v>
      </c>
      <c r="AO63" s="19">
        <v>0.0042</v>
      </c>
      <c r="AP63" s="19">
        <v>0.005</v>
      </c>
      <c r="AQ63" s="19">
        <v>0</v>
      </c>
      <c r="AR63" s="19">
        <v>0</v>
      </c>
      <c r="AS63" s="19">
        <v>3</v>
      </c>
      <c r="AT63" s="19">
        <v>200.48</v>
      </c>
      <c r="AU63" s="19">
        <v>30286.82</v>
      </c>
      <c r="AV63" s="19">
        <v>14</v>
      </c>
      <c r="AW63" s="19">
        <v>4744</v>
      </c>
      <c r="AX63" s="19">
        <v>2</v>
      </c>
      <c r="AY63" s="19">
        <v>0.1354</v>
      </c>
      <c r="AZ63" s="19" t="s">
        <v>360</v>
      </c>
      <c r="BA63" s="19" t="s">
        <v>360</v>
      </c>
      <c r="BB63" s="19" t="s">
        <v>360</v>
      </c>
      <c r="BC63" s="19" t="s">
        <v>360</v>
      </c>
    </row>
    <row r="64" spans="1:55">
      <c r="A64" s="15" t="s">
        <v>522</v>
      </c>
      <c r="B64" s="20">
        <f t="shared" si="4"/>
        <v>46029</v>
      </c>
      <c r="C64" s="21" t="str">
        <f t="shared" si="5"/>
        <v>2026年</v>
      </c>
      <c r="D64" s="21" t="str">
        <f t="shared" si="6"/>
        <v>1月</v>
      </c>
      <c r="E64" s="19" t="str">
        <f t="shared" si="7"/>
        <v>W2</v>
      </c>
      <c r="F64" s="19" t="s">
        <v>647</v>
      </c>
      <c r="G64" s="19" t="s">
        <v>648</v>
      </c>
      <c r="H64" s="19">
        <v>148</v>
      </c>
      <c r="I64" s="19">
        <v>17062</v>
      </c>
      <c r="J64" s="19">
        <v>37865</v>
      </c>
      <c r="K64" s="19">
        <v>2644</v>
      </c>
      <c r="L64" s="19">
        <v>1070.08431703204</v>
      </c>
      <c r="M64" s="19">
        <v>3434</v>
      </c>
      <c r="N64" s="19">
        <v>29</v>
      </c>
      <c r="O64" s="19">
        <v>22</v>
      </c>
      <c r="P64" s="19">
        <v>0.79</v>
      </c>
      <c r="Q64" s="19">
        <v>67</v>
      </c>
      <c r="R64" s="19">
        <v>0</v>
      </c>
      <c r="S64" s="19">
        <v>10</v>
      </c>
      <c r="T64" s="19">
        <v>2</v>
      </c>
      <c r="U64" s="19">
        <v>0.7005</v>
      </c>
      <c r="V64" s="19">
        <v>198</v>
      </c>
      <c r="W64" s="19">
        <v>2505</v>
      </c>
      <c r="X64" s="19">
        <v>722</v>
      </c>
      <c r="Y64" s="19">
        <v>36142</v>
      </c>
      <c r="Z64" s="19">
        <v>2383</v>
      </c>
      <c r="AA64" s="19">
        <v>14</v>
      </c>
      <c r="AB64" s="19">
        <v>29697.31</v>
      </c>
      <c r="AC64" s="19">
        <v>29478</v>
      </c>
      <c r="AD64" s="19">
        <v>11930.3878583474</v>
      </c>
      <c r="AE64" s="19">
        <v>14</v>
      </c>
      <c r="AF64" s="19">
        <v>12</v>
      </c>
      <c r="AG64" s="19">
        <v>10</v>
      </c>
      <c r="AH64" s="19">
        <v>23055.61</v>
      </c>
      <c r="AI64" s="19">
        <v>8</v>
      </c>
      <c r="AJ64" s="19">
        <v>0</v>
      </c>
      <c r="AK64" s="19">
        <v>0.0659</v>
      </c>
      <c r="AL64" s="19">
        <v>0.2882</v>
      </c>
      <c r="AM64" s="19">
        <v>0.0059</v>
      </c>
      <c r="AN64" s="19">
        <v>0.0166</v>
      </c>
      <c r="AO64" s="19">
        <v>0.0041</v>
      </c>
      <c r="AP64" s="19">
        <v>0.0045</v>
      </c>
      <c r="AQ64" s="19">
        <v>0</v>
      </c>
      <c r="AR64" s="19">
        <v>0</v>
      </c>
      <c r="AS64" s="19">
        <v>1</v>
      </c>
      <c r="AT64" s="19">
        <v>197.44</v>
      </c>
      <c r="AU64" s="19">
        <v>29697.31</v>
      </c>
      <c r="AV64" s="19">
        <v>14</v>
      </c>
      <c r="AW64" s="19">
        <v>0</v>
      </c>
      <c r="AX64" s="19">
        <v>0</v>
      </c>
      <c r="AY64" s="19">
        <v>0</v>
      </c>
      <c r="AZ64" s="19" t="s">
        <v>360</v>
      </c>
      <c r="BA64" s="19" t="s">
        <v>360</v>
      </c>
      <c r="BB64" s="19" t="s">
        <v>360</v>
      </c>
      <c r="BC64" s="19" t="s">
        <v>360</v>
      </c>
    </row>
    <row r="65" spans="1:55">
      <c r="A65" s="15" t="s">
        <v>522</v>
      </c>
      <c r="B65" s="20">
        <f t="shared" si="4"/>
        <v>46029</v>
      </c>
      <c r="C65" s="21" t="str">
        <f t="shared" si="5"/>
        <v>2026年</v>
      </c>
      <c r="D65" s="21" t="str">
        <f t="shared" si="6"/>
        <v>1月</v>
      </c>
      <c r="E65" s="19" t="str">
        <f t="shared" si="7"/>
        <v>W2</v>
      </c>
      <c r="F65" s="19" t="s">
        <v>649</v>
      </c>
      <c r="G65" s="19" t="s">
        <v>650</v>
      </c>
      <c r="H65" s="19">
        <v>97</v>
      </c>
      <c r="I65" s="19">
        <v>13896</v>
      </c>
      <c r="J65" s="19">
        <v>25775</v>
      </c>
      <c r="K65" s="19">
        <v>1990</v>
      </c>
      <c r="L65" s="19">
        <v>1230.08241758242</v>
      </c>
      <c r="M65" s="19">
        <v>2454</v>
      </c>
      <c r="N65" s="19">
        <v>46</v>
      </c>
      <c r="O65" s="19">
        <v>25</v>
      </c>
      <c r="P65" s="19">
        <v>0.75</v>
      </c>
      <c r="Q65" s="19">
        <v>54</v>
      </c>
      <c r="R65" s="19">
        <v>0</v>
      </c>
      <c r="S65" s="19">
        <v>5</v>
      </c>
      <c r="T65" s="19">
        <v>1</v>
      </c>
      <c r="U65" s="19">
        <v>0.7136</v>
      </c>
      <c r="V65" s="19">
        <v>195</v>
      </c>
      <c r="W65" s="19">
        <v>1923</v>
      </c>
      <c r="X65" s="19">
        <v>491</v>
      </c>
      <c r="Y65" s="19">
        <v>25417</v>
      </c>
      <c r="Z65" s="19">
        <v>1873</v>
      </c>
      <c r="AA65" s="19">
        <v>13</v>
      </c>
      <c r="AB65" s="19">
        <v>24490.9</v>
      </c>
      <c r="AC65" s="19">
        <v>24450.9</v>
      </c>
      <c r="AD65" s="19">
        <v>15113.8804945055</v>
      </c>
      <c r="AE65" s="19">
        <v>13</v>
      </c>
      <c r="AF65" s="19">
        <v>11</v>
      </c>
      <c r="AG65" s="19">
        <v>9</v>
      </c>
      <c r="AH65" s="19">
        <v>16454.9</v>
      </c>
      <c r="AI65" s="19">
        <v>7</v>
      </c>
      <c r="AJ65" s="19">
        <v>0</v>
      </c>
      <c r="AK65" s="19">
        <v>0.0737</v>
      </c>
      <c r="AL65" s="19">
        <v>0.2553</v>
      </c>
      <c r="AM65" s="19">
        <v>0.0069</v>
      </c>
      <c r="AN65" s="19">
        <v>0.0224</v>
      </c>
      <c r="AO65" s="19">
        <v>0.0053</v>
      </c>
      <c r="AP65" s="19">
        <v>0.0055</v>
      </c>
      <c r="AQ65" s="19">
        <v>0</v>
      </c>
      <c r="AR65" s="19">
        <v>0</v>
      </c>
      <c r="AS65" s="19">
        <v>0</v>
      </c>
      <c r="AT65" s="19">
        <v>186.34</v>
      </c>
      <c r="AU65" s="19">
        <v>22151.9</v>
      </c>
      <c r="AV65" s="19">
        <v>12</v>
      </c>
      <c r="AW65" s="19">
        <v>2339</v>
      </c>
      <c r="AX65" s="19">
        <v>1</v>
      </c>
      <c r="AY65" s="19">
        <v>0.0955</v>
      </c>
      <c r="AZ65" s="19" t="s">
        <v>360</v>
      </c>
      <c r="BA65" s="19" t="s">
        <v>360</v>
      </c>
      <c r="BB65" s="19" t="s">
        <v>360</v>
      </c>
      <c r="BC65" s="19" t="s">
        <v>360</v>
      </c>
    </row>
    <row r="66" spans="1:55">
      <c r="A66" s="15" t="s">
        <v>522</v>
      </c>
      <c r="B66" s="20">
        <f t="shared" si="4"/>
        <v>46023</v>
      </c>
      <c r="C66" s="21" t="str">
        <f t="shared" si="5"/>
        <v>2026年</v>
      </c>
      <c r="D66" s="21" t="str">
        <f t="shared" si="6"/>
        <v>1月</v>
      </c>
      <c r="E66" s="19" t="str">
        <f t="shared" si="7"/>
        <v>W1</v>
      </c>
      <c r="F66" s="19" t="s">
        <v>651</v>
      </c>
      <c r="G66" s="19" t="s">
        <v>652</v>
      </c>
      <c r="H66" s="19">
        <v>83</v>
      </c>
      <c r="I66" s="19">
        <v>17875</v>
      </c>
      <c r="J66" s="19">
        <v>32470</v>
      </c>
      <c r="K66" s="19">
        <v>2472</v>
      </c>
      <c r="L66" s="19">
        <v>1783.40681362725</v>
      </c>
      <c r="M66" s="19">
        <v>3092</v>
      </c>
      <c r="N66" s="19">
        <v>44</v>
      </c>
      <c r="O66" s="19">
        <v>28</v>
      </c>
      <c r="P66" s="19">
        <v>0.52</v>
      </c>
      <c r="Q66" s="19">
        <v>21</v>
      </c>
      <c r="R66" s="19">
        <v>0</v>
      </c>
      <c r="S66" s="19">
        <v>8</v>
      </c>
      <c r="T66" s="19">
        <v>1</v>
      </c>
      <c r="U66" s="19">
        <v>0.7047</v>
      </c>
      <c r="V66" s="19">
        <v>193</v>
      </c>
      <c r="W66" s="19">
        <v>2250</v>
      </c>
      <c r="X66" s="19">
        <v>687</v>
      </c>
      <c r="Y66" s="19">
        <v>31706</v>
      </c>
      <c r="Z66" s="19">
        <v>2107</v>
      </c>
      <c r="AA66" s="19">
        <v>4</v>
      </c>
      <c r="AB66" s="19">
        <v>9708</v>
      </c>
      <c r="AC66" s="19">
        <v>9698</v>
      </c>
      <c r="AD66" s="19">
        <v>6996.55310621242</v>
      </c>
      <c r="AE66" s="19">
        <v>4</v>
      </c>
      <c r="AF66" s="19">
        <v>4</v>
      </c>
      <c r="AG66" s="19">
        <v>2</v>
      </c>
      <c r="AH66" s="19">
        <v>5624</v>
      </c>
      <c r="AI66" s="19">
        <v>2</v>
      </c>
      <c r="AJ66" s="19">
        <v>0</v>
      </c>
      <c r="AK66" s="19">
        <v>0.0665</v>
      </c>
      <c r="AL66" s="19">
        <v>0.3053</v>
      </c>
      <c r="AM66" s="19">
        <v>0.0019</v>
      </c>
      <c r="AN66" s="19">
        <v>0.0058</v>
      </c>
      <c r="AO66" s="19">
        <v>0.0013</v>
      </c>
      <c r="AP66" s="19">
        <v>0.0016</v>
      </c>
      <c r="AQ66" s="19">
        <v>0</v>
      </c>
      <c r="AR66" s="19">
        <v>0</v>
      </c>
      <c r="AS66" s="19">
        <v>0</v>
      </c>
      <c r="AT66" s="19">
        <v>109.35</v>
      </c>
      <c r="AU66" s="19">
        <v>9708</v>
      </c>
      <c r="AV66" s="19">
        <v>4</v>
      </c>
      <c r="AW66" s="19">
        <v>0</v>
      </c>
      <c r="AX66" s="19">
        <v>0</v>
      </c>
      <c r="AY66" s="19">
        <v>0</v>
      </c>
      <c r="AZ66" s="19" t="s">
        <v>360</v>
      </c>
      <c r="BA66" s="19" t="s">
        <v>360</v>
      </c>
      <c r="BB66" s="19" t="s">
        <v>360</v>
      </c>
      <c r="BC66" s="19" t="s">
        <v>360</v>
      </c>
    </row>
    <row r="67" spans="1:55">
      <c r="A67" s="15" t="s">
        <v>522</v>
      </c>
      <c r="B67" s="20">
        <f t="shared" si="4"/>
        <v>46037</v>
      </c>
      <c r="C67" s="21" t="str">
        <f t="shared" si="5"/>
        <v>2026年</v>
      </c>
      <c r="D67" s="21" t="str">
        <f t="shared" si="6"/>
        <v>1月</v>
      </c>
      <c r="E67" s="19" t="str">
        <f t="shared" si="7"/>
        <v>W3</v>
      </c>
      <c r="F67" s="19" t="s">
        <v>653</v>
      </c>
      <c r="G67" s="19" t="s">
        <v>654</v>
      </c>
      <c r="H67" s="19">
        <v>60</v>
      </c>
      <c r="I67" s="19">
        <v>10848</v>
      </c>
      <c r="J67" s="19">
        <v>18137</v>
      </c>
      <c r="K67" s="19">
        <v>1114</v>
      </c>
      <c r="L67" s="19">
        <v>1113.07243963364</v>
      </c>
      <c r="M67" s="19">
        <v>1379</v>
      </c>
      <c r="N67" s="19">
        <v>38</v>
      </c>
      <c r="O67" s="19">
        <v>23</v>
      </c>
      <c r="P67" s="19">
        <v>0.69</v>
      </c>
      <c r="Q67" s="19">
        <v>27</v>
      </c>
      <c r="R67" s="19">
        <v>0</v>
      </c>
      <c r="S67" s="19">
        <v>4</v>
      </c>
      <c r="T67" s="19">
        <v>1</v>
      </c>
      <c r="U67" s="19">
        <v>0.7065</v>
      </c>
      <c r="V67" s="19">
        <v>192</v>
      </c>
      <c r="W67" s="19">
        <v>1053</v>
      </c>
      <c r="X67" s="19">
        <v>319</v>
      </c>
      <c r="Y67" s="19">
        <v>15427</v>
      </c>
      <c r="Z67" s="19">
        <v>1023</v>
      </c>
      <c r="AA67" s="19">
        <v>6</v>
      </c>
      <c r="AB67" s="19">
        <v>9091</v>
      </c>
      <c r="AC67" s="19">
        <v>9083</v>
      </c>
      <c r="AD67" s="19">
        <v>9075.43713572023</v>
      </c>
      <c r="AE67" s="19">
        <v>6</v>
      </c>
      <c r="AF67" s="19">
        <v>4</v>
      </c>
      <c r="AG67" s="19">
        <v>5</v>
      </c>
      <c r="AH67" s="19">
        <v>7312</v>
      </c>
      <c r="AI67" s="19">
        <v>3</v>
      </c>
      <c r="AJ67" s="19">
        <v>0</v>
      </c>
      <c r="AK67" s="19">
        <v>0.0663</v>
      </c>
      <c r="AL67" s="19">
        <v>0.3029</v>
      </c>
      <c r="AM67" s="19">
        <v>0.0059</v>
      </c>
      <c r="AN67" s="19">
        <v>0.0125</v>
      </c>
      <c r="AO67" s="19">
        <v>0.0044</v>
      </c>
      <c r="AP67" s="19">
        <v>0.0036</v>
      </c>
      <c r="AQ67" s="19">
        <v>0</v>
      </c>
      <c r="AR67" s="19">
        <v>0</v>
      </c>
      <c r="AS67" s="19">
        <v>0</v>
      </c>
      <c r="AT67" s="19">
        <v>95.07</v>
      </c>
      <c r="AU67" s="19">
        <v>8495</v>
      </c>
      <c r="AV67" s="19">
        <v>5</v>
      </c>
      <c r="AW67" s="19">
        <v>596</v>
      </c>
      <c r="AX67" s="19">
        <v>1</v>
      </c>
      <c r="AY67" s="19">
        <v>0.0656</v>
      </c>
      <c r="AZ67" s="19" t="s">
        <v>360</v>
      </c>
      <c r="BA67" s="19" t="s">
        <v>360</v>
      </c>
      <c r="BB67" s="19" t="s">
        <v>360</v>
      </c>
      <c r="BC67" s="19" t="s">
        <v>360</v>
      </c>
    </row>
    <row r="68" spans="1:55">
      <c r="A68" s="15" t="s">
        <v>522</v>
      </c>
      <c r="B68" s="20">
        <f t="shared" si="4"/>
        <v>46026</v>
      </c>
      <c r="C68" s="21" t="str">
        <f t="shared" si="5"/>
        <v>2026年</v>
      </c>
      <c r="D68" s="21" t="str">
        <f t="shared" si="6"/>
        <v>1月</v>
      </c>
      <c r="E68" s="19" t="str">
        <f t="shared" si="7"/>
        <v>W1</v>
      </c>
      <c r="F68" s="19" t="s">
        <v>655</v>
      </c>
      <c r="G68" s="19" t="s">
        <v>656</v>
      </c>
      <c r="H68" s="19">
        <v>82</v>
      </c>
      <c r="I68" s="19">
        <v>16738</v>
      </c>
      <c r="J68" s="19">
        <v>35027</v>
      </c>
      <c r="K68" s="19">
        <v>2602</v>
      </c>
      <c r="L68" s="19">
        <v>1883.99034593725</v>
      </c>
      <c r="M68" s="19">
        <v>3228</v>
      </c>
      <c r="N68" s="19">
        <v>37</v>
      </c>
      <c r="O68" s="19">
        <v>29</v>
      </c>
      <c r="P68" s="19">
        <v>0.54</v>
      </c>
      <c r="Q68" s="19">
        <v>45</v>
      </c>
      <c r="R68" s="19">
        <v>0</v>
      </c>
      <c r="S68" s="19">
        <v>7</v>
      </c>
      <c r="T68" s="19">
        <v>3</v>
      </c>
      <c r="U68" s="19">
        <v>0.6972</v>
      </c>
      <c r="V68" s="19">
        <v>198</v>
      </c>
      <c r="W68" s="19">
        <v>2465</v>
      </c>
      <c r="X68" s="19">
        <v>711</v>
      </c>
      <c r="Y68" s="19">
        <v>36304</v>
      </c>
      <c r="Z68" s="19">
        <v>2246</v>
      </c>
      <c r="AA68" s="19">
        <v>4</v>
      </c>
      <c r="AB68" s="19">
        <v>7986.91</v>
      </c>
      <c r="AC68" s="19">
        <v>7976.91</v>
      </c>
      <c r="AD68" s="19">
        <v>5775.71922767498</v>
      </c>
      <c r="AE68" s="19">
        <v>4</v>
      </c>
      <c r="AF68" s="19">
        <v>4</v>
      </c>
      <c r="AG68" s="19">
        <v>4</v>
      </c>
      <c r="AH68" s="19">
        <v>7976.91</v>
      </c>
      <c r="AI68" s="19">
        <v>4</v>
      </c>
      <c r="AJ68" s="19">
        <v>0</v>
      </c>
      <c r="AK68" s="19">
        <v>0.0619</v>
      </c>
      <c r="AL68" s="19">
        <v>0.2884</v>
      </c>
      <c r="AM68" s="19">
        <v>0.0018</v>
      </c>
      <c r="AN68" s="19">
        <v>0.0056</v>
      </c>
      <c r="AO68" s="19">
        <v>0.0012</v>
      </c>
      <c r="AP68" s="19">
        <v>0.0015</v>
      </c>
      <c r="AQ68" s="19">
        <v>0</v>
      </c>
      <c r="AR68" s="19">
        <v>0</v>
      </c>
      <c r="AS68" s="19">
        <v>0</v>
      </c>
      <c r="AT68" s="19">
        <v>190.09</v>
      </c>
      <c r="AU68" s="19">
        <v>7986.91</v>
      </c>
      <c r="AV68" s="19">
        <v>4</v>
      </c>
      <c r="AW68" s="19">
        <v>0</v>
      </c>
      <c r="AX68" s="19">
        <v>0</v>
      </c>
      <c r="AY68" s="19">
        <v>0</v>
      </c>
      <c r="AZ68" s="19" t="s">
        <v>360</v>
      </c>
      <c r="BA68" s="19" t="s">
        <v>360</v>
      </c>
      <c r="BB68" s="19" t="s">
        <v>360</v>
      </c>
      <c r="BC68" s="19" t="s">
        <v>360</v>
      </c>
    </row>
    <row r="69" spans="1:55">
      <c r="A69" s="15" t="s">
        <v>522</v>
      </c>
      <c r="B69" s="20">
        <f t="shared" si="4"/>
        <v>46026</v>
      </c>
      <c r="C69" s="21" t="str">
        <f t="shared" si="5"/>
        <v>2026年</v>
      </c>
      <c r="D69" s="21" t="str">
        <f t="shared" si="6"/>
        <v>1月</v>
      </c>
      <c r="E69" s="19" t="str">
        <f t="shared" si="7"/>
        <v>W1</v>
      </c>
      <c r="F69" s="19" t="s">
        <v>657</v>
      </c>
      <c r="G69" s="19" t="s">
        <v>658</v>
      </c>
      <c r="H69" s="19">
        <v>62</v>
      </c>
      <c r="I69" s="19">
        <v>11833</v>
      </c>
      <c r="J69" s="19">
        <v>22450</v>
      </c>
      <c r="K69" s="19">
        <v>1648</v>
      </c>
      <c r="L69" s="19">
        <v>1590.98954143202</v>
      </c>
      <c r="M69" s="19">
        <v>2012</v>
      </c>
      <c r="N69" s="19">
        <v>40</v>
      </c>
      <c r="O69" s="19">
        <v>26</v>
      </c>
      <c r="P69" s="19">
        <v>0.6</v>
      </c>
      <c r="Q69" s="19">
        <v>19</v>
      </c>
      <c r="R69" s="19">
        <v>0</v>
      </c>
      <c r="S69" s="19">
        <v>6</v>
      </c>
      <c r="T69" s="19">
        <v>0</v>
      </c>
      <c r="U69" s="19">
        <v>0.6924</v>
      </c>
      <c r="V69" s="19">
        <v>198</v>
      </c>
      <c r="W69" s="19">
        <v>1545</v>
      </c>
      <c r="X69" s="19">
        <v>484</v>
      </c>
      <c r="Y69" s="19">
        <v>25522</v>
      </c>
      <c r="Z69" s="19">
        <v>1379</v>
      </c>
      <c r="AA69" s="19">
        <v>2</v>
      </c>
      <c r="AB69" s="19">
        <v>3578</v>
      </c>
      <c r="AC69" s="19">
        <v>3578</v>
      </c>
      <c r="AD69" s="19">
        <v>3454.22365245374</v>
      </c>
      <c r="AE69" s="19">
        <v>2</v>
      </c>
      <c r="AF69" s="19">
        <v>2</v>
      </c>
      <c r="AG69" s="19">
        <v>2</v>
      </c>
      <c r="AH69" s="19">
        <v>3578</v>
      </c>
      <c r="AI69" s="19">
        <v>2</v>
      </c>
      <c r="AJ69" s="19">
        <v>0</v>
      </c>
      <c r="AK69" s="19">
        <v>0.054</v>
      </c>
      <c r="AL69" s="19">
        <v>0.3133</v>
      </c>
      <c r="AM69" s="19">
        <v>0.0015</v>
      </c>
      <c r="AN69" s="19">
        <v>0.0041</v>
      </c>
      <c r="AO69" s="19">
        <v>0.001</v>
      </c>
      <c r="AP69" s="19">
        <v>0.0012</v>
      </c>
      <c r="AQ69" s="19">
        <v>0</v>
      </c>
      <c r="AR69" s="19">
        <v>0</v>
      </c>
      <c r="AS69" s="19">
        <v>1</v>
      </c>
      <c r="AT69" s="19">
        <v>68.52</v>
      </c>
      <c r="AU69" s="19">
        <v>2949</v>
      </c>
      <c r="AV69" s="19">
        <v>1</v>
      </c>
      <c r="AW69" s="19">
        <v>629</v>
      </c>
      <c r="AX69" s="19">
        <v>1</v>
      </c>
      <c r="AY69" s="19">
        <v>0.1758</v>
      </c>
      <c r="AZ69" s="19" t="s">
        <v>360</v>
      </c>
      <c r="BA69" s="19" t="s">
        <v>360</v>
      </c>
      <c r="BB69" s="19" t="s">
        <v>360</v>
      </c>
      <c r="BC69" s="19" t="s">
        <v>360</v>
      </c>
    </row>
    <row r="70" spans="1:55">
      <c r="A70" s="15" t="s">
        <v>522</v>
      </c>
      <c r="B70" s="20">
        <f t="shared" ref="B70:B87" si="8">DATE(YEAR(F70),MONTH(F70),DAY(F70))</f>
        <v>46045</v>
      </c>
      <c r="C70" s="21" t="str">
        <f t="shared" ref="C70:C87" si="9">TEXT(YEAR(B70),"0")&amp;"年"</f>
        <v>2026年</v>
      </c>
      <c r="D70" s="21" t="str">
        <f t="shared" ref="D70:D87" si="10">TEXT(MONTH(B70),"0")&amp;"月"</f>
        <v>1月</v>
      </c>
      <c r="E70" s="19" t="str">
        <f t="shared" ref="E70:E87" si="11">"W"&amp;TEXT(WEEKNUM(B70,2),"0")</f>
        <v>W4</v>
      </c>
      <c r="F70" s="19" t="s">
        <v>659</v>
      </c>
      <c r="G70" s="19" t="s">
        <v>660</v>
      </c>
      <c r="H70" s="19">
        <v>310</v>
      </c>
      <c r="I70" s="19">
        <v>89235</v>
      </c>
      <c r="J70" s="19">
        <v>188875</v>
      </c>
      <c r="K70" s="19">
        <v>12444</v>
      </c>
      <c r="L70" s="19">
        <v>2402.57427866567</v>
      </c>
      <c r="M70" s="19">
        <v>16392</v>
      </c>
      <c r="N70" s="19">
        <v>93</v>
      </c>
      <c r="O70" s="19">
        <v>48</v>
      </c>
      <c r="P70" s="19">
        <v>0.76</v>
      </c>
      <c r="Q70" s="19">
        <v>419</v>
      </c>
      <c r="R70" s="19">
        <v>0</v>
      </c>
      <c r="S70" s="19">
        <v>52</v>
      </c>
      <c r="T70" s="19">
        <v>2</v>
      </c>
      <c r="U70" s="19">
        <v>0.5055</v>
      </c>
      <c r="V70" s="19">
        <v>203</v>
      </c>
      <c r="W70" s="19">
        <v>11817</v>
      </c>
      <c r="X70" s="19">
        <v>4325</v>
      </c>
      <c r="Y70" s="19">
        <v>163123</v>
      </c>
      <c r="Z70" s="19">
        <v>13460</v>
      </c>
      <c r="AA70" s="19">
        <v>117</v>
      </c>
      <c r="AB70" s="19">
        <v>294117.02</v>
      </c>
      <c r="AC70" s="19">
        <v>292097.98</v>
      </c>
      <c r="AD70" s="19">
        <v>56395.6198648504</v>
      </c>
      <c r="AE70" s="19">
        <v>117</v>
      </c>
      <c r="AF70" s="19">
        <v>94</v>
      </c>
      <c r="AG70" s="19">
        <v>37</v>
      </c>
      <c r="AH70" s="19">
        <v>85877</v>
      </c>
      <c r="AI70" s="19">
        <v>31</v>
      </c>
      <c r="AJ70" s="19">
        <v>0</v>
      </c>
      <c r="AK70" s="19">
        <v>0.0825</v>
      </c>
      <c r="AL70" s="19">
        <v>0.366</v>
      </c>
      <c r="AM70" s="19">
        <v>0.0087</v>
      </c>
      <c r="AN70" s="19">
        <v>0.0217</v>
      </c>
      <c r="AO70" s="19">
        <v>0.0071</v>
      </c>
      <c r="AP70" s="19">
        <v>0.0076</v>
      </c>
      <c r="AQ70" s="19">
        <v>0</v>
      </c>
      <c r="AR70" s="19">
        <v>0</v>
      </c>
      <c r="AS70" s="19">
        <v>2</v>
      </c>
      <c r="AT70" s="19">
        <v>1240.63</v>
      </c>
      <c r="AU70" s="19">
        <v>247786.02</v>
      </c>
      <c r="AV70" s="19">
        <v>97</v>
      </c>
      <c r="AW70" s="19">
        <v>46331</v>
      </c>
      <c r="AX70" s="19">
        <v>20</v>
      </c>
      <c r="AY70" s="19">
        <v>0.1575</v>
      </c>
      <c r="AZ70" s="19">
        <v>22784.56</v>
      </c>
      <c r="BA70" s="19">
        <v>0.0780031412747188</v>
      </c>
      <c r="BB70" s="19">
        <v>1612.44</v>
      </c>
      <c r="BC70" s="19">
        <v>13</v>
      </c>
    </row>
    <row r="71" spans="1:55">
      <c r="A71" s="15" t="s">
        <v>522</v>
      </c>
      <c r="B71" s="20">
        <f t="shared" si="8"/>
        <v>46046</v>
      </c>
      <c r="C71" s="21" t="str">
        <f t="shared" si="9"/>
        <v>2026年</v>
      </c>
      <c r="D71" s="21" t="str">
        <f t="shared" si="10"/>
        <v>1月</v>
      </c>
      <c r="E71" s="19" t="str">
        <f t="shared" si="11"/>
        <v>W4</v>
      </c>
      <c r="F71" s="19" t="s">
        <v>661</v>
      </c>
      <c r="G71" s="19" t="s">
        <v>662</v>
      </c>
      <c r="H71" s="19">
        <v>301</v>
      </c>
      <c r="I71" s="19">
        <v>149706</v>
      </c>
      <c r="J71" s="19">
        <v>280749</v>
      </c>
      <c r="K71" s="19">
        <v>19165</v>
      </c>
      <c r="L71" s="19">
        <v>3817.51784429812</v>
      </c>
      <c r="M71" s="19">
        <v>24512</v>
      </c>
      <c r="N71" s="19">
        <v>140</v>
      </c>
      <c r="O71" s="19">
        <v>63</v>
      </c>
      <c r="P71" s="19">
        <v>0.65</v>
      </c>
      <c r="Q71" s="19">
        <v>393</v>
      </c>
      <c r="R71" s="19">
        <v>0</v>
      </c>
      <c r="S71" s="19">
        <v>121</v>
      </c>
      <c r="T71" s="19">
        <v>5</v>
      </c>
      <c r="U71" s="19">
        <v>0.4682</v>
      </c>
      <c r="V71" s="19">
        <v>221</v>
      </c>
      <c r="W71" s="19">
        <v>17754</v>
      </c>
      <c r="X71" s="19">
        <v>4605</v>
      </c>
      <c r="Y71" s="19">
        <v>187408</v>
      </c>
      <c r="Z71" s="19">
        <v>15635</v>
      </c>
      <c r="AA71" s="19">
        <v>151</v>
      </c>
      <c r="AB71" s="19">
        <v>274347.71</v>
      </c>
      <c r="AC71" s="19">
        <v>273219.7</v>
      </c>
      <c r="AD71" s="19">
        <v>54423.2235932053</v>
      </c>
      <c r="AE71" s="19">
        <v>151</v>
      </c>
      <c r="AF71" s="19">
        <v>131</v>
      </c>
      <c r="AG71" s="19">
        <v>41</v>
      </c>
      <c r="AH71" s="19">
        <v>74680</v>
      </c>
      <c r="AI71" s="19">
        <v>37</v>
      </c>
      <c r="AJ71" s="19">
        <v>0</v>
      </c>
      <c r="AK71" s="19">
        <v>0.0834</v>
      </c>
      <c r="AL71" s="19">
        <v>0.2594</v>
      </c>
      <c r="AM71" s="19">
        <v>0.0097</v>
      </c>
      <c r="AN71" s="19">
        <v>0.0284</v>
      </c>
      <c r="AO71" s="19">
        <v>0.0062</v>
      </c>
      <c r="AP71" s="19">
        <v>0.0068</v>
      </c>
      <c r="AQ71" s="19">
        <v>0</v>
      </c>
      <c r="AR71" s="19">
        <v>0</v>
      </c>
      <c r="AS71" s="19">
        <v>5</v>
      </c>
      <c r="AT71" s="19">
        <v>805.71</v>
      </c>
      <c r="AU71" s="19">
        <v>231713.71</v>
      </c>
      <c r="AV71" s="19">
        <v>128</v>
      </c>
      <c r="AW71" s="19">
        <v>42634</v>
      </c>
      <c r="AX71" s="19">
        <v>23</v>
      </c>
      <c r="AY71" s="19">
        <v>0.1554</v>
      </c>
      <c r="AZ71" s="19">
        <v>4623</v>
      </c>
      <c r="BA71" s="19">
        <v>0.0169204490012982</v>
      </c>
      <c r="BB71" s="19">
        <v>380</v>
      </c>
      <c r="BC71" s="19">
        <v>2</v>
      </c>
    </row>
    <row r="72" spans="1:55">
      <c r="A72" s="15" t="s">
        <v>522</v>
      </c>
      <c r="B72" s="20">
        <f t="shared" si="8"/>
        <v>46046</v>
      </c>
      <c r="C72" s="21" t="str">
        <f t="shared" si="9"/>
        <v>2026年</v>
      </c>
      <c r="D72" s="21" t="str">
        <f t="shared" si="10"/>
        <v>1月</v>
      </c>
      <c r="E72" s="19" t="str">
        <f t="shared" si="11"/>
        <v>W4</v>
      </c>
      <c r="F72" s="19" t="s">
        <v>663</v>
      </c>
      <c r="G72" s="19" t="s">
        <v>664</v>
      </c>
      <c r="H72" s="19">
        <v>301</v>
      </c>
      <c r="I72" s="19">
        <v>76062</v>
      </c>
      <c r="J72" s="19">
        <v>165689</v>
      </c>
      <c r="K72" s="19">
        <v>10429</v>
      </c>
      <c r="L72" s="19">
        <v>2078.52516193323</v>
      </c>
      <c r="M72" s="19">
        <v>14093</v>
      </c>
      <c r="N72" s="19">
        <v>76</v>
      </c>
      <c r="O72" s="19">
        <v>38</v>
      </c>
      <c r="P72" s="19">
        <v>0.64</v>
      </c>
      <c r="Q72" s="19">
        <v>342</v>
      </c>
      <c r="R72" s="19">
        <v>0</v>
      </c>
      <c r="S72" s="19">
        <v>45</v>
      </c>
      <c r="T72" s="19">
        <v>6</v>
      </c>
      <c r="U72" s="19">
        <v>0.5448</v>
      </c>
      <c r="V72" s="19">
        <v>202</v>
      </c>
      <c r="W72" s="19">
        <v>9703</v>
      </c>
      <c r="X72" s="19">
        <v>3531</v>
      </c>
      <c r="Y72" s="19">
        <v>156920</v>
      </c>
      <c r="Z72" s="19">
        <v>11986</v>
      </c>
      <c r="AA72" s="19">
        <v>120</v>
      </c>
      <c r="AB72" s="19">
        <v>238349.54</v>
      </c>
      <c r="AC72" s="19">
        <v>235769.17</v>
      </c>
      <c r="AD72" s="19">
        <v>46989.3712007972</v>
      </c>
      <c r="AE72" s="19">
        <v>121</v>
      </c>
      <c r="AF72" s="19">
        <v>89</v>
      </c>
      <c r="AG72" s="19">
        <v>34</v>
      </c>
      <c r="AH72" s="19">
        <v>68543.41</v>
      </c>
      <c r="AI72" s="19">
        <v>29</v>
      </c>
      <c r="AJ72" s="19">
        <v>0</v>
      </c>
      <c r="AK72" s="19">
        <v>0.0764</v>
      </c>
      <c r="AL72" s="19">
        <v>0.3639</v>
      </c>
      <c r="AM72" s="19">
        <v>0.01</v>
      </c>
      <c r="AN72" s="19">
        <v>0.0252</v>
      </c>
      <c r="AO72" s="19">
        <v>0.0085</v>
      </c>
      <c r="AP72" s="19">
        <v>0.0085</v>
      </c>
      <c r="AQ72" s="19">
        <v>0</v>
      </c>
      <c r="AR72" s="19">
        <v>0</v>
      </c>
      <c r="AS72" s="19">
        <v>1</v>
      </c>
      <c r="AT72" s="19">
        <v>869.51</v>
      </c>
      <c r="AU72" s="19">
        <v>191565.31</v>
      </c>
      <c r="AV72" s="19">
        <v>100</v>
      </c>
      <c r="AW72" s="19">
        <v>46784.23</v>
      </c>
      <c r="AX72" s="19">
        <v>20</v>
      </c>
      <c r="AY72" s="19">
        <v>0.1963</v>
      </c>
      <c r="AZ72" s="19">
        <v>30555.45</v>
      </c>
      <c r="BA72" s="19">
        <v>0.129599005671522</v>
      </c>
      <c r="BB72" s="19">
        <v>2037.8</v>
      </c>
      <c r="BC72" s="19">
        <v>24</v>
      </c>
    </row>
    <row r="73" spans="1:55">
      <c r="A73" s="15" t="s">
        <v>522</v>
      </c>
      <c r="B73" s="20">
        <f t="shared" si="8"/>
        <v>46047</v>
      </c>
      <c r="C73" s="21" t="str">
        <f t="shared" si="9"/>
        <v>2026年</v>
      </c>
      <c r="D73" s="21" t="str">
        <f t="shared" si="10"/>
        <v>1月</v>
      </c>
      <c r="E73" s="19" t="str">
        <f t="shared" si="11"/>
        <v>W4</v>
      </c>
      <c r="F73" s="19" t="s">
        <v>665</v>
      </c>
      <c r="G73" s="19" t="s">
        <v>666</v>
      </c>
      <c r="H73" s="19">
        <v>300</v>
      </c>
      <c r="I73" s="19">
        <v>68732</v>
      </c>
      <c r="J73" s="19">
        <v>165760</v>
      </c>
      <c r="K73" s="19">
        <v>10938</v>
      </c>
      <c r="L73" s="19">
        <v>2185.89985566781</v>
      </c>
      <c r="M73" s="19">
        <v>15012</v>
      </c>
      <c r="N73" s="19">
        <v>74</v>
      </c>
      <c r="O73" s="19">
        <v>43</v>
      </c>
      <c r="P73" s="19">
        <v>0.73</v>
      </c>
      <c r="Q73" s="19">
        <v>262</v>
      </c>
      <c r="R73" s="19">
        <v>0</v>
      </c>
      <c r="S73" s="19">
        <v>73</v>
      </c>
      <c r="T73" s="19">
        <v>6</v>
      </c>
      <c r="U73" s="19">
        <v>0.5645</v>
      </c>
      <c r="V73" s="19">
        <v>203</v>
      </c>
      <c r="W73" s="19">
        <v>10017</v>
      </c>
      <c r="X73" s="19">
        <v>3533</v>
      </c>
      <c r="Y73" s="19">
        <v>182049</v>
      </c>
      <c r="Z73" s="19">
        <v>13497</v>
      </c>
      <c r="AA73" s="19">
        <v>159</v>
      </c>
      <c r="AB73" s="19">
        <v>193462.16</v>
      </c>
      <c r="AC73" s="19">
        <v>188776.35</v>
      </c>
      <c r="AD73" s="19">
        <v>37725.9276118574</v>
      </c>
      <c r="AE73" s="19">
        <v>159</v>
      </c>
      <c r="AF73" s="19">
        <v>125</v>
      </c>
      <c r="AG73" s="19">
        <v>43</v>
      </c>
      <c r="AH73" s="19">
        <v>55420.81</v>
      </c>
      <c r="AI73" s="19">
        <v>38</v>
      </c>
      <c r="AJ73" s="19">
        <v>0</v>
      </c>
      <c r="AK73" s="19">
        <v>0.0741</v>
      </c>
      <c r="AL73" s="19">
        <v>0.3527</v>
      </c>
      <c r="AM73" s="19">
        <v>0.0118</v>
      </c>
      <c r="AN73" s="19">
        <v>0.0354</v>
      </c>
      <c r="AO73" s="19">
        <v>0.0106</v>
      </c>
      <c r="AP73" s="19">
        <v>0.0114</v>
      </c>
      <c r="AQ73" s="19">
        <v>0</v>
      </c>
      <c r="AR73" s="19">
        <v>0</v>
      </c>
      <c r="AS73" s="19">
        <v>4</v>
      </c>
      <c r="AT73" s="19">
        <v>767.28</v>
      </c>
      <c r="AU73" s="19">
        <v>150358.88</v>
      </c>
      <c r="AV73" s="19">
        <v>128</v>
      </c>
      <c r="AW73" s="19">
        <v>43103.28</v>
      </c>
      <c r="AX73" s="19">
        <v>31</v>
      </c>
      <c r="AY73" s="19">
        <v>0.2228</v>
      </c>
      <c r="AZ73" s="19">
        <v>54272.46</v>
      </c>
      <c r="BA73" s="19">
        <v>0.287496076706643</v>
      </c>
      <c r="BB73" s="19">
        <v>4445.5</v>
      </c>
      <c r="BC73" s="19">
        <v>53</v>
      </c>
    </row>
    <row r="74" spans="1:55">
      <c r="A74" s="15" t="s">
        <v>522</v>
      </c>
      <c r="B74" s="20">
        <f t="shared" si="8"/>
        <v>46043</v>
      </c>
      <c r="C74" s="21" t="str">
        <f t="shared" si="9"/>
        <v>2026年</v>
      </c>
      <c r="D74" s="21" t="str">
        <f t="shared" si="10"/>
        <v>1月</v>
      </c>
      <c r="E74" s="19" t="str">
        <f t="shared" si="11"/>
        <v>W4</v>
      </c>
      <c r="F74" s="19" t="s">
        <v>667</v>
      </c>
      <c r="G74" s="19" t="s">
        <v>668</v>
      </c>
      <c r="H74" s="19">
        <v>241</v>
      </c>
      <c r="I74" s="19">
        <v>81596</v>
      </c>
      <c r="J74" s="19">
        <v>152307</v>
      </c>
      <c r="K74" s="19">
        <v>10876</v>
      </c>
      <c r="L74" s="19">
        <v>2697.2719757509</v>
      </c>
      <c r="M74" s="19">
        <v>13755</v>
      </c>
      <c r="N74" s="19">
        <v>82</v>
      </c>
      <c r="O74" s="19">
        <v>41</v>
      </c>
      <c r="P74" s="19">
        <v>0.59</v>
      </c>
      <c r="Q74" s="19">
        <v>188</v>
      </c>
      <c r="R74" s="19">
        <v>0</v>
      </c>
      <c r="S74" s="19">
        <v>47</v>
      </c>
      <c r="T74" s="19">
        <v>6</v>
      </c>
      <c r="U74" s="19">
        <v>0.531</v>
      </c>
      <c r="V74" s="19">
        <v>201</v>
      </c>
      <c r="W74" s="19">
        <v>10060</v>
      </c>
      <c r="X74" s="19">
        <v>2846</v>
      </c>
      <c r="Y74" s="19">
        <v>132738</v>
      </c>
      <c r="Z74" s="19">
        <v>9693</v>
      </c>
      <c r="AA74" s="19">
        <v>89</v>
      </c>
      <c r="AB74" s="19">
        <v>143830</v>
      </c>
      <c r="AC74" s="19">
        <v>140939</v>
      </c>
      <c r="AD74" s="19">
        <v>34953.1826949573</v>
      </c>
      <c r="AE74" s="19">
        <v>89</v>
      </c>
      <c r="AF74" s="19">
        <v>76</v>
      </c>
      <c r="AG74" s="19">
        <v>47</v>
      </c>
      <c r="AH74" s="19">
        <v>67213</v>
      </c>
      <c r="AI74" s="19">
        <v>38</v>
      </c>
      <c r="AJ74" s="19">
        <v>0</v>
      </c>
      <c r="AK74" s="19">
        <v>0.073</v>
      </c>
      <c r="AL74" s="19">
        <v>0.2829</v>
      </c>
      <c r="AM74" s="19">
        <v>0.0092</v>
      </c>
      <c r="AN74" s="19">
        <v>0.0267</v>
      </c>
      <c r="AO74" s="19">
        <v>0.0065</v>
      </c>
      <c r="AP74" s="19">
        <v>0.007</v>
      </c>
      <c r="AQ74" s="19">
        <v>0</v>
      </c>
      <c r="AR74" s="19">
        <v>0</v>
      </c>
      <c r="AS74" s="19">
        <v>1</v>
      </c>
      <c r="AT74" s="19">
        <v>587.74</v>
      </c>
      <c r="AU74" s="19">
        <v>113805</v>
      </c>
      <c r="AV74" s="19">
        <v>69</v>
      </c>
      <c r="AW74" s="19">
        <v>30025</v>
      </c>
      <c r="AX74" s="19">
        <v>20</v>
      </c>
      <c r="AY74" s="19">
        <v>0.2088</v>
      </c>
      <c r="AZ74" s="19">
        <v>44968</v>
      </c>
      <c r="BA74" s="19">
        <v>0.319060018873413</v>
      </c>
      <c r="BB74" s="19">
        <v>2850</v>
      </c>
      <c r="BC74" s="19">
        <v>29</v>
      </c>
    </row>
    <row r="75" spans="1:55">
      <c r="A75" s="15" t="s">
        <v>522</v>
      </c>
      <c r="B75" s="20">
        <f t="shared" si="8"/>
        <v>46046</v>
      </c>
      <c r="C75" s="21" t="str">
        <f t="shared" si="9"/>
        <v>2026年</v>
      </c>
      <c r="D75" s="21" t="str">
        <f t="shared" si="10"/>
        <v>1月</v>
      </c>
      <c r="E75" s="19" t="str">
        <f t="shared" si="11"/>
        <v>W4</v>
      </c>
      <c r="F75" s="19" t="s">
        <v>669</v>
      </c>
      <c r="G75" s="19" t="s">
        <v>670</v>
      </c>
      <c r="H75" s="19">
        <v>300</v>
      </c>
      <c r="I75" s="19">
        <v>49942</v>
      </c>
      <c r="J75" s="19">
        <v>105907</v>
      </c>
      <c r="K75" s="19">
        <v>7152</v>
      </c>
      <c r="L75" s="19">
        <v>1430.24108432396</v>
      </c>
      <c r="M75" s="19">
        <v>9511</v>
      </c>
      <c r="N75" s="19">
        <v>89</v>
      </c>
      <c r="O75" s="19">
        <v>29</v>
      </c>
      <c r="P75" s="19">
        <v>0.75</v>
      </c>
      <c r="Q75" s="19">
        <v>159</v>
      </c>
      <c r="R75" s="19">
        <v>1</v>
      </c>
      <c r="S75" s="19">
        <v>25</v>
      </c>
      <c r="T75" s="19">
        <v>3</v>
      </c>
      <c r="U75" s="19">
        <v>0.5905</v>
      </c>
      <c r="V75" s="19">
        <v>202</v>
      </c>
      <c r="W75" s="19">
        <v>6575</v>
      </c>
      <c r="X75" s="19">
        <v>2004</v>
      </c>
      <c r="Y75" s="19">
        <v>102637</v>
      </c>
      <c r="Z75" s="19">
        <v>6994</v>
      </c>
      <c r="AA75" s="19">
        <v>63</v>
      </c>
      <c r="AB75" s="19">
        <v>134948.58</v>
      </c>
      <c r="AC75" s="19">
        <v>133089.61</v>
      </c>
      <c r="AD75" s="19">
        <v>26614.9647816909</v>
      </c>
      <c r="AE75" s="19">
        <v>64</v>
      </c>
      <c r="AF75" s="19">
        <v>53</v>
      </c>
      <c r="AG75" s="19">
        <v>27</v>
      </c>
      <c r="AH75" s="19">
        <v>59798.25</v>
      </c>
      <c r="AI75" s="19">
        <v>22</v>
      </c>
      <c r="AJ75" s="19">
        <v>0</v>
      </c>
      <c r="AK75" s="19">
        <v>0.0681</v>
      </c>
      <c r="AL75" s="19">
        <v>0.3048</v>
      </c>
      <c r="AM75" s="19">
        <v>0.009</v>
      </c>
      <c r="AN75" s="19">
        <v>0.0264</v>
      </c>
      <c r="AO75" s="19">
        <v>0.0066</v>
      </c>
      <c r="AP75" s="19">
        <v>0.0074</v>
      </c>
      <c r="AQ75" s="19">
        <v>0</v>
      </c>
      <c r="AR75" s="19">
        <v>0</v>
      </c>
      <c r="AS75" s="19">
        <v>3</v>
      </c>
      <c r="AT75" s="19">
        <v>760.35</v>
      </c>
      <c r="AU75" s="19">
        <v>97699.44</v>
      </c>
      <c r="AV75" s="19">
        <v>48</v>
      </c>
      <c r="AW75" s="19">
        <v>37249.14</v>
      </c>
      <c r="AX75" s="19">
        <v>15</v>
      </c>
      <c r="AY75" s="19">
        <v>0.276</v>
      </c>
      <c r="AZ75" s="19">
        <v>15328.61</v>
      </c>
      <c r="BA75" s="19">
        <v>0.115175106456469</v>
      </c>
      <c r="BB75" s="19">
        <v>1608.97</v>
      </c>
      <c r="BC75" s="19">
        <v>12</v>
      </c>
    </row>
    <row r="76" spans="1:55">
      <c r="A76" s="15" t="s">
        <v>522</v>
      </c>
      <c r="B76" s="20">
        <f t="shared" si="8"/>
        <v>46047</v>
      </c>
      <c r="C76" s="21" t="str">
        <f t="shared" si="9"/>
        <v>2026年</v>
      </c>
      <c r="D76" s="21" t="str">
        <f t="shared" si="10"/>
        <v>1月</v>
      </c>
      <c r="E76" s="19" t="str">
        <f t="shared" si="11"/>
        <v>W4</v>
      </c>
      <c r="F76" s="19" t="s">
        <v>671</v>
      </c>
      <c r="G76" s="19" t="s">
        <v>672</v>
      </c>
      <c r="H76" s="19">
        <v>244</v>
      </c>
      <c r="I76" s="19">
        <v>72750</v>
      </c>
      <c r="J76" s="19">
        <v>158417</v>
      </c>
      <c r="K76" s="19">
        <v>11756</v>
      </c>
      <c r="L76" s="19">
        <v>2890.22741241549</v>
      </c>
      <c r="M76" s="19">
        <v>15029</v>
      </c>
      <c r="N76" s="19">
        <v>137</v>
      </c>
      <c r="O76" s="19">
        <v>59</v>
      </c>
      <c r="P76" s="19">
        <v>0.74</v>
      </c>
      <c r="Q76" s="19">
        <v>224</v>
      </c>
      <c r="R76" s="19">
        <v>0</v>
      </c>
      <c r="S76" s="19">
        <v>58</v>
      </c>
      <c r="T76" s="19">
        <v>0</v>
      </c>
      <c r="U76" s="19">
        <v>0.5149</v>
      </c>
      <c r="V76" s="19">
        <v>230</v>
      </c>
      <c r="W76" s="19">
        <v>11090</v>
      </c>
      <c r="X76" s="19">
        <v>4064</v>
      </c>
      <c r="Y76" s="19">
        <v>226321</v>
      </c>
      <c r="Z76" s="19">
        <v>14501</v>
      </c>
      <c r="AA76" s="19">
        <v>70</v>
      </c>
      <c r="AB76" s="19">
        <v>131678</v>
      </c>
      <c r="AC76" s="19">
        <v>128773.93</v>
      </c>
      <c r="AD76" s="19">
        <v>31659.2329440688</v>
      </c>
      <c r="AE76" s="19">
        <v>70</v>
      </c>
      <c r="AF76" s="19">
        <v>58</v>
      </c>
      <c r="AG76" s="19">
        <v>22</v>
      </c>
      <c r="AH76" s="19">
        <v>40878.93</v>
      </c>
      <c r="AI76" s="19">
        <v>18</v>
      </c>
      <c r="AJ76" s="19">
        <v>0</v>
      </c>
      <c r="AK76" s="19">
        <v>0.0641</v>
      </c>
      <c r="AL76" s="19">
        <v>0.3665</v>
      </c>
      <c r="AM76" s="19">
        <v>0.0048</v>
      </c>
      <c r="AN76" s="19">
        <v>0.0143</v>
      </c>
      <c r="AO76" s="19">
        <v>0.0047</v>
      </c>
      <c r="AP76" s="19">
        <v>0.0049</v>
      </c>
      <c r="AQ76" s="19">
        <v>0</v>
      </c>
      <c r="AR76" s="19">
        <v>0</v>
      </c>
      <c r="AS76" s="19">
        <v>1</v>
      </c>
      <c r="AT76" s="19">
        <v>738.57</v>
      </c>
      <c r="AU76" s="19">
        <v>106328</v>
      </c>
      <c r="AV76" s="19">
        <v>55</v>
      </c>
      <c r="AW76" s="19">
        <v>25350</v>
      </c>
      <c r="AX76" s="19">
        <v>15</v>
      </c>
      <c r="AY76" s="19">
        <v>0.1925</v>
      </c>
      <c r="AZ76" s="19">
        <v>29828.93</v>
      </c>
      <c r="BA76" s="19">
        <v>0.231637956533593</v>
      </c>
      <c r="BB76" s="19">
        <v>2553.07</v>
      </c>
      <c r="BC76" s="19">
        <v>16</v>
      </c>
    </row>
    <row r="77" spans="1:55">
      <c r="A77" s="15" t="s">
        <v>522</v>
      </c>
      <c r="B77" s="20">
        <f t="shared" si="8"/>
        <v>46043</v>
      </c>
      <c r="C77" s="21" t="str">
        <f t="shared" si="9"/>
        <v>2026年</v>
      </c>
      <c r="D77" s="21" t="str">
        <f t="shared" si="10"/>
        <v>1月</v>
      </c>
      <c r="E77" s="19" t="str">
        <f t="shared" si="11"/>
        <v>W4</v>
      </c>
      <c r="F77" s="19" t="s">
        <v>673</v>
      </c>
      <c r="G77" s="19" t="s">
        <v>674</v>
      </c>
      <c r="H77" s="19">
        <v>300</v>
      </c>
      <c r="I77" s="19">
        <v>47518</v>
      </c>
      <c r="J77" s="19">
        <v>106721</v>
      </c>
      <c r="K77" s="19">
        <v>6646</v>
      </c>
      <c r="L77" s="19">
        <v>1328.83088031102</v>
      </c>
      <c r="M77" s="19">
        <v>8964</v>
      </c>
      <c r="N77" s="19">
        <v>52</v>
      </c>
      <c r="O77" s="19">
        <v>29</v>
      </c>
      <c r="P77" s="19">
        <v>0.83</v>
      </c>
      <c r="Q77" s="19">
        <v>186</v>
      </c>
      <c r="R77" s="19">
        <v>1</v>
      </c>
      <c r="S77" s="19">
        <v>35</v>
      </c>
      <c r="T77" s="19">
        <v>2</v>
      </c>
      <c r="U77" s="19">
        <v>0.6046</v>
      </c>
      <c r="V77" s="19">
        <v>200</v>
      </c>
      <c r="W77" s="19">
        <v>6024</v>
      </c>
      <c r="X77" s="19">
        <v>1964</v>
      </c>
      <c r="Y77" s="19">
        <v>108817</v>
      </c>
      <c r="Z77" s="19">
        <v>6855</v>
      </c>
      <c r="AA77" s="19">
        <v>74</v>
      </c>
      <c r="AB77" s="19">
        <v>125611.96</v>
      </c>
      <c r="AC77" s="19">
        <v>122898.14</v>
      </c>
      <c r="AD77" s="19">
        <v>24572.8022216051</v>
      </c>
      <c r="AE77" s="19">
        <v>75</v>
      </c>
      <c r="AF77" s="19">
        <v>54</v>
      </c>
      <c r="AG77" s="19">
        <v>44</v>
      </c>
      <c r="AH77" s="19">
        <v>72863.18</v>
      </c>
      <c r="AI77" s="19">
        <v>30</v>
      </c>
      <c r="AJ77" s="19">
        <v>0</v>
      </c>
      <c r="AK77" s="19">
        <v>0.063</v>
      </c>
      <c r="AL77" s="19">
        <v>0.326</v>
      </c>
      <c r="AM77" s="19">
        <v>0.0108</v>
      </c>
      <c r="AN77" s="19">
        <v>0.0275</v>
      </c>
      <c r="AO77" s="19">
        <v>0.0083</v>
      </c>
      <c r="AP77" s="19">
        <v>0.0081</v>
      </c>
      <c r="AQ77" s="19">
        <v>0</v>
      </c>
      <c r="AR77" s="19">
        <v>0</v>
      </c>
      <c r="AS77" s="19">
        <v>3</v>
      </c>
      <c r="AT77" s="19">
        <v>782.78</v>
      </c>
      <c r="AU77" s="19">
        <v>106407.29</v>
      </c>
      <c r="AV77" s="19">
        <v>60</v>
      </c>
      <c r="AW77" s="19">
        <v>19204.67</v>
      </c>
      <c r="AX77" s="19">
        <v>14</v>
      </c>
      <c r="AY77" s="19">
        <v>0.1529</v>
      </c>
      <c r="AZ77" s="19">
        <v>28243.14</v>
      </c>
      <c r="BA77" s="19">
        <v>0.229809336414693</v>
      </c>
      <c r="BB77" s="19">
        <v>2598.82</v>
      </c>
      <c r="BC77" s="19">
        <v>22</v>
      </c>
    </row>
    <row r="78" spans="1:55">
      <c r="A78" s="15" t="s">
        <v>522</v>
      </c>
      <c r="B78" s="20">
        <f t="shared" si="8"/>
        <v>46047</v>
      </c>
      <c r="C78" s="21" t="str">
        <f t="shared" si="9"/>
        <v>2026年</v>
      </c>
      <c r="D78" s="21" t="str">
        <f t="shared" si="10"/>
        <v>1月</v>
      </c>
      <c r="E78" s="19" t="str">
        <f t="shared" si="11"/>
        <v>W4</v>
      </c>
      <c r="F78" s="19" t="s">
        <v>675</v>
      </c>
      <c r="G78" s="19" t="s">
        <v>676</v>
      </c>
      <c r="H78" s="19">
        <v>270</v>
      </c>
      <c r="I78" s="19">
        <v>65399</v>
      </c>
      <c r="J78" s="19">
        <v>126696</v>
      </c>
      <c r="K78" s="19">
        <v>8540</v>
      </c>
      <c r="L78" s="19">
        <v>1897.19222462203</v>
      </c>
      <c r="M78" s="19">
        <v>11158</v>
      </c>
      <c r="N78" s="19">
        <v>62</v>
      </c>
      <c r="O78" s="19">
        <v>31</v>
      </c>
      <c r="P78" s="19">
        <v>0.56</v>
      </c>
      <c r="Q78" s="19">
        <v>204</v>
      </c>
      <c r="R78" s="19">
        <v>1</v>
      </c>
      <c r="S78" s="19">
        <v>30</v>
      </c>
      <c r="T78" s="19">
        <v>4</v>
      </c>
      <c r="U78" s="19">
        <v>0.5578</v>
      </c>
      <c r="V78" s="19">
        <v>193</v>
      </c>
      <c r="W78" s="19">
        <v>8009</v>
      </c>
      <c r="X78" s="19">
        <v>2346</v>
      </c>
      <c r="Y78" s="19">
        <v>100870</v>
      </c>
      <c r="Z78" s="19">
        <v>7911</v>
      </c>
      <c r="AA78" s="19">
        <v>79</v>
      </c>
      <c r="AB78" s="19">
        <v>122059.85</v>
      </c>
      <c r="AC78" s="19">
        <v>119221.6</v>
      </c>
      <c r="AD78" s="19">
        <v>26485.5143474236</v>
      </c>
      <c r="AE78" s="19">
        <v>79</v>
      </c>
      <c r="AF78" s="19">
        <v>60</v>
      </c>
      <c r="AG78" s="19">
        <v>34</v>
      </c>
      <c r="AH78" s="19">
        <v>52372.43</v>
      </c>
      <c r="AI78" s="19">
        <v>31</v>
      </c>
      <c r="AJ78" s="19">
        <v>0</v>
      </c>
      <c r="AK78" s="19">
        <v>0.0784</v>
      </c>
      <c r="AL78" s="19">
        <v>0.2929</v>
      </c>
      <c r="AM78" s="19">
        <v>0.01</v>
      </c>
      <c r="AN78" s="19">
        <v>0.0256</v>
      </c>
      <c r="AO78" s="19">
        <v>0.0071</v>
      </c>
      <c r="AP78" s="19">
        <v>0.007</v>
      </c>
      <c r="AQ78" s="19">
        <v>0</v>
      </c>
      <c r="AR78" s="19">
        <v>0</v>
      </c>
      <c r="AS78" s="19">
        <v>0</v>
      </c>
      <c r="AT78" s="19">
        <v>687.2</v>
      </c>
      <c r="AU78" s="19">
        <v>80412</v>
      </c>
      <c r="AV78" s="19">
        <v>52</v>
      </c>
      <c r="AW78" s="19">
        <v>41647.85</v>
      </c>
      <c r="AX78" s="19">
        <v>27</v>
      </c>
      <c r="AY78" s="19">
        <v>0.3412</v>
      </c>
      <c r="AZ78" s="19">
        <v>39477.61</v>
      </c>
      <c r="BA78" s="19">
        <v>0.331128000295249</v>
      </c>
      <c r="BB78" s="19">
        <v>2740.24</v>
      </c>
      <c r="BC78" s="19">
        <v>24</v>
      </c>
    </row>
    <row r="79" spans="1:55">
      <c r="A79" s="15" t="s">
        <v>522</v>
      </c>
      <c r="B79" s="20">
        <f t="shared" si="8"/>
        <v>46045</v>
      </c>
      <c r="C79" s="21" t="str">
        <f t="shared" si="9"/>
        <v>2026年</v>
      </c>
      <c r="D79" s="21" t="str">
        <f t="shared" si="10"/>
        <v>1月</v>
      </c>
      <c r="E79" s="19" t="str">
        <f t="shared" si="11"/>
        <v>W4</v>
      </c>
      <c r="F79" s="19" t="s">
        <v>677</v>
      </c>
      <c r="G79" s="19" t="s">
        <v>678</v>
      </c>
      <c r="H79" s="19">
        <v>244</v>
      </c>
      <c r="I79" s="19">
        <v>69661</v>
      </c>
      <c r="J79" s="19">
        <v>136627</v>
      </c>
      <c r="K79" s="19">
        <v>10445</v>
      </c>
      <c r="L79" s="19">
        <v>2560.57201225741</v>
      </c>
      <c r="M79" s="19">
        <v>13307</v>
      </c>
      <c r="N79" s="19">
        <v>84</v>
      </c>
      <c r="O79" s="19">
        <v>41</v>
      </c>
      <c r="P79" s="19">
        <v>0.6</v>
      </c>
      <c r="Q79" s="19">
        <v>178</v>
      </c>
      <c r="R79" s="19">
        <v>0</v>
      </c>
      <c r="S79" s="19">
        <v>36</v>
      </c>
      <c r="T79" s="19">
        <v>7</v>
      </c>
      <c r="U79" s="19">
        <v>0.5197</v>
      </c>
      <c r="V79" s="19">
        <v>200</v>
      </c>
      <c r="W79" s="19">
        <v>9641</v>
      </c>
      <c r="X79" s="19">
        <v>2731</v>
      </c>
      <c r="Y79" s="19">
        <v>126794</v>
      </c>
      <c r="Z79" s="19">
        <v>9229</v>
      </c>
      <c r="AA79" s="19">
        <v>54</v>
      </c>
      <c r="AB79" s="19">
        <v>123853</v>
      </c>
      <c r="AC79" s="19">
        <v>119106.93</v>
      </c>
      <c r="AD79" s="19">
        <v>29198.8388151175</v>
      </c>
      <c r="AE79" s="19">
        <v>54</v>
      </c>
      <c r="AF79" s="19">
        <v>45</v>
      </c>
      <c r="AG79" s="19">
        <v>25</v>
      </c>
      <c r="AH79" s="19">
        <v>55998.03</v>
      </c>
      <c r="AI79" s="19">
        <v>21</v>
      </c>
      <c r="AJ79" s="19">
        <v>0</v>
      </c>
      <c r="AK79" s="19">
        <v>0.0728</v>
      </c>
      <c r="AL79" s="19">
        <v>0.2833</v>
      </c>
      <c r="AM79" s="19">
        <v>0.0059</v>
      </c>
      <c r="AN79" s="19">
        <v>0.0165</v>
      </c>
      <c r="AO79" s="19">
        <v>0.0041</v>
      </c>
      <c r="AP79" s="19">
        <v>0.0043</v>
      </c>
      <c r="AQ79" s="19">
        <v>0</v>
      </c>
      <c r="AR79" s="19">
        <v>0</v>
      </c>
      <c r="AS79" s="19">
        <v>0</v>
      </c>
      <c r="AT79" s="19">
        <v>821.23</v>
      </c>
      <c r="AU79" s="19">
        <v>91518</v>
      </c>
      <c r="AV79" s="19">
        <v>39</v>
      </c>
      <c r="AW79" s="19">
        <v>32335</v>
      </c>
      <c r="AX79" s="19">
        <v>15</v>
      </c>
      <c r="AY79" s="19">
        <v>0.2611</v>
      </c>
      <c r="AZ79" s="19">
        <v>54929.93</v>
      </c>
      <c r="BA79" s="19">
        <v>0.461181645769898</v>
      </c>
      <c r="BB79" s="19">
        <v>4647.07</v>
      </c>
      <c r="BC79" s="19">
        <v>24</v>
      </c>
    </row>
    <row r="80" spans="1:55">
      <c r="A80" s="15" t="s">
        <v>522</v>
      </c>
      <c r="B80" s="20">
        <f t="shared" si="8"/>
        <v>46044</v>
      </c>
      <c r="C80" s="21" t="str">
        <f t="shared" si="9"/>
        <v>2026年</v>
      </c>
      <c r="D80" s="21" t="str">
        <f t="shared" si="10"/>
        <v>1月</v>
      </c>
      <c r="E80" s="19" t="str">
        <f t="shared" si="11"/>
        <v>W4</v>
      </c>
      <c r="F80" s="19" t="s">
        <v>679</v>
      </c>
      <c r="G80" s="19" t="s">
        <v>680</v>
      </c>
      <c r="H80" s="19">
        <v>236</v>
      </c>
      <c r="I80" s="19">
        <v>50594</v>
      </c>
      <c r="J80" s="19">
        <v>107753</v>
      </c>
      <c r="K80" s="19">
        <v>7226</v>
      </c>
      <c r="L80" s="19">
        <v>1836.47017296152</v>
      </c>
      <c r="M80" s="19">
        <v>9502</v>
      </c>
      <c r="N80" s="19">
        <v>67</v>
      </c>
      <c r="O80" s="19">
        <v>36</v>
      </c>
      <c r="P80" s="19">
        <v>0.72</v>
      </c>
      <c r="Q80" s="19">
        <v>155</v>
      </c>
      <c r="R80" s="19">
        <v>0</v>
      </c>
      <c r="S80" s="19">
        <v>47</v>
      </c>
      <c r="T80" s="19">
        <v>4</v>
      </c>
      <c r="U80" s="19">
        <v>0.5394</v>
      </c>
      <c r="V80" s="19">
        <v>203</v>
      </c>
      <c r="W80" s="19">
        <v>6789</v>
      </c>
      <c r="X80" s="19">
        <v>2222</v>
      </c>
      <c r="Y80" s="19">
        <v>107363</v>
      </c>
      <c r="Z80" s="19">
        <v>7503</v>
      </c>
      <c r="AA80" s="19">
        <v>53</v>
      </c>
      <c r="AB80" s="19">
        <v>111629.58</v>
      </c>
      <c r="AC80" s="19">
        <v>108247.88</v>
      </c>
      <c r="AD80" s="19">
        <v>27510.9331450759</v>
      </c>
      <c r="AE80" s="19">
        <v>53</v>
      </c>
      <c r="AF80" s="19">
        <v>46</v>
      </c>
      <c r="AG80" s="19">
        <v>22</v>
      </c>
      <c r="AH80" s="19">
        <v>48708.61</v>
      </c>
      <c r="AI80" s="19">
        <v>19</v>
      </c>
      <c r="AJ80" s="19">
        <v>0</v>
      </c>
      <c r="AK80" s="19">
        <v>0.0699</v>
      </c>
      <c r="AL80" s="19">
        <v>0.3273</v>
      </c>
      <c r="AM80" s="19">
        <v>0.0071</v>
      </c>
      <c r="AN80" s="19">
        <v>0.0207</v>
      </c>
      <c r="AO80" s="19">
        <v>0.0056</v>
      </c>
      <c r="AP80" s="19">
        <v>0.0064</v>
      </c>
      <c r="AQ80" s="19">
        <v>0</v>
      </c>
      <c r="AR80" s="19">
        <v>0</v>
      </c>
      <c r="AS80" s="19">
        <v>0</v>
      </c>
      <c r="AT80" s="19">
        <v>395.34</v>
      </c>
      <c r="AU80" s="19">
        <v>100844.58</v>
      </c>
      <c r="AV80" s="19">
        <v>48</v>
      </c>
      <c r="AW80" s="19">
        <v>10785</v>
      </c>
      <c r="AX80" s="19">
        <v>5</v>
      </c>
      <c r="AY80" s="19">
        <v>0.0966</v>
      </c>
      <c r="AZ80" s="19">
        <v>32886.88</v>
      </c>
      <c r="BA80" s="19">
        <v>0.303810845995321</v>
      </c>
      <c r="BB80" s="19">
        <v>3295.7</v>
      </c>
      <c r="BC80" s="19">
        <v>17</v>
      </c>
    </row>
    <row r="81" spans="1:55">
      <c r="A81" s="15" t="s">
        <v>522</v>
      </c>
      <c r="B81" s="20">
        <f t="shared" si="8"/>
        <v>46044</v>
      </c>
      <c r="C81" s="21" t="str">
        <f t="shared" si="9"/>
        <v>2026年</v>
      </c>
      <c r="D81" s="21" t="str">
        <f t="shared" si="10"/>
        <v>1月</v>
      </c>
      <c r="E81" s="19" t="str">
        <f t="shared" si="11"/>
        <v>W4</v>
      </c>
      <c r="F81" s="19" t="s">
        <v>681</v>
      </c>
      <c r="G81" s="19" t="s">
        <v>682</v>
      </c>
      <c r="H81" s="19">
        <v>300</v>
      </c>
      <c r="I81" s="19">
        <v>38899</v>
      </c>
      <c r="J81" s="19">
        <v>88340</v>
      </c>
      <c r="K81" s="19">
        <v>5256</v>
      </c>
      <c r="L81" s="19">
        <v>1051.08321297634</v>
      </c>
      <c r="M81" s="19">
        <v>7001</v>
      </c>
      <c r="N81" s="19">
        <v>49</v>
      </c>
      <c r="O81" s="19">
        <v>24</v>
      </c>
      <c r="P81" s="19">
        <v>0.76</v>
      </c>
      <c r="Q81" s="19">
        <v>137</v>
      </c>
      <c r="R81" s="19">
        <v>0</v>
      </c>
      <c r="S81" s="19">
        <v>21</v>
      </c>
      <c r="T81" s="19">
        <v>6</v>
      </c>
      <c r="U81" s="19">
        <v>0.6172</v>
      </c>
      <c r="V81" s="19">
        <v>204</v>
      </c>
      <c r="W81" s="19">
        <v>4854</v>
      </c>
      <c r="X81" s="19">
        <v>1554</v>
      </c>
      <c r="Y81" s="19">
        <v>78220</v>
      </c>
      <c r="Z81" s="19">
        <v>4999</v>
      </c>
      <c r="AA81" s="19">
        <v>49</v>
      </c>
      <c r="AB81" s="19">
        <v>103616</v>
      </c>
      <c r="AC81" s="19">
        <v>102490.98</v>
      </c>
      <c r="AD81" s="19">
        <v>20495.9186757027</v>
      </c>
      <c r="AE81" s="19">
        <v>49</v>
      </c>
      <c r="AF81" s="19">
        <v>39</v>
      </c>
      <c r="AG81" s="19">
        <v>26</v>
      </c>
      <c r="AH81" s="19">
        <v>62552.98</v>
      </c>
      <c r="AI81" s="19">
        <v>16</v>
      </c>
      <c r="AJ81" s="19">
        <v>0</v>
      </c>
      <c r="AK81" s="19">
        <v>0.0639</v>
      </c>
      <c r="AL81" s="19">
        <v>0.3201</v>
      </c>
      <c r="AM81" s="19">
        <v>0.0098</v>
      </c>
      <c r="AN81" s="19">
        <v>0.0251</v>
      </c>
      <c r="AO81" s="19">
        <v>0.007</v>
      </c>
      <c r="AP81" s="19">
        <v>0.0074</v>
      </c>
      <c r="AQ81" s="19">
        <v>0</v>
      </c>
      <c r="AR81" s="19">
        <v>0</v>
      </c>
      <c r="AS81" s="19">
        <v>4</v>
      </c>
      <c r="AT81" s="19">
        <v>553.04</v>
      </c>
      <c r="AU81" s="19">
        <v>89387</v>
      </c>
      <c r="AV81" s="19">
        <v>43</v>
      </c>
      <c r="AW81" s="19">
        <v>14229</v>
      </c>
      <c r="AX81" s="19">
        <v>6</v>
      </c>
      <c r="AY81" s="19">
        <v>0.1373</v>
      </c>
      <c r="AZ81" s="19">
        <v>13817.98</v>
      </c>
      <c r="BA81" s="19">
        <v>0.134821425261033</v>
      </c>
      <c r="BB81" s="19">
        <v>1008.02</v>
      </c>
      <c r="BC81" s="19">
        <v>9</v>
      </c>
    </row>
    <row r="82" spans="1:55">
      <c r="A82" s="15" t="s">
        <v>522</v>
      </c>
      <c r="B82" s="20">
        <f t="shared" si="8"/>
        <v>46044</v>
      </c>
      <c r="C82" s="21" t="str">
        <f t="shared" si="9"/>
        <v>2026年</v>
      </c>
      <c r="D82" s="21" t="str">
        <f t="shared" si="10"/>
        <v>1月</v>
      </c>
      <c r="E82" s="19" t="str">
        <f t="shared" si="11"/>
        <v>W4</v>
      </c>
      <c r="F82" s="19" t="s">
        <v>683</v>
      </c>
      <c r="G82" s="19" t="s">
        <v>684</v>
      </c>
      <c r="H82" s="19">
        <v>243</v>
      </c>
      <c r="I82" s="19">
        <v>69589</v>
      </c>
      <c r="J82" s="19">
        <v>139786</v>
      </c>
      <c r="K82" s="19">
        <v>9375</v>
      </c>
      <c r="L82" s="19">
        <v>2311.16893788947</v>
      </c>
      <c r="M82" s="19">
        <v>11984</v>
      </c>
      <c r="N82" s="19">
        <v>54</v>
      </c>
      <c r="O82" s="19">
        <v>35</v>
      </c>
      <c r="P82" s="19">
        <v>0.55</v>
      </c>
      <c r="Q82" s="19">
        <v>209</v>
      </c>
      <c r="R82" s="19">
        <v>0</v>
      </c>
      <c r="S82" s="19">
        <v>28</v>
      </c>
      <c r="T82" s="19">
        <v>3</v>
      </c>
      <c r="U82" s="19">
        <v>0.5642</v>
      </c>
      <c r="V82" s="19">
        <v>200</v>
      </c>
      <c r="W82" s="19">
        <v>8548</v>
      </c>
      <c r="X82" s="19">
        <v>2388</v>
      </c>
      <c r="Y82" s="19">
        <v>126177</v>
      </c>
      <c r="Z82" s="19">
        <v>8262</v>
      </c>
      <c r="AA82" s="19">
        <v>58</v>
      </c>
      <c r="AB82" s="19">
        <v>103908.6</v>
      </c>
      <c r="AC82" s="19">
        <v>100759.34</v>
      </c>
      <c r="AD82" s="19">
        <v>24839.6647264261</v>
      </c>
      <c r="AE82" s="19">
        <v>59</v>
      </c>
      <c r="AF82" s="19">
        <v>48</v>
      </c>
      <c r="AG82" s="19">
        <v>27</v>
      </c>
      <c r="AH82" s="19">
        <v>46550.09</v>
      </c>
      <c r="AI82" s="19">
        <v>21</v>
      </c>
      <c r="AJ82" s="19">
        <v>0</v>
      </c>
      <c r="AK82" s="19">
        <v>0.0655</v>
      </c>
      <c r="AL82" s="19">
        <v>0.2794</v>
      </c>
      <c r="AM82" s="19">
        <v>0.007</v>
      </c>
      <c r="AN82" s="19">
        <v>0.0201</v>
      </c>
      <c r="AO82" s="19">
        <v>0.0048</v>
      </c>
      <c r="AP82" s="19">
        <v>0.0051</v>
      </c>
      <c r="AQ82" s="19">
        <v>0</v>
      </c>
      <c r="AR82" s="19">
        <v>0</v>
      </c>
      <c r="AS82" s="19">
        <v>0</v>
      </c>
      <c r="AT82" s="19">
        <v>563.22</v>
      </c>
      <c r="AU82" s="19">
        <v>82141</v>
      </c>
      <c r="AV82" s="19">
        <v>46</v>
      </c>
      <c r="AW82" s="19">
        <v>21767.6</v>
      </c>
      <c r="AX82" s="19">
        <v>12</v>
      </c>
      <c r="AY82" s="19">
        <v>0.2095</v>
      </c>
      <c r="AZ82" s="19">
        <v>32797.34</v>
      </c>
      <c r="BA82" s="19">
        <v>0.325501735124506</v>
      </c>
      <c r="BB82" s="19">
        <v>3035.26</v>
      </c>
      <c r="BC82" s="19">
        <v>19</v>
      </c>
    </row>
    <row r="83" spans="1:55">
      <c r="A83" s="15" t="s">
        <v>522</v>
      </c>
      <c r="B83" s="20">
        <f t="shared" si="8"/>
        <v>46043</v>
      </c>
      <c r="C83" s="21" t="str">
        <f t="shared" si="9"/>
        <v>2026年</v>
      </c>
      <c r="D83" s="21" t="str">
        <f t="shared" si="10"/>
        <v>1月</v>
      </c>
      <c r="E83" s="19" t="str">
        <f t="shared" si="11"/>
        <v>W4</v>
      </c>
      <c r="F83" s="19" t="s">
        <v>685</v>
      </c>
      <c r="G83" s="19" t="s">
        <v>686</v>
      </c>
      <c r="H83" s="19">
        <v>204</v>
      </c>
      <c r="I83" s="19">
        <v>47364</v>
      </c>
      <c r="J83" s="19">
        <v>101130</v>
      </c>
      <c r="K83" s="19">
        <v>6251</v>
      </c>
      <c r="L83" s="19">
        <v>1835.82966226138</v>
      </c>
      <c r="M83" s="19">
        <v>8274</v>
      </c>
      <c r="N83" s="19">
        <v>50</v>
      </c>
      <c r="O83" s="19">
        <v>37</v>
      </c>
      <c r="P83" s="19">
        <v>0.74</v>
      </c>
      <c r="Q83" s="19">
        <v>172</v>
      </c>
      <c r="R83" s="19">
        <v>0</v>
      </c>
      <c r="S83" s="19">
        <v>17</v>
      </c>
      <c r="T83" s="19">
        <v>1</v>
      </c>
      <c r="U83" s="19">
        <v>0.6111</v>
      </c>
      <c r="V83" s="19">
        <v>204</v>
      </c>
      <c r="W83" s="19">
        <v>5867</v>
      </c>
      <c r="X83" s="19">
        <v>2211</v>
      </c>
      <c r="Y83" s="19">
        <v>96964</v>
      </c>
      <c r="Z83" s="19">
        <v>7228</v>
      </c>
      <c r="AA83" s="19">
        <v>72</v>
      </c>
      <c r="AB83" s="19">
        <v>75211</v>
      </c>
      <c r="AC83" s="19">
        <v>71622.41</v>
      </c>
      <c r="AD83" s="19">
        <v>21034.4816446402</v>
      </c>
      <c r="AE83" s="19">
        <v>72</v>
      </c>
      <c r="AF83" s="19">
        <v>58</v>
      </c>
      <c r="AG83" s="19">
        <v>31</v>
      </c>
      <c r="AH83" s="19">
        <v>28855</v>
      </c>
      <c r="AI83" s="19">
        <v>26</v>
      </c>
      <c r="AJ83" s="19">
        <v>0</v>
      </c>
      <c r="AK83" s="19">
        <v>0.0745</v>
      </c>
      <c r="AL83" s="19">
        <v>0.3769</v>
      </c>
      <c r="AM83" s="19">
        <v>0.01</v>
      </c>
      <c r="AN83" s="19">
        <v>0.0262</v>
      </c>
      <c r="AO83" s="19">
        <v>0.0087</v>
      </c>
      <c r="AP83" s="19">
        <v>0.0093</v>
      </c>
      <c r="AQ83" s="19">
        <v>0</v>
      </c>
      <c r="AR83" s="19">
        <v>0</v>
      </c>
      <c r="AS83" s="19">
        <v>0</v>
      </c>
      <c r="AT83" s="19">
        <v>439.58</v>
      </c>
      <c r="AU83" s="19">
        <v>67300</v>
      </c>
      <c r="AV83" s="19">
        <v>63</v>
      </c>
      <c r="AW83" s="19">
        <v>7911</v>
      </c>
      <c r="AX83" s="19">
        <v>9</v>
      </c>
      <c r="AY83" s="19">
        <v>0.1052</v>
      </c>
      <c r="AZ83" s="19">
        <v>34615.41</v>
      </c>
      <c r="BA83" s="19">
        <v>0.48330417811967</v>
      </c>
      <c r="BB83" s="19">
        <v>2963.59</v>
      </c>
      <c r="BC83" s="19">
        <v>39</v>
      </c>
    </row>
    <row r="84" spans="1:55">
      <c r="A84" s="15" t="s">
        <v>522</v>
      </c>
      <c r="B84" s="20">
        <f t="shared" si="8"/>
        <v>46045</v>
      </c>
      <c r="C84" s="21" t="str">
        <f t="shared" si="9"/>
        <v>2026年</v>
      </c>
      <c r="D84" s="21" t="str">
        <f t="shared" si="10"/>
        <v>1月</v>
      </c>
      <c r="E84" s="19" t="str">
        <f t="shared" si="11"/>
        <v>W4</v>
      </c>
      <c r="F84" s="19" t="s">
        <v>687</v>
      </c>
      <c r="G84" s="19" t="s">
        <v>688</v>
      </c>
      <c r="H84" s="19">
        <v>196</v>
      </c>
      <c r="I84" s="19">
        <v>32854</v>
      </c>
      <c r="J84" s="19">
        <v>66490</v>
      </c>
      <c r="K84" s="19">
        <v>3989</v>
      </c>
      <c r="L84" s="19">
        <v>1218.53203224438</v>
      </c>
      <c r="M84" s="19">
        <v>5114</v>
      </c>
      <c r="N84" s="19">
        <v>42</v>
      </c>
      <c r="O84" s="19">
        <v>26</v>
      </c>
      <c r="P84" s="19">
        <v>0.73</v>
      </c>
      <c r="Q84" s="19">
        <v>114</v>
      </c>
      <c r="R84" s="19">
        <v>0</v>
      </c>
      <c r="S84" s="19">
        <v>16</v>
      </c>
      <c r="T84" s="19">
        <v>1</v>
      </c>
      <c r="U84" s="19">
        <v>0.62</v>
      </c>
      <c r="V84" s="19">
        <v>201</v>
      </c>
      <c r="W84" s="19">
        <v>3687</v>
      </c>
      <c r="X84" s="19">
        <v>1218</v>
      </c>
      <c r="Y84" s="19">
        <v>61699</v>
      </c>
      <c r="Z84" s="19">
        <v>4037</v>
      </c>
      <c r="AA84" s="19">
        <v>30</v>
      </c>
      <c r="AB84" s="19">
        <v>69053</v>
      </c>
      <c r="AC84" s="19">
        <v>67338.93</v>
      </c>
      <c r="AD84" s="19">
        <v>20570.228935087</v>
      </c>
      <c r="AE84" s="19">
        <v>30</v>
      </c>
      <c r="AF84" s="19">
        <v>22</v>
      </c>
      <c r="AG84" s="19">
        <v>14</v>
      </c>
      <c r="AH84" s="19">
        <v>35854</v>
      </c>
      <c r="AI84" s="19">
        <v>9</v>
      </c>
      <c r="AJ84" s="19">
        <v>0</v>
      </c>
      <c r="AK84" s="19">
        <v>0.0654</v>
      </c>
      <c r="AL84" s="19">
        <v>0.3303</v>
      </c>
      <c r="AM84" s="19">
        <v>0.0074</v>
      </c>
      <c r="AN84" s="19">
        <v>0.0181</v>
      </c>
      <c r="AO84" s="19">
        <v>0.0059</v>
      </c>
      <c r="AP84" s="19">
        <v>0.0055</v>
      </c>
      <c r="AQ84" s="19">
        <v>0</v>
      </c>
      <c r="AR84" s="19">
        <v>0</v>
      </c>
      <c r="AS84" s="19">
        <v>1</v>
      </c>
      <c r="AT84" s="19">
        <v>386.48</v>
      </c>
      <c r="AU84" s="19">
        <v>65954</v>
      </c>
      <c r="AV84" s="19">
        <v>29</v>
      </c>
      <c r="AW84" s="19">
        <v>3099</v>
      </c>
      <c r="AX84" s="19">
        <v>1</v>
      </c>
      <c r="AY84" s="19">
        <v>0.0449</v>
      </c>
      <c r="AZ84" s="19">
        <v>17532.93</v>
      </c>
      <c r="BA84" s="19">
        <v>0.260368407992227</v>
      </c>
      <c r="BB84" s="19">
        <v>1639.87</v>
      </c>
      <c r="BC84" s="19">
        <v>10</v>
      </c>
    </row>
    <row r="85" spans="1:55">
      <c r="A85" s="15" t="s">
        <v>522</v>
      </c>
      <c r="B85" s="20">
        <f t="shared" si="8"/>
        <v>46043</v>
      </c>
      <c r="C85" s="21" t="str">
        <f t="shared" si="9"/>
        <v>2026年</v>
      </c>
      <c r="D85" s="21" t="str">
        <f t="shared" si="10"/>
        <v>1月</v>
      </c>
      <c r="E85" s="19" t="str">
        <f t="shared" si="11"/>
        <v>W4</v>
      </c>
      <c r="F85" s="19" t="s">
        <v>689</v>
      </c>
      <c r="G85" s="19" t="s">
        <v>690</v>
      </c>
      <c r="H85" s="19">
        <v>85</v>
      </c>
      <c r="I85" s="19">
        <v>25202</v>
      </c>
      <c r="J85" s="19">
        <v>41762</v>
      </c>
      <c r="K85" s="19">
        <v>2814</v>
      </c>
      <c r="L85" s="19">
        <v>1985.57428459428</v>
      </c>
      <c r="M85" s="19">
        <v>3425</v>
      </c>
      <c r="N85" s="19">
        <v>50</v>
      </c>
      <c r="O85" s="19">
        <v>31</v>
      </c>
      <c r="P85" s="19">
        <v>0.62</v>
      </c>
      <c r="Q85" s="19">
        <v>37</v>
      </c>
      <c r="R85" s="19">
        <v>0</v>
      </c>
      <c r="S85" s="19">
        <v>7</v>
      </c>
      <c r="T85" s="19">
        <v>1</v>
      </c>
      <c r="U85" s="19">
        <v>0.6254</v>
      </c>
      <c r="V85" s="19">
        <v>200</v>
      </c>
      <c r="W85" s="19">
        <v>2605</v>
      </c>
      <c r="X85" s="19">
        <v>796</v>
      </c>
      <c r="Y85" s="19">
        <v>29966</v>
      </c>
      <c r="Z85" s="19">
        <v>2291</v>
      </c>
      <c r="AA85" s="19">
        <v>18</v>
      </c>
      <c r="AB85" s="19">
        <v>44939</v>
      </c>
      <c r="AC85" s="19">
        <v>44897</v>
      </c>
      <c r="AD85" s="19">
        <v>31679.5766366131</v>
      </c>
      <c r="AE85" s="19">
        <v>18</v>
      </c>
      <c r="AF85" s="19">
        <v>17</v>
      </c>
      <c r="AG85" s="19">
        <v>11</v>
      </c>
      <c r="AH85" s="19">
        <v>33934</v>
      </c>
      <c r="AI85" s="19">
        <v>10</v>
      </c>
      <c r="AJ85" s="19">
        <v>0</v>
      </c>
      <c r="AK85" s="19">
        <v>0.0765</v>
      </c>
      <c r="AL85" s="19">
        <v>0.3056</v>
      </c>
      <c r="AM85" s="19">
        <v>0.0079</v>
      </c>
      <c r="AN85" s="19">
        <v>0.0214</v>
      </c>
      <c r="AO85" s="19">
        <v>0.0053</v>
      </c>
      <c r="AP85" s="19">
        <v>0.006</v>
      </c>
      <c r="AQ85" s="19">
        <v>0</v>
      </c>
      <c r="AR85" s="19">
        <v>0</v>
      </c>
      <c r="AS85" s="19">
        <v>0</v>
      </c>
      <c r="AT85" s="19">
        <v>134.39</v>
      </c>
      <c r="AU85" s="19">
        <v>28846</v>
      </c>
      <c r="AV85" s="19">
        <v>14</v>
      </c>
      <c r="AW85" s="19">
        <v>16093</v>
      </c>
      <c r="AX85" s="19">
        <v>4</v>
      </c>
      <c r="AY85" s="19">
        <v>0.3581</v>
      </c>
      <c r="AZ85" s="19">
        <v>1788</v>
      </c>
      <c r="BA85" s="19">
        <v>0.0398244871594984</v>
      </c>
      <c r="BB85" s="19">
        <v>40</v>
      </c>
      <c r="BC85" s="19">
        <v>2</v>
      </c>
    </row>
    <row r="86" spans="1:55">
      <c r="A86" s="15" t="s">
        <v>522</v>
      </c>
      <c r="B86" s="20">
        <f t="shared" si="8"/>
        <v>46045</v>
      </c>
      <c r="C86" s="21" t="str">
        <f t="shared" si="9"/>
        <v>2026年</v>
      </c>
      <c r="D86" s="21" t="str">
        <f t="shared" si="10"/>
        <v>1月</v>
      </c>
      <c r="E86" s="19" t="str">
        <f t="shared" si="11"/>
        <v>W4</v>
      </c>
      <c r="F86" s="19" t="s">
        <v>691</v>
      </c>
      <c r="G86" s="19" t="s">
        <v>692</v>
      </c>
      <c r="H86" s="19">
        <v>73</v>
      </c>
      <c r="I86" s="19">
        <v>13525</v>
      </c>
      <c r="J86" s="19">
        <v>22320</v>
      </c>
      <c r="K86" s="19">
        <v>1703</v>
      </c>
      <c r="L86" s="19">
        <v>1398.44890510949</v>
      </c>
      <c r="M86" s="19">
        <v>2025</v>
      </c>
      <c r="N86" s="19">
        <v>37</v>
      </c>
      <c r="O86" s="19">
        <v>26</v>
      </c>
      <c r="P86" s="19">
        <v>0.6</v>
      </c>
      <c r="Q86" s="19">
        <v>25</v>
      </c>
      <c r="R86" s="19">
        <v>0</v>
      </c>
      <c r="S86" s="19">
        <v>8</v>
      </c>
      <c r="T86" s="19">
        <v>1</v>
      </c>
      <c r="U86" s="19">
        <v>0.6483</v>
      </c>
      <c r="V86" s="19">
        <v>204</v>
      </c>
      <c r="W86" s="19">
        <v>1568</v>
      </c>
      <c r="X86" s="19">
        <v>450</v>
      </c>
      <c r="Y86" s="19">
        <v>16936</v>
      </c>
      <c r="Z86" s="19">
        <v>1431</v>
      </c>
      <c r="AA86" s="19">
        <v>9</v>
      </c>
      <c r="AB86" s="19">
        <v>16606</v>
      </c>
      <c r="AC86" s="19">
        <v>16236</v>
      </c>
      <c r="AD86" s="19">
        <v>13332.4817518248</v>
      </c>
      <c r="AE86" s="19">
        <v>9</v>
      </c>
      <c r="AF86" s="19">
        <v>9</v>
      </c>
      <c r="AG86" s="19">
        <v>3</v>
      </c>
      <c r="AH86" s="19">
        <v>4687</v>
      </c>
      <c r="AI86" s="19">
        <v>3</v>
      </c>
      <c r="AJ86" s="19">
        <v>0</v>
      </c>
      <c r="AK86" s="19">
        <v>0.0845</v>
      </c>
      <c r="AL86" s="19">
        <v>0.287</v>
      </c>
      <c r="AM86" s="19">
        <v>0.0063</v>
      </c>
      <c r="AN86" s="19">
        <v>0.02</v>
      </c>
      <c r="AO86" s="19">
        <v>0.0044</v>
      </c>
      <c r="AP86" s="19">
        <v>0.0053</v>
      </c>
      <c r="AQ86" s="19">
        <v>0</v>
      </c>
      <c r="AR86" s="19">
        <v>0</v>
      </c>
      <c r="AS86" s="19">
        <v>1</v>
      </c>
      <c r="AT86" s="19">
        <v>70.17</v>
      </c>
      <c r="AU86" s="19">
        <v>15087</v>
      </c>
      <c r="AV86" s="19">
        <v>8</v>
      </c>
      <c r="AW86" s="19">
        <v>1519</v>
      </c>
      <c r="AX86" s="19">
        <v>1</v>
      </c>
      <c r="AY86" s="19">
        <v>0.0915</v>
      </c>
      <c r="AZ86" s="19">
        <v>5581</v>
      </c>
      <c r="BA86" s="19">
        <v>0.343742301059374</v>
      </c>
      <c r="BB86" s="19">
        <v>320</v>
      </c>
      <c r="BC86" s="19">
        <v>4</v>
      </c>
    </row>
    <row r="87" spans="1:55">
      <c r="A87" s="15" t="s">
        <v>522</v>
      </c>
      <c r="B87" s="20">
        <f t="shared" si="8"/>
        <v>46044</v>
      </c>
      <c r="C87" s="21" t="str">
        <f t="shared" si="9"/>
        <v>2026年</v>
      </c>
      <c r="D87" s="21" t="str">
        <f t="shared" si="10"/>
        <v>1月</v>
      </c>
      <c r="E87" s="19" t="str">
        <f t="shared" si="11"/>
        <v>W4</v>
      </c>
      <c r="F87" s="19" t="s">
        <v>693</v>
      </c>
      <c r="G87" s="19" t="s">
        <v>694</v>
      </c>
      <c r="H87" s="19">
        <v>45</v>
      </c>
      <c r="I87" s="19">
        <v>10820</v>
      </c>
      <c r="J87" s="19">
        <v>17647</v>
      </c>
      <c r="K87" s="19">
        <v>1119</v>
      </c>
      <c r="L87" s="19">
        <v>1478.85462555066</v>
      </c>
      <c r="M87" s="19">
        <v>1341</v>
      </c>
      <c r="N87" s="19">
        <v>35</v>
      </c>
      <c r="O87" s="19">
        <v>26</v>
      </c>
      <c r="P87" s="19">
        <v>0.7</v>
      </c>
      <c r="Q87" s="19">
        <v>10</v>
      </c>
      <c r="R87" s="19">
        <v>0</v>
      </c>
      <c r="S87" s="19">
        <v>4</v>
      </c>
      <c r="T87" s="19">
        <v>1</v>
      </c>
      <c r="U87" s="19">
        <v>0.6756</v>
      </c>
      <c r="V87" s="19">
        <v>202</v>
      </c>
      <c r="W87" s="19">
        <v>1089</v>
      </c>
      <c r="X87" s="19">
        <v>360</v>
      </c>
      <c r="Y87" s="19">
        <v>21076</v>
      </c>
      <c r="Z87" s="19">
        <v>1077</v>
      </c>
      <c r="AA87" s="19">
        <v>2</v>
      </c>
      <c r="AB87" s="19">
        <v>4818</v>
      </c>
      <c r="AC87" s="19">
        <v>4668</v>
      </c>
      <c r="AD87" s="19">
        <v>6169.16299559471</v>
      </c>
      <c r="AE87" s="19">
        <v>2</v>
      </c>
      <c r="AF87" s="19">
        <v>2</v>
      </c>
      <c r="AG87" s="19">
        <v>1</v>
      </c>
      <c r="AH87" s="19">
        <v>3179</v>
      </c>
      <c r="AI87" s="19">
        <v>1</v>
      </c>
      <c r="AJ87" s="19">
        <v>0</v>
      </c>
      <c r="AK87" s="19">
        <v>0.0511</v>
      </c>
      <c r="AL87" s="19">
        <v>0.3306</v>
      </c>
      <c r="AM87" s="19">
        <v>0.0019</v>
      </c>
      <c r="AN87" s="19">
        <v>0.0056</v>
      </c>
      <c r="AO87" s="19">
        <v>0.0015</v>
      </c>
      <c r="AP87" s="19">
        <v>0.0018</v>
      </c>
      <c r="AQ87" s="19">
        <v>0</v>
      </c>
      <c r="AR87" s="19">
        <v>0</v>
      </c>
      <c r="AS87" s="19">
        <v>0</v>
      </c>
      <c r="AT87" s="19">
        <v>71.81</v>
      </c>
      <c r="AU87" s="19">
        <v>1639</v>
      </c>
      <c r="AV87" s="19">
        <v>1</v>
      </c>
      <c r="AW87" s="19">
        <v>3179</v>
      </c>
      <c r="AX87" s="19">
        <v>1</v>
      </c>
      <c r="AY87" s="19">
        <v>0.6598</v>
      </c>
      <c r="AZ87" s="19">
        <v>0</v>
      </c>
      <c r="BA87" s="19">
        <v>0</v>
      </c>
      <c r="BB87" s="19">
        <v>0</v>
      </c>
      <c r="BC87" s="19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77"/>
  <sheetViews>
    <sheetView workbookViewId="0">
      <pane ySplit="1" topLeftCell="A2352" activePane="bottomLeft" state="frozen"/>
      <selection/>
      <selection pane="bottomLeft" activeCell="I2383" sqref="I2383"/>
    </sheetView>
  </sheetViews>
  <sheetFormatPr defaultColWidth="8.66666666666667" defaultRowHeight="14"/>
  <cols>
    <col min="1" max="4" width="10.25" customWidth="1"/>
    <col min="5" max="5" width="28.5" customWidth="1"/>
    <col min="6" max="6" width="12.0833333333333" customWidth="1"/>
    <col min="7" max="7" width="13.4166666666667" customWidth="1"/>
    <col min="9" max="9" width="11.6666666666667"/>
    <col min="11" max="11" width="8.75"/>
  </cols>
  <sheetData>
    <row r="1" ht="14.5" spans="1:11">
      <c r="A1" s="1" t="s">
        <v>302</v>
      </c>
      <c r="B1" s="1" t="s">
        <v>303</v>
      </c>
      <c r="C1" s="1" t="s">
        <v>304</v>
      </c>
      <c r="D1" s="2" t="s">
        <v>301</v>
      </c>
      <c r="E1" s="2" t="s">
        <v>695</v>
      </c>
      <c r="F1" s="1" t="s">
        <v>696</v>
      </c>
      <c r="G1" s="1" t="s">
        <v>249</v>
      </c>
      <c r="H1" s="2" t="s">
        <v>697</v>
      </c>
      <c r="I1" s="2" t="s">
        <v>698</v>
      </c>
      <c r="J1" s="2" t="s">
        <v>699</v>
      </c>
      <c r="K1" s="2" t="s">
        <v>700</v>
      </c>
    </row>
    <row r="2" ht="14.5" spans="1:11">
      <c r="A2" s="3" t="str">
        <f t="shared" ref="A2:A26" si="0">TEXT(YEAR(D2),"0")&amp;"年"</f>
        <v>2026年</v>
      </c>
      <c r="B2" s="3" t="str">
        <f t="shared" ref="B2:B26" si="1">TEXT(MONTH(D2),"0")&amp;"月"</f>
        <v>1月</v>
      </c>
      <c r="C2" s="4" t="str">
        <f t="shared" ref="C2:C26" si="2">"W"&amp;TEXT(WEEKNUM(D2,2),"0")</f>
        <v>W1</v>
      </c>
      <c r="D2" s="2" t="s">
        <v>701</v>
      </c>
      <c r="E2" s="2" t="s">
        <v>702</v>
      </c>
      <c r="F2" s="2" t="str" cm="1">
        <f t="array" ref="F2">INDEX(_xlfn.TEXTSPLIT(E2,"-"),2)</f>
        <v>女装</v>
      </c>
      <c r="G2" s="2" t="str" cm="1">
        <f t="array" ref="G2">INDEX(_xlfn.TEXTSPLIT(E2,"-"),3)</f>
        <v>POLO衫</v>
      </c>
      <c r="H2" s="5">
        <v>9665</v>
      </c>
      <c r="I2" s="5">
        <v>620297.08</v>
      </c>
      <c r="J2" s="6">
        <v>0.0002</v>
      </c>
      <c r="K2" s="6">
        <v>-0.2966</v>
      </c>
    </row>
    <row r="3" ht="14.5" spans="1:11">
      <c r="A3" s="3" t="str">
        <f t="shared" si="0"/>
        <v>2026年</v>
      </c>
      <c r="B3" s="3" t="str">
        <f t="shared" si="1"/>
        <v>1月</v>
      </c>
      <c r="C3" s="4" t="str">
        <f t="shared" si="2"/>
        <v>W1</v>
      </c>
      <c r="D3" s="2" t="s">
        <v>701</v>
      </c>
      <c r="E3" s="2" t="s">
        <v>703</v>
      </c>
      <c r="F3" s="2" t="str" cm="1">
        <f t="array" ref="F3">INDEX(_xlfn.TEXTSPLIT(E3,"-"),2)</f>
        <v>女装</v>
      </c>
      <c r="G3" s="2" t="str" cm="1">
        <f t="array" ref="G3">INDEX(_xlfn.TEXTSPLIT(E3,"-"),3)</f>
        <v>T恤</v>
      </c>
      <c r="H3" s="5">
        <v>1312911</v>
      </c>
      <c r="I3" s="5">
        <v>68938727.53</v>
      </c>
      <c r="J3" s="6">
        <v>0.0217</v>
      </c>
      <c r="K3" s="6">
        <v>-0.047</v>
      </c>
    </row>
    <row r="4" ht="14.5" spans="1:11">
      <c r="A4" s="3" t="str">
        <f t="shared" si="0"/>
        <v>2026年</v>
      </c>
      <c r="B4" s="3" t="str">
        <f t="shared" si="1"/>
        <v>1月</v>
      </c>
      <c r="C4" s="4" t="str">
        <f t="shared" si="2"/>
        <v>W1</v>
      </c>
      <c r="D4" s="2" t="s">
        <v>701</v>
      </c>
      <c r="E4" s="2" t="s">
        <v>704</v>
      </c>
      <c r="F4" s="2" t="str" cm="1">
        <f t="array" ref="F4">INDEX(_xlfn.TEXTSPLIT(E4,"-"),2)</f>
        <v>女装</v>
      </c>
      <c r="G4" s="2" t="str" cm="1">
        <f t="array" ref="G4">INDEX(_xlfn.TEXTSPLIT(E4,"-"),3)</f>
        <v>中老年女装</v>
      </c>
      <c r="H4" s="5">
        <v>511704</v>
      </c>
      <c r="I4" s="5">
        <v>60174096.84</v>
      </c>
      <c r="J4" s="6">
        <v>0.0189</v>
      </c>
      <c r="K4" s="6">
        <v>0.1346</v>
      </c>
    </row>
    <row r="5" ht="14.5" spans="1:11">
      <c r="A5" s="3" t="str">
        <f t="shared" si="0"/>
        <v>2026年</v>
      </c>
      <c r="B5" s="3" t="str">
        <f t="shared" si="1"/>
        <v>1月</v>
      </c>
      <c r="C5" s="4" t="str">
        <f t="shared" si="2"/>
        <v>W1</v>
      </c>
      <c r="D5" s="2" t="s">
        <v>701</v>
      </c>
      <c r="E5" s="2" t="s">
        <v>705</v>
      </c>
      <c r="F5" s="2" t="str" cm="1">
        <f t="array" ref="F5">INDEX(_xlfn.TEXTSPLIT(E5,"-"),2)</f>
        <v>女装</v>
      </c>
      <c r="G5" s="2" t="str" cm="1">
        <f t="array" ref="G5">INDEX(_xlfn.TEXTSPLIT(E5,"-"),3)</f>
        <v>半身裙</v>
      </c>
      <c r="H5" s="5">
        <v>709045</v>
      </c>
      <c r="I5" s="5">
        <v>59699091.47</v>
      </c>
      <c r="J5" s="6">
        <v>0.0188</v>
      </c>
      <c r="K5" s="6">
        <v>-0.0948</v>
      </c>
    </row>
    <row r="6" ht="14.5" spans="1:11">
      <c r="A6" s="3" t="str">
        <f t="shared" si="0"/>
        <v>2026年</v>
      </c>
      <c r="B6" s="3" t="str">
        <f t="shared" si="1"/>
        <v>1月</v>
      </c>
      <c r="C6" s="4" t="str">
        <f t="shared" si="2"/>
        <v>W1</v>
      </c>
      <c r="D6" s="2" t="s">
        <v>701</v>
      </c>
      <c r="E6" s="2" t="s">
        <v>706</v>
      </c>
      <c r="F6" s="2" t="str" cm="1">
        <f t="array" ref="F6">INDEX(_xlfn.TEXTSPLIT(E6,"-"),2)</f>
        <v>女装</v>
      </c>
      <c r="G6" s="2" t="str" cm="1">
        <f t="array" ref="G6">INDEX(_xlfn.TEXTSPLIT(E6,"-"),3)</f>
        <v>卫衣/绒衫</v>
      </c>
      <c r="H6" s="5">
        <v>462769</v>
      </c>
      <c r="I6" s="5">
        <v>34807011.19</v>
      </c>
      <c r="J6" s="6">
        <v>0.011</v>
      </c>
      <c r="K6" s="6">
        <v>-0.052</v>
      </c>
    </row>
    <row r="7" ht="14.5" spans="1:11">
      <c r="A7" s="3" t="str">
        <f t="shared" si="0"/>
        <v>2026年</v>
      </c>
      <c r="B7" s="3" t="str">
        <f t="shared" si="1"/>
        <v>1月</v>
      </c>
      <c r="C7" s="4" t="str">
        <f t="shared" si="2"/>
        <v>W1</v>
      </c>
      <c r="D7" s="2" t="s">
        <v>701</v>
      </c>
      <c r="E7" s="2" t="s">
        <v>707</v>
      </c>
      <c r="F7" s="2" t="str" cm="1">
        <f t="array" ref="F7">INDEX(_xlfn.TEXTSPLIT(E7,"-"),2)</f>
        <v>女装</v>
      </c>
      <c r="G7" s="2" t="str" cm="1">
        <f t="array" ref="G7">INDEX(_xlfn.TEXTSPLIT(E7,"-"),3)</f>
        <v>唐装/民族服装/舞台服装</v>
      </c>
      <c r="H7" s="5">
        <v>204407</v>
      </c>
      <c r="I7" s="5">
        <v>44744838.17</v>
      </c>
      <c r="J7" s="6">
        <v>0.0141</v>
      </c>
      <c r="K7" s="6">
        <v>-0.0734</v>
      </c>
    </row>
    <row r="8" ht="14.5" spans="1:11">
      <c r="A8" s="3" t="str">
        <f t="shared" si="0"/>
        <v>2026年</v>
      </c>
      <c r="B8" s="3" t="str">
        <f t="shared" si="1"/>
        <v>1月</v>
      </c>
      <c r="C8" s="4" t="str">
        <f t="shared" si="2"/>
        <v>W1</v>
      </c>
      <c r="D8" s="2" t="s">
        <v>701</v>
      </c>
      <c r="E8" s="2" t="s">
        <v>708</v>
      </c>
      <c r="F8" s="2" t="str" cm="1">
        <f t="array" ref="F8">INDEX(_xlfn.TEXTSPLIT(E8,"-"),2)</f>
        <v>女装</v>
      </c>
      <c r="G8" s="2" t="str" cm="1">
        <f t="array" ref="G8">INDEX(_xlfn.TEXTSPLIT(E8,"-"),3)</f>
        <v>大码女装</v>
      </c>
      <c r="H8" s="5">
        <v>604143</v>
      </c>
      <c r="I8" s="5">
        <v>55712337.43</v>
      </c>
      <c r="J8" s="6">
        <v>0.0175</v>
      </c>
      <c r="K8" s="6">
        <v>0.1469</v>
      </c>
    </row>
    <row r="9" ht="14.5" spans="1:11">
      <c r="A9" s="3" t="str">
        <f t="shared" si="0"/>
        <v>2026年</v>
      </c>
      <c r="B9" s="3" t="str">
        <f t="shared" si="1"/>
        <v>1月</v>
      </c>
      <c r="C9" s="4" t="str">
        <f t="shared" si="2"/>
        <v>W1</v>
      </c>
      <c r="D9" s="2" t="s">
        <v>701</v>
      </c>
      <c r="E9" s="2" t="s">
        <v>709</v>
      </c>
      <c r="F9" s="2" t="str" cm="1">
        <f t="array" ref="F9">INDEX(_xlfn.TEXTSPLIT(E9,"-"),2)</f>
        <v>女装</v>
      </c>
      <c r="G9" s="2" t="str" cm="1">
        <f t="array" ref="G9">INDEX(_xlfn.TEXTSPLIT(E9,"-"),3)</f>
        <v>套装/学生校服/工作制服</v>
      </c>
      <c r="H9" s="5">
        <v>696887</v>
      </c>
      <c r="I9" s="5">
        <v>99811892.93</v>
      </c>
      <c r="J9" s="6">
        <v>0.0314</v>
      </c>
      <c r="K9" s="6">
        <v>-0.1439</v>
      </c>
    </row>
    <row r="10" ht="14.5" spans="1:11">
      <c r="A10" s="3" t="str">
        <f t="shared" si="0"/>
        <v>2026年</v>
      </c>
      <c r="B10" s="3" t="str">
        <f t="shared" si="1"/>
        <v>1月</v>
      </c>
      <c r="C10" s="4" t="str">
        <f t="shared" si="2"/>
        <v>W1</v>
      </c>
      <c r="D10" s="2" t="s">
        <v>701</v>
      </c>
      <c r="E10" s="2" t="s">
        <v>710</v>
      </c>
      <c r="F10" s="2" t="str" cm="1">
        <f t="array" ref="F10">INDEX(_xlfn.TEXTSPLIT(E10,"-"),2)</f>
        <v>女装</v>
      </c>
      <c r="G10" s="2" t="str" cm="1">
        <f t="array" ref="G10">INDEX(_xlfn.TEXTSPLIT(E10,"-"),3)</f>
        <v>婚纱/旗袍/礼服</v>
      </c>
      <c r="H10" s="5">
        <v>63695</v>
      </c>
      <c r="I10" s="5">
        <v>11222097.74</v>
      </c>
      <c r="J10" s="6">
        <v>0.0035</v>
      </c>
      <c r="K10" s="6">
        <v>0.0583</v>
      </c>
    </row>
    <row r="11" ht="14.5" spans="1:11">
      <c r="A11" s="3" t="str">
        <f t="shared" si="0"/>
        <v>2026年</v>
      </c>
      <c r="B11" s="3" t="str">
        <f t="shared" si="1"/>
        <v>1月</v>
      </c>
      <c r="C11" s="4" t="str">
        <f t="shared" si="2"/>
        <v>W1</v>
      </c>
      <c r="D11" s="2" t="s">
        <v>701</v>
      </c>
      <c r="E11" s="2" t="s">
        <v>711</v>
      </c>
      <c r="F11" s="2" t="str" cm="1">
        <f t="array" ref="F11">INDEX(_xlfn.TEXTSPLIT(E11,"-"),2)</f>
        <v>女装</v>
      </c>
      <c r="G11" s="2" t="str" cm="1">
        <f t="array" ref="G11">INDEX(_xlfn.TEXTSPLIT(E11,"-"),3)</f>
        <v>新中式女装</v>
      </c>
      <c r="H11" s="5">
        <v>84598</v>
      </c>
      <c r="I11" s="5">
        <v>11351335.25</v>
      </c>
      <c r="J11" s="6">
        <v>0.0036</v>
      </c>
      <c r="K11" s="6">
        <v>-0.6612</v>
      </c>
    </row>
    <row r="12" ht="14.5" spans="1:11">
      <c r="A12" s="3" t="str">
        <f t="shared" si="0"/>
        <v>2026年</v>
      </c>
      <c r="B12" s="3" t="str">
        <f t="shared" si="1"/>
        <v>1月</v>
      </c>
      <c r="C12" s="4" t="str">
        <f t="shared" si="2"/>
        <v>W1</v>
      </c>
      <c r="D12" s="2" t="s">
        <v>701</v>
      </c>
      <c r="E12" s="2" t="s">
        <v>712</v>
      </c>
      <c r="F12" s="2" t="str" cm="1">
        <f t="array" ref="F12">INDEX(_xlfn.TEXTSPLIT(E12,"-"),2)</f>
        <v>女装</v>
      </c>
      <c r="G12" s="2" t="str" cm="1">
        <f t="array" ref="G12">INDEX(_xlfn.TEXTSPLIT(E12,"-"),3)</f>
        <v>时尚防晒服</v>
      </c>
      <c r="H12" s="5">
        <v>511</v>
      </c>
      <c r="I12" s="5">
        <v>35091.68</v>
      </c>
      <c r="J12" s="2" t="s">
        <v>713</v>
      </c>
      <c r="K12" s="6">
        <v>-0.2322</v>
      </c>
    </row>
    <row r="13" ht="14.5" spans="1:11">
      <c r="A13" s="3" t="str">
        <f t="shared" si="0"/>
        <v>2026年</v>
      </c>
      <c r="B13" s="3" t="str">
        <f t="shared" si="1"/>
        <v>1月</v>
      </c>
      <c r="C13" s="4" t="str">
        <f t="shared" si="2"/>
        <v>W1</v>
      </c>
      <c r="D13" s="2" t="s">
        <v>701</v>
      </c>
      <c r="E13" s="2" t="s">
        <v>714</v>
      </c>
      <c r="F13" s="2" t="str" cm="1">
        <f t="array" ref="F13">INDEX(_xlfn.TEXTSPLIT(E13,"-"),2)</f>
        <v>女装</v>
      </c>
      <c r="G13" s="2" t="str" cm="1">
        <f t="array" ref="G13">INDEX(_xlfn.TEXTSPLIT(E13,"-"),3)</f>
        <v>棉衣/棉服</v>
      </c>
      <c r="H13" s="5">
        <v>864031</v>
      </c>
      <c r="I13" s="5">
        <v>97201605.67</v>
      </c>
      <c r="J13" s="6">
        <v>0.0306</v>
      </c>
      <c r="K13" s="6">
        <v>0.0422</v>
      </c>
    </row>
    <row r="14" ht="14.5" spans="1:11">
      <c r="A14" s="3" t="str">
        <f t="shared" si="0"/>
        <v>2026年</v>
      </c>
      <c r="B14" s="3" t="str">
        <f t="shared" si="1"/>
        <v>1月</v>
      </c>
      <c r="C14" s="4" t="str">
        <f t="shared" si="2"/>
        <v>W1</v>
      </c>
      <c r="D14" s="2" t="s">
        <v>701</v>
      </c>
      <c r="E14" s="2" t="s">
        <v>715</v>
      </c>
      <c r="F14" s="2" t="str" cm="1">
        <f t="array" ref="F14">INDEX(_xlfn.TEXTSPLIT(E14,"-"),2)</f>
        <v>女装</v>
      </c>
      <c r="G14" s="2" t="str" cm="1">
        <f t="array" ref="G14">INDEX(_xlfn.TEXTSPLIT(E14,"-"),3)</f>
        <v>毛呢外套</v>
      </c>
      <c r="H14" s="5">
        <v>629913</v>
      </c>
      <c r="I14" s="5">
        <v>249356002.53</v>
      </c>
      <c r="J14" s="6">
        <v>0.0785</v>
      </c>
      <c r="K14" s="6">
        <v>-0.2236</v>
      </c>
    </row>
    <row r="15" ht="14.5" spans="1:11">
      <c r="A15" s="3" t="str">
        <f t="shared" si="0"/>
        <v>2026年</v>
      </c>
      <c r="B15" s="3" t="str">
        <f t="shared" si="1"/>
        <v>1月</v>
      </c>
      <c r="C15" s="4" t="str">
        <f t="shared" si="2"/>
        <v>W1</v>
      </c>
      <c r="D15" s="2" t="s">
        <v>701</v>
      </c>
      <c r="E15" s="2" t="s">
        <v>716</v>
      </c>
      <c r="F15" s="2" t="str" cm="1">
        <f t="array" ref="F15">INDEX(_xlfn.TEXTSPLIT(E15,"-"),2)</f>
        <v>女装</v>
      </c>
      <c r="G15" s="2" t="str" cm="1">
        <f t="array" ref="G15">INDEX(_xlfn.TEXTSPLIT(E15,"-"),3)</f>
        <v>毛衣</v>
      </c>
      <c r="H15" s="5">
        <v>520660</v>
      </c>
      <c r="I15" s="5">
        <v>43716270.59</v>
      </c>
      <c r="J15" s="6">
        <v>0.0138</v>
      </c>
      <c r="K15" s="6">
        <v>-0.2134</v>
      </c>
    </row>
    <row r="16" ht="14.5" spans="1:11">
      <c r="A16" s="3" t="str">
        <f t="shared" si="0"/>
        <v>2026年</v>
      </c>
      <c r="B16" s="3" t="str">
        <f t="shared" si="1"/>
        <v>1月</v>
      </c>
      <c r="C16" s="4" t="str">
        <f t="shared" si="2"/>
        <v>W1</v>
      </c>
      <c r="D16" s="2" t="s">
        <v>701</v>
      </c>
      <c r="E16" s="2" t="s">
        <v>717</v>
      </c>
      <c r="F16" s="2" t="str" cm="1">
        <f t="array" ref="F16">INDEX(_xlfn.TEXTSPLIT(E16,"-"),2)</f>
        <v>女装</v>
      </c>
      <c r="G16" s="2" t="str" cm="1">
        <f t="array" ref="G16">INDEX(_xlfn.TEXTSPLIT(E16,"-"),3)</f>
        <v>毛针织衫</v>
      </c>
      <c r="H16" s="5">
        <v>2186204</v>
      </c>
      <c r="I16" s="5">
        <v>178651550.13</v>
      </c>
      <c r="J16" s="6">
        <v>0.0562</v>
      </c>
      <c r="K16" s="6">
        <v>-0.0909</v>
      </c>
    </row>
    <row r="17" ht="14.5" spans="1:11">
      <c r="A17" s="3" t="str">
        <f t="shared" si="0"/>
        <v>2026年</v>
      </c>
      <c r="B17" s="3" t="str">
        <f t="shared" si="1"/>
        <v>1月</v>
      </c>
      <c r="C17" s="4" t="str">
        <f t="shared" si="2"/>
        <v>W1</v>
      </c>
      <c r="D17" s="2" t="s">
        <v>701</v>
      </c>
      <c r="E17" s="2" t="s">
        <v>718</v>
      </c>
      <c r="F17" s="2" t="str" cm="1">
        <f t="array" ref="F17">INDEX(_xlfn.TEXTSPLIT(E17,"-"),2)</f>
        <v>女装</v>
      </c>
      <c r="G17" s="2" t="str" cm="1">
        <f t="array" ref="G17">INDEX(_xlfn.TEXTSPLIT(E17,"-"),3)</f>
        <v>汉服</v>
      </c>
      <c r="H17" s="5">
        <v>99036</v>
      </c>
      <c r="I17" s="5">
        <v>46038999.05</v>
      </c>
      <c r="J17" s="6">
        <v>0.0145</v>
      </c>
      <c r="K17" s="6">
        <v>-0.7721</v>
      </c>
    </row>
    <row r="18" ht="14.5" spans="1:11">
      <c r="A18" s="3" t="str">
        <f t="shared" si="0"/>
        <v>2026年</v>
      </c>
      <c r="B18" s="3" t="str">
        <f t="shared" si="1"/>
        <v>1月</v>
      </c>
      <c r="C18" s="4" t="str">
        <f t="shared" si="2"/>
        <v>W1</v>
      </c>
      <c r="D18" s="2" t="s">
        <v>701</v>
      </c>
      <c r="E18" s="2" t="s">
        <v>719</v>
      </c>
      <c r="F18" s="2" t="str" cm="1">
        <f t="array" ref="F18">INDEX(_xlfn.TEXTSPLIT(E18,"-"),2)</f>
        <v>女装</v>
      </c>
      <c r="G18" s="2" t="str" cm="1">
        <f t="array" ref="G18">INDEX(_xlfn.TEXTSPLIT(E18,"-"),3)</f>
        <v>派克服</v>
      </c>
      <c r="H18" s="5">
        <v>80978</v>
      </c>
      <c r="I18" s="5">
        <v>20291660.98</v>
      </c>
      <c r="J18" s="6">
        <v>0.0064</v>
      </c>
      <c r="K18" s="6">
        <v>-0.0274</v>
      </c>
    </row>
    <row r="19" ht="14.5" spans="1:11">
      <c r="A19" s="3" t="str">
        <f t="shared" si="0"/>
        <v>2026年</v>
      </c>
      <c r="B19" s="3" t="str">
        <f t="shared" si="1"/>
        <v>1月</v>
      </c>
      <c r="C19" s="4" t="str">
        <f t="shared" si="2"/>
        <v>W1</v>
      </c>
      <c r="D19" s="2" t="s">
        <v>701</v>
      </c>
      <c r="E19" s="2" t="s">
        <v>720</v>
      </c>
      <c r="F19" s="2" t="str" cm="1">
        <f t="array" ref="F19">INDEX(_xlfn.TEXTSPLIT(E19,"-"),2)</f>
        <v>女装</v>
      </c>
      <c r="G19" s="2" t="str" cm="1">
        <f t="array" ref="G19">INDEX(_xlfn.TEXTSPLIT(E19,"-"),3)</f>
        <v>皮草</v>
      </c>
      <c r="H19" s="5">
        <v>177947</v>
      </c>
      <c r="I19" s="5">
        <v>311791769.92</v>
      </c>
      <c r="J19" s="6">
        <v>0.0981</v>
      </c>
      <c r="K19" s="6">
        <v>-0.3586</v>
      </c>
    </row>
    <row r="20" ht="14.5" spans="1:11">
      <c r="A20" s="3" t="str">
        <f t="shared" si="0"/>
        <v>2026年</v>
      </c>
      <c r="B20" s="3" t="str">
        <f t="shared" si="1"/>
        <v>1月</v>
      </c>
      <c r="C20" s="4" t="str">
        <f t="shared" si="2"/>
        <v>W1</v>
      </c>
      <c r="D20" s="2" t="s">
        <v>701</v>
      </c>
      <c r="E20" s="2" t="s">
        <v>721</v>
      </c>
      <c r="F20" s="2" t="str" cm="1">
        <f t="array" ref="F20">INDEX(_xlfn.TEXTSPLIT(E20,"-"),2)</f>
        <v>女装</v>
      </c>
      <c r="G20" s="2" t="str" cm="1">
        <f t="array" ref="G20">INDEX(_xlfn.TEXTSPLIT(E20,"-"),3)</f>
        <v>皮衣</v>
      </c>
      <c r="H20" s="5">
        <v>140807</v>
      </c>
      <c r="I20" s="5">
        <v>33508603.97</v>
      </c>
      <c r="J20" s="6">
        <v>0.0105</v>
      </c>
      <c r="K20" s="6">
        <v>-0.3569</v>
      </c>
    </row>
    <row r="21" ht="14.5" spans="1:11">
      <c r="A21" s="3" t="str">
        <f t="shared" si="0"/>
        <v>2026年</v>
      </c>
      <c r="B21" s="3" t="str">
        <f t="shared" si="1"/>
        <v>1月</v>
      </c>
      <c r="C21" s="4" t="str">
        <f t="shared" si="2"/>
        <v>W1</v>
      </c>
      <c r="D21" s="2" t="s">
        <v>701</v>
      </c>
      <c r="E21" s="2" t="s">
        <v>722</v>
      </c>
      <c r="F21" s="2" t="str" cm="1">
        <f t="array" ref="F21">INDEX(_xlfn.TEXTSPLIT(E21,"-"),2)</f>
        <v>女装</v>
      </c>
      <c r="G21" s="2" t="str" cm="1">
        <f t="array" ref="G21">INDEX(_xlfn.TEXTSPLIT(E21,"-"),3)</f>
        <v>短外套</v>
      </c>
      <c r="H21" s="5">
        <v>1144223</v>
      </c>
      <c r="I21" s="5">
        <v>231071065.84</v>
      </c>
      <c r="J21" s="6">
        <v>0.0727</v>
      </c>
      <c r="K21" s="6">
        <v>-0.2067</v>
      </c>
    </row>
    <row r="22" ht="14.5" spans="1:11">
      <c r="A22" s="3" t="str">
        <f t="shared" si="0"/>
        <v>2026年</v>
      </c>
      <c r="B22" s="3" t="str">
        <f t="shared" si="1"/>
        <v>1月</v>
      </c>
      <c r="C22" s="4" t="str">
        <f t="shared" si="2"/>
        <v>W1</v>
      </c>
      <c r="D22" s="2" t="s">
        <v>701</v>
      </c>
      <c r="E22" s="2" t="s">
        <v>723</v>
      </c>
      <c r="F22" s="2" t="str" cm="1">
        <f t="array" ref="F22">INDEX(_xlfn.TEXTSPLIT(E22,"-"),2)</f>
        <v>女装</v>
      </c>
      <c r="G22" s="2" t="str" cm="1">
        <f t="array" ref="G22">INDEX(_xlfn.TEXTSPLIT(E22,"-"),3)</f>
        <v>短裤</v>
      </c>
      <c r="H22" s="5">
        <v>118685</v>
      </c>
      <c r="I22" s="5">
        <v>6031950.12</v>
      </c>
      <c r="J22" s="6">
        <v>0.0019</v>
      </c>
      <c r="K22" s="6">
        <v>-0.2059</v>
      </c>
    </row>
    <row r="23" ht="14.5" spans="1:11">
      <c r="A23" s="3" t="str">
        <f t="shared" si="0"/>
        <v>2026年</v>
      </c>
      <c r="B23" s="3" t="str">
        <f t="shared" si="1"/>
        <v>1月</v>
      </c>
      <c r="C23" s="4" t="str">
        <f t="shared" si="2"/>
        <v>W1</v>
      </c>
      <c r="D23" s="2" t="s">
        <v>701</v>
      </c>
      <c r="E23" s="2" t="s">
        <v>724</v>
      </c>
      <c r="F23" s="2" t="str" cm="1">
        <f t="array" ref="F23">INDEX(_xlfn.TEXTSPLIT(E23,"-"),2)</f>
        <v>女装</v>
      </c>
      <c r="G23" s="2" t="str" cm="1">
        <f t="array" ref="G23">INDEX(_xlfn.TEXTSPLIT(E23,"-"),3)</f>
        <v>羊毛衫</v>
      </c>
      <c r="H23" s="5">
        <v>558578</v>
      </c>
      <c r="I23" s="5">
        <v>70629068.38</v>
      </c>
      <c r="J23" s="6">
        <v>0.0222</v>
      </c>
      <c r="K23" s="6">
        <v>-0.0883</v>
      </c>
    </row>
    <row r="24" ht="14.5" spans="1:11">
      <c r="A24" s="3" t="str">
        <f t="shared" si="0"/>
        <v>2026年</v>
      </c>
      <c r="B24" s="3" t="str">
        <f t="shared" si="1"/>
        <v>1月</v>
      </c>
      <c r="C24" s="4" t="str">
        <f t="shared" si="2"/>
        <v>W1</v>
      </c>
      <c r="D24" s="2" t="s">
        <v>701</v>
      </c>
      <c r="E24" s="2" t="s">
        <v>725</v>
      </c>
      <c r="F24" s="2" t="str" cm="1">
        <f t="array" ref="F24">INDEX(_xlfn.TEXTSPLIT(E24,"-"),2)</f>
        <v>女装</v>
      </c>
      <c r="G24" s="2" t="str" cm="1">
        <f t="array" ref="G24">INDEX(_xlfn.TEXTSPLIT(E24,"-"),3)</f>
        <v>羊绒大衣</v>
      </c>
      <c r="H24" s="5">
        <v>5507</v>
      </c>
      <c r="I24" s="5">
        <v>2714966.04</v>
      </c>
      <c r="J24" s="6">
        <v>0.0009</v>
      </c>
      <c r="K24" s="6">
        <v>-0.2547</v>
      </c>
    </row>
    <row r="25" ht="14.5" spans="1:11">
      <c r="A25" s="3" t="str">
        <f t="shared" si="0"/>
        <v>2026年</v>
      </c>
      <c r="B25" s="3" t="str">
        <f t="shared" si="1"/>
        <v>1月</v>
      </c>
      <c r="C25" s="4" t="str">
        <f t="shared" si="2"/>
        <v>W1</v>
      </c>
      <c r="D25" s="2" t="s">
        <v>701</v>
      </c>
      <c r="E25" s="2" t="s">
        <v>726</v>
      </c>
      <c r="F25" s="2" t="str" cm="1">
        <f t="array" ref="F25">INDEX(_xlfn.TEXTSPLIT(E25,"-"),2)</f>
        <v>女装</v>
      </c>
      <c r="G25" s="2" t="str" cm="1">
        <f t="array" ref="G25">INDEX(_xlfn.TEXTSPLIT(E25,"-"),3)</f>
        <v>羊绒衫</v>
      </c>
      <c r="H25" s="5">
        <v>117886</v>
      </c>
      <c r="I25" s="5">
        <v>46860037.03</v>
      </c>
      <c r="J25" s="6">
        <v>0.0147</v>
      </c>
      <c r="K25" s="6">
        <v>-0.1953</v>
      </c>
    </row>
    <row r="26" ht="14.5" spans="1:11">
      <c r="A26" s="3" t="str">
        <f t="shared" si="0"/>
        <v>2026年</v>
      </c>
      <c r="B26" s="3" t="str">
        <f t="shared" si="1"/>
        <v>1月</v>
      </c>
      <c r="C26" s="4" t="str">
        <f t="shared" si="2"/>
        <v>W1</v>
      </c>
      <c r="D26" s="2" t="s">
        <v>701</v>
      </c>
      <c r="E26" s="2" t="s">
        <v>727</v>
      </c>
      <c r="F26" s="2" t="str" cm="1">
        <f t="array" ref="F26">INDEX(_xlfn.TEXTSPLIT(E26,"-"),2)</f>
        <v>女装</v>
      </c>
      <c r="G26" s="2" t="str" cm="1">
        <f t="array" ref="G26">INDEX(_xlfn.TEXTSPLIT(E26,"-"),3)</f>
        <v>羽绒服</v>
      </c>
      <c r="H26" s="5">
        <v>1759306</v>
      </c>
      <c r="I26" s="5">
        <v>733347375.13</v>
      </c>
      <c r="J26" s="6">
        <v>0.2308</v>
      </c>
      <c r="K26" s="6">
        <v>-0.1986</v>
      </c>
    </row>
    <row r="27" ht="14.5" spans="1:11">
      <c r="A27" s="3" t="str">
        <f t="shared" ref="A27:A90" si="3">TEXT(YEAR(D27),"0")&amp;"年"</f>
        <v>2026年</v>
      </c>
      <c r="B27" s="3" t="str">
        <f t="shared" ref="B27:B90" si="4">TEXT(MONTH(D27),"0")&amp;"月"</f>
        <v>1月</v>
      </c>
      <c r="C27" s="4" t="str">
        <f t="shared" ref="C27:C90" si="5">"W"&amp;TEXT(WEEKNUM(D27,2),"0")</f>
        <v>W1</v>
      </c>
      <c r="D27" s="2" t="s">
        <v>701</v>
      </c>
      <c r="E27" s="2" t="s">
        <v>728</v>
      </c>
      <c r="F27" s="2" t="str" cm="1">
        <f t="array" ref="F27">INDEX(_xlfn.TEXTSPLIT(E27,"-"),2)</f>
        <v>女装</v>
      </c>
      <c r="G27" s="2" t="str" cm="1">
        <f t="array" ref="G27">INDEX(_xlfn.TEXTSPLIT(E27,"-"),3)</f>
        <v>肌底衣/肌肤衣</v>
      </c>
      <c r="H27" s="5">
        <v>4067</v>
      </c>
      <c r="I27" s="5">
        <v>210090.31</v>
      </c>
      <c r="J27" s="6">
        <v>0.0001</v>
      </c>
      <c r="K27" s="6">
        <v>-0.2853</v>
      </c>
    </row>
    <row r="28" ht="14.5" spans="1:11">
      <c r="A28" s="3" t="str">
        <f t="shared" si="3"/>
        <v>2026年</v>
      </c>
      <c r="B28" s="3" t="str">
        <f t="shared" si="4"/>
        <v>1月</v>
      </c>
      <c r="C28" s="4" t="str">
        <f t="shared" si="5"/>
        <v>W1</v>
      </c>
      <c r="D28" s="2" t="s">
        <v>701</v>
      </c>
      <c r="E28" s="2" t="s">
        <v>729</v>
      </c>
      <c r="F28" s="2" t="str" cm="1">
        <f t="array" ref="F28">INDEX(_xlfn.TEXTSPLIT(E28,"-"),2)</f>
        <v>女装</v>
      </c>
      <c r="G28" s="2" t="str" cm="1">
        <f t="array" ref="G28">INDEX(_xlfn.TEXTSPLIT(E28,"-"),3)</f>
        <v>背心吊带</v>
      </c>
      <c r="H28" s="5">
        <v>165067</v>
      </c>
      <c r="I28" s="5">
        <v>8311466.5</v>
      </c>
      <c r="J28" s="6">
        <v>0.0026</v>
      </c>
      <c r="K28" s="6">
        <v>-0.1769</v>
      </c>
    </row>
    <row r="29" ht="14.5" spans="1:11">
      <c r="A29" s="3" t="str">
        <f t="shared" si="3"/>
        <v>2026年</v>
      </c>
      <c r="B29" s="3" t="str">
        <f t="shared" si="4"/>
        <v>1月</v>
      </c>
      <c r="C29" s="4" t="str">
        <f t="shared" si="5"/>
        <v>W1</v>
      </c>
      <c r="D29" s="2" t="s">
        <v>701</v>
      </c>
      <c r="E29" s="2" t="s">
        <v>730</v>
      </c>
      <c r="F29" s="2" t="str" cm="1">
        <f t="array" ref="F29">INDEX(_xlfn.TEXTSPLIT(E29,"-"),2)</f>
        <v>女装</v>
      </c>
      <c r="G29" s="2" t="str" cm="1">
        <f t="array" ref="G29">INDEX(_xlfn.TEXTSPLIT(E29,"-"),3)</f>
        <v>蕾丝衫/雪纺衫</v>
      </c>
      <c r="H29" s="5">
        <v>140902</v>
      </c>
      <c r="I29" s="5">
        <v>9529458.29</v>
      </c>
      <c r="J29" s="6">
        <v>0.003</v>
      </c>
      <c r="K29" s="6">
        <v>-0.1855</v>
      </c>
    </row>
    <row r="30" ht="14.5" spans="1:11">
      <c r="A30" s="3" t="str">
        <f t="shared" si="3"/>
        <v>2026年</v>
      </c>
      <c r="B30" s="3" t="str">
        <f t="shared" si="4"/>
        <v>1月</v>
      </c>
      <c r="C30" s="4" t="str">
        <f t="shared" si="5"/>
        <v>W1</v>
      </c>
      <c r="D30" s="2" t="s">
        <v>701</v>
      </c>
      <c r="E30" s="2" t="s">
        <v>731</v>
      </c>
      <c r="F30" s="2" t="str" cm="1">
        <f t="array" ref="F30">INDEX(_xlfn.TEXTSPLIT(E30,"-"),2)</f>
        <v>女装</v>
      </c>
      <c r="G30" s="2" t="str" cm="1">
        <f t="array" ref="G30">INDEX(_xlfn.TEXTSPLIT(E30,"-"),3)</f>
        <v>衬衫</v>
      </c>
      <c r="H30" s="5">
        <v>348894</v>
      </c>
      <c r="I30" s="5">
        <v>37200833.41</v>
      </c>
      <c r="J30" s="6">
        <v>0.0117</v>
      </c>
      <c r="K30" s="6">
        <v>-0.0756</v>
      </c>
    </row>
    <row r="31" ht="14.5" spans="1:11">
      <c r="A31" s="3" t="str">
        <f t="shared" si="3"/>
        <v>2026年</v>
      </c>
      <c r="B31" s="3" t="str">
        <f t="shared" si="4"/>
        <v>1月</v>
      </c>
      <c r="C31" s="4" t="str">
        <f t="shared" si="5"/>
        <v>W1</v>
      </c>
      <c r="D31" s="2" t="s">
        <v>701</v>
      </c>
      <c r="E31" s="2" t="s">
        <v>732</v>
      </c>
      <c r="F31" s="2" t="str" cm="1">
        <f t="array" ref="F31">INDEX(_xlfn.TEXTSPLIT(E31,"-"),2)</f>
        <v>女装</v>
      </c>
      <c r="G31" s="2" t="str" cm="1">
        <f t="array" ref="G31">INDEX(_xlfn.TEXTSPLIT(E31,"-"),3)</f>
        <v>裤子</v>
      </c>
      <c r="H31" s="5">
        <v>4695483</v>
      </c>
      <c r="I31" s="5">
        <v>417491217.78</v>
      </c>
      <c r="J31" s="6">
        <v>0.1314</v>
      </c>
      <c r="K31" s="6">
        <v>-0.0229</v>
      </c>
    </row>
    <row r="32" ht="14.5" spans="1:11">
      <c r="A32" s="3" t="str">
        <f t="shared" si="3"/>
        <v>2026年</v>
      </c>
      <c r="B32" s="3" t="str">
        <f t="shared" si="4"/>
        <v>1月</v>
      </c>
      <c r="C32" s="4" t="str">
        <f t="shared" si="5"/>
        <v>W1</v>
      </c>
      <c r="D32" s="2" t="s">
        <v>701</v>
      </c>
      <c r="E32" s="2" t="s">
        <v>733</v>
      </c>
      <c r="F32" s="2" t="str" cm="1">
        <f t="array" ref="F32">INDEX(_xlfn.TEXTSPLIT(E32,"-"),2)</f>
        <v>女装</v>
      </c>
      <c r="G32" s="2" t="str" cm="1">
        <f t="array" ref="G32">INDEX(_xlfn.TEXTSPLIT(E32,"-"),3)</f>
        <v>西装</v>
      </c>
      <c r="H32" s="5">
        <v>33963</v>
      </c>
      <c r="I32" s="5">
        <v>8943346.85</v>
      </c>
      <c r="J32" s="6">
        <v>0.0028</v>
      </c>
      <c r="K32" s="6">
        <v>-0.2523</v>
      </c>
    </row>
    <row r="33" ht="14.5" spans="1:11">
      <c r="A33" s="3" t="str">
        <f t="shared" si="3"/>
        <v>2026年</v>
      </c>
      <c r="B33" s="3" t="str">
        <f t="shared" si="4"/>
        <v>1月</v>
      </c>
      <c r="C33" s="4" t="str">
        <f t="shared" si="5"/>
        <v>W1</v>
      </c>
      <c r="D33" s="2" t="s">
        <v>701</v>
      </c>
      <c r="E33" s="2" t="s">
        <v>734</v>
      </c>
      <c r="F33" s="2" t="str" cm="1">
        <f t="array" ref="F33">INDEX(_xlfn.TEXTSPLIT(E33,"-"),2)</f>
        <v>女装</v>
      </c>
      <c r="G33" s="2" t="str" cm="1">
        <f t="array" ref="G33">INDEX(_xlfn.TEXTSPLIT(E33,"-"),3)</f>
        <v>设计师/潮牌女装</v>
      </c>
      <c r="H33" s="5">
        <v>427644</v>
      </c>
      <c r="I33" s="5">
        <v>45291598.17</v>
      </c>
      <c r="J33" s="6">
        <v>0.0143</v>
      </c>
      <c r="K33" s="6">
        <v>-0.2773</v>
      </c>
    </row>
    <row r="34" ht="14.5" spans="1:11">
      <c r="A34" s="3" t="str">
        <f t="shared" si="3"/>
        <v>2026年</v>
      </c>
      <c r="B34" s="3" t="str">
        <f t="shared" si="4"/>
        <v>1月</v>
      </c>
      <c r="C34" s="4" t="str">
        <f t="shared" si="5"/>
        <v>W1</v>
      </c>
      <c r="D34" s="2" t="s">
        <v>701</v>
      </c>
      <c r="E34" s="2" t="s">
        <v>735</v>
      </c>
      <c r="F34" s="2" t="str" cm="1">
        <f t="array" ref="F34">INDEX(_xlfn.TEXTSPLIT(E34,"-"),2)</f>
        <v>女装</v>
      </c>
      <c r="G34" s="2" t="str" cm="1">
        <f t="array" ref="G34">INDEX(_xlfn.TEXTSPLIT(E34,"-"),3)</f>
        <v>连体衣/裤</v>
      </c>
      <c r="H34" s="5">
        <v>7900</v>
      </c>
      <c r="I34" s="5">
        <v>1929310.97</v>
      </c>
      <c r="J34" s="6">
        <v>0.0006</v>
      </c>
      <c r="K34" s="6">
        <v>-0.3318</v>
      </c>
    </row>
    <row r="35" ht="14.5" spans="1:11">
      <c r="A35" s="3" t="str">
        <f t="shared" si="3"/>
        <v>2026年</v>
      </c>
      <c r="B35" s="3" t="str">
        <f t="shared" si="4"/>
        <v>1月</v>
      </c>
      <c r="C35" s="4" t="str">
        <f t="shared" si="5"/>
        <v>W1</v>
      </c>
      <c r="D35" s="2" t="s">
        <v>701</v>
      </c>
      <c r="E35" s="2" t="s">
        <v>736</v>
      </c>
      <c r="F35" s="2" t="str" cm="1">
        <f t="array" ref="F35">INDEX(_xlfn.TEXTSPLIT(E35,"-"),2)</f>
        <v>女装</v>
      </c>
      <c r="G35" s="2" t="str" cm="1">
        <f t="array" ref="G35">INDEX(_xlfn.TEXTSPLIT(E35,"-"),3)</f>
        <v>连衣裙</v>
      </c>
      <c r="H35" s="5">
        <v>581100</v>
      </c>
      <c r="I35" s="5">
        <v>77303679.88</v>
      </c>
      <c r="J35" s="6">
        <v>0.0243</v>
      </c>
      <c r="K35" s="6">
        <v>-0.2011</v>
      </c>
    </row>
    <row r="36" ht="14.5" spans="1:11">
      <c r="A36" s="3" t="str">
        <f t="shared" si="3"/>
        <v>2026年</v>
      </c>
      <c r="B36" s="3" t="str">
        <f t="shared" si="4"/>
        <v>1月</v>
      </c>
      <c r="C36" s="4" t="str">
        <f t="shared" si="5"/>
        <v>W1</v>
      </c>
      <c r="D36" s="2" t="s">
        <v>701</v>
      </c>
      <c r="E36" s="2" t="s">
        <v>737</v>
      </c>
      <c r="F36" s="2" t="str" cm="1">
        <f t="array" ref="F36">INDEX(_xlfn.TEXTSPLIT(E36,"-"),2)</f>
        <v>女装</v>
      </c>
      <c r="G36" s="2" t="str" cm="1">
        <f t="array" ref="G36">INDEX(_xlfn.TEXTSPLIT(E36,"-"),3)</f>
        <v>风衣</v>
      </c>
      <c r="H36" s="5">
        <v>70643</v>
      </c>
      <c r="I36" s="5">
        <v>11498464.84</v>
      </c>
      <c r="J36" s="6">
        <v>0.0036</v>
      </c>
      <c r="K36" s="6">
        <v>-0.2237</v>
      </c>
    </row>
    <row r="37" ht="14.5" spans="1:11">
      <c r="A37" s="3" t="str">
        <f t="shared" si="3"/>
        <v>2026年</v>
      </c>
      <c r="B37" s="3" t="str">
        <f t="shared" si="4"/>
        <v>1月</v>
      </c>
      <c r="C37" s="4" t="str">
        <f t="shared" si="5"/>
        <v>W1</v>
      </c>
      <c r="D37" s="2" t="s">
        <v>701</v>
      </c>
      <c r="E37" s="2" t="s">
        <v>738</v>
      </c>
      <c r="F37" s="2" t="str" cm="1">
        <f t="array" ref="F37">INDEX(_xlfn.TEXTSPLIT(E37,"-"),2)</f>
        <v>女装</v>
      </c>
      <c r="G37" s="2" t="str" cm="1">
        <f t="array" ref="G37">INDEX(_xlfn.TEXTSPLIT(E37,"-"),3)</f>
        <v>马夹</v>
      </c>
      <c r="H37" s="5">
        <v>364784</v>
      </c>
      <c r="I37" s="5">
        <v>40962806.74</v>
      </c>
      <c r="J37" s="6">
        <v>0.0129</v>
      </c>
      <c r="K37" s="6">
        <v>-0.0768</v>
      </c>
    </row>
    <row r="38" ht="14.5" spans="1:11">
      <c r="A38" s="3" t="str">
        <f t="shared" si="3"/>
        <v>2026年</v>
      </c>
      <c r="B38" s="3" t="str">
        <f t="shared" si="4"/>
        <v>1月</v>
      </c>
      <c r="C38" s="4" t="str">
        <f t="shared" si="5"/>
        <v>W1</v>
      </c>
      <c r="D38" s="2" t="s">
        <v>739</v>
      </c>
      <c r="E38" s="2" t="s">
        <v>702</v>
      </c>
      <c r="F38" s="2" t="str" cm="1">
        <f t="array" ref="F38">INDEX(_xlfn.TEXTSPLIT(E38,"-"),2)</f>
        <v>女装</v>
      </c>
      <c r="G38" s="2" t="str" cm="1">
        <f t="array" ref="G38">INDEX(_xlfn.TEXTSPLIT(E38,"-"),3)</f>
        <v>POLO衫</v>
      </c>
      <c r="H38" s="5">
        <v>16760</v>
      </c>
      <c r="I38" s="5">
        <v>1106596.72</v>
      </c>
      <c r="J38" s="6">
        <v>0.0003</v>
      </c>
      <c r="K38" s="6">
        <v>0.784</v>
      </c>
    </row>
    <row r="39" ht="14.5" spans="1:11">
      <c r="A39" s="3" t="str">
        <f t="shared" si="3"/>
        <v>2026年</v>
      </c>
      <c r="B39" s="3" t="str">
        <f t="shared" si="4"/>
        <v>1月</v>
      </c>
      <c r="C39" s="4" t="str">
        <f t="shared" si="5"/>
        <v>W1</v>
      </c>
      <c r="D39" s="2" t="s">
        <v>739</v>
      </c>
      <c r="E39" s="2" t="s">
        <v>703</v>
      </c>
      <c r="F39" s="2" t="str" cm="1">
        <f t="array" ref="F39">INDEX(_xlfn.TEXTSPLIT(E39,"-"),2)</f>
        <v>女装</v>
      </c>
      <c r="G39" s="2" t="str" cm="1">
        <f t="array" ref="G39">INDEX(_xlfn.TEXTSPLIT(E39,"-"),3)</f>
        <v>T恤</v>
      </c>
      <c r="H39" s="5">
        <v>1535973</v>
      </c>
      <c r="I39" s="5">
        <v>83010611.58</v>
      </c>
      <c r="J39" s="6">
        <v>0.0216</v>
      </c>
      <c r="K39" s="6">
        <v>0.2041</v>
      </c>
    </row>
    <row r="40" ht="14.5" spans="1:11">
      <c r="A40" s="3" t="str">
        <f t="shared" si="3"/>
        <v>2026年</v>
      </c>
      <c r="B40" s="3" t="str">
        <f t="shared" si="4"/>
        <v>1月</v>
      </c>
      <c r="C40" s="4" t="str">
        <f t="shared" si="5"/>
        <v>W1</v>
      </c>
      <c r="D40" s="2" t="s">
        <v>739</v>
      </c>
      <c r="E40" s="2" t="s">
        <v>704</v>
      </c>
      <c r="F40" s="2" t="str" cm="1">
        <f t="array" ref="F40">INDEX(_xlfn.TEXTSPLIT(E40,"-"),2)</f>
        <v>女装</v>
      </c>
      <c r="G40" s="2" t="str" cm="1">
        <f t="array" ref="G40">INDEX(_xlfn.TEXTSPLIT(E40,"-"),3)</f>
        <v>中老年女装</v>
      </c>
      <c r="H40" s="5">
        <v>501776</v>
      </c>
      <c r="I40" s="5">
        <v>59688832.49</v>
      </c>
      <c r="J40" s="6">
        <v>0.0155</v>
      </c>
      <c r="K40" s="6">
        <v>-0.0081</v>
      </c>
    </row>
    <row r="41" ht="14.5" spans="1:11">
      <c r="A41" s="3" t="str">
        <f t="shared" si="3"/>
        <v>2026年</v>
      </c>
      <c r="B41" s="3" t="str">
        <f t="shared" si="4"/>
        <v>1月</v>
      </c>
      <c r="C41" s="4" t="str">
        <f t="shared" si="5"/>
        <v>W1</v>
      </c>
      <c r="D41" s="2" t="s">
        <v>739</v>
      </c>
      <c r="E41" s="2" t="s">
        <v>705</v>
      </c>
      <c r="F41" s="2" t="str" cm="1">
        <f t="array" ref="F41">INDEX(_xlfn.TEXTSPLIT(E41,"-"),2)</f>
        <v>女装</v>
      </c>
      <c r="G41" s="2" t="str" cm="1">
        <f t="array" ref="G41">INDEX(_xlfn.TEXTSPLIT(E41,"-"),3)</f>
        <v>半身裙</v>
      </c>
      <c r="H41" s="5">
        <v>782589</v>
      </c>
      <c r="I41" s="5">
        <v>68457024.57</v>
      </c>
      <c r="J41" s="6">
        <v>0.0178</v>
      </c>
      <c r="K41" s="6">
        <v>0.1467</v>
      </c>
    </row>
    <row r="42" ht="14.5" spans="1:11">
      <c r="A42" s="3" t="str">
        <f t="shared" si="3"/>
        <v>2026年</v>
      </c>
      <c r="B42" s="3" t="str">
        <f t="shared" si="4"/>
        <v>1月</v>
      </c>
      <c r="C42" s="4" t="str">
        <f t="shared" si="5"/>
        <v>W1</v>
      </c>
      <c r="D42" s="2" t="s">
        <v>739</v>
      </c>
      <c r="E42" s="2" t="s">
        <v>706</v>
      </c>
      <c r="F42" s="2" t="str" cm="1">
        <f t="array" ref="F42">INDEX(_xlfn.TEXTSPLIT(E42,"-"),2)</f>
        <v>女装</v>
      </c>
      <c r="G42" s="2" t="str" cm="1">
        <f t="array" ref="G42">INDEX(_xlfn.TEXTSPLIT(E42,"-"),3)</f>
        <v>卫衣/绒衫</v>
      </c>
      <c r="H42" s="5">
        <v>510326</v>
      </c>
      <c r="I42" s="5">
        <v>39414147.05</v>
      </c>
      <c r="J42" s="6">
        <v>0.0102</v>
      </c>
      <c r="K42" s="6">
        <v>0.1324</v>
      </c>
    </row>
    <row r="43" ht="14.5" spans="1:11">
      <c r="A43" s="3" t="str">
        <f t="shared" si="3"/>
        <v>2026年</v>
      </c>
      <c r="B43" s="3" t="str">
        <f t="shared" si="4"/>
        <v>1月</v>
      </c>
      <c r="C43" s="4" t="str">
        <f t="shared" si="5"/>
        <v>W1</v>
      </c>
      <c r="D43" s="2" t="s">
        <v>739</v>
      </c>
      <c r="E43" s="2" t="s">
        <v>707</v>
      </c>
      <c r="F43" s="2" t="str" cm="1">
        <f t="array" ref="F43">INDEX(_xlfn.TEXTSPLIT(E43,"-"),2)</f>
        <v>女装</v>
      </c>
      <c r="G43" s="2" t="str" cm="1">
        <f t="array" ref="G43">INDEX(_xlfn.TEXTSPLIT(E43,"-"),3)</f>
        <v>唐装/民族服装/舞台服装</v>
      </c>
      <c r="H43" s="5">
        <v>209458</v>
      </c>
      <c r="I43" s="5">
        <v>43474376.7</v>
      </c>
      <c r="J43" s="6">
        <v>0.0113</v>
      </c>
      <c r="K43" s="6">
        <v>-0.0284</v>
      </c>
    </row>
    <row r="44" ht="14.5" spans="1:11">
      <c r="A44" s="3" t="str">
        <f t="shared" si="3"/>
        <v>2026年</v>
      </c>
      <c r="B44" s="3" t="str">
        <f t="shared" si="4"/>
        <v>1月</v>
      </c>
      <c r="C44" s="4" t="str">
        <f t="shared" si="5"/>
        <v>W1</v>
      </c>
      <c r="D44" s="2" t="s">
        <v>739</v>
      </c>
      <c r="E44" s="2" t="s">
        <v>708</v>
      </c>
      <c r="F44" s="2" t="str" cm="1">
        <f t="array" ref="F44">INDEX(_xlfn.TEXTSPLIT(E44,"-"),2)</f>
        <v>女装</v>
      </c>
      <c r="G44" s="2" t="str" cm="1">
        <f t="array" ref="G44">INDEX(_xlfn.TEXTSPLIT(E44,"-"),3)</f>
        <v>大码女装</v>
      </c>
      <c r="H44" s="5">
        <v>692627</v>
      </c>
      <c r="I44" s="5">
        <v>64443202.6</v>
      </c>
      <c r="J44" s="6">
        <v>0.0168</v>
      </c>
      <c r="K44" s="6">
        <v>0.1567</v>
      </c>
    </row>
    <row r="45" ht="14.5" spans="1:11">
      <c r="A45" s="3" t="str">
        <f t="shared" si="3"/>
        <v>2026年</v>
      </c>
      <c r="B45" s="3" t="str">
        <f t="shared" si="4"/>
        <v>1月</v>
      </c>
      <c r="C45" s="4" t="str">
        <f t="shared" si="5"/>
        <v>W1</v>
      </c>
      <c r="D45" s="2" t="s">
        <v>739</v>
      </c>
      <c r="E45" s="2" t="s">
        <v>709</v>
      </c>
      <c r="F45" s="2" t="str" cm="1">
        <f t="array" ref="F45">INDEX(_xlfn.TEXTSPLIT(E45,"-"),2)</f>
        <v>女装</v>
      </c>
      <c r="G45" s="2" t="str" cm="1">
        <f t="array" ref="G45">INDEX(_xlfn.TEXTSPLIT(E45,"-"),3)</f>
        <v>套装/学生校服/工作制服</v>
      </c>
      <c r="H45" s="5">
        <v>924824</v>
      </c>
      <c r="I45" s="5">
        <v>133656417.73</v>
      </c>
      <c r="J45" s="6">
        <v>0.0347</v>
      </c>
      <c r="K45" s="6">
        <v>0.3391</v>
      </c>
    </row>
    <row r="46" ht="14.5" spans="1:11">
      <c r="A46" s="3" t="str">
        <f t="shared" si="3"/>
        <v>2026年</v>
      </c>
      <c r="B46" s="3" t="str">
        <f t="shared" si="4"/>
        <v>1月</v>
      </c>
      <c r="C46" s="4" t="str">
        <f t="shared" si="5"/>
        <v>W1</v>
      </c>
      <c r="D46" s="2" t="s">
        <v>739</v>
      </c>
      <c r="E46" s="2" t="s">
        <v>710</v>
      </c>
      <c r="F46" s="2" t="str" cm="1">
        <f t="array" ref="F46">INDEX(_xlfn.TEXTSPLIT(E46,"-"),2)</f>
        <v>女装</v>
      </c>
      <c r="G46" s="2" t="str" cm="1">
        <f t="array" ref="G46">INDEX(_xlfn.TEXTSPLIT(E46,"-"),3)</f>
        <v>婚纱/旗袍/礼服</v>
      </c>
      <c r="H46" s="5">
        <v>67054</v>
      </c>
      <c r="I46" s="5">
        <v>11941232.2</v>
      </c>
      <c r="J46" s="6">
        <v>0.0031</v>
      </c>
      <c r="K46" s="6">
        <v>0.0641</v>
      </c>
    </row>
    <row r="47" ht="14.5" spans="1:11">
      <c r="A47" s="3" t="str">
        <f t="shared" si="3"/>
        <v>2026年</v>
      </c>
      <c r="B47" s="3" t="str">
        <f t="shared" si="4"/>
        <v>1月</v>
      </c>
      <c r="C47" s="4" t="str">
        <f t="shared" si="5"/>
        <v>W1</v>
      </c>
      <c r="D47" s="2" t="s">
        <v>739</v>
      </c>
      <c r="E47" s="2" t="s">
        <v>711</v>
      </c>
      <c r="F47" s="2" t="str" cm="1">
        <f t="array" ref="F47">INDEX(_xlfn.TEXTSPLIT(E47,"-"),2)</f>
        <v>女装</v>
      </c>
      <c r="G47" s="2" t="str" cm="1">
        <f t="array" ref="G47">INDEX(_xlfn.TEXTSPLIT(E47,"-"),3)</f>
        <v>新中式女装</v>
      </c>
      <c r="H47" s="5">
        <v>112292</v>
      </c>
      <c r="I47" s="5">
        <v>13526301.43</v>
      </c>
      <c r="J47" s="6">
        <v>0.0035</v>
      </c>
      <c r="K47" s="6">
        <v>0.1916</v>
      </c>
    </row>
    <row r="48" ht="14.5" spans="1:11">
      <c r="A48" s="3" t="str">
        <f t="shared" si="3"/>
        <v>2026年</v>
      </c>
      <c r="B48" s="3" t="str">
        <f t="shared" si="4"/>
        <v>1月</v>
      </c>
      <c r="C48" s="4" t="str">
        <f t="shared" si="5"/>
        <v>W1</v>
      </c>
      <c r="D48" s="2" t="s">
        <v>739</v>
      </c>
      <c r="E48" s="2" t="s">
        <v>712</v>
      </c>
      <c r="F48" s="2" t="str" cm="1">
        <f t="array" ref="F48">INDEX(_xlfn.TEXTSPLIT(E48,"-"),2)</f>
        <v>女装</v>
      </c>
      <c r="G48" s="2" t="str" cm="1">
        <f t="array" ref="G48">INDEX(_xlfn.TEXTSPLIT(E48,"-"),3)</f>
        <v>时尚防晒服</v>
      </c>
      <c r="H48" s="5">
        <v>699</v>
      </c>
      <c r="I48" s="5">
        <v>53422.13</v>
      </c>
      <c r="J48" s="2" t="s">
        <v>713</v>
      </c>
      <c r="K48" s="6">
        <v>0.5224</v>
      </c>
    </row>
    <row r="49" ht="14.5" spans="1:11">
      <c r="A49" s="3" t="str">
        <f t="shared" si="3"/>
        <v>2026年</v>
      </c>
      <c r="B49" s="3" t="str">
        <f t="shared" si="4"/>
        <v>1月</v>
      </c>
      <c r="C49" s="4" t="str">
        <f t="shared" si="5"/>
        <v>W1</v>
      </c>
      <c r="D49" s="2" t="s">
        <v>739</v>
      </c>
      <c r="E49" s="2" t="s">
        <v>714</v>
      </c>
      <c r="F49" s="2" t="str" cm="1">
        <f t="array" ref="F49">INDEX(_xlfn.TEXTSPLIT(E49,"-"),2)</f>
        <v>女装</v>
      </c>
      <c r="G49" s="2" t="str" cm="1">
        <f t="array" ref="G49">INDEX(_xlfn.TEXTSPLIT(E49,"-"),3)</f>
        <v>棉衣/棉服</v>
      </c>
      <c r="H49" s="5">
        <v>998442</v>
      </c>
      <c r="I49" s="5">
        <v>112810777.12</v>
      </c>
      <c r="J49" s="6">
        <v>0.0293</v>
      </c>
      <c r="K49" s="6">
        <v>0.1606</v>
      </c>
    </row>
    <row r="50" ht="14.5" spans="1:11">
      <c r="A50" s="3" t="str">
        <f t="shared" si="3"/>
        <v>2026年</v>
      </c>
      <c r="B50" s="3" t="str">
        <f t="shared" si="4"/>
        <v>1月</v>
      </c>
      <c r="C50" s="4" t="str">
        <f t="shared" si="5"/>
        <v>W1</v>
      </c>
      <c r="D50" s="2" t="s">
        <v>739</v>
      </c>
      <c r="E50" s="2" t="s">
        <v>715</v>
      </c>
      <c r="F50" s="2" t="str" cm="1">
        <f t="array" ref="F50">INDEX(_xlfn.TEXTSPLIT(E50,"-"),2)</f>
        <v>女装</v>
      </c>
      <c r="G50" s="2" t="str" cm="1">
        <f t="array" ref="G50">INDEX(_xlfn.TEXTSPLIT(E50,"-"),3)</f>
        <v>毛呢外套</v>
      </c>
      <c r="H50" s="5">
        <v>687699</v>
      </c>
      <c r="I50" s="5">
        <v>276555450.34</v>
      </c>
      <c r="J50" s="6">
        <v>0.0719</v>
      </c>
      <c r="K50" s="6">
        <v>0.1091</v>
      </c>
    </row>
    <row r="51" ht="14.5" spans="1:11">
      <c r="A51" s="3" t="str">
        <f t="shared" si="3"/>
        <v>2026年</v>
      </c>
      <c r="B51" s="3" t="str">
        <f t="shared" si="4"/>
        <v>1月</v>
      </c>
      <c r="C51" s="4" t="str">
        <f t="shared" si="5"/>
        <v>W1</v>
      </c>
      <c r="D51" s="2" t="s">
        <v>739</v>
      </c>
      <c r="E51" s="2" t="s">
        <v>716</v>
      </c>
      <c r="F51" s="2" t="str" cm="1">
        <f t="array" ref="F51">INDEX(_xlfn.TEXTSPLIT(E51,"-"),2)</f>
        <v>女装</v>
      </c>
      <c r="G51" s="2" t="str" cm="1">
        <f t="array" ref="G51">INDEX(_xlfn.TEXTSPLIT(E51,"-"),3)</f>
        <v>毛衣</v>
      </c>
      <c r="H51" s="5">
        <v>568269</v>
      </c>
      <c r="I51" s="5">
        <v>49993928.76</v>
      </c>
      <c r="J51" s="6">
        <v>0.013</v>
      </c>
      <c r="K51" s="6">
        <v>0.1436</v>
      </c>
    </row>
    <row r="52" ht="14.5" spans="1:11">
      <c r="A52" s="3" t="str">
        <f t="shared" si="3"/>
        <v>2026年</v>
      </c>
      <c r="B52" s="3" t="str">
        <f t="shared" si="4"/>
        <v>1月</v>
      </c>
      <c r="C52" s="4" t="str">
        <f t="shared" si="5"/>
        <v>W1</v>
      </c>
      <c r="D52" s="2" t="s">
        <v>739</v>
      </c>
      <c r="E52" s="2" t="s">
        <v>717</v>
      </c>
      <c r="F52" s="2" t="str" cm="1">
        <f t="array" ref="F52">INDEX(_xlfn.TEXTSPLIT(E52,"-"),2)</f>
        <v>女装</v>
      </c>
      <c r="G52" s="2" t="str" cm="1">
        <f t="array" ref="G52">INDEX(_xlfn.TEXTSPLIT(E52,"-"),3)</f>
        <v>毛针织衫</v>
      </c>
      <c r="H52" s="5">
        <v>2428623</v>
      </c>
      <c r="I52" s="5">
        <v>209372281.81</v>
      </c>
      <c r="J52" s="6">
        <v>0.0544</v>
      </c>
      <c r="K52" s="6">
        <v>0.172</v>
      </c>
    </row>
    <row r="53" ht="14.5" spans="1:11">
      <c r="A53" s="3" t="str">
        <f t="shared" si="3"/>
        <v>2026年</v>
      </c>
      <c r="B53" s="3" t="str">
        <f t="shared" si="4"/>
        <v>1月</v>
      </c>
      <c r="C53" s="4" t="str">
        <f t="shared" si="5"/>
        <v>W1</v>
      </c>
      <c r="D53" s="2" t="s">
        <v>739</v>
      </c>
      <c r="E53" s="2" t="s">
        <v>718</v>
      </c>
      <c r="F53" s="2" t="str" cm="1">
        <f t="array" ref="F53">INDEX(_xlfn.TEXTSPLIT(E53,"-"),2)</f>
        <v>女装</v>
      </c>
      <c r="G53" s="2" t="str" cm="1">
        <f t="array" ref="G53">INDEX(_xlfn.TEXTSPLIT(E53,"-"),3)</f>
        <v>汉服</v>
      </c>
      <c r="H53" s="5">
        <v>110269</v>
      </c>
      <c r="I53" s="5">
        <v>64901588.2</v>
      </c>
      <c r="J53" s="6">
        <v>0.0169</v>
      </c>
      <c r="K53" s="6">
        <v>0.4097</v>
      </c>
    </row>
    <row r="54" ht="14.5" spans="1:11">
      <c r="A54" s="3" t="str">
        <f t="shared" si="3"/>
        <v>2026年</v>
      </c>
      <c r="B54" s="3" t="str">
        <f t="shared" si="4"/>
        <v>1月</v>
      </c>
      <c r="C54" s="4" t="str">
        <f t="shared" si="5"/>
        <v>W1</v>
      </c>
      <c r="D54" s="2" t="s">
        <v>739</v>
      </c>
      <c r="E54" s="2" t="s">
        <v>719</v>
      </c>
      <c r="F54" s="2" t="str" cm="1">
        <f t="array" ref="F54">INDEX(_xlfn.TEXTSPLIT(E54,"-"),2)</f>
        <v>女装</v>
      </c>
      <c r="G54" s="2" t="str" cm="1">
        <f t="array" ref="G54">INDEX(_xlfn.TEXTSPLIT(E54,"-"),3)</f>
        <v>派克服</v>
      </c>
      <c r="H54" s="5">
        <v>102412</v>
      </c>
      <c r="I54" s="5">
        <v>23644004.16</v>
      </c>
      <c r="J54" s="6">
        <v>0.0061</v>
      </c>
      <c r="K54" s="6">
        <v>0.1652</v>
      </c>
    </row>
    <row r="55" ht="14.5" spans="1:11">
      <c r="A55" s="3" t="str">
        <f t="shared" si="3"/>
        <v>2026年</v>
      </c>
      <c r="B55" s="3" t="str">
        <f t="shared" si="4"/>
        <v>1月</v>
      </c>
      <c r="C55" s="4" t="str">
        <f t="shared" si="5"/>
        <v>W1</v>
      </c>
      <c r="D55" s="2" t="s">
        <v>739</v>
      </c>
      <c r="E55" s="2" t="s">
        <v>720</v>
      </c>
      <c r="F55" s="2" t="str" cm="1">
        <f t="array" ref="F55">INDEX(_xlfn.TEXTSPLIT(E55,"-"),2)</f>
        <v>女装</v>
      </c>
      <c r="G55" s="2" t="str" cm="1">
        <f t="array" ref="G55">INDEX(_xlfn.TEXTSPLIT(E55,"-"),3)</f>
        <v>皮草</v>
      </c>
      <c r="H55" s="5">
        <v>234782</v>
      </c>
      <c r="I55" s="5">
        <v>450179481.52</v>
      </c>
      <c r="J55" s="6">
        <v>0.117</v>
      </c>
      <c r="K55" s="6">
        <v>0.4438</v>
      </c>
    </row>
    <row r="56" ht="14.5" spans="1:11">
      <c r="A56" s="3" t="str">
        <f t="shared" si="3"/>
        <v>2026年</v>
      </c>
      <c r="B56" s="3" t="str">
        <f t="shared" si="4"/>
        <v>1月</v>
      </c>
      <c r="C56" s="4" t="str">
        <f t="shared" si="5"/>
        <v>W1</v>
      </c>
      <c r="D56" s="2" t="s">
        <v>739</v>
      </c>
      <c r="E56" s="2" t="s">
        <v>721</v>
      </c>
      <c r="F56" s="2" t="str" cm="1">
        <f t="array" ref="F56">INDEX(_xlfn.TEXTSPLIT(E56,"-"),2)</f>
        <v>女装</v>
      </c>
      <c r="G56" s="2" t="str" cm="1">
        <f t="array" ref="G56">INDEX(_xlfn.TEXTSPLIT(E56,"-"),3)</f>
        <v>皮衣</v>
      </c>
      <c r="H56" s="5">
        <v>173043</v>
      </c>
      <c r="I56" s="5">
        <v>40711660.4</v>
      </c>
      <c r="J56" s="6">
        <v>0.0106</v>
      </c>
      <c r="K56" s="6">
        <v>0.215</v>
      </c>
    </row>
    <row r="57" ht="14.5" spans="1:11">
      <c r="A57" s="3" t="str">
        <f t="shared" si="3"/>
        <v>2026年</v>
      </c>
      <c r="B57" s="3" t="str">
        <f t="shared" si="4"/>
        <v>1月</v>
      </c>
      <c r="C57" s="4" t="str">
        <f t="shared" si="5"/>
        <v>W1</v>
      </c>
      <c r="D57" s="2" t="s">
        <v>739</v>
      </c>
      <c r="E57" s="2" t="s">
        <v>722</v>
      </c>
      <c r="F57" s="2" t="str" cm="1">
        <f t="array" ref="F57">INDEX(_xlfn.TEXTSPLIT(E57,"-"),2)</f>
        <v>女装</v>
      </c>
      <c r="G57" s="2" t="str" cm="1">
        <f t="array" ref="G57">INDEX(_xlfn.TEXTSPLIT(E57,"-"),3)</f>
        <v>短外套</v>
      </c>
      <c r="H57" s="5">
        <v>1457110</v>
      </c>
      <c r="I57" s="5">
        <v>296334121.79</v>
      </c>
      <c r="J57" s="6">
        <v>0.077</v>
      </c>
      <c r="K57" s="6">
        <v>0.2824</v>
      </c>
    </row>
    <row r="58" ht="14.5" spans="1:11">
      <c r="A58" s="3" t="str">
        <f t="shared" si="3"/>
        <v>2026年</v>
      </c>
      <c r="B58" s="3" t="str">
        <f t="shared" si="4"/>
        <v>1月</v>
      </c>
      <c r="C58" s="4" t="str">
        <f t="shared" si="5"/>
        <v>W1</v>
      </c>
      <c r="D58" s="2" t="s">
        <v>739</v>
      </c>
      <c r="E58" s="2" t="s">
        <v>723</v>
      </c>
      <c r="F58" s="2" t="str" cm="1">
        <f t="array" ref="F58">INDEX(_xlfn.TEXTSPLIT(E58,"-"),2)</f>
        <v>女装</v>
      </c>
      <c r="G58" s="2" t="str" cm="1">
        <f t="array" ref="G58">INDEX(_xlfn.TEXTSPLIT(E58,"-"),3)</f>
        <v>短裤</v>
      </c>
      <c r="H58" s="5">
        <v>130681</v>
      </c>
      <c r="I58" s="5">
        <v>6948367.5</v>
      </c>
      <c r="J58" s="6">
        <v>0.0018</v>
      </c>
      <c r="K58" s="6">
        <v>0.1519</v>
      </c>
    </row>
    <row r="59" ht="14.5" spans="1:11">
      <c r="A59" s="3" t="str">
        <f t="shared" si="3"/>
        <v>2026年</v>
      </c>
      <c r="B59" s="3" t="str">
        <f t="shared" si="4"/>
        <v>1月</v>
      </c>
      <c r="C59" s="4" t="str">
        <f t="shared" si="5"/>
        <v>W1</v>
      </c>
      <c r="D59" s="2" t="s">
        <v>739</v>
      </c>
      <c r="E59" s="2" t="s">
        <v>724</v>
      </c>
      <c r="F59" s="2" t="str" cm="1">
        <f t="array" ref="F59">INDEX(_xlfn.TEXTSPLIT(E59,"-"),2)</f>
        <v>女装</v>
      </c>
      <c r="G59" s="2" t="str" cm="1">
        <f t="array" ref="G59">INDEX(_xlfn.TEXTSPLIT(E59,"-"),3)</f>
        <v>羊毛衫</v>
      </c>
      <c r="H59" s="5">
        <v>572591</v>
      </c>
      <c r="I59" s="5">
        <v>77595926.26</v>
      </c>
      <c r="J59" s="6">
        <v>0.0202</v>
      </c>
      <c r="K59" s="6">
        <v>0.0986</v>
      </c>
    </row>
    <row r="60" ht="14.5" spans="1:11">
      <c r="A60" s="3" t="str">
        <f t="shared" si="3"/>
        <v>2026年</v>
      </c>
      <c r="B60" s="3" t="str">
        <f t="shared" si="4"/>
        <v>1月</v>
      </c>
      <c r="C60" s="4" t="str">
        <f t="shared" si="5"/>
        <v>W1</v>
      </c>
      <c r="D60" s="2" t="s">
        <v>739</v>
      </c>
      <c r="E60" s="2" t="s">
        <v>725</v>
      </c>
      <c r="F60" s="2" t="str" cm="1">
        <f t="array" ref="F60">INDEX(_xlfn.TEXTSPLIT(E60,"-"),2)</f>
        <v>女装</v>
      </c>
      <c r="G60" s="2" t="str" cm="1">
        <f t="array" ref="G60">INDEX(_xlfn.TEXTSPLIT(E60,"-"),3)</f>
        <v>羊绒大衣</v>
      </c>
      <c r="H60" s="5">
        <v>5180</v>
      </c>
      <c r="I60" s="5">
        <v>3107634.47</v>
      </c>
      <c r="J60" s="6">
        <v>0.0008</v>
      </c>
      <c r="K60" s="6">
        <v>0.1446</v>
      </c>
    </row>
    <row r="61" ht="14.5" spans="1:11">
      <c r="A61" s="3" t="str">
        <f t="shared" si="3"/>
        <v>2026年</v>
      </c>
      <c r="B61" s="3" t="str">
        <f t="shared" si="4"/>
        <v>1月</v>
      </c>
      <c r="C61" s="4" t="str">
        <f t="shared" si="5"/>
        <v>W1</v>
      </c>
      <c r="D61" s="2" t="s">
        <v>739</v>
      </c>
      <c r="E61" s="2" t="s">
        <v>726</v>
      </c>
      <c r="F61" s="2" t="str" cm="1">
        <f t="array" ref="F61">INDEX(_xlfn.TEXTSPLIT(E61,"-"),2)</f>
        <v>女装</v>
      </c>
      <c r="G61" s="2" t="str" cm="1">
        <f t="array" ref="G61">INDEX(_xlfn.TEXTSPLIT(E61,"-"),3)</f>
        <v>羊绒衫</v>
      </c>
      <c r="H61" s="5">
        <v>176286</v>
      </c>
      <c r="I61" s="5">
        <v>57248974.41</v>
      </c>
      <c r="J61" s="6">
        <v>0.0149</v>
      </c>
      <c r="K61" s="6">
        <v>0.2217</v>
      </c>
    </row>
    <row r="62" ht="14.5" spans="1:11">
      <c r="A62" s="3" t="str">
        <f t="shared" si="3"/>
        <v>2026年</v>
      </c>
      <c r="B62" s="3" t="str">
        <f t="shared" si="4"/>
        <v>1月</v>
      </c>
      <c r="C62" s="4" t="str">
        <f t="shared" si="5"/>
        <v>W1</v>
      </c>
      <c r="D62" s="2" t="s">
        <v>739</v>
      </c>
      <c r="E62" s="2" t="s">
        <v>727</v>
      </c>
      <c r="F62" s="2" t="str" cm="1">
        <f t="array" ref="F62">INDEX(_xlfn.TEXTSPLIT(E62,"-"),2)</f>
        <v>女装</v>
      </c>
      <c r="G62" s="2" t="str" cm="1">
        <f t="array" ref="G62">INDEX(_xlfn.TEXTSPLIT(E62,"-"),3)</f>
        <v>羽绒服</v>
      </c>
      <c r="H62" s="5">
        <v>2150825</v>
      </c>
      <c r="I62" s="5">
        <v>889639978.68</v>
      </c>
      <c r="J62" s="6">
        <v>0.2313</v>
      </c>
      <c r="K62" s="6">
        <v>0.2131</v>
      </c>
    </row>
    <row r="63" ht="14.5" spans="1:11">
      <c r="A63" s="3" t="str">
        <f t="shared" si="3"/>
        <v>2026年</v>
      </c>
      <c r="B63" s="3" t="str">
        <f t="shared" si="4"/>
        <v>1月</v>
      </c>
      <c r="C63" s="4" t="str">
        <f t="shared" si="5"/>
        <v>W1</v>
      </c>
      <c r="D63" s="2" t="s">
        <v>739</v>
      </c>
      <c r="E63" s="2" t="s">
        <v>728</v>
      </c>
      <c r="F63" s="2" t="str" cm="1">
        <f t="array" ref="F63">INDEX(_xlfn.TEXTSPLIT(E63,"-"),2)</f>
        <v>女装</v>
      </c>
      <c r="G63" s="2" t="str" cm="1">
        <f t="array" ref="G63">INDEX(_xlfn.TEXTSPLIT(E63,"-"),3)</f>
        <v>肌底衣/肌肤衣</v>
      </c>
      <c r="H63" s="5">
        <v>6111</v>
      </c>
      <c r="I63" s="5">
        <v>308042.81</v>
      </c>
      <c r="J63" s="6">
        <v>0.0001</v>
      </c>
      <c r="K63" s="6">
        <v>0.4662</v>
      </c>
    </row>
    <row r="64" ht="14.5" spans="1:11">
      <c r="A64" s="3" t="str">
        <f t="shared" si="3"/>
        <v>2026年</v>
      </c>
      <c r="B64" s="3" t="str">
        <f t="shared" si="4"/>
        <v>1月</v>
      </c>
      <c r="C64" s="4" t="str">
        <f t="shared" si="5"/>
        <v>W1</v>
      </c>
      <c r="D64" s="2" t="s">
        <v>739</v>
      </c>
      <c r="E64" s="2" t="s">
        <v>729</v>
      </c>
      <c r="F64" s="2" t="str" cm="1">
        <f t="array" ref="F64">INDEX(_xlfn.TEXTSPLIT(E64,"-"),2)</f>
        <v>女装</v>
      </c>
      <c r="G64" s="2" t="str" cm="1">
        <f t="array" ref="G64">INDEX(_xlfn.TEXTSPLIT(E64,"-"),3)</f>
        <v>背心吊带</v>
      </c>
      <c r="H64" s="5">
        <v>193303</v>
      </c>
      <c r="I64" s="5">
        <v>10134203.38</v>
      </c>
      <c r="J64" s="6">
        <v>0.0026</v>
      </c>
      <c r="K64" s="6">
        <v>0.2193</v>
      </c>
    </row>
    <row r="65" ht="14.5" spans="1:11">
      <c r="A65" s="3" t="str">
        <f t="shared" si="3"/>
        <v>2026年</v>
      </c>
      <c r="B65" s="3" t="str">
        <f t="shared" si="4"/>
        <v>1月</v>
      </c>
      <c r="C65" s="4" t="str">
        <f t="shared" si="5"/>
        <v>W1</v>
      </c>
      <c r="D65" s="2" t="s">
        <v>739</v>
      </c>
      <c r="E65" s="2" t="s">
        <v>730</v>
      </c>
      <c r="F65" s="2" t="str" cm="1">
        <f t="array" ref="F65">INDEX(_xlfn.TEXTSPLIT(E65,"-"),2)</f>
        <v>女装</v>
      </c>
      <c r="G65" s="2" t="str" cm="1">
        <f t="array" ref="G65">INDEX(_xlfn.TEXTSPLIT(E65,"-"),3)</f>
        <v>蕾丝衫/雪纺衫</v>
      </c>
      <c r="H65" s="5">
        <v>175090</v>
      </c>
      <c r="I65" s="5">
        <v>11847862.87</v>
      </c>
      <c r="J65" s="6">
        <v>0.0031</v>
      </c>
      <c r="K65" s="6">
        <v>0.2433</v>
      </c>
    </row>
    <row r="66" ht="14.5" spans="1:11">
      <c r="A66" s="3" t="str">
        <f t="shared" si="3"/>
        <v>2026年</v>
      </c>
      <c r="B66" s="3" t="str">
        <f t="shared" si="4"/>
        <v>1月</v>
      </c>
      <c r="C66" s="4" t="str">
        <f t="shared" si="5"/>
        <v>W1</v>
      </c>
      <c r="D66" s="2" t="s">
        <v>739</v>
      </c>
      <c r="E66" s="2" t="s">
        <v>731</v>
      </c>
      <c r="F66" s="2" t="str" cm="1">
        <f t="array" ref="F66">INDEX(_xlfn.TEXTSPLIT(E66,"-"),2)</f>
        <v>女装</v>
      </c>
      <c r="G66" s="2" t="str" cm="1">
        <f t="array" ref="G66">INDEX(_xlfn.TEXTSPLIT(E66,"-"),3)</f>
        <v>衬衫</v>
      </c>
      <c r="H66" s="5">
        <v>405102</v>
      </c>
      <c r="I66" s="5">
        <v>42704669.34</v>
      </c>
      <c r="J66" s="6">
        <v>0.0111</v>
      </c>
      <c r="K66" s="6">
        <v>0.1479</v>
      </c>
    </row>
    <row r="67" ht="14.5" spans="1:11">
      <c r="A67" s="3" t="str">
        <f t="shared" si="3"/>
        <v>2026年</v>
      </c>
      <c r="B67" s="3" t="str">
        <f t="shared" si="4"/>
        <v>1月</v>
      </c>
      <c r="C67" s="4" t="str">
        <f t="shared" si="5"/>
        <v>W1</v>
      </c>
      <c r="D67" s="2" t="s">
        <v>739</v>
      </c>
      <c r="E67" s="2" t="s">
        <v>732</v>
      </c>
      <c r="F67" s="2" t="str" cm="1">
        <f t="array" ref="F67">INDEX(_xlfn.TEXTSPLIT(E67,"-"),2)</f>
        <v>女装</v>
      </c>
      <c r="G67" s="2" t="str" cm="1">
        <f t="array" ref="G67">INDEX(_xlfn.TEXTSPLIT(E67,"-"),3)</f>
        <v>裤子</v>
      </c>
      <c r="H67" s="5">
        <v>5282528</v>
      </c>
      <c r="I67" s="5">
        <v>485647181.79</v>
      </c>
      <c r="J67" s="6">
        <v>0.1262</v>
      </c>
      <c r="K67" s="6">
        <v>0.1633</v>
      </c>
    </row>
    <row r="68" ht="14.5" spans="1:11">
      <c r="A68" s="3" t="str">
        <f t="shared" si="3"/>
        <v>2026年</v>
      </c>
      <c r="B68" s="3" t="str">
        <f t="shared" si="4"/>
        <v>1月</v>
      </c>
      <c r="C68" s="4" t="str">
        <f t="shared" si="5"/>
        <v>W1</v>
      </c>
      <c r="D68" s="2" t="s">
        <v>739</v>
      </c>
      <c r="E68" s="2" t="s">
        <v>733</v>
      </c>
      <c r="F68" s="2" t="str" cm="1">
        <f t="array" ref="F68">INDEX(_xlfn.TEXTSPLIT(E68,"-"),2)</f>
        <v>女装</v>
      </c>
      <c r="G68" s="2" t="str" cm="1">
        <f t="array" ref="G68">INDEX(_xlfn.TEXTSPLIT(E68,"-"),3)</f>
        <v>西装</v>
      </c>
      <c r="H68" s="5">
        <v>43660</v>
      </c>
      <c r="I68" s="5">
        <v>10280657.83</v>
      </c>
      <c r="J68" s="6">
        <v>0.0027</v>
      </c>
      <c r="K68" s="6">
        <v>0.1495</v>
      </c>
    </row>
    <row r="69" ht="14.5" spans="1:11">
      <c r="A69" s="3" t="str">
        <f t="shared" si="3"/>
        <v>2026年</v>
      </c>
      <c r="B69" s="3" t="str">
        <f t="shared" si="4"/>
        <v>1月</v>
      </c>
      <c r="C69" s="4" t="str">
        <f t="shared" si="5"/>
        <v>W1</v>
      </c>
      <c r="D69" s="2" t="s">
        <v>739</v>
      </c>
      <c r="E69" s="2" t="s">
        <v>734</v>
      </c>
      <c r="F69" s="2" t="str" cm="1">
        <f t="array" ref="F69">INDEX(_xlfn.TEXTSPLIT(E69,"-"),2)</f>
        <v>女装</v>
      </c>
      <c r="G69" s="2" t="str" cm="1">
        <f t="array" ref="G69">INDEX(_xlfn.TEXTSPLIT(E69,"-"),3)</f>
        <v>设计师/潮牌女装</v>
      </c>
      <c r="H69" s="5">
        <v>431715</v>
      </c>
      <c r="I69" s="5">
        <v>58300173.9</v>
      </c>
      <c r="J69" s="6">
        <v>0.0152</v>
      </c>
      <c r="K69" s="6">
        <v>0.2872</v>
      </c>
    </row>
    <row r="70" ht="14.5" spans="1:11">
      <c r="A70" s="3" t="str">
        <f t="shared" si="3"/>
        <v>2026年</v>
      </c>
      <c r="B70" s="3" t="str">
        <f t="shared" si="4"/>
        <v>1月</v>
      </c>
      <c r="C70" s="4" t="str">
        <f t="shared" si="5"/>
        <v>W1</v>
      </c>
      <c r="D70" s="2" t="s">
        <v>739</v>
      </c>
      <c r="E70" s="2" t="s">
        <v>735</v>
      </c>
      <c r="F70" s="2" t="str" cm="1">
        <f t="array" ref="F70">INDEX(_xlfn.TEXTSPLIT(E70,"-"),2)</f>
        <v>女装</v>
      </c>
      <c r="G70" s="2" t="str" cm="1">
        <f t="array" ref="G70">INDEX(_xlfn.TEXTSPLIT(E70,"-"),3)</f>
        <v>连体衣/裤</v>
      </c>
      <c r="H70" s="5">
        <v>9568</v>
      </c>
      <c r="I70" s="5">
        <v>1814378.37</v>
      </c>
      <c r="J70" s="6">
        <v>0.0005</v>
      </c>
      <c r="K70" s="6">
        <v>-0.0596</v>
      </c>
    </row>
    <row r="71" ht="14.5" spans="1:11">
      <c r="A71" s="3" t="str">
        <f t="shared" si="3"/>
        <v>2026年</v>
      </c>
      <c r="B71" s="3" t="str">
        <f t="shared" si="4"/>
        <v>1月</v>
      </c>
      <c r="C71" s="4" t="str">
        <f t="shared" si="5"/>
        <v>W1</v>
      </c>
      <c r="D71" s="2" t="s">
        <v>739</v>
      </c>
      <c r="E71" s="2" t="s">
        <v>736</v>
      </c>
      <c r="F71" s="2" t="str" cm="1">
        <f t="array" ref="F71">INDEX(_xlfn.TEXTSPLIT(E71,"-"),2)</f>
        <v>女装</v>
      </c>
      <c r="G71" s="2" t="str" cm="1">
        <f t="array" ref="G71">INDEX(_xlfn.TEXTSPLIT(E71,"-"),3)</f>
        <v>连衣裙</v>
      </c>
      <c r="H71" s="5">
        <v>707866</v>
      </c>
      <c r="I71" s="5">
        <v>93146811.33</v>
      </c>
      <c r="J71" s="6">
        <v>0.0242</v>
      </c>
      <c r="K71" s="6">
        <v>0.2049</v>
      </c>
    </row>
    <row r="72" ht="14.5" spans="1:11">
      <c r="A72" s="3" t="str">
        <f t="shared" si="3"/>
        <v>2026年</v>
      </c>
      <c r="B72" s="3" t="str">
        <f t="shared" si="4"/>
        <v>1月</v>
      </c>
      <c r="C72" s="4" t="str">
        <f t="shared" si="5"/>
        <v>W1</v>
      </c>
      <c r="D72" s="2" t="s">
        <v>739</v>
      </c>
      <c r="E72" s="2" t="s">
        <v>737</v>
      </c>
      <c r="F72" s="2" t="str" cm="1">
        <f t="array" ref="F72">INDEX(_xlfn.TEXTSPLIT(E72,"-"),2)</f>
        <v>女装</v>
      </c>
      <c r="G72" s="2" t="str" cm="1">
        <f t="array" ref="G72">INDEX(_xlfn.TEXTSPLIT(E72,"-"),3)</f>
        <v>风衣</v>
      </c>
      <c r="H72" s="5">
        <v>84845</v>
      </c>
      <c r="I72" s="5">
        <v>11468787.05</v>
      </c>
      <c r="J72" s="6">
        <v>0.003</v>
      </c>
      <c r="K72" s="6">
        <v>-0.0026</v>
      </c>
    </row>
    <row r="73" ht="14.5" spans="1:11">
      <c r="A73" s="3" t="str">
        <f t="shared" si="3"/>
        <v>2026年</v>
      </c>
      <c r="B73" s="3" t="str">
        <f t="shared" si="4"/>
        <v>1月</v>
      </c>
      <c r="C73" s="4" t="str">
        <f t="shared" si="5"/>
        <v>W1</v>
      </c>
      <c r="D73" s="2" t="s">
        <v>739</v>
      </c>
      <c r="E73" s="2" t="s">
        <v>738</v>
      </c>
      <c r="F73" s="2" t="str" cm="1">
        <f t="array" ref="F73">INDEX(_xlfn.TEXTSPLIT(E73,"-"),2)</f>
        <v>女装</v>
      </c>
      <c r="G73" s="2" t="str" cm="1">
        <f t="array" ref="G73">INDEX(_xlfn.TEXTSPLIT(E73,"-"),3)</f>
        <v>马夹</v>
      </c>
      <c r="H73" s="5">
        <v>399806</v>
      </c>
      <c r="I73" s="5">
        <v>43332095.41</v>
      </c>
      <c r="J73" s="6">
        <v>0.0113</v>
      </c>
      <c r="K73" s="6">
        <v>0.0578</v>
      </c>
    </row>
    <row r="74" ht="14.5" spans="1:11">
      <c r="A74" s="3" t="str">
        <f t="shared" si="3"/>
        <v>2026年</v>
      </c>
      <c r="B74" s="3" t="str">
        <f t="shared" si="4"/>
        <v>1月</v>
      </c>
      <c r="C74" s="4" t="str">
        <f t="shared" si="5"/>
        <v>W1</v>
      </c>
      <c r="D74" s="2" t="s">
        <v>740</v>
      </c>
      <c r="E74" s="2" t="s">
        <v>702</v>
      </c>
      <c r="F74" s="2" t="str" cm="1">
        <f t="array" ref="F74">INDEX(_xlfn.TEXTSPLIT(E74,"-"),2)</f>
        <v>女装</v>
      </c>
      <c r="G74" s="2" t="str" cm="1">
        <f t="array" ref="G74">INDEX(_xlfn.TEXTSPLIT(E74,"-"),3)</f>
        <v>POLO衫</v>
      </c>
      <c r="H74" s="5">
        <v>19967</v>
      </c>
      <c r="I74" s="5">
        <v>2322454.86</v>
      </c>
      <c r="J74" s="6">
        <v>0.0005</v>
      </c>
      <c r="K74" s="6">
        <v>1.0987</v>
      </c>
    </row>
    <row r="75" ht="14.5" spans="1:11">
      <c r="A75" s="3" t="str">
        <f t="shared" si="3"/>
        <v>2026年</v>
      </c>
      <c r="B75" s="3" t="str">
        <f t="shared" si="4"/>
        <v>1月</v>
      </c>
      <c r="C75" s="4" t="str">
        <f t="shared" si="5"/>
        <v>W1</v>
      </c>
      <c r="D75" s="2" t="s">
        <v>740</v>
      </c>
      <c r="E75" s="2" t="s">
        <v>703</v>
      </c>
      <c r="F75" s="2" t="str" cm="1">
        <f t="array" ref="F75">INDEX(_xlfn.TEXTSPLIT(E75,"-"),2)</f>
        <v>女装</v>
      </c>
      <c r="G75" s="2" t="str" cm="1">
        <f t="array" ref="G75">INDEX(_xlfn.TEXTSPLIT(E75,"-"),3)</f>
        <v>T恤</v>
      </c>
      <c r="H75" s="5">
        <v>1680184</v>
      </c>
      <c r="I75" s="5">
        <v>99901573.68</v>
      </c>
      <c r="J75" s="6">
        <v>0.0225</v>
      </c>
      <c r="K75" s="6">
        <v>0.2035</v>
      </c>
    </row>
    <row r="76" ht="14.5" spans="1:11">
      <c r="A76" s="3" t="str">
        <f t="shared" si="3"/>
        <v>2026年</v>
      </c>
      <c r="B76" s="3" t="str">
        <f t="shared" si="4"/>
        <v>1月</v>
      </c>
      <c r="C76" s="4" t="str">
        <f t="shared" si="5"/>
        <v>W1</v>
      </c>
      <c r="D76" s="2" t="s">
        <v>740</v>
      </c>
      <c r="E76" s="2" t="s">
        <v>704</v>
      </c>
      <c r="F76" s="2" t="str" cm="1">
        <f t="array" ref="F76">INDEX(_xlfn.TEXTSPLIT(E76,"-"),2)</f>
        <v>女装</v>
      </c>
      <c r="G76" s="2" t="str" cm="1">
        <f t="array" ref="G76">INDEX(_xlfn.TEXTSPLIT(E76,"-"),3)</f>
        <v>中老年女装</v>
      </c>
      <c r="H76" s="5">
        <v>507420</v>
      </c>
      <c r="I76" s="5">
        <v>61987944.05</v>
      </c>
      <c r="J76" s="6">
        <v>0.0139</v>
      </c>
      <c r="K76" s="6">
        <v>0.0385</v>
      </c>
    </row>
    <row r="77" ht="14.5" spans="1:11">
      <c r="A77" s="3" t="str">
        <f t="shared" si="3"/>
        <v>2026年</v>
      </c>
      <c r="B77" s="3" t="str">
        <f t="shared" si="4"/>
        <v>1月</v>
      </c>
      <c r="C77" s="4" t="str">
        <f t="shared" si="5"/>
        <v>W1</v>
      </c>
      <c r="D77" s="2" t="s">
        <v>740</v>
      </c>
      <c r="E77" s="2" t="s">
        <v>705</v>
      </c>
      <c r="F77" s="2" t="str" cm="1">
        <f t="array" ref="F77">INDEX(_xlfn.TEXTSPLIT(E77,"-"),2)</f>
        <v>女装</v>
      </c>
      <c r="G77" s="2" t="str" cm="1">
        <f t="array" ref="G77">INDEX(_xlfn.TEXTSPLIT(E77,"-"),3)</f>
        <v>半身裙</v>
      </c>
      <c r="H77" s="5">
        <v>804930</v>
      </c>
      <c r="I77" s="5">
        <v>78545352.81</v>
      </c>
      <c r="J77" s="6">
        <v>0.0177</v>
      </c>
      <c r="K77" s="6">
        <v>0.1474</v>
      </c>
    </row>
    <row r="78" ht="14.5" spans="1:11">
      <c r="A78" s="3" t="str">
        <f t="shared" si="3"/>
        <v>2026年</v>
      </c>
      <c r="B78" s="3" t="str">
        <f t="shared" si="4"/>
        <v>1月</v>
      </c>
      <c r="C78" s="4" t="str">
        <f t="shared" si="5"/>
        <v>W1</v>
      </c>
      <c r="D78" s="2" t="s">
        <v>740</v>
      </c>
      <c r="E78" s="2" t="s">
        <v>706</v>
      </c>
      <c r="F78" s="2" t="str" cm="1">
        <f t="array" ref="F78">INDEX(_xlfn.TEXTSPLIT(E78,"-"),2)</f>
        <v>女装</v>
      </c>
      <c r="G78" s="2" t="str" cm="1">
        <f t="array" ref="G78">INDEX(_xlfn.TEXTSPLIT(E78,"-"),3)</f>
        <v>卫衣/绒衫</v>
      </c>
      <c r="H78" s="5">
        <v>593396</v>
      </c>
      <c r="I78" s="5">
        <v>45439077.59</v>
      </c>
      <c r="J78" s="6">
        <v>0.0102</v>
      </c>
      <c r="K78" s="6">
        <v>0.1529</v>
      </c>
    </row>
    <row r="79" ht="14.5" spans="1:11">
      <c r="A79" s="3" t="str">
        <f t="shared" si="3"/>
        <v>2026年</v>
      </c>
      <c r="B79" s="3" t="str">
        <f t="shared" si="4"/>
        <v>1月</v>
      </c>
      <c r="C79" s="4" t="str">
        <f t="shared" si="5"/>
        <v>W1</v>
      </c>
      <c r="D79" s="2" t="s">
        <v>740</v>
      </c>
      <c r="E79" s="2" t="s">
        <v>707</v>
      </c>
      <c r="F79" s="2" t="str" cm="1">
        <f t="array" ref="F79">INDEX(_xlfn.TEXTSPLIT(E79,"-"),2)</f>
        <v>女装</v>
      </c>
      <c r="G79" s="2" t="str" cm="1">
        <f t="array" ref="G79">INDEX(_xlfn.TEXTSPLIT(E79,"-"),3)</f>
        <v>唐装/民族服装/舞台服装</v>
      </c>
      <c r="H79" s="5">
        <v>238771</v>
      </c>
      <c r="I79" s="5">
        <v>48838532.48</v>
      </c>
      <c r="J79" s="6">
        <v>0.011</v>
      </c>
      <c r="K79" s="6">
        <v>0.1234</v>
      </c>
    </row>
    <row r="80" ht="14.5" spans="1:11">
      <c r="A80" s="3" t="str">
        <f t="shared" si="3"/>
        <v>2026年</v>
      </c>
      <c r="B80" s="3" t="str">
        <f t="shared" si="4"/>
        <v>1月</v>
      </c>
      <c r="C80" s="4" t="str">
        <f t="shared" si="5"/>
        <v>W1</v>
      </c>
      <c r="D80" s="2" t="s">
        <v>740</v>
      </c>
      <c r="E80" s="2" t="s">
        <v>708</v>
      </c>
      <c r="F80" s="2" t="str" cm="1">
        <f t="array" ref="F80">INDEX(_xlfn.TEXTSPLIT(E80,"-"),2)</f>
        <v>女装</v>
      </c>
      <c r="G80" s="2" t="str" cm="1">
        <f t="array" ref="G80">INDEX(_xlfn.TEXTSPLIT(E80,"-"),3)</f>
        <v>大码女装</v>
      </c>
      <c r="H80" s="5">
        <v>756401</v>
      </c>
      <c r="I80" s="5">
        <v>72500606.95</v>
      </c>
      <c r="J80" s="6">
        <v>0.0163</v>
      </c>
      <c r="K80" s="6">
        <v>0.125</v>
      </c>
    </row>
    <row r="81" ht="14.5" spans="1:11">
      <c r="A81" s="3" t="str">
        <f t="shared" si="3"/>
        <v>2026年</v>
      </c>
      <c r="B81" s="3" t="str">
        <f t="shared" si="4"/>
        <v>1月</v>
      </c>
      <c r="C81" s="4" t="str">
        <f t="shared" si="5"/>
        <v>W1</v>
      </c>
      <c r="D81" s="2" t="s">
        <v>740</v>
      </c>
      <c r="E81" s="2" t="s">
        <v>709</v>
      </c>
      <c r="F81" s="2" t="str" cm="1">
        <f t="array" ref="F81">INDEX(_xlfn.TEXTSPLIT(E81,"-"),2)</f>
        <v>女装</v>
      </c>
      <c r="G81" s="2" t="str" cm="1">
        <f t="array" ref="G81">INDEX(_xlfn.TEXTSPLIT(E81,"-"),3)</f>
        <v>套装/学生校服/工作制服</v>
      </c>
      <c r="H81" s="5">
        <v>1007493</v>
      </c>
      <c r="I81" s="5">
        <v>146745369.19</v>
      </c>
      <c r="J81" s="6">
        <v>0.033</v>
      </c>
      <c r="K81" s="6">
        <v>0.0979</v>
      </c>
    </row>
    <row r="82" ht="14.5" spans="1:11">
      <c r="A82" s="3" t="str">
        <f t="shared" si="3"/>
        <v>2026年</v>
      </c>
      <c r="B82" s="3" t="str">
        <f t="shared" si="4"/>
        <v>1月</v>
      </c>
      <c r="C82" s="4" t="str">
        <f t="shared" si="5"/>
        <v>W1</v>
      </c>
      <c r="D82" s="2" t="s">
        <v>740</v>
      </c>
      <c r="E82" s="2" t="s">
        <v>710</v>
      </c>
      <c r="F82" s="2" t="str" cm="1">
        <f t="array" ref="F82">INDEX(_xlfn.TEXTSPLIT(E82,"-"),2)</f>
        <v>女装</v>
      </c>
      <c r="G82" s="2" t="str" cm="1">
        <f t="array" ref="G82">INDEX(_xlfn.TEXTSPLIT(E82,"-"),3)</f>
        <v>婚纱/旗袍/礼服</v>
      </c>
      <c r="H82" s="5">
        <v>62072</v>
      </c>
      <c r="I82" s="5">
        <v>11369996.62</v>
      </c>
      <c r="J82" s="6">
        <v>0.0026</v>
      </c>
      <c r="K82" s="6">
        <v>-0.0478</v>
      </c>
    </row>
    <row r="83" ht="14.5" spans="1:11">
      <c r="A83" s="3" t="str">
        <f t="shared" si="3"/>
        <v>2026年</v>
      </c>
      <c r="B83" s="3" t="str">
        <f t="shared" si="4"/>
        <v>1月</v>
      </c>
      <c r="C83" s="4" t="str">
        <f t="shared" si="5"/>
        <v>W1</v>
      </c>
      <c r="D83" s="2" t="s">
        <v>740</v>
      </c>
      <c r="E83" s="2" t="s">
        <v>711</v>
      </c>
      <c r="F83" s="2" t="str" cm="1">
        <f t="array" ref="F83">INDEX(_xlfn.TEXTSPLIT(E83,"-"),2)</f>
        <v>女装</v>
      </c>
      <c r="G83" s="2" t="str" cm="1">
        <f t="array" ref="G83">INDEX(_xlfn.TEXTSPLIT(E83,"-"),3)</f>
        <v>新中式女装</v>
      </c>
      <c r="H83" s="5">
        <v>91703</v>
      </c>
      <c r="I83" s="5">
        <v>13732359.97</v>
      </c>
      <c r="J83" s="6">
        <v>0.0031</v>
      </c>
      <c r="K83" s="6">
        <v>0.0152</v>
      </c>
    </row>
    <row r="84" ht="14.5" spans="1:11">
      <c r="A84" s="3" t="str">
        <f t="shared" si="3"/>
        <v>2026年</v>
      </c>
      <c r="B84" s="3" t="str">
        <f t="shared" si="4"/>
        <v>1月</v>
      </c>
      <c r="C84" s="4" t="str">
        <f t="shared" si="5"/>
        <v>W1</v>
      </c>
      <c r="D84" s="2" t="s">
        <v>740</v>
      </c>
      <c r="E84" s="2" t="s">
        <v>712</v>
      </c>
      <c r="F84" s="2" t="str" cm="1">
        <f t="array" ref="F84">INDEX(_xlfn.TEXTSPLIT(E84,"-"),2)</f>
        <v>女装</v>
      </c>
      <c r="G84" s="2" t="str" cm="1">
        <f t="array" ref="G84">INDEX(_xlfn.TEXTSPLIT(E84,"-"),3)</f>
        <v>时尚防晒服</v>
      </c>
      <c r="H84" s="5">
        <v>895</v>
      </c>
      <c r="I84" s="5">
        <v>51854.76</v>
      </c>
      <c r="J84" s="2" t="s">
        <v>713</v>
      </c>
      <c r="K84" s="6">
        <v>-0.0293</v>
      </c>
    </row>
    <row r="85" ht="14.5" spans="1:11">
      <c r="A85" s="3" t="str">
        <f t="shared" si="3"/>
        <v>2026年</v>
      </c>
      <c r="B85" s="3" t="str">
        <f t="shared" si="4"/>
        <v>1月</v>
      </c>
      <c r="C85" s="4" t="str">
        <f t="shared" si="5"/>
        <v>W1</v>
      </c>
      <c r="D85" s="2" t="s">
        <v>740</v>
      </c>
      <c r="E85" s="2" t="s">
        <v>714</v>
      </c>
      <c r="F85" s="2" t="str" cm="1">
        <f t="array" ref="F85">INDEX(_xlfn.TEXTSPLIT(E85,"-"),2)</f>
        <v>女装</v>
      </c>
      <c r="G85" s="2" t="str" cm="1">
        <f t="array" ref="G85">INDEX(_xlfn.TEXTSPLIT(E85,"-"),3)</f>
        <v>棉衣/棉服</v>
      </c>
      <c r="H85" s="5">
        <v>1084524</v>
      </c>
      <c r="I85" s="5">
        <v>119005522.03</v>
      </c>
      <c r="J85" s="6">
        <v>0.0268</v>
      </c>
      <c r="K85" s="6">
        <v>0.0549</v>
      </c>
    </row>
    <row r="86" ht="14.5" spans="1:11">
      <c r="A86" s="3" t="str">
        <f t="shared" si="3"/>
        <v>2026年</v>
      </c>
      <c r="B86" s="3" t="str">
        <f t="shared" si="4"/>
        <v>1月</v>
      </c>
      <c r="C86" s="4" t="str">
        <f t="shared" si="5"/>
        <v>W1</v>
      </c>
      <c r="D86" s="2" t="s">
        <v>740</v>
      </c>
      <c r="E86" s="2" t="s">
        <v>715</v>
      </c>
      <c r="F86" s="2" t="str" cm="1">
        <f t="array" ref="F86">INDEX(_xlfn.TEXTSPLIT(E86,"-"),2)</f>
        <v>女装</v>
      </c>
      <c r="G86" s="2" t="str" cm="1">
        <f t="array" ref="G86">INDEX(_xlfn.TEXTSPLIT(E86,"-"),3)</f>
        <v>毛呢外套</v>
      </c>
      <c r="H86" s="5">
        <v>740110</v>
      </c>
      <c r="I86" s="5">
        <v>312009895.05</v>
      </c>
      <c r="J86" s="6">
        <v>0.0701</v>
      </c>
      <c r="K86" s="6">
        <v>0.1282</v>
      </c>
    </row>
    <row r="87" ht="14.5" spans="1:11">
      <c r="A87" s="3" t="str">
        <f t="shared" si="3"/>
        <v>2026年</v>
      </c>
      <c r="B87" s="3" t="str">
        <f t="shared" si="4"/>
        <v>1月</v>
      </c>
      <c r="C87" s="4" t="str">
        <f t="shared" si="5"/>
        <v>W1</v>
      </c>
      <c r="D87" s="2" t="s">
        <v>740</v>
      </c>
      <c r="E87" s="2" t="s">
        <v>716</v>
      </c>
      <c r="F87" s="2" t="str" cm="1">
        <f t="array" ref="F87">INDEX(_xlfn.TEXTSPLIT(E87,"-"),2)</f>
        <v>女装</v>
      </c>
      <c r="G87" s="2" t="str" cm="1">
        <f t="array" ref="G87">INDEX(_xlfn.TEXTSPLIT(E87,"-"),3)</f>
        <v>毛衣</v>
      </c>
      <c r="H87" s="5">
        <v>702033</v>
      </c>
      <c r="I87" s="5">
        <v>63238337.27</v>
      </c>
      <c r="J87" s="6">
        <v>0.0142</v>
      </c>
      <c r="K87" s="6">
        <v>0.2649</v>
      </c>
    </row>
    <row r="88" ht="14.5" spans="1:11">
      <c r="A88" s="3" t="str">
        <f t="shared" si="3"/>
        <v>2026年</v>
      </c>
      <c r="B88" s="3" t="str">
        <f t="shared" si="4"/>
        <v>1月</v>
      </c>
      <c r="C88" s="4" t="str">
        <f t="shared" si="5"/>
        <v>W1</v>
      </c>
      <c r="D88" s="2" t="s">
        <v>740</v>
      </c>
      <c r="E88" s="2" t="s">
        <v>717</v>
      </c>
      <c r="F88" s="2" t="str" cm="1">
        <f t="array" ref="F88">INDEX(_xlfn.TEXTSPLIT(E88,"-"),2)</f>
        <v>女装</v>
      </c>
      <c r="G88" s="2" t="str" cm="1">
        <f t="array" ref="G88">INDEX(_xlfn.TEXTSPLIT(E88,"-"),3)</f>
        <v>毛针织衫</v>
      </c>
      <c r="H88" s="5">
        <v>2747201</v>
      </c>
      <c r="I88" s="5">
        <v>236550771.36</v>
      </c>
      <c r="J88" s="6">
        <v>0.0532</v>
      </c>
      <c r="K88" s="6">
        <v>0.1298</v>
      </c>
    </row>
    <row r="89" ht="14.5" spans="1:11">
      <c r="A89" s="3" t="str">
        <f t="shared" si="3"/>
        <v>2026年</v>
      </c>
      <c r="B89" s="3" t="str">
        <f t="shared" si="4"/>
        <v>1月</v>
      </c>
      <c r="C89" s="4" t="str">
        <f t="shared" si="5"/>
        <v>W1</v>
      </c>
      <c r="D89" s="2" t="s">
        <v>740</v>
      </c>
      <c r="E89" s="2" t="s">
        <v>718</v>
      </c>
      <c r="F89" s="2" t="str" cm="1">
        <f t="array" ref="F89">INDEX(_xlfn.TEXTSPLIT(E89,"-"),2)</f>
        <v>女装</v>
      </c>
      <c r="G89" s="2" t="str" cm="1">
        <f t="array" ref="G89">INDEX(_xlfn.TEXTSPLIT(E89,"-"),3)</f>
        <v>汉服</v>
      </c>
      <c r="H89" s="5">
        <v>185762</v>
      </c>
      <c r="I89" s="5">
        <v>136295603.22</v>
      </c>
      <c r="J89" s="6">
        <v>0.0306</v>
      </c>
      <c r="K89" s="7">
        <v>1.1</v>
      </c>
    </row>
    <row r="90" ht="14.5" spans="1:11">
      <c r="A90" s="3" t="str">
        <f t="shared" si="3"/>
        <v>2026年</v>
      </c>
      <c r="B90" s="3" t="str">
        <f t="shared" si="4"/>
        <v>1月</v>
      </c>
      <c r="C90" s="4" t="str">
        <f t="shared" si="5"/>
        <v>W1</v>
      </c>
      <c r="D90" s="2" t="s">
        <v>740</v>
      </c>
      <c r="E90" s="2" t="s">
        <v>719</v>
      </c>
      <c r="F90" s="2" t="str" cm="1">
        <f t="array" ref="F90">INDEX(_xlfn.TEXTSPLIT(E90,"-"),2)</f>
        <v>女装</v>
      </c>
      <c r="G90" s="2" t="str" cm="1">
        <f t="array" ref="G90">INDEX(_xlfn.TEXTSPLIT(E90,"-"),3)</f>
        <v>派克服</v>
      </c>
      <c r="H90" s="5">
        <v>102370</v>
      </c>
      <c r="I90" s="5">
        <v>26633878.27</v>
      </c>
      <c r="J90" s="6">
        <v>0.006</v>
      </c>
      <c r="K90" s="6">
        <v>0.1265</v>
      </c>
    </row>
    <row r="91" ht="14.5" spans="1:11">
      <c r="A91" s="3" t="str">
        <f t="shared" ref="A91:A154" si="6">TEXT(YEAR(D91),"0")&amp;"年"</f>
        <v>2026年</v>
      </c>
      <c r="B91" s="3" t="str">
        <f t="shared" ref="B91:B154" si="7">TEXT(MONTH(D91),"0")&amp;"月"</f>
        <v>1月</v>
      </c>
      <c r="C91" s="4" t="str">
        <f t="shared" ref="C91:C154" si="8">"W"&amp;TEXT(WEEKNUM(D91,2),"0")</f>
        <v>W1</v>
      </c>
      <c r="D91" s="2" t="s">
        <v>740</v>
      </c>
      <c r="E91" s="2" t="s">
        <v>720</v>
      </c>
      <c r="F91" s="2" t="str" cm="1">
        <f t="array" ref="F91">INDEX(_xlfn.TEXTSPLIT(E91,"-"),2)</f>
        <v>女装</v>
      </c>
      <c r="G91" s="2" t="str" cm="1">
        <f t="array" ref="G91">INDEX(_xlfn.TEXTSPLIT(E91,"-"),3)</f>
        <v>皮草</v>
      </c>
      <c r="H91" s="5">
        <v>253659</v>
      </c>
      <c r="I91" s="5">
        <v>504133376.85</v>
      </c>
      <c r="J91" s="6">
        <v>0.1133</v>
      </c>
      <c r="K91" s="6">
        <v>0.1198</v>
      </c>
    </row>
    <row r="92" ht="14.5" spans="1:11">
      <c r="A92" s="3" t="str">
        <f t="shared" si="6"/>
        <v>2026年</v>
      </c>
      <c r="B92" s="3" t="str">
        <f t="shared" si="7"/>
        <v>1月</v>
      </c>
      <c r="C92" s="4" t="str">
        <f t="shared" si="8"/>
        <v>W1</v>
      </c>
      <c r="D92" s="2" t="s">
        <v>740</v>
      </c>
      <c r="E92" s="2" t="s">
        <v>721</v>
      </c>
      <c r="F92" s="2" t="str" cm="1">
        <f t="array" ref="F92">INDEX(_xlfn.TEXTSPLIT(E92,"-"),2)</f>
        <v>女装</v>
      </c>
      <c r="G92" s="2" t="str" cm="1">
        <f t="array" ref="G92">INDEX(_xlfn.TEXTSPLIT(E92,"-"),3)</f>
        <v>皮衣</v>
      </c>
      <c r="H92" s="5">
        <v>138370</v>
      </c>
      <c r="I92" s="5">
        <v>53824972.79</v>
      </c>
      <c r="J92" s="6">
        <v>0.0121</v>
      </c>
      <c r="K92" s="6">
        <v>0.3221</v>
      </c>
    </row>
    <row r="93" ht="14.5" spans="1:11">
      <c r="A93" s="3" t="str">
        <f t="shared" si="6"/>
        <v>2026年</v>
      </c>
      <c r="B93" s="3" t="str">
        <f t="shared" si="7"/>
        <v>1月</v>
      </c>
      <c r="C93" s="4" t="str">
        <f t="shared" si="8"/>
        <v>W1</v>
      </c>
      <c r="D93" s="2" t="s">
        <v>740</v>
      </c>
      <c r="E93" s="2" t="s">
        <v>722</v>
      </c>
      <c r="F93" s="2" t="str" cm="1">
        <f t="array" ref="F93">INDEX(_xlfn.TEXTSPLIT(E93,"-"),2)</f>
        <v>女装</v>
      </c>
      <c r="G93" s="2" t="str" cm="1">
        <f t="array" ref="G93">INDEX(_xlfn.TEXTSPLIT(E93,"-"),3)</f>
        <v>短外套</v>
      </c>
      <c r="H93" s="5">
        <v>1670113</v>
      </c>
      <c r="I93" s="5">
        <v>350552086.6</v>
      </c>
      <c r="J93" s="6">
        <v>0.0788</v>
      </c>
      <c r="K93" s="6">
        <v>0.183</v>
      </c>
    </row>
    <row r="94" ht="14.5" spans="1:11">
      <c r="A94" s="3" t="str">
        <f t="shared" si="6"/>
        <v>2026年</v>
      </c>
      <c r="B94" s="3" t="str">
        <f t="shared" si="7"/>
        <v>1月</v>
      </c>
      <c r="C94" s="4" t="str">
        <f t="shared" si="8"/>
        <v>W1</v>
      </c>
      <c r="D94" s="2" t="s">
        <v>740</v>
      </c>
      <c r="E94" s="2" t="s">
        <v>723</v>
      </c>
      <c r="F94" s="2" t="str" cm="1">
        <f t="array" ref="F94">INDEX(_xlfn.TEXTSPLIT(E94,"-"),2)</f>
        <v>女装</v>
      </c>
      <c r="G94" s="2" t="str" cm="1">
        <f t="array" ref="G94">INDEX(_xlfn.TEXTSPLIT(E94,"-"),3)</f>
        <v>短裤</v>
      </c>
      <c r="H94" s="5">
        <v>129494</v>
      </c>
      <c r="I94" s="5">
        <v>7952816.46</v>
      </c>
      <c r="J94" s="6">
        <v>0.0018</v>
      </c>
      <c r="K94" s="6">
        <v>0.1446</v>
      </c>
    </row>
    <row r="95" ht="14.5" spans="1:11">
      <c r="A95" s="3" t="str">
        <f t="shared" si="6"/>
        <v>2026年</v>
      </c>
      <c r="B95" s="3" t="str">
        <f t="shared" si="7"/>
        <v>1月</v>
      </c>
      <c r="C95" s="4" t="str">
        <f t="shared" si="8"/>
        <v>W1</v>
      </c>
      <c r="D95" s="2" t="s">
        <v>740</v>
      </c>
      <c r="E95" s="2" t="s">
        <v>724</v>
      </c>
      <c r="F95" s="2" t="str" cm="1">
        <f t="array" ref="F95">INDEX(_xlfn.TEXTSPLIT(E95,"-"),2)</f>
        <v>女装</v>
      </c>
      <c r="G95" s="2" t="str" cm="1">
        <f t="array" ref="G95">INDEX(_xlfn.TEXTSPLIT(E95,"-"),3)</f>
        <v>羊毛衫</v>
      </c>
      <c r="H95" s="5">
        <v>645819</v>
      </c>
      <c r="I95" s="5">
        <v>86260937.96</v>
      </c>
      <c r="J95" s="6">
        <v>0.0194</v>
      </c>
      <c r="K95" s="6">
        <v>0.1117</v>
      </c>
    </row>
    <row r="96" ht="14.5" spans="1:11">
      <c r="A96" s="3" t="str">
        <f t="shared" si="6"/>
        <v>2026年</v>
      </c>
      <c r="B96" s="3" t="str">
        <f t="shared" si="7"/>
        <v>1月</v>
      </c>
      <c r="C96" s="4" t="str">
        <f t="shared" si="8"/>
        <v>W1</v>
      </c>
      <c r="D96" s="2" t="s">
        <v>740</v>
      </c>
      <c r="E96" s="2" t="s">
        <v>725</v>
      </c>
      <c r="F96" s="2" t="str" cm="1">
        <f t="array" ref="F96">INDEX(_xlfn.TEXTSPLIT(E96,"-"),2)</f>
        <v>女装</v>
      </c>
      <c r="G96" s="2" t="str" cm="1">
        <f t="array" ref="G96">INDEX(_xlfn.TEXTSPLIT(E96,"-"),3)</f>
        <v>羊绒大衣</v>
      </c>
      <c r="H96" s="5">
        <v>5982</v>
      </c>
      <c r="I96" s="5">
        <v>3437461.68</v>
      </c>
      <c r="J96" s="6">
        <v>0.0008</v>
      </c>
      <c r="K96" s="6">
        <v>0.1061</v>
      </c>
    </row>
    <row r="97" ht="14.5" spans="1:11">
      <c r="A97" s="3" t="str">
        <f t="shared" si="6"/>
        <v>2026年</v>
      </c>
      <c r="B97" s="3" t="str">
        <f t="shared" si="7"/>
        <v>1月</v>
      </c>
      <c r="C97" s="4" t="str">
        <f t="shared" si="8"/>
        <v>W1</v>
      </c>
      <c r="D97" s="2" t="s">
        <v>740</v>
      </c>
      <c r="E97" s="2" t="s">
        <v>726</v>
      </c>
      <c r="F97" s="2" t="str" cm="1">
        <f t="array" ref="F97">INDEX(_xlfn.TEXTSPLIT(E97,"-"),2)</f>
        <v>女装</v>
      </c>
      <c r="G97" s="2" t="str" cm="1">
        <f t="array" ref="G97">INDEX(_xlfn.TEXTSPLIT(E97,"-"),3)</f>
        <v>羊绒衫</v>
      </c>
      <c r="H97" s="5">
        <v>171163</v>
      </c>
      <c r="I97" s="5">
        <v>57141544.3</v>
      </c>
      <c r="J97" s="6">
        <v>0.0128</v>
      </c>
      <c r="K97" s="6">
        <v>-0.0019</v>
      </c>
    </row>
    <row r="98" ht="14.5" spans="1:11">
      <c r="A98" s="3" t="str">
        <f t="shared" si="6"/>
        <v>2026年</v>
      </c>
      <c r="B98" s="3" t="str">
        <f t="shared" si="7"/>
        <v>1月</v>
      </c>
      <c r="C98" s="4" t="str">
        <f t="shared" si="8"/>
        <v>W1</v>
      </c>
      <c r="D98" s="2" t="s">
        <v>740</v>
      </c>
      <c r="E98" s="2" t="s">
        <v>727</v>
      </c>
      <c r="F98" s="2" t="str" cm="1">
        <f t="array" ref="F98">INDEX(_xlfn.TEXTSPLIT(E98,"-"),2)</f>
        <v>女装</v>
      </c>
      <c r="G98" s="2" t="str" cm="1">
        <f t="array" ref="G98">INDEX(_xlfn.TEXTSPLIT(E98,"-"),3)</f>
        <v>羽绒服</v>
      </c>
      <c r="H98" s="5">
        <v>2442634</v>
      </c>
      <c r="I98" s="5">
        <v>1024525261.84</v>
      </c>
      <c r="J98" s="6">
        <v>0.2303</v>
      </c>
      <c r="K98" s="6">
        <v>0.1516</v>
      </c>
    </row>
    <row r="99" ht="14.5" spans="1:11">
      <c r="A99" s="3" t="str">
        <f t="shared" si="6"/>
        <v>2026年</v>
      </c>
      <c r="B99" s="3" t="str">
        <f t="shared" si="7"/>
        <v>1月</v>
      </c>
      <c r="C99" s="4" t="str">
        <f t="shared" si="8"/>
        <v>W1</v>
      </c>
      <c r="D99" s="2" t="s">
        <v>740</v>
      </c>
      <c r="E99" s="2" t="s">
        <v>728</v>
      </c>
      <c r="F99" s="2" t="str" cm="1">
        <f t="array" ref="F99">INDEX(_xlfn.TEXTSPLIT(E99,"-"),2)</f>
        <v>女装</v>
      </c>
      <c r="G99" s="2" t="str" cm="1">
        <f t="array" ref="G99">INDEX(_xlfn.TEXTSPLIT(E99,"-"),3)</f>
        <v>肌底衣/肌肤衣</v>
      </c>
      <c r="H99" s="5">
        <v>5919</v>
      </c>
      <c r="I99" s="5">
        <v>374288.19</v>
      </c>
      <c r="J99" s="6">
        <v>0.0001</v>
      </c>
      <c r="K99" s="6">
        <v>0.2151</v>
      </c>
    </row>
    <row r="100" ht="14.5" spans="1:11">
      <c r="A100" s="3" t="str">
        <f t="shared" si="6"/>
        <v>2026年</v>
      </c>
      <c r="B100" s="3" t="str">
        <f t="shared" si="7"/>
        <v>1月</v>
      </c>
      <c r="C100" s="4" t="str">
        <f t="shared" si="8"/>
        <v>W1</v>
      </c>
      <c r="D100" s="2" t="s">
        <v>740</v>
      </c>
      <c r="E100" s="2" t="s">
        <v>729</v>
      </c>
      <c r="F100" s="2" t="str" cm="1">
        <f t="array" ref="F100">INDEX(_xlfn.TEXTSPLIT(E100,"-"),2)</f>
        <v>女装</v>
      </c>
      <c r="G100" s="2" t="str" cm="1">
        <f t="array" ref="G100">INDEX(_xlfn.TEXTSPLIT(E100,"-"),3)</f>
        <v>背心吊带</v>
      </c>
      <c r="H100" s="5">
        <v>215785</v>
      </c>
      <c r="I100" s="5">
        <v>15144359.22</v>
      </c>
      <c r="J100" s="6">
        <v>0.0034</v>
      </c>
      <c r="K100" s="6">
        <v>0.4944</v>
      </c>
    </row>
    <row r="101" ht="14.5" spans="1:11">
      <c r="A101" s="3" t="str">
        <f t="shared" si="6"/>
        <v>2026年</v>
      </c>
      <c r="B101" s="3" t="str">
        <f t="shared" si="7"/>
        <v>1月</v>
      </c>
      <c r="C101" s="4" t="str">
        <f t="shared" si="8"/>
        <v>W1</v>
      </c>
      <c r="D101" s="2" t="s">
        <v>740</v>
      </c>
      <c r="E101" s="2" t="s">
        <v>730</v>
      </c>
      <c r="F101" s="2" t="str" cm="1">
        <f t="array" ref="F101">INDEX(_xlfn.TEXTSPLIT(E101,"-"),2)</f>
        <v>女装</v>
      </c>
      <c r="G101" s="2" t="str" cm="1">
        <f t="array" ref="G101">INDEX(_xlfn.TEXTSPLIT(E101,"-"),3)</f>
        <v>蕾丝衫/雪纺衫</v>
      </c>
      <c r="H101" s="5">
        <v>181992</v>
      </c>
      <c r="I101" s="5">
        <v>13265798.79</v>
      </c>
      <c r="J101" s="6">
        <v>0.003</v>
      </c>
      <c r="K101" s="6">
        <v>0.1197</v>
      </c>
    </row>
    <row r="102" ht="14.5" spans="1:11">
      <c r="A102" s="3" t="str">
        <f t="shared" si="6"/>
        <v>2026年</v>
      </c>
      <c r="B102" s="3" t="str">
        <f t="shared" si="7"/>
        <v>1月</v>
      </c>
      <c r="C102" s="4" t="str">
        <f t="shared" si="8"/>
        <v>W1</v>
      </c>
      <c r="D102" s="2" t="s">
        <v>740</v>
      </c>
      <c r="E102" s="2" t="s">
        <v>731</v>
      </c>
      <c r="F102" s="2" t="str" cm="1">
        <f t="array" ref="F102">INDEX(_xlfn.TEXTSPLIT(E102,"-"),2)</f>
        <v>女装</v>
      </c>
      <c r="G102" s="2" t="str" cm="1">
        <f t="array" ref="G102">INDEX(_xlfn.TEXTSPLIT(E102,"-"),3)</f>
        <v>衬衫</v>
      </c>
      <c r="H102" s="5">
        <v>438011</v>
      </c>
      <c r="I102" s="5">
        <v>53729461.25</v>
      </c>
      <c r="J102" s="6">
        <v>0.0121</v>
      </c>
      <c r="K102" s="6">
        <v>0.2582</v>
      </c>
    </row>
    <row r="103" ht="14.5" spans="1:11">
      <c r="A103" s="3" t="str">
        <f t="shared" si="6"/>
        <v>2026年</v>
      </c>
      <c r="B103" s="3" t="str">
        <f t="shared" si="7"/>
        <v>1月</v>
      </c>
      <c r="C103" s="4" t="str">
        <f t="shared" si="8"/>
        <v>W1</v>
      </c>
      <c r="D103" s="2" t="s">
        <v>740</v>
      </c>
      <c r="E103" s="2" t="s">
        <v>732</v>
      </c>
      <c r="F103" s="2" t="str" cm="1">
        <f t="array" ref="F103">INDEX(_xlfn.TEXTSPLIT(E103,"-"),2)</f>
        <v>女装</v>
      </c>
      <c r="G103" s="2" t="str" cm="1">
        <f t="array" ref="G103">INDEX(_xlfn.TEXTSPLIT(E103,"-"),3)</f>
        <v>裤子</v>
      </c>
      <c r="H103" s="5">
        <v>5816983</v>
      </c>
      <c r="I103" s="5">
        <v>552152196.48</v>
      </c>
      <c r="J103" s="6">
        <v>0.1241</v>
      </c>
      <c r="K103" s="6">
        <v>0.1369</v>
      </c>
    </row>
    <row r="104" ht="14.5" spans="1:11">
      <c r="A104" s="3" t="str">
        <f t="shared" si="6"/>
        <v>2026年</v>
      </c>
      <c r="B104" s="3" t="str">
        <f t="shared" si="7"/>
        <v>1月</v>
      </c>
      <c r="C104" s="4" t="str">
        <f t="shared" si="8"/>
        <v>W1</v>
      </c>
      <c r="D104" s="2" t="s">
        <v>740</v>
      </c>
      <c r="E104" s="2" t="s">
        <v>733</v>
      </c>
      <c r="F104" s="2" t="str" cm="1">
        <f t="array" ref="F104">INDEX(_xlfn.TEXTSPLIT(E104,"-"),2)</f>
        <v>女装</v>
      </c>
      <c r="G104" s="2" t="str" cm="1">
        <f t="array" ref="G104">INDEX(_xlfn.TEXTSPLIT(E104,"-"),3)</f>
        <v>西装</v>
      </c>
      <c r="H104" s="5">
        <v>41186</v>
      </c>
      <c r="I104" s="5">
        <v>14255885.97</v>
      </c>
      <c r="J104" s="6">
        <v>0.0032</v>
      </c>
      <c r="K104" s="6">
        <v>0.3867</v>
      </c>
    </row>
    <row r="105" ht="14.5" spans="1:11">
      <c r="A105" s="3" t="str">
        <f t="shared" si="6"/>
        <v>2026年</v>
      </c>
      <c r="B105" s="3" t="str">
        <f t="shared" si="7"/>
        <v>1月</v>
      </c>
      <c r="C105" s="4" t="str">
        <f t="shared" si="8"/>
        <v>W1</v>
      </c>
      <c r="D105" s="2" t="s">
        <v>740</v>
      </c>
      <c r="E105" s="2" t="s">
        <v>734</v>
      </c>
      <c r="F105" s="2" t="str" cm="1">
        <f t="array" ref="F105">INDEX(_xlfn.TEXTSPLIT(E105,"-"),2)</f>
        <v>女装</v>
      </c>
      <c r="G105" s="2" t="str" cm="1">
        <f t="array" ref="G105">INDEX(_xlfn.TEXTSPLIT(E105,"-"),3)</f>
        <v>设计师/潮牌女装</v>
      </c>
      <c r="H105" s="5">
        <v>579993</v>
      </c>
      <c r="I105" s="5">
        <v>67966534.65</v>
      </c>
      <c r="J105" s="6">
        <v>0.0153</v>
      </c>
      <c r="K105" s="6">
        <v>0.1658</v>
      </c>
    </row>
    <row r="106" ht="14.5" spans="1:11">
      <c r="A106" s="3" t="str">
        <f t="shared" si="6"/>
        <v>2026年</v>
      </c>
      <c r="B106" s="3" t="str">
        <f t="shared" si="7"/>
        <v>1月</v>
      </c>
      <c r="C106" s="4" t="str">
        <f t="shared" si="8"/>
        <v>W1</v>
      </c>
      <c r="D106" s="2" t="s">
        <v>740</v>
      </c>
      <c r="E106" s="2" t="s">
        <v>735</v>
      </c>
      <c r="F106" s="2" t="str" cm="1">
        <f t="array" ref="F106">INDEX(_xlfn.TEXTSPLIT(E106,"-"),2)</f>
        <v>女装</v>
      </c>
      <c r="G106" s="2" t="str" cm="1">
        <f t="array" ref="G106">INDEX(_xlfn.TEXTSPLIT(E106,"-"),3)</f>
        <v>连体衣/裤</v>
      </c>
      <c r="H106" s="5">
        <v>8804</v>
      </c>
      <c r="I106" s="5">
        <v>1684106.48</v>
      </c>
      <c r="J106" s="6">
        <v>0.0004</v>
      </c>
      <c r="K106" s="6">
        <v>-0.0718</v>
      </c>
    </row>
    <row r="107" ht="14.5" spans="1:11">
      <c r="A107" s="3" t="str">
        <f t="shared" si="6"/>
        <v>2026年</v>
      </c>
      <c r="B107" s="3" t="str">
        <f t="shared" si="7"/>
        <v>1月</v>
      </c>
      <c r="C107" s="4" t="str">
        <f t="shared" si="8"/>
        <v>W1</v>
      </c>
      <c r="D107" s="2" t="s">
        <v>740</v>
      </c>
      <c r="E107" s="2" t="s">
        <v>736</v>
      </c>
      <c r="F107" s="2" t="str" cm="1">
        <f t="array" ref="F107">INDEX(_xlfn.TEXTSPLIT(E107,"-"),2)</f>
        <v>女装</v>
      </c>
      <c r="G107" s="2" t="str" cm="1">
        <f t="array" ref="G107">INDEX(_xlfn.TEXTSPLIT(E107,"-"),3)</f>
        <v>连衣裙</v>
      </c>
      <c r="H107" s="5">
        <v>738013</v>
      </c>
      <c r="I107" s="5">
        <v>101696062.03</v>
      </c>
      <c r="J107" s="6">
        <v>0.0229</v>
      </c>
      <c r="K107" s="6">
        <v>0.0918</v>
      </c>
    </row>
    <row r="108" ht="14.5" spans="1:11">
      <c r="A108" s="3" t="str">
        <f t="shared" si="6"/>
        <v>2026年</v>
      </c>
      <c r="B108" s="3" t="str">
        <f t="shared" si="7"/>
        <v>1月</v>
      </c>
      <c r="C108" s="4" t="str">
        <f t="shared" si="8"/>
        <v>W1</v>
      </c>
      <c r="D108" s="2" t="s">
        <v>740</v>
      </c>
      <c r="E108" s="2" t="s">
        <v>737</v>
      </c>
      <c r="F108" s="2" t="str" cm="1">
        <f t="array" ref="F108">INDEX(_xlfn.TEXTSPLIT(E108,"-"),2)</f>
        <v>女装</v>
      </c>
      <c r="G108" s="2" t="str" cm="1">
        <f t="array" ref="G108">INDEX(_xlfn.TEXTSPLIT(E108,"-"),3)</f>
        <v>风衣</v>
      </c>
      <c r="H108" s="5">
        <v>112030</v>
      </c>
      <c r="I108" s="5">
        <v>14730127.71</v>
      </c>
      <c r="J108" s="6">
        <v>0.0033</v>
      </c>
      <c r="K108" s="6">
        <v>0.2844</v>
      </c>
    </row>
    <row r="109" ht="14.5" spans="1:11">
      <c r="A109" s="3" t="str">
        <f t="shared" si="6"/>
        <v>2026年</v>
      </c>
      <c r="B109" s="3" t="str">
        <f t="shared" si="7"/>
        <v>1月</v>
      </c>
      <c r="C109" s="4" t="str">
        <f t="shared" si="8"/>
        <v>W1</v>
      </c>
      <c r="D109" s="2" t="s">
        <v>740</v>
      </c>
      <c r="E109" s="2" t="s">
        <v>738</v>
      </c>
      <c r="F109" s="2" t="str" cm="1">
        <f t="array" ref="F109">INDEX(_xlfn.TEXTSPLIT(E109,"-"),2)</f>
        <v>女装</v>
      </c>
      <c r="G109" s="2" t="str" cm="1">
        <f t="array" ref="G109">INDEX(_xlfn.TEXTSPLIT(E109,"-"),3)</f>
        <v>马夹</v>
      </c>
      <c r="H109" s="5">
        <v>424823</v>
      </c>
      <c r="I109" s="5">
        <v>50149105.83</v>
      </c>
      <c r="J109" s="6">
        <v>0.0113</v>
      </c>
      <c r="K109" s="6">
        <v>0.1573</v>
      </c>
    </row>
    <row r="110" ht="14.5" spans="1:11">
      <c r="A110" s="3" t="str">
        <f t="shared" si="6"/>
        <v>2026年</v>
      </c>
      <c r="B110" s="3" t="str">
        <f t="shared" si="7"/>
        <v>1月</v>
      </c>
      <c r="C110" s="4" t="str">
        <f t="shared" si="8"/>
        <v>W1</v>
      </c>
      <c r="D110" s="2" t="s">
        <v>741</v>
      </c>
      <c r="E110" s="2" t="s">
        <v>702</v>
      </c>
      <c r="F110" s="2" t="str" cm="1">
        <f t="array" ref="F110">INDEX(_xlfn.TEXTSPLIT(E110,"-"),2)</f>
        <v>女装</v>
      </c>
      <c r="G110" s="2" t="str" cm="1">
        <f t="array" ref="G110">INDEX(_xlfn.TEXTSPLIT(E110,"-"),3)</f>
        <v>POLO衫</v>
      </c>
      <c r="H110" s="5">
        <v>17926</v>
      </c>
      <c r="I110" s="5">
        <v>1345998.33</v>
      </c>
      <c r="J110" s="6">
        <v>0.0003</v>
      </c>
      <c r="K110" s="6">
        <v>-0.4204</v>
      </c>
    </row>
    <row r="111" ht="14.5" spans="1:11">
      <c r="A111" s="3" t="str">
        <f t="shared" si="6"/>
        <v>2026年</v>
      </c>
      <c r="B111" s="3" t="str">
        <f t="shared" si="7"/>
        <v>1月</v>
      </c>
      <c r="C111" s="4" t="str">
        <f t="shared" si="8"/>
        <v>W1</v>
      </c>
      <c r="D111" s="2" t="s">
        <v>741</v>
      </c>
      <c r="E111" s="2" t="s">
        <v>703</v>
      </c>
      <c r="F111" s="2" t="str" cm="1">
        <f t="array" ref="F111">INDEX(_xlfn.TEXTSPLIT(E111,"-"),2)</f>
        <v>女装</v>
      </c>
      <c r="G111" s="2" t="str" cm="1">
        <f t="array" ref="G111">INDEX(_xlfn.TEXTSPLIT(E111,"-"),3)</f>
        <v>T恤</v>
      </c>
      <c r="H111" s="5">
        <v>1641391</v>
      </c>
      <c r="I111" s="5">
        <v>94763791.41</v>
      </c>
      <c r="J111" s="6">
        <v>0.022</v>
      </c>
      <c r="K111" s="6">
        <v>-0.0514</v>
      </c>
    </row>
    <row r="112" ht="14.5" spans="1:11">
      <c r="A112" s="3" t="str">
        <f t="shared" si="6"/>
        <v>2026年</v>
      </c>
      <c r="B112" s="3" t="str">
        <f t="shared" si="7"/>
        <v>1月</v>
      </c>
      <c r="C112" s="4" t="str">
        <f t="shared" si="8"/>
        <v>W1</v>
      </c>
      <c r="D112" s="2" t="s">
        <v>741</v>
      </c>
      <c r="E112" s="2" t="s">
        <v>704</v>
      </c>
      <c r="F112" s="2" t="str" cm="1">
        <f t="array" ref="F112">INDEX(_xlfn.TEXTSPLIT(E112,"-"),2)</f>
        <v>女装</v>
      </c>
      <c r="G112" s="2" t="str" cm="1">
        <f t="array" ref="G112">INDEX(_xlfn.TEXTSPLIT(E112,"-"),3)</f>
        <v>中老年女装</v>
      </c>
      <c r="H112" s="5">
        <v>494659</v>
      </c>
      <c r="I112" s="5">
        <v>61052516.8</v>
      </c>
      <c r="J112" s="6">
        <v>0.0142</v>
      </c>
      <c r="K112" s="6">
        <v>-0.0151</v>
      </c>
    </row>
    <row r="113" ht="14.5" spans="1:11">
      <c r="A113" s="3" t="str">
        <f t="shared" si="6"/>
        <v>2026年</v>
      </c>
      <c r="B113" s="3" t="str">
        <f t="shared" si="7"/>
        <v>1月</v>
      </c>
      <c r="C113" s="4" t="str">
        <f t="shared" si="8"/>
        <v>W1</v>
      </c>
      <c r="D113" s="2" t="s">
        <v>741</v>
      </c>
      <c r="E113" s="2" t="s">
        <v>705</v>
      </c>
      <c r="F113" s="2" t="str" cm="1">
        <f t="array" ref="F113">INDEX(_xlfn.TEXTSPLIT(E113,"-"),2)</f>
        <v>女装</v>
      </c>
      <c r="G113" s="2" t="str" cm="1">
        <f t="array" ref="G113">INDEX(_xlfn.TEXTSPLIT(E113,"-"),3)</f>
        <v>半身裙</v>
      </c>
      <c r="H113" s="5">
        <v>790039</v>
      </c>
      <c r="I113" s="5">
        <v>70774256.35</v>
      </c>
      <c r="J113" s="6">
        <v>0.0165</v>
      </c>
      <c r="K113" s="6">
        <v>-0.0989</v>
      </c>
    </row>
    <row r="114" ht="14.5" spans="1:11">
      <c r="A114" s="3" t="str">
        <f t="shared" si="6"/>
        <v>2026年</v>
      </c>
      <c r="B114" s="3" t="str">
        <f t="shared" si="7"/>
        <v>1月</v>
      </c>
      <c r="C114" s="4" t="str">
        <f t="shared" si="8"/>
        <v>W1</v>
      </c>
      <c r="D114" s="2" t="s">
        <v>741</v>
      </c>
      <c r="E114" s="2" t="s">
        <v>706</v>
      </c>
      <c r="F114" s="2" t="str" cm="1">
        <f t="array" ref="F114">INDEX(_xlfn.TEXTSPLIT(E114,"-"),2)</f>
        <v>女装</v>
      </c>
      <c r="G114" s="2" t="str" cm="1">
        <f t="array" ref="G114">INDEX(_xlfn.TEXTSPLIT(E114,"-"),3)</f>
        <v>卫衣/绒衫</v>
      </c>
      <c r="H114" s="5">
        <v>560504</v>
      </c>
      <c r="I114" s="5">
        <v>45850794.39</v>
      </c>
      <c r="J114" s="6">
        <v>0.0107</v>
      </c>
      <c r="K114" s="6">
        <v>0.0091</v>
      </c>
    </row>
    <row r="115" ht="14.5" spans="1:11">
      <c r="A115" s="3" t="str">
        <f t="shared" si="6"/>
        <v>2026年</v>
      </c>
      <c r="B115" s="3" t="str">
        <f t="shared" si="7"/>
        <v>1月</v>
      </c>
      <c r="C115" s="4" t="str">
        <f t="shared" si="8"/>
        <v>W1</v>
      </c>
      <c r="D115" s="2" t="s">
        <v>741</v>
      </c>
      <c r="E115" s="2" t="s">
        <v>707</v>
      </c>
      <c r="F115" s="2" t="str" cm="1">
        <f t="array" ref="F115">INDEX(_xlfn.TEXTSPLIT(E115,"-"),2)</f>
        <v>女装</v>
      </c>
      <c r="G115" s="2" t="str" cm="1">
        <f t="array" ref="G115">INDEX(_xlfn.TEXTSPLIT(E115,"-"),3)</f>
        <v>唐装/民族服装/舞台服装</v>
      </c>
      <c r="H115" s="5">
        <v>226049</v>
      </c>
      <c r="I115" s="5">
        <v>47140324.53</v>
      </c>
      <c r="J115" s="6">
        <v>0.011</v>
      </c>
      <c r="K115" s="6">
        <v>-0.0348</v>
      </c>
    </row>
    <row r="116" ht="14.5" spans="1:11">
      <c r="A116" s="3" t="str">
        <f t="shared" si="6"/>
        <v>2026年</v>
      </c>
      <c r="B116" s="3" t="str">
        <f t="shared" si="7"/>
        <v>1月</v>
      </c>
      <c r="C116" s="4" t="str">
        <f t="shared" si="8"/>
        <v>W1</v>
      </c>
      <c r="D116" s="2" t="s">
        <v>741</v>
      </c>
      <c r="E116" s="2" t="s">
        <v>708</v>
      </c>
      <c r="F116" s="2" t="str" cm="1">
        <f t="array" ref="F116">INDEX(_xlfn.TEXTSPLIT(E116,"-"),2)</f>
        <v>女装</v>
      </c>
      <c r="G116" s="2" t="str" cm="1">
        <f t="array" ref="G116">INDEX(_xlfn.TEXTSPLIT(E116,"-"),3)</f>
        <v>大码女装</v>
      </c>
      <c r="H116" s="5">
        <v>741119</v>
      </c>
      <c r="I116" s="5">
        <v>69983898.87</v>
      </c>
      <c r="J116" s="6">
        <v>0.0163</v>
      </c>
      <c r="K116" s="6">
        <v>-0.0347</v>
      </c>
    </row>
    <row r="117" ht="14.5" spans="1:11">
      <c r="A117" s="3" t="str">
        <f t="shared" si="6"/>
        <v>2026年</v>
      </c>
      <c r="B117" s="3" t="str">
        <f t="shared" si="7"/>
        <v>1月</v>
      </c>
      <c r="C117" s="4" t="str">
        <f t="shared" si="8"/>
        <v>W1</v>
      </c>
      <c r="D117" s="2" t="s">
        <v>741</v>
      </c>
      <c r="E117" s="2" t="s">
        <v>709</v>
      </c>
      <c r="F117" s="2" t="str" cm="1">
        <f t="array" ref="F117">INDEX(_xlfn.TEXTSPLIT(E117,"-"),2)</f>
        <v>女装</v>
      </c>
      <c r="G117" s="2" t="str" cm="1">
        <f t="array" ref="G117">INDEX(_xlfn.TEXTSPLIT(E117,"-"),3)</f>
        <v>套装/学生校服/工作制服</v>
      </c>
      <c r="H117" s="5">
        <v>985648</v>
      </c>
      <c r="I117" s="5">
        <v>133645669.26</v>
      </c>
      <c r="J117" s="6">
        <v>0.0311</v>
      </c>
      <c r="K117" s="6">
        <v>-0.0893</v>
      </c>
    </row>
    <row r="118" ht="14.5" spans="1:11">
      <c r="A118" s="3" t="str">
        <f t="shared" si="6"/>
        <v>2026年</v>
      </c>
      <c r="B118" s="3" t="str">
        <f t="shared" si="7"/>
        <v>1月</v>
      </c>
      <c r="C118" s="4" t="str">
        <f t="shared" si="8"/>
        <v>W1</v>
      </c>
      <c r="D118" s="2" t="s">
        <v>741</v>
      </c>
      <c r="E118" s="2" t="s">
        <v>710</v>
      </c>
      <c r="F118" s="2" t="str" cm="1">
        <f t="array" ref="F118">INDEX(_xlfn.TEXTSPLIT(E118,"-"),2)</f>
        <v>女装</v>
      </c>
      <c r="G118" s="2" t="str" cm="1">
        <f t="array" ref="G118">INDEX(_xlfn.TEXTSPLIT(E118,"-"),3)</f>
        <v>婚纱/旗袍/礼服</v>
      </c>
      <c r="H118" s="5">
        <v>59631</v>
      </c>
      <c r="I118" s="5">
        <v>11059677.52</v>
      </c>
      <c r="J118" s="6">
        <v>0.0026</v>
      </c>
      <c r="K118" s="6">
        <v>-0.0273</v>
      </c>
    </row>
    <row r="119" ht="14.5" spans="1:11">
      <c r="A119" s="3" t="str">
        <f t="shared" si="6"/>
        <v>2026年</v>
      </c>
      <c r="B119" s="3" t="str">
        <f t="shared" si="7"/>
        <v>1月</v>
      </c>
      <c r="C119" s="4" t="str">
        <f t="shared" si="8"/>
        <v>W1</v>
      </c>
      <c r="D119" s="2" t="s">
        <v>741</v>
      </c>
      <c r="E119" s="2" t="s">
        <v>711</v>
      </c>
      <c r="F119" s="2" t="str" cm="1">
        <f t="array" ref="F119">INDEX(_xlfn.TEXTSPLIT(E119,"-"),2)</f>
        <v>女装</v>
      </c>
      <c r="G119" s="2" t="str" cm="1">
        <f t="array" ref="G119">INDEX(_xlfn.TEXTSPLIT(E119,"-"),3)</f>
        <v>新中式女装</v>
      </c>
      <c r="H119" s="5">
        <v>94975</v>
      </c>
      <c r="I119" s="5">
        <v>11629121.76</v>
      </c>
      <c r="J119" s="6">
        <v>0.0027</v>
      </c>
      <c r="K119" s="6">
        <v>-0.1532</v>
      </c>
    </row>
    <row r="120" ht="14.5" spans="1:11">
      <c r="A120" s="3" t="str">
        <f t="shared" si="6"/>
        <v>2026年</v>
      </c>
      <c r="B120" s="3" t="str">
        <f t="shared" si="7"/>
        <v>1月</v>
      </c>
      <c r="C120" s="4" t="str">
        <f t="shared" si="8"/>
        <v>W1</v>
      </c>
      <c r="D120" s="2" t="s">
        <v>741</v>
      </c>
      <c r="E120" s="2" t="s">
        <v>712</v>
      </c>
      <c r="F120" s="2" t="str" cm="1">
        <f t="array" ref="F120">INDEX(_xlfn.TEXTSPLIT(E120,"-"),2)</f>
        <v>女装</v>
      </c>
      <c r="G120" s="2" t="str" cm="1">
        <f t="array" ref="G120">INDEX(_xlfn.TEXTSPLIT(E120,"-"),3)</f>
        <v>时尚防晒服</v>
      </c>
      <c r="H120" s="5">
        <v>232</v>
      </c>
      <c r="I120" s="5">
        <v>17812.28</v>
      </c>
      <c r="J120" s="2" t="s">
        <v>713</v>
      </c>
      <c r="K120" s="6">
        <v>-0.6565</v>
      </c>
    </row>
    <row r="121" ht="14.5" spans="1:11">
      <c r="A121" s="3" t="str">
        <f t="shared" si="6"/>
        <v>2026年</v>
      </c>
      <c r="B121" s="3" t="str">
        <f t="shared" si="7"/>
        <v>1月</v>
      </c>
      <c r="C121" s="4" t="str">
        <f t="shared" si="8"/>
        <v>W1</v>
      </c>
      <c r="D121" s="2" t="s">
        <v>741</v>
      </c>
      <c r="E121" s="2" t="s">
        <v>714</v>
      </c>
      <c r="F121" s="2" t="str" cm="1">
        <f t="array" ref="F121">INDEX(_xlfn.TEXTSPLIT(E121,"-"),2)</f>
        <v>女装</v>
      </c>
      <c r="G121" s="2" t="str" cm="1">
        <f t="array" ref="G121">INDEX(_xlfn.TEXTSPLIT(E121,"-"),3)</f>
        <v>棉衣/棉服</v>
      </c>
      <c r="H121" s="5">
        <v>1065234</v>
      </c>
      <c r="I121" s="5">
        <v>118524328.95</v>
      </c>
      <c r="J121" s="6">
        <v>0.0276</v>
      </c>
      <c r="K121" s="6">
        <v>-0.004</v>
      </c>
    </row>
    <row r="122" ht="14.5" spans="1:11">
      <c r="A122" s="3" t="str">
        <f t="shared" si="6"/>
        <v>2026年</v>
      </c>
      <c r="B122" s="3" t="str">
        <f t="shared" si="7"/>
        <v>1月</v>
      </c>
      <c r="C122" s="4" t="str">
        <f t="shared" si="8"/>
        <v>W1</v>
      </c>
      <c r="D122" s="2" t="s">
        <v>741</v>
      </c>
      <c r="E122" s="2" t="s">
        <v>715</v>
      </c>
      <c r="F122" s="2" t="str" cm="1">
        <f t="array" ref="F122">INDEX(_xlfn.TEXTSPLIT(E122,"-"),2)</f>
        <v>女装</v>
      </c>
      <c r="G122" s="2" t="str" cm="1">
        <f t="array" ref="G122">INDEX(_xlfn.TEXTSPLIT(E122,"-"),3)</f>
        <v>毛呢外套</v>
      </c>
      <c r="H122" s="5">
        <v>748245</v>
      </c>
      <c r="I122" s="5">
        <v>291553585.43</v>
      </c>
      <c r="J122" s="6">
        <v>0.0678</v>
      </c>
      <c r="K122" s="6">
        <v>-0.0656</v>
      </c>
    </row>
    <row r="123" ht="14.5" spans="1:11">
      <c r="A123" s="3" t="str">
        <f t="shared" si="6"/>
        <v>2026年</v>
      </c>
      <c r="B123" s="3" t="str">
        <f t="shared" si="7"/>
        <v>1月</v>
      </c>
      <c r="C123" s="4" t="str">
        <f t="shared" si="8"/>
        <v>W1</v>
      </c>
      <c r="D123" s="2" t="s">
        <v>741</v>
      </c>
      <c r="E123" s="2" t="s">
        <v>716</v>
      </c>
      <c r="F123" s="2" t="str" cm="1">
        <f t="array" ref="F123">INDEX(_xlfn.TEXTSPLIT(E123,"-"),2)</f>
        <v>女装</v>
      </c>
      <c r="G123" s="2" t="str" cm="1">
        <f t="array" ref="G123">INDEX(_xlfn.TEXTSPLIT(E123,"-"),3)</f>
        <v>毛衣</v>
      </c>
      <c r="H123" s="5">
        <v>637765</v>
      </c>
      <c r="I123" s="5">
        <v>58283719.36</v>
      </c>
      <c r="J123" s="6">
        <v>0.0135</v>
      </c>
      <c r="K123" s="6">
        <v>-0.0783</v>
      </c>
    </row>
    <row r="124" ht="14.5" spans="1:11">
      <c r="A124" s="3" t="str">
        <f t="shared" si="6"/>
        <v>2026年</v>
      </c>
      <c r="B124" s="3" t="str">
        <f t="shared" si="7"/>
        <v>1月</v>
      </c>
      <c r="C124" s="4" t="str">
        <f t="shared" si="8"/>
        <v>W1</v>
      </c>
      <c r="D124" s="2" t="s">
        <v>741</v>
      </c>
      <c r="E124" s="2" t="s">
        <v>717</v>
      </c>
      <c r="F124" s="2" t="str" cm="1">
        <f t="array" ref="F124">INDEX(_xlfn.TEXTSPLIT(E124,"-"),2)</f>
        <v>女装</v>
      </c>
      <c r="G124" s="2" t="str" cm="1">
        <f t="array" ref="G124">INDEX(_xlfn.TEXTSPLIT(E124,"-"),3)</f>
        <v>毛针织衫</v>
      </c>
      <c r="H124" s="5">
        <v>2583104</v>
      </c>
      <c r="I124" s="5">
        <v>211226290.51</v>
      </c>
      <c r="J124" s="6">
        <v>0.0491</v>
      </c>
      <c r="K124" s="6">
        <v>-0.1071</v>
      </c>
    </row>
    <row r="125" ht="14.5" spans="1:11">
      <c r="A125" s="3" t="str">
        <f t="shared" si="6"/>
        <v>2026年</v>
      </c>
      <c r="B125" s="3" t="str">
        <f t="shared" si="7"/>
        <v>1月</v>
      </c>
      <c r="C125" s="4" t="str">
        <f t="shared" si="8"/>
        <v>W1</v>
      </c>
      <c r="D125" s="2" t="s">
        <v>741</v>
      </c>
      <c r="E125" s="2" t="s">
        <v>718</v>
      </c>
      <c r="F125" s="2" t="str" cm="1">
        <f t="array" ref="F125">INDEX(_xlfn.TEXTSPLIT(E125,"-"),2)</f>
        <v>女装</v>
      </c>
      <c r="G125" s="2" t="str" cm="1">
        <f t="array" ref="G125">INDEX(_xlfn.TEXTSPLIT(E125,"-"),3)</f>
        <v>汉服</v>
      </c>
      <c r="H125" s="5">
        <v>239227</v>
      </c>
      <c r="I125" s="5">
        <v>94793415.19</v>
      </c>
      <c r="J125" s="6">
        <v>0.022</v>
      </c>
      <c r="K125" s="6">
        <v>-0.3045</v>
      </c>
    </row>
    <row r="126" ht="14.5" spans="1:11">
      <c r="A126" s="3" t="str">
        <f t="shared" si="6"/>
        <v>2026年</v>
      </c>
      <c r="B126" s="3" t="str">
        <f t="shared" si="7"/>
        <v>1月</v>
      </c>
      <c r="C126" s="4" t="str">
        <f t="shared" si="8"/>
        <v>W1</v>
      </c>
      <c r="D126" s="2" t="s">
        <v>741</v>
      </c>
      <c r="E126" s="2" t="s">
        <v>719</v>
      </c>
      <c r="F126" s="2" t="str" cm="1">
        <f t="array" ref="F126">INDEX(_xlfn.TEXTSPLIT(E126,"-"),2)</f>
        <v>女装</v>
      </c>
      <c r="G126" s="2" t="str" cm="1">
        <f t="array" ref="G126">INDEX(_xlfn.TEXTSPLIT(E126,"-"),3)</f>
        <v>派克服</v>
      </c>
      <c r="H126" s="5">
        <v>89145</v>
      </c>
      <c r="I126" s="5">
        <v>24596027.36</v>
      </c>
      <c r="J126" s="6">
        <v>0.0057</v>
      </c>
      <c r="K126" s="6">
        <v>-0.0765</v>
      </c>
    </row>
    <row r="127" ht="14.5" spans="1:11">
      <c r="A127" s="3" t="str">
        <f t="shared" si="6"/>
        <v>2026年</v>
      </c>
      <c r="B127" s="3" t="str">
        <f t="shared" si="7"/>
        <v>1月</v>
      </c>
      <c r="C127" s="4" t="str">
        <f t="shared" si="8"/>
        <v>W1</v>
      </c>
      <c r="D127" s="2" t="s">
        <v>741</v>
      </c>
      <c r="E127" s="2" t="s">
        <v>720</v>
      </c>
      <c r="F127" s="2" t="str" cm="1">
        <f t="array" ref="F127">INDEX(_xlfn.TEXTSPLIT(E127,"-"),2)</f>
        <v>女装</v>
      </c>
      <c r="G127" s="2" t="str" cm="1">
        <f t="array" ref="G127">INDEX(_xlfn.TEXTSPLIT(E127,"-"),3)</f>
        <v>皮草</v>
      </c>
      <c r="H127" s="5">
        <v>251686</v>
      </c>
      <c r="I127" s="5">
        <v>497759659.77</v>
      </c>
      <c r="J127" s="6">
        <v>0.1157</v>
      </c>
      <c r="K127" s="6">
        <v>-0.0126</v>
      </c>
    </row>
    <row r="128" ht="14.5" spans="1:11">
      <c r="A128" s="3" t="str">
        <f t="shared" si="6"/>
        <v>2026年</v>
      </c>
      <c r="B128" s="3" t="str">
        <f t="shared" si="7"/>
        <v>1月</v>
      </c>
      <c r="C128" s="4" t="str">
        <f t="shared" si="8"/>
        <v>W1</v>
      </c>
      <c r="D128" s="2" t="s">
        <v>741</v>
      </c>
      <c r="E128" s="2" t="s">
        <v>721</v>
      </c>
      <c r="F128" s="2" t="str" cm="1">
        <f t="array" ref="F128">INDEX(_xlfn.TEXTSPLIT(E128,"-"),2)</f>
        <v>女装</v>
      </c>
      <c r="G128" s="2" t="str" cm="1">
        <f t="array" ref="G128">INDEX(_xlfn.TEXTSPLIT(E128,"-"),3)</f>
        <v>皮衣</v>
      </c>
      <c r="H128" s="5">
        <v>130171</v>
      </c>
      <c r="I128" s="5">
        <v>50741228.53</v>
      </c>
      <c r="J128" s="6">
        <v>0.0118</v>
      </c>
      <c r="K128" s="6">
        <v>-0.0573</v>
      </c>
    </row>
    <row r="129" ht="14.5" spans="1:11">
      <c r="A129" s="3" t="str">
        <f t="shared" si="6"/>
        <v>2026年</v>
      </c>
      <c r="B129" s="3" t="str">
        <f t="shared" si="7"/>
        <v>1月</v>
      </c>
      <c r="C129" s="4" t="str">
        <f t="shared" si="8"/>
        <v>W1</v>
      </c>
      <c r="D129" s="2" t="s">
        <v>741</v>
      </c>
      <c r="E129" s="2" t="s">
        <v>722</v>
      </c>
      <c r="F129" s="2" t="str" cm="1">
        <f t="array" ref="F129">INDEX(_xlfn.TEXTSPLIT(E129,"-"),2)</f>
        <v>女装</v>
      </c>
      <c r="G129" s="2" t="str" cm="1">
        <f t="array" ref="G129">INDEX(_xlfn.TEXTSPLIT(E129,"-"),3)</f>
        <v>短外套</v>
      </c>
      <c r="H129" s="5">
        <v>1702597</v>
      </c>
      <c r="I129" s="5">
        <v>344432180.7</v>
      </c>
      <c r="J129" s="6">
        <v>0.0801</v>
      </c>
      <c r="K129" s="6">
        <v>-0.0175</v>
      </c>
    </row>
    <row r="130" ht="14.5" spans="1:11">
      <c r="A130" s="3" t="str">
        <f t="shared" si="6"/>
        <v>2026年</v>
      </c>
      <c r="B130" s="3" t="str">
        <f t="shared" si="7"/>
        <v>1月</v>
      </c>
      <c r="C130" s="4" t="str">
        <f t="shared" si="8"/>
        <v>W1</v>
      </c>
      <c r="D130" s="2" t="s">
        <v>741</v>
      </c>
      <c r="E130" s="2" t="s">
        <v>723</v>
      </c>
      <c r="F130" s="2" t="str" cm="1">
        <f t="array" ref="F130">INDEX(_xlfn.TEXTSPLIT(E130,"-"),2)</f>
        <v>女装</v>
      </c>
      <c r="G130" s="2" t="str" cm="1">
        <f t="array" ref="G130">INDEX(_xlfn.TEXTSPLIT(E130,"-"),3)</f>
        <v>短裤</v>
      </c>
      <c r="H130" s="5">
        <v>139123</v>
      </c>
      <c r="I130" s="5">
        <v>7819026.25</v>
      </c>
      <c r="J130" s="6">
        <v>0.0018</v>
      </c>
      <c r="K130" s="6">
        <v>-0.0168</v>
      </c>
    </row>
    <row r="131" ht="14.5" spans="1:11">
      <c r="A131" s="3" t="str">
        <f t="shared" si="6"/>
        <v>2026年</v>
      </c>
      <c r="B131" s="3" t="str">
        <f t="shared" si="7"/>
        <v>1月</v>
      </c>
      <c r="C131" s="4" t="str">
        <f t="shared" si="8"/>
        <v>W1</v>
      </c>
      <c r="D131" s="2" t="s">
        <v>741</v>
      </c>
      <c r="E131" s="2" t="s">
        <v>724</v>
      </c>
      <c r="F131" s="2" t="str" cm="1">
        <f t="array" ref="F131">INDEX(_xlfn.TEXTSPLIT(E131,"-"),2)</f>
        <v>女装</v>
      </c>
      <c r="G131" s="2" t="str" cm="1">
        <f t="array" ref="G131">INDEX(_xlfn.TEXTSPLIT(E131,"-"),3)</f>
        <v>羊毛衫</v>
      </c>
      <c r="H131" s="5">
        <v>681619</v>
      </c>
      <c r="I131" s="5">
        <v>92627715.01</v>
      </c>
      <c r="J131" s="6">
        <v>0.0215</v>
      </c>
      <c r="K131" s="6">
        <v>0.0738</v>
      </c>
    </row>
    <row r="132" ht="14.5" spans="1:11">
      <c r="A132" s="3" t="str">
        <f t="shared" si="6"/>
        <v>2026年</v>
      </c>
      <c r="B132" s="3" t="str">
        <f t="shared" si="7"/>
        <v>1月</v>
      </c>
      <c r="C132" s="4" t="str">
        <f t="shared" si="8"/>
        <v>W1</v>
      </c>
      <c r="D132" s="2" t="s">
        <v>741</v>
      </c>
      <c r="E132" s="2" t="s">
        <v>725</v>
      </c>
      <c r="F132" s="2" t="str" cm="1">
        <f t="array" ref="F132">INDEX(_xlfn.TEXTSPLIT(E132,"-"),2)</f>
        <v>女装</v>
      </c>
      <c r="G132" s="2" t="str" cm="1">
        <f t="array" ref="G132">INDEX(_xlfn.TEXTSPLIT(E132,"-"),3)</f>
        <v>羊绒大衣</v>
      </c>
      <c r="H132" s="5">
        <v>5619</v>
      </c>
      <c r="I132" s="5">
        <v>4738366.31</v>
      </c>
      <c r="J132" s="6">
        <v>0.0011</v>
      </c>
      <c r="K132" s="6">
        <v>0.3784</v>
      </c>
    </row>
    <row r="133" ht="14.5" spans="1:11">
      <c r="A133" s="3" t="str">
        <f t="shared" si="6"/>
        <v>2026年</v>
      </c>
      <c r="B133" s="3" t="str">
        <f t="shared" si="7"/>
        <v>1月</v>
      </c>
      <c r="C133" s="4" t="str">
        <f t="shared" si="8"/>
        <v>W1</v>
      </c>
      <c r="D133" s="2" t="s">
        <v>741</v>
      </c>
      <c r="E133" s="2" t="s">
        <v>726</v>
      </c>
      <c r="F133" s="2" t="str" cm="1">
        <f t="array" ref="F133">INDEX(_xlfn.TEXTSPLIT(E133,"-"),2)</f>
        <v>女装</v>
      </c>
      <c r="G133" s="2" t="str" cm="1">
        <f t="array" ref="G133">INDEX(_xlfn.TEXTSPLIT(E133,"-"),3)</f>
        <v>羊绒衫</v>
      </c>
      <c r="H133" s="5">
        <v>173072</v>
      </c>
      <c r="I133" s="5">
        <v>56835975.65</v>
      </c>
      <c r="J133" s="6">
        <v>0.0132</v>
      </c>
      <c r="K133" s="6">
        <v>-0.0053</v>
      </c>
    </row>
    <row r="134" ht="14.5" spans="1:11">
      <c r="A134" s="3" t="str">
        <f t="shared" si="6"/>
        <v>2026年</v>
      </c>
      <c r="B134" s="3" t="str">
        <f t="shared" si="7"/>
        <v>1月</v>
      </c>
      <c r="C134" s="4" t="str">
        <f t="shared" si="8"/>
        <v>W1</v>
      </c>
      <c r="D134" s="2" t="s">
        <v>741</v>
      </c>
      <c r="E134" s="2" t="s">
        <v>727</v>
      </c>
      <c r="F134" s="2" t="str" cm="1">
        <f t="array" ref="F134">INDEX(_xlfn.TEXTSPLIT(E134,"-"),2)</f>
        <v>女装</v>
      </c>
      <c r="G134" s="2" t="str" cm="1">
        <f t="array" ref="G134">INDEX(_xlfn.TEXTSPLIT(E134,"-"),3)</f>
        <v>羽绒服</v>
      </c>
      <c r="H134" s="5">
        <v>2446530</v>
      </c>
      <c r="I134" s="5">
        <v>1043481722.1</v>
      </c>
      <c r="J134" s="6">
        <v>0.2426</v>
      </c>
      <c r="K134" s="6">
        <v>0.0185</v>
      </c>
    </row>
    <row r="135" ht="14.5" spans="1:11">
      <c r="A135" s="3" t="str">
        <f t="shared" si="6"/>
        <v>2026年</v>
      </c>
      <c r="B135" s="3" t="str">
        <f t="shared" si="7"/>
        <v>1月</v>
      </c>
      <c r="C135" s="4" t="str">
        <f t="shared" si="8"/>
        <v>W1</v>
      </c>
      <c r="D135" s="2" t="s">
        <v>741</v>
      </c>
      <c r="E135" s="2" t="s">
        <v>728</v>
      </c>
      <c r="F135" s="2" t="str" cm="1">
        <f t="array" ref="F135">INDEX(_xlfn.TEXTSPLIT(E135,"-"),2)</f>
        <v>女装</v>
      </c>
      <c r="G135" s="2" t="str" cm="1">
        <f t="array" ref="G135">INDEX(_xlfn.TEXTSPLIT(E135,"-"),3)</f>
        <v>肌底衣/肌肤衣</v>
      </c>
      <c r="H135" s="5">
        <v>6698</v>
      </c>
      <c r="I135" s="5">
        <v>375926.45</v>
      </c>
      <c r="J135" s="6">
        <v>0.0001</v>
      </c>
      <c r="K135" s="6">
        <v>0.0044</v>
      </c>
    </row>
    <row r="136" ht="14.5" spans="1:11">
      <c r="A136" s="3" t="str">
        <f t="shared" si="6"/>
        <v>2026年</v>
      </c>
      <c r="B136" s="3" t="str">
        <f t="shared" si="7"/>
        <v>1月</v>
      </c>
      <c r="C136" s="4" t="str">
        <f t="shared" si="8"/>
        <v>W1</v>
      </c>
      <c r="D136" s="2" t="s">
        <v>741</v>
      </c>
      <c r="E136" s="2" t="s">
        <v>729</v>
      </c>
      <c r="F136" s="2" t="str" cm="1">
        <f t="array" ref="F136">INDEX(_xlfn.TEXTSPLIT(E136,"-"),2)</f>
        <v>女装</v>
      </c>
      <c r="G136" s="2" t="str" cm="1">
        <f t="array" ref="G136">INDEX(_xlfn.TEXTSPLIT(E136,"-"),3)</f>
        <v>背心吊带</v>
      </c>
      <c r="H136" s="5">
        <v>215486</v>
      </c>
      <c r="I136" s="5">
        <v>12168945.35</v>
      </c>
      <c r="J136" s="6">
        <v>0.0028</v>
      </c>
      <c r="K136" s="6">
        <v>-0.1965</v>
      </c>
    </row>
    <row r="137" ht="14.5" spans="1:11">
      <c r="A137" s="3" t="str">
        <f t="shared" si="6"/>
        <v>2026年</v>
      </c>
      <c r="B137" s="3" t="str">
        <f t="shared" si="7"/>
        <v>1月</v>
      </c>
      <c r="C137" s="4" t="str">
        <f t="shared" si="8"/>
        <v>W1</v>
      </c>
      <c r="D137" s="2" t="s">
        <v>741</v>
      </c>
      <c r="E137" s="2" t="s">
        <v>730</v>
      </c>
      <c r="F137" s="2" t="str" cm="1">
        <f t="array" ref="F137">INDEX(_xlfn.TEXTSPLIT(E137,"-"),2)</f>
        <v>女装</v>
      </c>
      <c r="G137" s="2" t="str" cm="1">
        <f t="array" ref="G137">INDEX(_xlfn.TEXTSPLIT(E137,"-"),3)</f>
        <v>蕾丝衫/雪纺衫</v>
      </c>
      <c r="H137" s="5">
        <v>189956</v>
      </c>
      <c r="I137" s="5">
        <v>13483386.76</v>
      </c>
      <c r="J137" s="6">
        <v>0.0031</v>
      </c>
      <c r="K137" s="6">
        <v>0.0164</v>
      </c>
    </row>
    <row r="138" ht="14.5" spans="1:11">
      <c r="A138" s="3" t="str">
        <f t="shared" si="6"/>
        <v>2026年</v>
      </c>
      <c r="B138" s="3" t="str">
        <f t="shared" si="7"/>
        <v>1月</v>
      </c>
      <c r="C138" s="4" t="str">
        <f t="shared" si="8"/>
        <v>W1</v>
      </c>
      <c r="D138" s="2" t="s">
        <v>741</v>
      </c>
      <c r="E138" s="2" t="s">
        <v>731</v>
      </c>
      <c r="F138" s="2" t="str" cm="1">
        <f t="array" ref="F138">INDEX(_xlfn.TEXTSPLIT(E138,"-"),2)</f>
        <v>女装</v>
      </c>
      <c r="G138" s="2" t="str" cm="1">
        <f t="array" ref="G138">INDEX(_xlfn.TEXTSPLIT(E138,"-"),3)</f>
        <v>衬衫</v>
      </c>
      <c r="H138" s="5">
        <v>396761</v>
      </c>
      <c r="I138" s="5">
        <v>43653648.27</v>
      </c>
      <c r="J138" s="6">
        <v>0.0101</v>
      </c>
      <c r="K138" s="6">
        <v>-0.1875</v>
      </c>
    </row>
    <row r="139" ht="14.5" spans="1:11">
      <c r="A139" s="3" t="str">
        <f t="shared" si="6"/>
        <v>2026年</v>
      </c>
      <c r="B139" s="3" t="str">
        <f t="shared" si="7"/>
        <v>1月</v>
      </c>
      <c r="C139" s="4" t="str">
        <f t="shared" si="8"/>
        <v>W1</v>
      </c>
      <c r="D139" s="2" t="s">
        <v>741</v>
      </c>
      <c r="E139" s="2" t="s">
        <v>732</v>
      </c>
      <c r="F139" s="2" t="str" cm="1">
        <f t="array" ref="F139">INDEX(_xlfn.TEXTSPLIT(E139,"-"),2)</f>
        <v>女装</v>
      </c>
      <c r="G139" s="2" t="str" cm="1">
        <f t="array" ref="G139">INDEX(_xlfn.TEXTSPLIT(E139,"-"),3)</f>
        <v>裤子</v>
      </c>
      <c r="H139" s="5">
        <v>5685645</v>
      </c>
      <c r="I139" s="5">
        <v>537121360.65</v>
      </c>
      <c r="J139" s="6">
        <v>0.1249</v>
      </c>
      <c r="K139" s="6">
        <v>-0.0272</v>
      </c>
    </row>
    <row r="140" ht="14.5" spans="1:11">
      <c r="A140" s="3" t="str">
        <f t="shared" si="6"/>
        <v>2026年</v>
      </c>
      <c r="B140" s="3" t="str">
        <f t="shared" si="7"/>
        <v>1月</v>
      </c>
      <c r="C140" s="4" t="str">
        <f t="shared" si="8"/>
        <v>W1</v>
      </c>
      <c r="D140" s="2" t="s">
        <v>741</v>
      </c>
      <c r="E140" s="2" t="s">
        <v>733</v>
      </c>
      <c r="F140" s="2" t="str" cm="1">
        <f t="array" ref="F140">INDEX(_xlfn.TEXTSPLIT(E140,"-"),2)</f>
        <v>女装</v>
      </c>
      <c r="G140" s="2" t="str" cm="1">
        <f t="array" ref="G140">INDEX(_xlfn.TEXTSPLIT(E140,"-"),3)</f>
        <v>西装</v>
      </c>
      <c r="H140" s="5">
        <v>44506</v>
      </c>
      <c r="I140" s="5">
        <v>11118408.56</v>
      </c>
      <c r="J140" s="6">
        <v>0.0026</v>
      </c>
      <c r="K140" s="6">
        <v>-0.2201</v>
      </c>
    </row>
    <row r="141" ht="14.5" spans="1:11">
      <c r="A141" s="3" t="str">
        <f t="shared" si="6"/>
        <v>2026年</v>
      </c>
      <c r="B141" s="3" t="str">
        <f t="shared" si="7"/>
        <v>1月</v>
      </c>
      <c r="C141" s="4" t="str">
        <f t="shared" si="8"/>
        <v>W1</v>
      </c>
      <c r="D141" s="2" t="s">
        <v>741</v>
      </c>
      <c r="E141" s="2" t="s">
        <v>734</v>
      </c>
      <c r="F141" s="2" t="str" cm="1">
        <f t="array" ref="F141">INDEX(_xlfn.TEXTSPLIT(E141,"-"),2)</f>
        <v>女装</v>
      </c>
      <c r="G141" s="2" t="str" cm="1">
        <f t="array" ref="G141">INDEX(_xlfn.TEXTSPLIT(E141,"-"),3)</f>
        <v>设计师/潮牌女装</v>
      </c>
      <c r="H141" s="5">
        <v>584438</v>
      </c>
      <c r="I141" s="5">
        <v>72141583.38</v>
      </c>
      <c r="J141" s="6">
        <v>0.0168</v>
      </c>
      <c r="K141" s="6">
        <v>0.0614</v>
      </c>
    </row>
    <row r="142" ht="14.5" spans="1:11">
      <c r="A142" s="3" t="str">
        <f t="shared" si="6"/>
        <v>2026年</v>
      </c>
      <c r="B142" s="3" t="str">
        <f t="shared" si="7"/>
        <v>1月</v>
      </c>
      <c r="C142" s="4" t="str">
        <f t="shared" si="8"/>
        <v>W1</v>
      </c>
      <c r="D142" s="2" t="s">
        <v>741</v>
      </c>
      <c r="E142" s="2" t="s">
        <v>735</v>
      </c>
      <c r="F142" s="2" t="str" cm="1">
        <f t="array" ref="F142">INDEX(_xlfn.TEXTSPLIT(E142,"-"),2)</f>
        <v>女装</v>
      </c>
      <c r="G142" s="2" t="str" cm="1">
        <f t="array" ref="G142">INDEX(_xlfn.TEXTSPLIT(E142,"-"),3)</f>
        <v>连体衣/裤</v>
      </c>
      <c r="H142" s="5">
        <v>9105</v>
      </c>
      <c r="I142" s="5">
        <v>1522696.74</v>
      </c>
      <c r="J142" s="6">
        <v>0.0004</v>
      </c>
      <c r="K142" s="6">
        <v>-0.0958</v>
      </c>
    </row>
    <row r="143" ht="14.5" spans="1:11">
      <c r="A143" s="3" t="str">
        <f t="shared" si="6"/>
        <v>2026年</v>
      </c>
      <c r="B143" s="3" t="str">
        <f t="shared" si="7"/>
        <v>1月</v>
      </c>
      <c r="C143" s="4" t="str">
        <f t="shared" si="8"/>
        <v>W1</v>
      </c>
      <c r="D143" s="2" t="s">
        <v>741</v>
      </c>
      <c r="E143" s="2" t="s">
        <v>736</v>
      </c>
      <c r="F143" s="2" t="str" cm="1">
        <f t="array" ref="F143">INDEX(_xlfn.TEXTSPLIT(E143,"-"),2)</f>
        <v>女装</v>
      </c>
      <c r="G143" s="2" t="str" cm="1">
        <f t="array" ref="G143">INDEX(_xlfn.TEXTSPLIT(E143,"-"),3)</f>
        <v>连衣裙</v>
      </c>
      <c r="H143" s="5">
        <v>769705</v>
      </c>
      <c r="I143" s="5">
        <v>103221318.8</v>
      </c>
      <c r="J143" s="6">
        <v>0.024</v>
      </c>
      <c r="K143" s="6">
        <v>0.015</v>
      </c>
    </row>
    <row r="144" ht="14.5" spans="1:11">
      <c r="A144" s="3" t="str">
        <f t="shared" si="6"/>
        <v>2026年</v>
      </c>
      <c r="B144" s="3" t="str">
        <f t="shared" si="7"/>
        <v>1月</v>
      </c>
      <c r="C144" s="4" t="str">
        <f t="shared" si="8"/>
        <v>W1</v>
      </c>
      <c r="D144" s="2" t="s">
        <v>741</v>
      </c>
      <c r="E144" s="2" t="s">
        <v>737</v>
      </c>
      <c r="F144" s="2" t="str" cm="1">
        <f t="array" ref="F144">INDEX(_xlfn.TEXTSPLIT(E144,"-"),2)</f>
        <v>女装</v>
      </c>
      <c r="G144" s="2" t="str" cm="1">
        <f t="array" ref="G144">INDEX(_xlfn.TEXTSPLIT(E144,"-"),3)</f>
        <v>风衣</v>
      </c>
      <c r="H144" s="5">
        <v>89200</v>
      </c>
      <c r="I144" s="5">
        <v>13815213.3</v>
      </c>
      <c r="J144" s="6">
        <v>0.0032</v>
      </c>
      <c r="K144" s="6">
        <v>-0.0621</v>
      </c>
    </row>
    <row r="145" ht="14.5" spans="1:11">
      <c r="A145" s="3" t="str">
        <f t="shared" si="6"/>
        <v>2026年</v>
      </c>
      <c r="B145" s="3" t="str">
        <f t="shared" si="7"/>
        <v>1月</v>
      </c>
      <c r="C145" s="4" t="str">
        <f t="shared" si="8"/>
        <v>W1</v>
      </c>
      <c r="D145" s="2" t="s">
        <v>741</v>
      </c>
      <c r="E145" s="2" t="s">
        <v>738</v>
      </c>
      <c r="F145" s="2" t="str" cm="1">
        <f t="array" ref="F145">INDEX(_xlfn.TEXTSPLIT(E145,"-"),2)</f>
        <v>女装</v>
      </c>
      <c r="G145" s="2" t="str" cm="1">
        <f t="array" ref="G145">INDEX(_xlfn.TEXTSPLIT(E145,"-"),3)</f>
        <v>马夹</v>
      </c>
      <c r="H145" s="5">
        <v>408588</v>
      </c>
      <c r="I145" s="5">
        <v>48784491.86</v>
      </c>
      <c r="J145" s="6">
        <v>0.0113</v>
      </c>
      <c r="K145" s="6">
        <v>-0.0272</v>
      </c>
    </row>
    <row r="146" ht="14.5" spans="1:11">
      <c r="A146" s="3" t="str">
        <f t="shared" si="6"/>
        <v>2026年</v>
      </c>
      <c r="B146" s="3" t="str">
        <f t="shared" si="7"/>
        <v>1月</v>
      </c>
      <c r="C146" s="4" t="str">
        <f t="shared" si="8"/>
        <v>W2</v>
      </c>
      <c r="D146" s="2" t="s">
        <v>742</v>
      </c>
      <c r="E146" s="2" t="s">
        <v>702</v>
      </c>
      <c r="F146" s="2" t="str" cm="1">
        <f t="array" ref="F146">INDEX(_xlfn.TEXTSPLIT(E146,"-"),2)</f>
        <v>女装</v>
      </c>
      <c r="G146" s="2" t="str" cm="1">
        <f t="array" ref="G146">INDEX(_xlfn.TEXTSPLIT(E146,"-"),3)</f>
        <v>POLO衫</v>
      </c>
      <c r="H146" s="5">
        <v>16067</v>
      </c>
      <c r="I146" s="5">
        <v>1245777.19</v>
      </c>
      <c r="J146" s="6">
        <v>0.0003</v>
      </c>
      <c r="K146" s="6">
        <v>-0.0745</v>
      </c>
    </row>
    <row r="147" ht="14.5" spans="1:11">
      <c r="A147" s="3" t="str">
        <f t="shared" si="6"/>
        <v>2026年</v>
      </c>
      <c r="B147" s="3" t="str">
        <f t="shared" si="7"/>
        <v>1月</v>
      </c>
      <c r="C147" s="4" t="str">
        <f t="shared" si="8"/>
        <v>W2</v>
      </c>
      <c r="D147" s="2" t="s">
        <v>742</v>
      </c>
      <c r="E147" s="2" t="s">
        <v>703</v>
      </c>
      <c r="F147" s="2" t="str" cm="1">
        <f t="array" ref="F147">INDEX(_xlfn.TEXTSPLIT(E147,"-"),2)</f>
        <v>女装</v>
      </c>
      <c r="G147" s="2" t="str" cm="1">
        <f t="array" ref="G147">INDEX(_xlfn.TEXTSPLIT(E147,"-"),3)</f>
        <v>T恤</v>
      </c>
      <c r="H147" s="5">
        <v>1611785</v>
      </c>
      <c r="I147" s="5">
        <v>89647041.32</v>
      </c>
      <c r="J147" s="6">
        <v>0.0224</v>
      </c>
      <c r="K147" s="6">
        <v>-0.054</v>
      </c>
    </row>
    <row r="148" ht="14.5" spans="1:11">
      <c r="A148" s="3" t="str">
        <f t="shared" si="6"/>
        <v>2026年</v>
      </c>
      <c r="B148" s="3" t="str">
        <f t="shared" si="7"/>
        <v>1月</v>
      </c>
      <c r="C148" s="4" t="str">
        <f t="shared" si="8"/>
        <v>W2</v>
      </c>
      <c r="D148" s="2" t="s">
        <v>742</v>
      </c>
      <c r="E148" s="2" t="s">
        <v>704</v>
      </c>
      <c r="F148" s="2" t="str" cm="1">
        <f t="array" ref="F148">INDEX(_xlfn.TEXTSPLIT(E148,"-"),2)</f>
        <v>女装</v>
      </c>
      <c r="G148" s="2" t="str" cm="1">
        <f t="array" ref="G148">INDEX(_xlfn.TEXTSPLIT(E148,"-"),3)</f>
        <v>中老年女装</v>
      </c>
      <c r="H148" s="5">
        <v>530411</v>
      </c>
      <c r="I148" s="5">
        <v>64756519</v>
      </c>
      <c r="J148" s="6">
        <v>0.0162</v>
      </c>
      <c r="K148" s="6">
        <v>0.0607</v>
      </c>
    </row>
    <row r="149" ht="14.5" spans="1:11">
      <c r="A149" s="3" t="str">
        <f t="shared" si="6"/>
        <v>2026年</v>
      </c>
      <c r="B149" s="3" t="str">
        <f t="shared" si="7"/>
        <v>1月</v>
      </c>
      <c r="C149" s="4" t="str">
        <f t="shared" si="8"/>
        <v>W2</v>
      </c>
      <c r="D149" s="2" t="s">
        <v>742</v>
      </c>
      <c r="E149" s="2" t="s">
        <v>705</v>
      </c>
      <c r="F149" s="2" t="str" cm="1">
        <f t="array" ref="F149">INDEX(_xlfn.TEXTSPLIT(E149,"-"),2)</f>
        <v>女装</v>
      </c>
      <c r="G149" s="2" t="str" cm="1">
        <f t="array" ref="G149">INDEX(_xlfn.TEXTSPLIT(E149,"-"),3)</f>
        <v>半身裙</v>
      </c>
      <c r="H149" s="5">
        <v>785391</v>
      </c>
      <c r="I149" s="5">
        <v>73624909.3</v>
      </c>
      <c r="J149" s="6">
        <v>0.0184</v>
      </c>
      <c r="K149" s="6">
        <v>0.0403</v>
      </c>
    </row>
    <row r="150" ht="14.5" spans="1:11">
      <c r="A150" s="3" t="str">
        <f t="shared" si="6"/>
        <v>2026年</v>
      </c>
      <c r="B150" s="3" t="str">
        <f t="shared" si="7"/>
        <v>1月</v>
      </c>
      <c r="C150" s="4" t="str">
        <f t="shared" si="8"/>
        <v>W2</v>
      </c>
      <c r="D150" s="2" t="s">
        <v>742</v>
      </c>
      <c r="E150" s="2" t="s">
        <v>706</v>
      </c>
      <c r="F150" s="2" t="str" cm="1">
        <f t="array" ref="F150">INDEX(_xlfn.TEXTSPLIT(E150,"-"),2)</f>
        <v>女装</v>
      </c>
      <c r="G150" s="2" t="str" cm="1">
        <f t="array" ref="G150">INDEX(_xlfn.TEXTSPLIT(E150,"-"),3)</f>
        <v>卫衣/绒衫</v>
      </c>
      <c r="H150" s="5">
        <v>524987</v>
      </c>
      <c r="I150" s="5">
        <v>39533716.12</v>
      </c>
      <c r="J150" s="6">
        <v>0.0099</v>
      </c>
      <c r="K150" s="6">
        <v>-0.1378</v>
      </c>
    </row>
    <row r="151" ht="14.5" spans="1:11">
      <c r="A151" s="3" t="str">
        <f t="shared" si="6"/>
        <v>2026年</v>
      </c>
      <c r="B151" s="3" t="str">
        <f t="shared" si="7"/>
        <v>1月</v>
      </c>
      <c r="C151" s="4" t="str">
        <f t="shared" si="8"/>
        <v>W2</v>
      </c>
      <c r="D151" s="2" t="s">
        <v>742</v>
      </c>
      <c r="E151" s="2" t="s">
        <v>707</v>
      </c>
      <c r="F151" s="2" t="str" cm="1">
        <f t="array" ref="F151">INDEX(_xlfn.TEXTSPLIT(E151,"-"),2)</f>
        <v>女装</v>
      </c>
      <c r="G151" s="2" t="str" cm="1">
        <f t="array" ref="G151">INDEX(_xlfn.TEXTSPLIT(E151,"-"),3)</f>
        <v>唐装/民族服装/舞台服装</v>
      </c>
      <c r="H151" s="5">
        <v>204260</v>
      </c>
      <c r="I151" s="5">
        <v>39473930.46</v>
      </c>
      <c r="J151" s="6">
        <v>0.0099</v>
      </c>
      <c r="K151" s="6">
        <v>-0.1626</v>
      </c>
    </row>
    <row r="152" ht="14.5" spans="1:11">
      <c r="A152" s="3" t="str">
        <f t="shared" si="6"/>
        <v>2026年</v>
      </c>
      <c r="B152" s="3" t="str">
        <f t="shared" si="7"/>
        <v>1月</v>
      </c>
      <c r="C152" s="4" t="str">
        <f t="shared" si="8"/>
        <v>W2</v>
      </c>
      <c r="D152" s="2" t="s">
        <v>742</v>
      </c>
      <c r="E152" s="2" t="s">
        <v>708</v>
      </c>
      <c r="F152" s="2" t="str" cm="1">
        <f t="array" ref="F152">INDEX(_xlfn.TEXTSPLIT(E152,"-"),2)</f>
        <v>女装</v>
      </c>
      <c r="G152" s="2" t="str" cm="1">
        <f t="array" ref="G152">INDEX(_xlfn.TEXTSPLIT(E152,"-"),3)</f>
        <v>大码女装</v>
      </c>
      <c r="H152" s="5">
        <v>719197</v>
      </c>
      <c r="I152" s="5">
        <v>68187888.65</v>
      </c>
      <c r="J152" s="6">
        <v>0.0171</v>
      </c>
      <c r="K152" s="6">
        <v>-0.0257</v>
      </c>
    </row>
    <row r="153" ht="14.5" spans="1:11">
      <c r="A153" s="3" t="str">
        <f t="shared" si="6"/>
        <v>2026年</v>
      </c>
      <c r="B153" s="3" t="str">
        <f t="shared" si="7"/>
        <v>1月</v>
      </c>
      <c r="C153" s="4" t="str">
        <f t="shared" si="8"/>
        <v>W2</v>
      </c>
      <c r="D153" s="2" t="s">
        <v>742</v>
      </c>
      <c r="E153" s="2" t="s">
        <v>709</v>
      </c>
      <c r="F153" s="2" t="str" cm="1">
        <f t="array" ref="F153">INDEX(_xlfn.TEXTSPLIT(E153,"-"),2)</f>
        <v>女装</v>
      </c>
      <c r="G153" s="2" t="str" cm="1">
        <f t="array" ref="G153">INDEX(_xlfn.TEXTSPLIT(E153,"-"),3)</f>
        <v>套装/学生校服/工作制服</v>
      </c>
      <c r="H153" s="5">
        <v>1000421</v>
      </c>
      <c r="I153" s="5">
        <v>137483358.35</v>
      </c>
      <c r="J153" s="6">
        <v>0.0344</v>
      </c>
      <c r="K153" s="6">
        <v>0.0287</v>
      </c>
    </row>
    <row r="154" ht="14.5" spans="1:11">
      <c r="A154" s="3" t="str">
        <f t="shared" si="6"/>
        <v>2026年</v>
      </c>
      <c r="B154" s="3" t="str">
        <f t="shared" si="7"/>
        <v>1月</v>
      </c>
      <c r="C154" s="4" t="str">
        <f t="shared" si="8"/>
        <v>W2</v>
      </c>
      <c r="D154" s="2" t="s">
        <v>742</v>
      </c>
      <c r="E154" s="2" t="s">
        <v>710</v>
      </c>
      <c r="F154" s="2" t="str" cm="1">
        <f t="array" ref="F154">INDEX(_xlfn.TEXTSPLIT(E154,"-"),2)</f>
        <v>女装</v>
      </c>
      <c r="G154" s="2" t="str" cm="1">
        <f t="array" ref="G154">INDEX(_xlfn.TEXTSPLIT(E154,"-"),3)</f>
        <v>婚纱/旗袍/礼服</v>
      </c>
      <c r="H154" s="5">
        <v>67700</v>
      </c>
      <c r="I154" s="5">
        <v>11612843.37</v>
      </c>
      <c r="J154" s="6">
        <v>0.0029</v>
      </c>
      <c r="K154" s="7">
        <v>0.05</v>
      </c>
    </row>
    <row r="155" ht="14.5" spans="1:11">
      <c r="A155" s="3" t="str">
        <f t="shared" ref="A155:A218" si="9">TEXT(YEAR(D155),"0")&amp;"年"</f>
        <v>2026年</v>
      </c>
      <c r="B155" s="3" t="str">
        <f t="shared" ref="B155:B218" si="10">TEXT(MONTH(D155),"0")&amp;"月"</f>
        <v>1月</v>
      </c>
      <c r="C155" s="4" t="str">
        <f t="shared" ref="C155:C218" si="11">"W"&amp;TEXT(WEEKNUM(D155,2),"0")</f>
        <v>W2</v>
      </c>
      <c r="D155" s="2" t="s">
        <v>742</v>
      </c>
      <c r="E155" s="2" t="s">
        <v>711</v>
      </c>
      <c r="F155" s="2" t="str" cm="1">
        <f t="array" ref="F155">INDEX(_xlfn.TEXTSPLIT(E155,"-"),2)</f>
        <v>女装</v>
      </c>
      <c r="G155" s="2" t="str" cm="1">
        <f t="array" ref="G155">INDEX(_xlfn.TEXTSPLIT(E155,"-"),3)</f>
        <v>新中式女装</v>
      </c>
      <c r="H155" s="5">
        <v>60774</v>
      </c>
      <c r="I155" s="5">
        <v>8727130.22</v>
      </c>
      <c r="J155" s="6">
        <v>0.0022</v>
      </c>
      <c r="K155" s="6">
        <v>-0.2495</v>
      </c>
    </row>
    <row r="156" ht="14.5" spans="1:11">
      <c r="A156" s="3" t="str">
        <f t="shared" si="9"/>
        <v>2026年</v>
      </c>
      <c r="B156" s="3" t="str">
        <f t="shared" si="10"/>
        <v>1月</v>
      </c>
      <c r="C156" s="4" t="str">
        <f t="shared" si="11"/>
        <v>W2</v>
      </c>
      <c r="D156" s="2" t="s">
        <v>742</v>
      </c>
      <c r="E156" s="2" t="s">
        <v>712</v>
      </c>
      <c r="F156" s="2" t="str" cm="1">
        <f t="array" ref="F156">INDEX(_xlfn.TEXTSPLIT(E156,"-"),2)</f>
        <v>女装</v>
      </c>
      <c r="G156" s="2" t="str" cm="1">
        <f t="array" ref="G156">INDEX(_xlfn.TEXTSPLIT(E156,"-"),3)</f>
        <v>时尚防晒服</v>
      </c>
      <c r="H156" s="5">
        <v>600</v>
      </c>
      <c r="I156" s="5">
        <v>31106.52</v>
      </c>
      <c r="J156" s="2" t="s">
        <v>713</v>
      </c>
      <c r="K156" s="6">
        <v>0.7464</v>
      </c>
    </row>
    <row r="157" ht="14.5" spans="1:11">
      <c r="A157" s="3" t="str">
        <f t="shared" si="9"/>
        <v>2026年</v>
      </c>
      <c r="B157" s="3" t="str">
        <f t="shared" si="10"/>
        <v>1月</v>
      </c>
      <c r="C157" s="4" t="str">
        <f t="shared" si="11"/>
        <v>W2</v>
      </c>
      <c r="D157" s="2" t="s">
        <v>742</v>
      </c>
      <c r="E157" s="2" t="s">
        <v>714</v>
      </c>
      <c r="F157" s="2" t="str" cm="1">
        <f t="array" ref="F157">INDEX(_xlfn.TEXTSPLIT(E157,"-"),2)</f>
        <v>女装</v>
      </c>
      <c r="G157" s="2" t="str" cm="1">
        <f t="array" ref="G157">INDEX(_xlfn.TEXTSPLIT(E157,"-"),3)</f>
        <v>棉衣/棉服</v>
      </c>
      <c r="H157" s="5">
        <v>1023111</v>
      </c>
      <c r="I157" s="5">
        <v>113650952.38</v>
      </c>
      <c r="J157" s="6">
        <v>0.0284</v>
      </c>
      <c r="K157" s="6">
        <v>-0.0411</v>
      </c>
    </row>
    <row r="158" ht="14.5" spans="1:11">
      <c r="A158" s="3" t="str">
        <f t="shared" si="9"/>
        <v>2026年</v>
      </c>
      <c r="B158" s="3" t="str">
        <f t="shared" si="10"/>
        <v>1月</v>
      </c>
      <c r="C158" s="4" t="str">
        <f t="shared" si="11"/>
        <v>W2</v>
      </c>
      <c r="D158" s="2" t="s">
        <v>742</v>
      </c>
      <c r="E158" s="2" t="s">
        <v>715</v>
      </c>
      <c r="F158" s="2" t="str" cm="1">
        <f t="array" ref="F158">INDEX(_xlfn.TEXTSPLIT(E158,"-"),2)</f>
        <v>女装</v>
      </c>
      <c r="G158" s="2" t="str" cm="1">
        <f t="array" ref="G158">INDEX(_xlfn.TEXTSPLIT(E158,"-"),3)</f>
        <v>毛呢外套</v>
      </c>
      <c r="H158" s="5">
        <v>724306</v>
      </c>
      <c r="I158" s="5">
        <v>275343669.79</v>
      </c>
      <c r="J158" s="6">
        <v>0.0689</v>
      </c>
      <c r="K158" s="6">
        <v>-0.0556</v>
      </c>
    </row>
    <row r="159" ht="14.5" spans="1:11">
      <c r="A159" s="3" t="str">
        <f t="shared" si="9"/>
        <v>2026年</v>
      </c>
      <c r="B159" s="3" t="str">
        <f t="shared" si="10"/>
        <v>1月</v>
      </c>
      <c r="C159" s="4" t="str">
        <f t="shared" si="11"/>
        <v>W2</v>
      </c>
      <c r="D159" s="2" t="s">
        <v>742</v>
      </c>
      <c r="E159" s="2" t="s">
        <v>716</v>
      </c>
      <c r="F159" s="2" t="str" cm="1">
        <f t="array" ref="F159">INDEX(_xlfn.TEXTSPLIT(E159,"-"),2)</f>
        <v>女装</v>
      </c>
      <c r="G159" s="2" t="str" cm="1">
        <f t="array" ref="G159">INDEX(_xlfn.TEXTSPLIT(E159,"-"),3)</f>
        <v>毛衣</v>
      </c>
      <c r="H159" s="5">
        <v>578932</v>
      </c>
      <c r="I159" s="5">
        <v>49793337.33</v>
      </c>
      <c r="J159" s="6">
        <v>0.0125</v>
      </c>
      <c r="K159" s="6">
        <v>-0.1457</v>
      </c>
    </row>
    <row r="160" ht="14.5" spans="1:11">
      <c r="A160" s="3" t="str">
        <f t="shared" si="9"/>
        <v>2026年</v>
      </c>
      <c r="B160" s="3" t="str">
        <f t="shared" si="10"/>
        <v>1月</v>
      </c>
      <c r="C160" s="4" t="str">
        <f t="shared" si="11"/>
        <v>W2</v>
      </c>
      <c r="D160" s="2" t="s">
        <v>742</v>
      </c>
      <c r="E160" s="2" t="s">
        <v>717</v>
      </c>
      <c r="F160" s="2" t="str" cm="1">
        <f t="array" ref="F160">INDEX(_xlfn.TEXTSPLIT(E160,"-"),2)</f>
        <v>女装</v>
      </c>
      <c r="G160" s="2" t="str" cm="1">
        <f t="array" ref="G160">INDEX(_xlfn.TEXTSPLIT(E160,"-"),3)</f>
        <v>毛针织衫</v>
      </c>
      <c r="H160" s="5">
        <v>2579405</v>
      </c>
      <c r="I160" s="5">
        <v>207143477.54</v>
      </c>
      <c r="J160" s="6">
        <v>0.0518</v>
      </c>
      <c r="K160" s="6">
        <v>-0.0193</v>
      </c>
    </row>
    <row r="161" ht="14.5" spans="1:11">
      <c r="A161" s="3" t="str">
        <f t="shared" si="9"/>
        <v>2026年</v>
      </c>
      <c r="B161" s="3" t="str">
        <f t="shared" si="10"/>
        <v>1月</v>
      </c>
      <c r="C161" s="4" t="str">
        <f t="shared" si="11"/>
        <v>W2</v>
      </c>
      <c r="D161" s="2" t="s">
        <v>742</v>
      </c>
      <c r="E161" s="2" t="s">
        <v>718</v>
      </c>
      <c r="F161" s="2" t="str" cm="1">
        <f t="array" ref="F161">INDEX(_xlfn.TEXTSPLIT(E161,"-"),2)</f>
        <v>女装</v>
      </c>
      <c r="G161" s="2" t="str" cm="1">
        <f t="array" ref="G161">INDEX(_xlfn.TEXTSPLIT(E161,"-"),3)</f>
        <v>汉服</v>
      </c>
      <c r="H161" s="5">
        <v>119419</v>
      </c>
      <c r="I161" s="5">
        <v>62780798.13</v>
      </c>
      <c r="J161" s="6">
        <v>0.0157</v>
      </c>
      <c r="K161" s="6">
        <v>-0.3377</v>
      </c>
    </row>
    <row r="162" ht="14.5" spans="1:11">
      <c r="A162" s="3" t="str">
        <f t="shared" si="9"/>
        <v>2026年</v>
      </c>
      <c r="B162" s="3" t="str">
        <f t="shared" si="10"/>
        <v>1月</v>
      </c>
      <c r="C162" s="4" t="str">
        <f t="shared" si="11"/>
        <v>W2</v>
      </c>
      <c r="D162" s="2" t="s">
        <v>742</v>
      </c>
      <c r="E162" s="2" t="s">
        <v>719</v>
      </c>
      <c r="F162" s="2" t="str" cm="1">
        <f t="array" ref="F162">INDEX(_xlfn.TEXTSPLIT(E162,"-"),2)</f>
        <v>女装</v>
      </c>
      <c r="G162" s="2" t="str" cm="1">
        <f t="array" ref="G162">INDEX(_xlfn.TEXTSPLIT(E162,"-"),3)</f>
        <v>派克服</v>
      </c>
      <c r="H162" s="5">
        <v>83176</v>
      </c>
      <c r="I162" s="5">
        <v>21140842.43</v>
      </c>
      <c r="J162" s="6">
        <v>0.0053</v>
      </c>
      <c r="K162" s="6">
        <v>-0.1405</v>
      </c>
    </row>
    <row r="163" ht="14.5" spans="1:11">
      <c r="A163" s="3" t="str">
        <f t="shared" si="9"/>
        <v>2026年</v>
      </c>
      <c r="B163" s="3" t="str">
        <f t="shared" si="10"/>
        <v>1月</v>
      </c>
      <c r="C163" s="4" t="str">
        <f t="shared" si="11"/>
        <v>W2</v>
      </c>
      <c r="D163" s="2" t="s">
        <v>742</v>
      </c>
      <c r="E163" s="2" t="s">
        <v>720</v>
      </c>
      <c r="F163" s="2" t="str" cm="1">
        <f t="array" ref="F163">INDEX(_xlfn.TEXTSPLIT(E163,"-"),2)</f>
        <v>女装</v>
      </c>
      <c r="G163" s="2" t="str" cm="1">
        <f t="array" ref="G163">INDEX(_xlfn.TEXTSPLIT(E163,"-"),3)</f>
        <v>皮草</v>
      </c>
      <c r="H163" s="5">
        <v>255892</v>
      </c>
      <c r="I163" s="5">
        <v>489093354.97</v>
      </c>
      <c r="J163" s="6">
        <v>0.1224</v>
      </c>
      <c r="K163" s="6">
        <v>-0.0174</v>
      </c>
    </row>
    <row r="164" ht="14.5" spans="1:11">
      <c r="A164" s="3" t="str">
        <f t="shared" si="9"/>
        <v>2026年</v>
      </c>
      <c r="B164" s="3" t="str">
        <f t="shared" si="10"/>
        <v>1月</v>
      </c>
      <c r="C164" s="4" t="str">
        <f t="shared" si="11"/>
        <v>W2</v>
      </c>
      <c r="D164" s="2" t="s">
        <v>742</v>
      </c>
      <c r="E164" s="2" t="s">
        <v>721</v>
      </c>
      <c r="F164" s="2" t="str" cm="1">
        <f t="array" ref="F164">INDEX(_xlfn.TEXTSPLIT(E164,"-"),2)</f>
        <v>女装</v>
      </c>
      <c r="G164" s="2" t="str" cm="1">
        <f t="array" ref="G164">INDEX(_xlfn.TEXTSPLIT(E164,"-"),3)</f>
        <v>皮衣</v>
      </c>
      <c r="H164" s="5">
        <v>137939</v>
      </c>
      <c r="I164" s="5">
        <v>44762660.19</v>
      </c>
      <c r="J164" s="6">
        <v>0.0112</v>
      </c>
      <c r="K164" s="6">
        <v>-0.1178</v>
      </c>
    </row>
    <row r="165" ht="14.5" spans="1:11">
      <c r="A165" s="3" t="str">
        <f t="shared" si="9"/>
        <v>2026年</v>
      </c>
      <c r="B165" s="3" t="str">
        <f t="shared" si="10"/>
        <v>1月</v>
      </c>
      <c r="C165" s="4" t="str">
        <f t="shared" si="11"/>
        <v>W2</v>
      </c>
      <c r="D165" s="2" t="s">
        <v>742</v>
      </c>
      <c r="E165" s="2" t="s">
        <v>722</v>
      </c>
      <c r="F165" s="2" t="str" cm="1">
        <f t="array" ref="F165">INDEX(_xlfn.TEXTSPLIT(E165,"-"),2)</f>
        <v>女装</v>
      </c>
      <c r="G165" s="2" t="str" cm="1">
        <f t="array" ref="G165">INDEX(_xlfn.TEXTSPLIT(E165,"-"),3)</f>
        <v>短外套</v>
      </c>
      <c r="H165" s="5">
        <v>1684628</v>
      </c>
      <c r="I165" s="5">
        <v>320677194.1</v>
      </c>
      <c r="J165" s="6">
        <v>0.0802</v>
      </c>
      <c r="K165" s="6">
        <v>-0.069</v>
      </c>
    </row>
    <row r="166" ht="14.5" spans="1:11">
      <c r="A166" s="3" t="str">
        <f t="shared" si="9"/>
        <v>2026年</v>
      </c>
      <c r="B166" s="3" t="str">
        <f t="shared" si="10"/>
        <v>1月</v>
      </c>
      <c r="C166" s="4" t="str">
        <f t="shared" si="11"/>
        <v>W2</v>
      </c>
      <c r="D166" s="2" t="s">
        <v>742</v>
      </c>
      <c r="E166" s="2" t="s">
        <v>723</v>
      </c>
      <c r="F166" s="2" t="str" cm="1">
        <f t="array" ref="F166">INDEX(_xlfn.TEXTSPLIT(E166,"-"),2)</f>
        <v>女装</v>
      </c>
      <c r="G166" s="2" t="str" cm="1">
        <f t="array" ref="G166">INDEX(_xlfn.TEXTSPLIT(E166,"-"),3)</f>
        <v>短裤</v>
      </c>
      <c r="H166" s="5">
        <v>131843</v>
      </c>
      <c r="I166" s="5">
        <v>7450495.56</v>
      </c>
      <c r="J166" s="6">
        <v>0.0019</v>
      </c>
      <c r="K166" s="6">
        <v>-0.0471</v>
      </c>
    </row>
    <row r="167" ht="14.5" spans="1:11">
      <c r="A167" s="3" t="str">
        <f t="shared" si="9"/>
        <v>2026年</v>
      </c>
      <c r="B167" s="3" t="str">
        <f t="shared" si="10"/>
        <v>1月</v>
      </c>
      <c r="C167" s="4" t="str">
        <f t="shared" si="11"/>
        <v>W2</v>
      </c>
      <c r="D167" s="2" t="s">
        <v>742</v>
      </c>
      <c r="E167" s="2" t="s">
        <v>724</v>
      </c>
      <c r="F167" s="2" t="str" cm="1">
        <f t="array" ref="F167">INDEX(_xlfn.TEXTSPLIT(E167,"-"),2)</f>
        <v>女装</v>
      </c>
      <c r="G167" s="2" t="str" cm="1">
        <f t="array" ref="G167">INDEX(_xlfn.TEXTSPLIT(E167,"-"),3)</f>
        <v>羊毛衫</v>
      </c>
      <c r="H167" s="5">
        <v>579328</v>
      </c>
      <c r="I167" s="5">
        <v>76135725.45</v>
      </c>
      <c r="J167" s="6">
        <v>0.0191</v>
      </c>
      <c r="K167" s="6">
        <v>-0.178</v>
      </c>
    </row>
    <row r="168" ht="14.5" spans="1:11">
      <c r="A168" s="3" t="str">
        <f t="shared" si="9"/>
        <v>2026年</v>
      </c>
      <c r="B168" s="3" t="str">
        <f t="shared" si="10"/>
        <v>1月</v>
      </c>
      <c r="C168" s="4" t="str">
        <f t="shared" si="11"/>
        <v>W2</v>
      </c>
      <c r="D168" s="2" t="s">
        <v>742</v>
      </c>
      <c r="E168" s="2" t="s">
        <v>725</v>
      </c>
      <c r="F168" s="2" t="str" cm="1">
        <f t="array" ref="F168">INDEX(_xlfn.TEXTSPLIT(E168,"-"),2)</f>
        <v>女装</v>
      </c>
      <c r="G168" s="2" t="str" cm="1">
        <f t="array" ref="G168">INDEX(_xlfn.TEXTSPLIT(E168,"-"),3)</f>
        <v>羊绒大衣</v>
      </c>
      <c r="H168" s="5">
        <v>7525</v>
      </c>
      <c r="I168" s="5">
        <v>5324448.47</v>
      </c>
      <c r="J168" s="6">
        <v>0.0013</v>
      </c>
      <c r="K168" s="6">
        <v>0.1237</v>
      </c>
    </row>
    <row r="169" ht="14.5" spans="1:11">
      <c r="A169" s="3" t="str">
        <f t="shared" si="9"/>
        <v>2026年</v>
      </c>
      <c r="B169" s="3" t="str">
        <f t="shared" si="10"/>
        <v>1月</v>
      </c>
      <c r="C169" s="4" t="str">
        <f t="shared" si="11"/>
        <v>W2</v>
      </c>
      <c r="D169" s="2" t="s">
        <v>742</v>
      </c>
      <c r="E169" s="2" t="s">
        <v>726</v>
      </c>
      <c r="F169" s="2" t="str" cm="1">
        <f t="array" ref="F169">INDEX(_xlfn.TEXTSPLIT(E169,"-"),2)</f>
        <v>女装</v>
      </c>
      <c r="G169" s="2" t="str" cm="1">
        <f t="array" ref="G169">INDEX(_xlfn.TEXTSPLIT(E169,"-"),3)</f>
        <v>羊绒衫</v>
      </c>
      <c r="H169" s="5">
        <v>161632</v>
      </c>
      <c r="I169" s="5">
        <v>46721746.48</v>
      </c>
      <c r="J169" s="6">
        <v>0.0117</v>
      </c>
      <c r="K169" s="6">
        <v>-0.178</v>
      </c>
    </row>
    <row r="170" ht="14.5" spans="1:11">
      <c r="A170" s="3" t="str">
        <f t="shared" si="9"/>
        <v>2026年</v>
      </c>
      <c r="B170" s="3" t="str">
        <f t="shared" si="10"/>
        <v>1月</v>
      </c>
      <c r="C170" s="4" t="str">
        <f t="shared" si="11"/>
        <v>W2</v>
      </c>
      <c r="D170" s="2" t="s">
        <v>742</v>
      </c>
      <c r="E170" s="2" t="s">
        <v>727</v>
      </c>
      <c r="F170" s="2" t="str" cm="1">
        <f t="array" ref="F170">INDEX(_xlfn.TEXTSPLIT(E170,"-"),2)</f>
        <v>女装</v>
      </c>
      <c r="G170" s="2" t="str" cm="1">
        <f t="array" ref="G170">INDEX(_xlfn.TEXTSPLIT(E170,"-"),3)</f>
        <v>羽绒服</v>
      </c>
      <c r="H170" s="5">
        <v>2171205</v>
      </c>
      <c r="I170" s="5">
        <v>921982698.6</v>
      </c>
      <c r="J170" s="6">
        <v>0.2307</v>
      </c>
      <c r="K170" s="6">
        <v>-0.1164</v>
      </c>
    </row>
    <row r="171" ht="14.5" spans="1:11">
      <c r="A171" s="3" t="str">
        <f t="shared" si="9"/>
        <v>2026年</v>
      </c>
      <c r="B171" s="3" t="str">
        <f t="shared" si="10"/>
        <v>1月</v>
      </c>
      <c r="C171" s="4" t="str">
        <f t="shared" si="11"/>
        <v>W2</v>
      </c>
      <c r="D171" s="2" t="s">
        <v>742</v>
      </c>
      <c r="E171" s="2" t="s">
        <v>728</v>
      </c>
      <c r="F171" s="2" t="str" cm="1">
        <f t="array" ref="F171">INDEX(_xlfn.TEXTSPLIT(E171,"-"),2)</f>
        <v>女装</v>
      </c>
      <c r="G171" s="2" t="str" cm="1">
        <f t="array" ref="G171">INDEX(_xlfn.TEXTSPLIT(E171,"-"),3)</f>
        <v>肌底衣/肌肤衣</v>
      </c>
      <c r="H171" s="5">
        <v>5353</v>
      </c>
      <c r="I171" s="5">
        <v>281382.35</v>
      </c>
      <c r="J171" s="6">
        <v>0.0001</v>
      </c>
      <c r="K171" s="6">
        <v>-0.2515</v>
      </c>
    </row>
    <row r="172" ht="14.5" spans="1:11">
      <c r="A172" s="3" t="str">
        <f t="shared" si="9"/>
        <v>2026年</v>
      </c>
      <c r="B172" s="3" t="str">
        <f t="shared" si="10"/>
        <v>1月</v>
      </c>
      <c r="C172" s="4" t="str">
        <f t="shared" si="11"/>
        <v>W2</v>
      </c>
      <c r="D172" s="2" t="s">
        <v>742</v>
      </c>
      <c r="E172" s="2" t="s">
        <v>729</v>
      </c>
      <c r="F172" s="2" t="str" cm="1">
        <f t="array" ref="F172">INDEX(_xlfn.TEXTSPLIT(E172,"-"),2)</f>
        <v>女装</v>
      </c>
      <c r="G172" s="2" t="str" cm="1">
        <f t="array" ref="G172">INDEX(_xlfn.TEXTSPLIT(E172,"-"),3)</f>
        <v>背心吊带</v>
      </c>
      <c r="H172" s="5">
        <v>221266</v>
      </c>
      <c r="I172" s="5">
        <v>12914619.92</v>
      </c>
      <c r="J172" s="6">
        <v>0.0032</v>
      </c>
      <c r="K172" s="6">
        <v>0.0613</v>
      </c>
    </row>
    <row r="173" ht="14.5" spans="1:11">
      <c r="A173" s="3" t="str">
        <f t="shared" si="9"/>
        <v>2026年</v>
      </c>
      <c r="B173" s="3" t="str">
        <f t="shared" si="10"/>
        <v>1月</v>
      </c>
      <c r="C173" s="4" t="str">
        <f t="shared" si="11"/>
        <v>W2</v>
      </c>
      <c r="D173" s="2" t="s">
        <v>742</v>
      </c>
      <c r="E173" s="2" t="s">
        <v>730</v>
      </c>
      <c r="F173" s="2" t="str" cm="1">
        <f t="array" ref="F173">INDEX(_xlfn.TEXTSPLIT(E173,"-"),2)</f>
        <v>女装</v>
      </c>
      <c r="G173" s="2" t="str" cm="1">
        <f t="array" ref="G173">INDEX(_xlfn.TEXTSPLIT(E173,"-"),3)</f>
        <v>蕾丝衫/雪纺衫</v>
      </c>
      <c r="H173" s="5">
        <v>189580</v>
      </c>
      <c r="I173" s="5">
        <v>13596408.08</v>
      </c>
      <c r="J173" s="6">
        <v>0.0034</v>
      </c>
      <c r="K173" s="6">
        <v>0.0084</v>
      </c>
    </row>
    <row r="174" ht="14.5" spans="1:11">
      <c r="A174" s="3" t="str">
        <f t="shared" si="9"/>
        <v>2026年</v>
      </c>
      <c r="B174" s="3" t="str">
        <f t="shared" si="10"/>
        <v>1月</v>
      </c>
      <c r="C174" s="4" t="str">
        <f t="shared" si="11"/>
        <v>W2</v>
      </c>
      <c r="D174" s="2" t="s">
        <v>742</v>
      </c>
      <c r="E174" s="2" t="s">
        <v>731</v>
      </c>
      <c r="F174" s="2" t="str" cm="1">
        <f t="array" ref="F174">INDEX(_xlfn.TEXTSPLIT(E174,"-"),2)</f>
        <v>女装</v>
      </c>
      <c r="G174" s="2" t="str" cm="1">
        <f t="array" ref="G174">INDEX(_xlfn.TEXTSPLIT(E174,"-"),3)</f>
        <v>衬衫</v>
      </c>
      <c r="H174" s="5">
        <v>418294</v>
      </c>
      <c r="I174" s="5">
        <v>49482052.42</v>
      </c>
      <c r="J174" s="6">
        <v>0.0124</v>
      </c>
      <c r="K174" s="6">
        <v>0.1335</v>
      </c>
    </row>
    <row r="175" ht="14.5" spans="1:11">
      <c r="A175" s="3" t="str">
        <f t="shared" si="9"/>
        <v>2026年</v>
      </c>
      <c r="B175" s="3" t="str">
        <f t="shared" si="10"/>
        <v>1月</v>
      </c>
      <c r="C175" s="4" t="str">
        <f t="shared" si="11"/>
        <v>W2</v>
      </c>
      <c r="D175" s="2" t="s">
        <v>742</v>
      </c>
      <c r="E175" s="2" t="s">
        <v>732</v>
      </c>
      <c r="F175" s="2" t="str" cm="1">
        <f t="array" ref="F175">INDEX(_xlfn.TEXTSPLIT(E175,"-"),2)</f>
        <v>女装</v>
      </c>
      <c r="G175" s="2" t="str" cm="1">
        <f t="array" ref="G175">INDEX(_xlfn.TEXTSPLIT(E175,"-"),3)</f>
        <v>裤子</v>
      </c>
      <c r="H175" s="5">
        <v>5392584</v>
      </c>
      <c r="I175" s="5">
        <v>507446435.34</v>
      </c>
      <c r="J175" s="6">
        <v>0.127</v>
      </c>
      <c r="K175" s="6">
        <v>-0.0552</v>
      </c>
    </row>
    <row r="176" ht="14.5" spans="1:11">
      <c r="A176" s="3" t="str">
        <f t="shared" si="9"/>
        <v>2026年</v>
      </c>
      <c r="B176" s="3" t="str">
        <f t="shared" si="10"/>
        <v>1月</v>
      </c>
      <c r="C176" s="4" t="str">
        <f t="shared" si="11"/>
        <v>W2</v>
      </c>
      <c r="D176" s="2" t="s">
        <v>742</v>
      </c>
      <c r="E176" s="2" t="s">
        <v>733</v>
      </c>
      <c r="F176" s="2" t="str" cm="1">
        <f t="array" ref="F176">INDEX(_xlfn.TEXTSPLIT(E176,"-"),2)</f>
        <v>女装</v>
      </c>
      <c r="G176" s="2" t="str" cm="1">
        <f t="array" ref="G176">INDEX(_xlfn.TEXTSPLIT(E176,"-"),3)</f>
        <v>西装</v>
      </c>
      <c r="H176" s="5">
        <v>42813</v>
      </c>
      <c r="I176" s="5">
        <v>10421073.09</v>
      </c>
      <c r="J176" s="6">
        <v>0.0026</v>
      </c>
      <c r="K176" s="6">
        <v>-0.0627</v>
      </c>
    </row>
    <row r="177" ht="14.5" spans="1:11">
      <c r="A177" s="3" t="str">
        <f t="shared" si="9"/>
        <v>2026年</v>
      </c>
      <c r="B177" s="3" t="str">
        <f t="shared" si="10"/>
        <v>1月</v>
      </c>
      <c r="C177" s="4" t="str">
        <f t="shared" si="11"/>
        <v>W2</v>
      </c>
      <c r="D177" s="2" t="s">
        <v>742</v>
      </c>
      <c r="E177" s="2" t="s">
        <v>734</v>
      </c>
      <c r="F177" s="2" t="str" cm="1">
        <f t="array" ref="F177">INDEX(_xlfn.TEXTSPLIT(E177,"-"),2)</f>
        <v>女装</v>
      </c>
      <c r="G177" s="2" t="str" cm="1">
        <f t="array" ref="G177">INDEX(_xlfn.TEXTSPLIT(E177,"-"),3)</f>
        <v>设计师/潮牌女装</v>
      </c>
      <c r="H177" s="5">
        <v>516566</v>
      </c>
      <c r="I177" s="5">
        <v>62274823.35</v>
      </c>
      <c r="J177" s="6">
        <v>0.0156</v>
      </c>
      <c r="K177" s="6">
        <v>-0.1368</v>
      </c>
    </row>
    <row r="178" ht="14.5" spans="1:11">
      <c r="A178" s="3" t="str">
        <f t="shared" si="9"/>
        <v>2026年</v>
      </c>
      <c r="B178" s="3" t="str">
        <f t="shared" si="10"/>
        <v>1月</v>
      </c>
      <c r="C178" s="4" t="str">
        <f t="shared" si="11"/>
        <v>W2</v>
      </c>
      <c r="D178" s="2" t="s">
        <v>742</v>
      </c>
      <c r="E178" s="2" t="s">
        <v>735</v>
      </c>
      <c r="F178" s="2" t="str" cm="1">
        <f t="array" ref="F178">INDEX(_xlfn.TEXTSPLIT(E178,"-"),2)</f>
        <v>女装</v>
      </c>
      <c r="G178" s="2" t="str" cm="1">
        <f t="array" ref="G178">INDEX(_xlfn.TEXTSPLIT(E178,"-"),3)</f>
        <v>连体衣/裤</v>
      </c>
      <c r="H178" s="5">
        <v>8932</v>
      </c>
      <c r="I178" s="5">
        <v>1609628.54</v>
      </c>
      <c r="J178" s="6">
        <v>0.0004</v>
      </c>
      <c r="K178" s="6">
        <v>0.0571</v>
      </c>
    </row>
    <row r="179" ht="14.5" spans="1:11">
      <c r="A179" s="3" t="str">
        <f t="shared" si="9"/>
        <v>2026年</v>
      </c>
      <c r="B179" s="3" t="str">
        <f t="shared" si="10"/>
        <v>1月</v>
      </c>
      <c r="C179" s="4" t="str">
        <f t="shared" si="11"/>
        <v>W2</v>
      </c>
      <c r="D179" s="2" t="s">
        <v>742</v>
      </c>
      <c r="E179" s="2" t="s">
        <v>736</v>
      </c>
      <c r="F179" s="2" t="str" cm="1">
        <f t="array" ref="F179">INDEX(_xlfn.TEXTSPLIT(E179,"-"),2)</f>
        <v>女装</v>
      </c>
      <c r="G179" s="2" t="str" cm="1">
        <f t="array" ref="G179">INDEX(_xlfn.TEXTSPLIT(E179,"-"),3)</f>
        <v>连衣裙</v>
      </c>
      <c r="H179" s="5">
        <v>812774</v>
      </c>
      <c r="I179" s="5">
        <v>103323815.81</v>
      </c>
      <c r="J179" s="6">
        <v>0.0259</v>
      </c>
      <c r="K179" s="6">
        <v>0.001</v>
      </c>
    </row>
    <row r="180" ht="14.5" spans="1:11">
      <c r="A180" s="3" t="str">
        <f t="shared" si="9"/>
        <v>2026年</v>
      </c>
      <c r="B180" s="3" t="str">
        <f t="shared" si="10"/>
        <v>1月</v>
      </c>
      <c r="C180" s="4" t="str">
        <f t="shared" si="11"/>
        <v>W2</v>
      </c>
      <c r="D180" s="2" t="s">
        <v>742</v>
      </c>
      <c r="E180" s="2" t="s">
        <v>737</v>
      </c>
      <c r="F180" s="2" t="str" cm="1">
        <f t="array" ref="F180">INDEX(_xlfn.TEXTSPLIT(E180,"-"),2)</f>
        <v>女装</v>
      </c>
      <c r="G180" s="2" t="str" cm="1">
        <f t="array" ref="G180">INDEX(_xlfn.TEXTSPLIT(E180,"-"),3)</f>
        <v>风衣</v>
      </c>
      <c r="H180" s="5">
        <v>107623</v>
      </c>
      <c r="I180" s="5">
        <v>15104203.3</v>
      </c>
      <c r="J180" s="6">
        <v>0.0038</v>
      </c>
      <c r="K180" s="6">
        <v>0.0933</v>
      </c>
    </row>
    <row r="181" ht="14.5" spans="1:11">
      <c r="A181" s="3" t="str">
        <f t="shared" si="9"/>
        <v>2026年</v>
      </c>
      <c r="B181" s="3" t="str">
        <f t="shared" si="10"/>
        <v>1月</v>
      </c>
      <c r="C181" s="4" t="str">
        <f t="shared" si="11"/>
        <v>W2</v>
      </c>
      <c r="D181" s="2" t="s">
        <v>742</v>
      </c>
      <c r="E181" s="2" t="s">
        <v>738</v>
      </c>
      <c r="F181" s="2" t="str" cm="1">
        <f t="array" ref="F181">INDEX(_xlfn.TEXTSPLIT(E181,"-"),2)</f>
        <v>女装</v>
      </c>
      <c r="G181" s="2" t="str" cm="1">
        <f t="array" ref="G181">INDEX(_xlfn.TEXTSPLIT(E181,"-"),3)</f>
        <v>马夹</v>
      </c>
      <c r="H181" s="5">
        <v>395673</v>
      </c>
      <c r="I181" s="5">
        <v>43390484.6</v>
      </c>
      <c r="J181" s="6">
        <v>0.0109</v>
      </c>
      <c r="K181" s="6">
        <v>-0.1106</v>
      </c>
    </row>
    <row r="182" ht="14.5" spans="1:11">
      <c r="A182" s="3" t="str">
        <f t="shared" si="9"/>
        <v>2026年</v>
      </c>
      <c r="B182" s="3" t="str">
        <f t="shared" si="10"/>
        <v>1月</v>
      </c>
      <c r="C182" s="4" t="str">
        <f t="shared" si="11"/>
        <v>W2</v>
      </c>
      <c r="D182" s="2" t="s">
        <v>743</v>
      </c>
      <c r="E182" s="2" t="s">
        <v>702</v>
      </c>
      <c r="F182" s="2" t="str" cm="1">
        <f t="array" ref="F182">INDEX(_xlfn.TEXTSPLIT(E182,"-"),2)</f>
        <v>女装</v>
      </c>
      <c r="G182" s="2" t="str" cm="1">
        <f t="array" ref="G182">INDEX(_xlfn.TEXTSPLIT(E182,"-"),3)</f>
        <v>POLO衫</v>
      </c>
      <c r="H182" s="5">
        <v>15947</v>
      </c>
      <c r="I182" s="5">
        <v>1160979.09</v>
      </c>
      <c r="J182" s="6">
        <v>0.0003</v>
      </c>
      <c r="K182" s="6">
        <v>-0.0681</v>
      </c>
    </row>
    <row r="183" ht="14.5" spans="1:11">
      <c r="A183" s="3" t="str">
        <f t="shared" si="9"/>
        <v>2026年</v>
      </c>
      <c r="B183" s="3" t="str">
        <f t="shared" si="10"/>
        <v>1月</v>
      </c>
      <c r="C183" s="4" t="str">
        <f t="shared" si="11"/>
        <v>W2</v>
      </c>
      <c r="D183" s="2" t="s">
        <v>743</v>
      </c>
      <c r="E183" s="2" t="s">
        <v>703</v>
      </c>
      <c r="F183" s="2" t="str" cm="1">
        <f t="array" ref="F183">INDEX(_xlfn.TEXTSPLIT(E183,"-"),2)</f>
        <v>女装</v>
      </c>
      <c r="G183" s="2" t="str" cm="1">
        <f t="array" ref="G183">INDEX(_xlfn.TEXTSPLIT(E183,"-"),3)</f>
        <v>T恤</v>
      </c>
      <c r="H183" s="5">
        <v>1613597</v>
      </c>
      <c r="I183" s="5">
        <v>90310576.2</v>
      </c>
      <c r="J183" s="6">
        <v>0.0215</v>
      </c>
      <c r="K183" s="6">
        <v>0.0074</v>
      </c>
    </row>
    <row r="184" ht="14.5" spans="1:11">
      <c r="A184" s="3" t="str">
        <f t="shared" si="9"/>
        <v>2026年</v>
      </c>
      <c r="B184" s="3" t="str">
        <f t="shared" si="10"/>
        <v>1月</v>
      </c>
      <c r="C184" s="4" t="str">
        <f t="shared" si="11"/>
        <v>W2</v>
      </c>
      <c r="D184" s="2" t="s">
        <v>743</v>
      </c>
      <c r="E184" s="2" t="s">
        <v>704</v>
      </c>
      <c r="F184" s="2" t="str" cm="1">
        <f t="array" ref="F184">INDEX(_xlfn.TEXTSPLIT(E184,"-"),2)</f>
        <v>女装</v>
      </c>
      <c r="G184" s="2" t="str" cm="1">
        <f t="array" ref="G184">INDEX(_xlfn.TEXTSPLIT(E184,"-"),3)</f>
        <v>中老年女装</v>
      </c>
      <c r="H184" s="5">
        <v>544015</v>
      </c>
      <c r="I184" s="5">
        <v>64332332.11</v>
      </c>
      <c r="J184" s="6">
        <v>0.0153</v>
      </c>
      <c r="K184" s="6">
        <v>-0.0066</v>
      </c>
    </row>
    <row r="185" ht="14.5" spans="1:11">
      <c r="A185" s="3" t="str">
        <f t="shared" si="9"/>
        <v>2026年</v>
      </c>
      <c r="B185" s="3" t="str">
        <f t="shared" si="10"/>
        <v>1月</v>
      </c>
      <c r="C185" s="4" t="str">
        <f t="shared" si="11"/>
        <v>W2</v>
      </c>
      <c r="D185" s="2" t="s">
        <v>743</v>
      </c>
      <c r="E185" s="2" t="s">
        <v>705</v>
      </c>
      <c r="F185" s="2" t="str" cm="1">
        <f t="array" ref="F185">INDEX(_xlfn.TEXTSPLIT(E185,"-"),2)</f>
        <v>女装</v>
      </c>
      <c r="G185" s="2" t="str" cm="1">
        <f t="array" ref="G185">INDEX(_xlfn.TEXTSPLIT(E185,"-"),3)</f>
        <v>半身裙</v>
      </c>
      <c r="H185" s="5">
        <v>814228</v>
      </c>
      <c r="I185" s="5">
        <v>75062436.51</v>
      </c>
      <c r="J185" s="6">
        <v>0.0179</v>
      </c>
      <c r="K185" s="6">
        <v>0.0195</v>
      </c>
    </row>
    <row r="186" ht="14.5" spans="1:11">
      <c r="A186" s="3" t="str">
        <f t="shared" si="9"/>
        <v>2026年</v>
      </c>
      <c r="B186" s="3" t="str">
        <f t="shared" si="10"/>
        <v>1月</v>
      </c>
      <c r="C186" s="4" t="str">
        <f t="shared" si="11"/>
        <v>W2</v>
      </c>
      <c r="D186" s="2" t="s">
        <v>743</v>
      </c>
      <c r="E186" s="2" t="s">
        <v>706</v>
      </c>
      <c r="F186" s="2" t="str" cm="1">
        <f t="array" ref="F186">INDEX(_xlfn.TEXTSPLIT(E186,"-"),2)</f>
        <v>女装</v>
      </c>
      <c r="G186" s="2" t="str" cm="1">
        <f t="array" ref="G186">INDEX(_xlfn.TEXTSPLIT(E186,"-"),3)</f>
        <v>卫衣/绒衫</v>
      </c>
      <c r="H186" s="5">
        <v>559396</v>
      </c>
      <c r="I186" s="5">
        <v>43259720.18</v>
      </c>
      <c r="J186" s="6">
        <v>0.0103</v>
      </c>
      <c r="K186" s="6">
        <v>0.0942</v>
      </c>
    </row>
    <row r="187" ht="14.5" spans="1:11">
      <c r="A187" s="3" t="str">
        <f t="shared" si="9"/>
        <v>2026年</v>
      </c>
      <c r="B187" s="3" t="str">
        <f t="shared" si="10"/>
        <v>1月</v>
      </c>
      <c r="C187" s="4" t="str">
        <f t="shared" si="11"/>
        <v>W2</v>
      </c>
      <c r="D187" s="2" t="s">
        <v>743</v>
      </c>
      <c r="E187" s="2" t="s">
        <v>707</v>
      </c>
      <c r="F187" s="2" t="str" cm="1">
        <f t="array" ref="F187">INDEX(_xlfn.TEXTSPLIT(E187,"-"),2)</f>
        <v>女装</v>
      </c>
      <c r="G187" s="2" t="str" cm="1">
        <f t="array" ref="G187">INDEX(_xlfn.TEXTSPLIT(E187,"-"),3)</f>
        <v>唐装/民族服装/舞台服装</v>
      </c>
      <c r="H187" s="5">
        <v>210988</v>
      </c>
      <c r="I187" s="5">
        <v>45355999.55</v>
      </c>
      <c r="J187" s="6">
        <v>0.0108</v>
      </c>
      <c r="K187" s="6">
        <v>0.149</v>
      </c>
    </row>
    <row r="188" ht="14.5" spans="1:11">
      <c r="A188" s="3" t="str">
        <f t="shared" si="9"/>
        <v>2026年</v>
      </c>
      <c r="B188" s="3" t="str">
        <f t="shared" si="10"/>
        <v>1月</v>
      </c>
      <c r="C188" s="4" t="str">
        <f t="shared" si="11"/>
        <v>W2</v>
      </c>
      <c r="D188" s="2" t="s">
        <v>743</v>
      </c>
      <c r="E188" s="2" t="s">
        <v>708</v>
      </c>
      <c r="F188" s="2" t="str" cm="1">
        <f t="array" ref="F188">INDEX(_xlfn.TEXTSPLIT(E188,"-"),2)</f>
        <v>女装</v>
      </c>
      <c r="G188" s="2" t="str" cm="1">
        <f t="array" ref="G188">INDEX(_xlfn.TEXTSPLIT(E188,"-"),3)</f>
        <v>大码女装</v>
      </c>
      <c r="H188" s="5">
        <v>756583</v>
      </c>
      <c r="I188" s="5">
        <v>72322002.36</v>
      </c>
      <c r="J188" s="6">
        <v>0.0172</v>
      </c>
      <c r="K188" s="6">
        <v>0.0606</v>
      </c>
    </row>
    <row r="189" ht="14.5" spans="1:11">
      <c r="A189" s="3" t="str">
        <f t="shared" si="9"/>
        <v>2026年</v>
      </c>
      <c r="B189" s="3" t="str">
        <f t="shared" si="10"/>
        <v>1月</v>
      </c>
      <c r="C189" s="4" t="str">
        <f t="shared" si="11"/>
        <v>W2</v>
      </c>
      <c r="D189" s="2" t="s">
        <v>743</v>
      </c>
      <c r="E189" s="2" t="s">
        <v>709</v>
      </c>
      <c r="F189" s="2" t="str" cm="1">
        <f t="array" ref="F189">INDEX(_xlfn.TEXTSPLIT(E189,"-"),2)</f>
        <v>女装</v>
      </c>
      <c r="G189" s="2" t="str" cm="1">
        <f t="array" ref="G189">INDEX(_xlfn.TEXTSPLIT(E189,"-"),3)</f>
        <v>套装/学生校服/工作制服</v>
      </c>
      <c r="H189" s="5">
        <v>1016987</v>
      </c>
      <c r="I189" s="5">
        <v>142328469</v>
      </c>
      <c r="J189" s="6">
        <v>0.0339</v>
      </c>
      <c r="K189" s="6">
        <v>0.0352</v>
      </c>
    </row>
    <row r="190" ht="14.5" spans="1:11">
      <c r="A190" s="3" t="str">
        <f t="shared" si="9"/>
        <v>2026年</v>
      </c>
      <c r="B190" s="3" t="str">
        <f t="shared" si="10"/>
        <v>1月</v>
      </c>
      <c r="C190" s="4" t="str">
        <f t="shared" si="11"/>
        <v>W2</v>
      </c>
      <c r="D190" s="2" t="s">
        <v>743</v>
      </c>
      <c r="E190" s="2" t="s">
        <v>710</v>
      </c>
      <c r="F190" s="2" t="str" cm="1">
        <f t="array" ref="F190">INDEX(_xlfn.TEXTSPLIT(E190,"-"),2)</f>
        <v>女装</v>
      </c>
      <c r="G190" s="2" t="str" cm="1">
        <f t="array" ref="G190">INDEX(_xlfn.TEXTSPLIT(E190,"-"),3)</f>
        <v>婚纱/旗袍/礼服</v>
      </c>
      <c r="H190" s="5">
        <v>66955</v>
      </c>
      <c r="I190" s="5">
        <v>11847622.21</v>
      </c>
      <c r="J190" s="6">
        <v>0.0028</v>
      </c>
      <c r="K190" s="6">
        <v>0.0202</v>
      </c>
    </row>
    <row r="191" ht="14.5" spans="1:11">
      <c r="A191" s="3" t="str">
        <f t="shared" si="9"/>
        <v>2026年</v>
      </c>
      <c r="B191" s="3" t="str">
        <f t="shared" si="10"/>
        <v>1月</v>
      </c>
      <c r="C191" s="4" t="str">
        <f t="shared" si="11"/>
        <v>W2</v>
      </c>
      <c r="D191" s="2" t="s">
        <v>743</v>
      </c>
      <c r="E191" s="2" t="s">
        <v>711</v>
      </c>
      <c r="F191" s="2" t="str" cm="1">
        <f t="array" ref="F191">INDEX(_xlfn.TEXTSPLIT(E191,"-"),2)</f>
        <v>女装</v>
      </c>
      <c r="G191" s="2" t="str" cm="1">
        <f t="array" ref="G191">INDEX(_xlfn.TEXTSPLIT(E191,"-"),3)</f>
        <v>新中式女装</v>
      </c>
      <c r="H191" s="5">
        <v>88205</v>
      </c>
      <c r="I191" s="5">
        <v>14069938.31</v>
      </c>
      <c r="J191" s="6">
        <v>0.0033</v>
      </c>
      <c r="K191" s="6">
        <v>0.6122</v>
      </c>
    </row>
    <row r="192" ht="14.5" spans="1:11">
      <c r="A192" s="3" t="str">
        <f t="shared" si="9"/>
        <v>2026年</v>
      </c>
      <c r="B192" s="3" t="str">
        <f t="shared" si="10"/>
        <v>1月</v>
      </c>
      <c r="C192" s="4" t="str">
        <f t="shared" si="11"/>
        <v>W2</v>
      </c>
      <c r="D192" s="2" t="s">
        <v>743</v>
      </c>
      <c r="E192" s="2" t="s">
        <v>712</v>
      </c>
      <c r="F192" s="2" t="str" cm="1">
        <f t="array" ref="F192">INDEX(_xlfn.TEXTSPLIT(E192,"-"),2)</f>
        <v>女装</v>
      </c>
      <c r="G192" s="2" t="str" cm="1">
        <f t="array" ref="G192">INDEX(_xlfn.TEXTSPLIT(E192,"-"),3)</f>
        <v>时尚防晒服</v>
      </c>
      <c r="H192" s="5">
        <v>396</v>
      </c>
      <c r="I192" s="5">
        <v>32360.52</v>
      </c>
      <c r="J192" s="2" t="s">
        <v>713</v>
      </c>
      <c r="K192" s="6">
        <v>0.0403</v>
      </c>
    </row>
    <row r="193" ht="14.5" spans="1:11">
      <c r="A193" s="3" t="str">
        <f t="shared" si="9"/>
        <v>2026年</v>
      </c>
      <c r="B193" s="3" t="str">
        <f t="shared" si="10"/>
        <v>1月</v>
      </c>
      <c r="C193" s="4" t="str">
        <f t="shared" si="11"/>
        <v>W2</v>
      </c>
      <c r="D193" s="2" t="s">
        <v>743</v>
      </c>
      <c r="E193" s="2" t="s">
        <v>714</v>
      </c>
      <c r="F193" s="2" t="str" cm="1">
        <f t="array" ref="F193">INDEX(_xlfn.TEXTSPLIT(E193,"-"),2)</f>
        <v>女装</v>
      </c>
      <c r="G193" s="2" t="str" cm="1">
        <f t="array" ref="G193">INDEX(_xlfn.TEXTSPLIT(E193,"-"),3)</f>
        <v>棉衣/棉服</v>
      </c>
      <c r="H193" s="5">
        <v>1109169</v>
      </c>
      <c r="I193" s="5">
        <v>121349394.97</v>
      </c>
      <c r="J193" s="6">
        <v>0.0289</v>
      </c>
      <c r="K193" s="6">
        <v>0.0677</v>
      </c>
    </row>
    <row r="194" ht="14.5" spans="1:11">
      <c r="A194" s="3" t="str">
        <f t="shared" si="9"/>
        <v>2026年</v>
      </c>
      <c r="B194" s="3" t="str">
        <f t="shared" si="10"/>
        <v>1月</v>
      </c>
      <c r="C194" s="4" t="str">
        <f t="shared" si="11"/>
        <v>W2</v>
      </c>
      <c r="D194" s="2" t="s">
        <v>743</v>
      </c>
      <c r="E194" s="2" t="s">
        <v>715</v>
      </c>
      <c r="F194" s="2" t="str" cm="1">
        <f t="array" ref="F194">INDEX(_xlfn.TEXTSPLIT(E194,"-"),2)</f>
        <v>女装</v>
      </c>
      <c r="G194" s="2" t="str" cm="1">
        <f t="array" ref="G194">INDEX(_xlfn.TEXTSPLIT(E194,"-"),3)</f>
        <v>毛呢外套</v>
      </c>
      <c r="H194" s="5">
        <v>760210</v>
      </c>
      <c r="I194" s="5">
        <v>291654798.43</v>
      </c>
      <c r="J194" s="6">
        <v>0.0694</v>
      </c>
      <c r="K194" s="6">
        <v>0.0592</v>
      </c>
    </row>
    <row r="195" ht="14.5" spans="1:11">
      <c r="A195" s="3" t="str">
        <f t="shared" si="9"/>
        <v>2026年</v>
      </c>
      <c r="B195" s="3" t="str">
        <f t="shared" si="10"/>
        <v>1月</v>
      </c>
      <c r="C195" s="4" t="str">
        <f t="shared" si="11"/>
        <v>W2</v>
      </c>
      <c r="D195" s="2" t="s">
        <v>743</v>
      </c>
      <c r="E195" s="2" t="s">
        <v>716</v>
      </c>
      <c r="F195" s="2" t="str" cm="1">
        <f t="array" ref="F195">INDEX(_xlfn.TEXTSPLIT(E195,"-"),2)</f>
        <v>女装</v>
      </c>
      <c r="G195" s="2" t="str" cm="1">
        <f t="array" ref="G195">INDEX(_xlfn.TEXTSPLIT(E195,"-"),3)</f>
        <v>毛衣</v>
      </c>
      <c r="H195" s="5">
        <v>601092</v>
      </c>
      <c r="I195" s="5">
        <v>52500407.79</v>
      </c>
      <c r="J195" s="6">
        <v>0.0125</v>
      </c>
      <c r="K195" s="6">
        <v>0.0544</v>
      </c>
    </row>
    <row r="196" ht="14.5" spans="1:11">
      <c r="A196" s="3" t="str">
        <f t="shared" si="9"/>
        <v>2026年</v>
      </c>
      <c r="B196" s="3" t="str">
        <f t="shared" si="10"/>
        <v>1月</v>
      </c>
      <c r="C196" s="4" t="str">
        <f t="shared" si="11"/>
        <v>W2</v>
      </c>
      <c r="D196" s="2" t="s">
        <v>743</v>
      </c>
      <c r="E196" s="2" t="s">
        <v>717</v>
      </c>
      <c r="F196" s="2" t="str" cm="1">
        <f t="array" ref="F196">INDEX(_xlfn.TEXTSPLIT(E196,"-"),2)</f>
        <v>女装</v>
      </c>
      <c r="G196" s="2" t="str" cm="1">
        <f t="array" ref="G196">INDEX(_xlfn.TEXTSPLIT(E196,"-"),3)</f>
        <v>毛针织衫</v>
      </c>
      <c r="H196" s="5">
        <v>2645068</v>
      </c>
      <c r="I196" s="5">
        <v>204650086.54</v>
      </c>
      <c r="J196" s="6">
        <v>0.0487</v>
      </c>
      <c r="K196" s="6">
        <v>-0.012</v>
      </c>
    </row>
    <row r="197" ht="14.5" spans="1:11">
      <c r="A197" s="3" t="str">
        <f t="shared" si="9"/>
        <v>2026年</v>
      </c>
      <c r="B197" s="3" t="str">
        <f t="shared" si="10"/>
        <v>1月</v>
      </c>
      <c r="C197" s="4" t="str">
        <f t="shared" si="11"/>
        <v>W2</v>
      </c>
      <c r="D197" s="2" t="s">
        <v>743</v>
      </c>
      <c r="E197" s="2" t="s">
        <v>718</v>
      </c>
      <c r="F197" s="2" t="str" cm="1">
        <f t="array" ref="F197">INDEX(_xlfn.TEXTSPLIT(E197,"-"),2)</f>
        <v>女装</v>
      </c>
      <c r="G197" s="2" t="str" cm="1">
        <f t="array" ref="G197">INDEX(_xlfn.TEXTSPLIT(E197,"-"),3)</f>
        <v>汉服</v>
      </c>
      <c r="H197" s="5">
        <v>114368</v>
      </c>
      <c r="I197" s="5">
        <v>69623673.81</v>
      </c>
      <c r="J197" s="6">
        <v>0.0166</v>
      </c>
      <c r="K197" s="6">
        <v>0.109</v>
      </c>
    </row>
    <row r="198" ht="14.5" spans="1:11">
      <c r="A198" s="3" t="str">
        <f t="shared" si="9"/>
        <v>2026年</v>
      </c>
      <c r="B198" s="3" t="str">
        <f t="shared" si="10"/>
        <v>1月</v>
      </c>
      <c r="C198" s="4" t="str">
        <f t="shared" si="11"/>
        <v>W2</v>
      </c>
      <c r="D198" s="2" t="s">
        <v>743</v>
      </c>
      <c r="E198" s="2" t="s">
        <v>719</v>
      </c>
      <c r="F198" s="2" t="str" cm="1">
        <f t="array" ref="F198">INDEX(_xlfn.TEXTSPLIT(E198,"-"),2)</f>
        <v>女装</v>
      </c>
      <c r="G198" s="2" t="str" cm="1">
        <f t="array" ref="G198">INDEX(_xlfn.TEXTSPLIT(E198,"-"),3)</f>
        <v>派克服</v>
      </c>
      <c r="H198" s="5">
        <v>89286</v>
      </c>
      <c r="I198" s="5">
        <v>23434301.51</v>
      </c>
      <c r="J198" s="6">
        <v>0.0056</v>
      </c>
      <c r="K198" s="6">
        <v>0.1085</v>
      </c>
    </row>
    <row r="199" ht="14.5" spans="1:11">
      <c r="A199" s="3" t="str">
        <f t="shared" si="9"/>
        <v>2026年</v>
      </c>
      <c r="B199" s="3" t="str">
        <f t="shared" si="10"/>
        <v>1月</v>
      </c>
      <c r="C199" s="4" t="str">
        <f t="shared" si="11"/>
        <v>W2</v>
      </c>
      <c r="D199" s="2" t="s">
        <v>743</v>
      </c>
      <c r="E199" s="2" t="s">
        <v>720</v>
      </c>
      <c r="F199" s="2" t="str" cm="1">
        <f t="array" ref="F199">INDEX(_xlfn.TEXTSPLIT(E199,"-"),2)</f>
        <v>女装</v>
      </c>
      <c r="G199" s="2" t="str" cm="1">
        <f t="array" ref="G199">INDEX(_xlfn.TEXTSPLIT(E199,"-"),3)</f>
        <v>皮草</v>
      </c>
      <c r="H199" s="5">
        <v>251030</v>
      </c>
      <c r="I199" s="5">
        <v>502140472.69</v>
      </c>
      <c r="J199" s="6">
        <v>0.1195</v>
      </c>
      <c r="K199" s="6">
        <v>0.0267</v>
      </c>
    </row>
    <row r="200" ht="14.5" spans="1:11">
      <c r="A200" s="3" t="str">
        <f t="shared" si="9"/>
        <v>2026年</v>
      </c>
      <c r="B200" s="3" t="str">
        <f t="shared" si="10"/>
        <v>1月</v>
      </c>
      <c r="C200" s="4" t="str">
        <f t="shared" si="11"/>
        <v>W2</v>
      </c>
      <c r="D200" s="2" t="s">
        <v>743</v>
      </c>
      <c r="E200" s="2" t="s">
        <v>721</v>
      </c>
      <c r="F200" s="2" t="str" cm="1">
        <f t="array" ref="F200">INDEX(_xlfn.TEXTSPLIT(E200,"-"),2)</f>
        <v>女装</v>
      </c>
      <c r="G200" s="2" t="str" cm="1">
        <f t="array" ref="G200">INDEX(_xlfn.TEXTSPLIT(E200,"-"),3)</f>
        <v>皮衣</v>
      </c>
      <c r="H200" s="5">
        <v>151624</v>
      </c>
      <c r="I200" s="5">
        <v>49111536.84</v>
      </c>
      <c r="J200" s="6">
        <v>0.0117</v>
      </c>
      <c r="K200" s="6">
        <v>0.0972</v>
      </c>
    </row>
    <row r="201" ht="14.5" spans="1:11">
      <c r="A201" s="3" t="str">
        <f t="shared" si="9"/>
        <v>2026年</v>
      </c>
      <c r="B201" s="3" t="str">
        <f t="shared" si="10"/>
        <v>1月</v>
      </c>
      <c r="C201" s="4" t="str">
        <f t="shared" si="11"/>
        <v>W2</v>
      </c>
      <c r="D201" s="2" t="s">
        <v>743</v>
      </c>
      <c r="E201" s="2" t="s">
        <v>722</v>
      </c>
      <c r="F201" s="2" t="str" cm="1">
        <f t="array" ref="F201">INDEX(_xlfn.TEXTSPLIT(E201,"-"),2)</f>
        <v>女装</v>
      </c>
      <c r="G201" s="2" t="str" cm="1">
        <f t="array" ref="G201">INDEX(_xlfn.TEXTSPLIT(E201,"-"),3)</f>
        <v>短外套</v>
      </c>
      <c r="H201" s="5">
        <v>1679285</v>
      </c>
      <c r="I201" s="5">
        <v>327989082.84</v>
      </c>
      <c r="J201" s="6">
        <v>0.078</v>
      </c>
      <c r="K201" s="6">
        <v>0.0228</v>
      </c>
    </row>
    <row r="202" ht="14.5" spans="1:11">
      <c r="A202" s="3" t="str">
        <f t="shared" si="9"/>
        <v>2026年</v>
      </c>
      <c r="B202" s="3" t="str">
        <f t="shared" si="10"/>
        <v>1月</v>
      </c>
      <c r="C202" s="4" t="str">
        <f t="shared" si="11"/>
        <v>W2</v>
      </c>
      <c r="D202" s="2" t="s">
        <v>743</v>
      </c>
      <c r="E202" s="2" t="s">
        <v>723</v>
      </c>
      <c r="F202" s="2" t="str" cm="1">
        <f t="array" ref="F202">INDEX(_xlfn.TEXTSPLIT(E202,"-"),2)</f>
        <v>女装</v>
      </c>
      <c r="G202" s="2" t="str" cm="1">
        <f t="array" ref="G202">INDEX(_xlfn.TEXTSPLIT(E202,"-"),3)</f>
        <v>短裤</v>
      </c>
      <c r="H202" s="5">
        <v>131707</v>
      </c>
      <c r="I202" s="5">
        <v>7273618.19</v>
      </c>
      <c r="J202" s="6">
        <v>0.0017</v>
      </c>
      <c r="K202" s="6">
        <v>-0.0237</v>
      </c>
    </row>
    <row r="203" ht="14.5" spans="1:11">
      <c r="A203" s="3" t="str">
        <f t="shared" si="9"/>
        <v>2026年</v>
      </c>
      <c r="B203" s="3" t="str">
        <f t="shared" si="10"/>
        <v>1月</v>
      </c>
      <c r="C203" s="4" t="str">
        <f t="shared" si="11"/>
        <v>W2</v>
      </c>
      <c r="D203" s="2" t="s">
        <v>743</v>
      </c>
      <c r="E203" s="2" t="s">
        <v>724</v>
      </c>
      <c r="F203" s="2" t="str" cm="1">
        <f t="array" ref="F203">INDEX(_xlfn.TEXTSPLIT(E203,"-"),2)</f>
        <v>女装</v>
      </c>
      <c r="G203" s="2" t="str" cm="1">
        <f t="array" ref="G203">INDEX(_xlfn.TEXTSPLIT(E203,"-"),3)</f>
        <v>羊毛衫</v>
      </c>
      <c r="H203" s="5">
        <v>637066</v>
      </c>
      <c r="I203" s="5">
        <v>79066852.77</v>
      </c>
      <c r="J203" s="6">
        <v>0.0188</v>
      </c>
      <c r="K203" s="6">
        <v>0.0385</v>
      </c>
    </row>
    <row r="204" ht="14.5" spans="1:11">
      <c r="A204" s="3" t="str">
        <f t="shared" si="9"/>
        <v>2026年</v>
      </c>
      <c r="B204" s="3" t="str">
        <f t="shared" si="10"/>
        <v>1月</v>
      </c>
      <c r="C204" s="4" t="str">
        <f t="shared" si="11"/>
        <v>W2</v>
      </c>
      <c r="D204" s="2" t="s">
        <v>743</v>
      </c>
      <c r="E204" s="2" t="s">
        <v>725</v>
      </c>
      <c r="F204" s="2" t="str" cm="1">
        <f t="array" ref="F204">INDEX(_xlfn.TEXTSPLIT(E204,"-"),2)</f>
        <v>女装</v>
      </c>
      <c r="G204" s="2" t="str" cm="1">
        <f t="array" ref="G204">INDEX(_xlfn.TEXTSPLIT(E204,"-"),3)</f>
        <v>羊绒大衣</v>
      </c>
      <c r="H204" s="5">
        <v>5869</v>
      </c>
      <c r="I204" s="5">
        <v>4435396.04</v>
      </c>
      <c r="J204" s="6">
        <v>0.0011</v>
      </c>
      <c r="K204" s="6">
        <v>-0.167</v>
      </c>
    </row>
    <row r="205" ht="14.5" spans="1:11">
      <c r="A205" s="3" t="str">
        <f t="shared" si="9"/>
        <v>2026年</v>
      </c>
      <c r="B205" s="3" t="str">
        <f t="shared" si="10"/>
        <v>1月</v>
      </c>
      <c r="C205" s="4" t="str">
        <f t="shared" si="11"/>
        <v>W2</v>
      </c>
      <c r="D205" s="2" t="s">
        <v>743</v>
      </c>
      <c r="E205" s="2" t="s">
        <v>726</v>
      </c>
      <c r="F205" s="2" t="str" cm="1">
        <f t="array" ref="F205">INDEX(_xlfn.TEXTSPLIT(E205,"-"),2)</f>
        <v>女装</v>
      </c>
      <c r="G205" s="2" t="str" cm="1">
        <f t="array" ref="G205">INDEX(_xlfn.TEXTSPLIT(E205,"-"),3)</f>
        <v>羊绒衫</v>
      </c>
      <c r="H205" s="5">
        <v>167245</v>
      </c>
      <c r="I205" s="5">
        <v>55208089.51</v>
      </c>
      <c r="J205" s="6">
        <v>0.0131</v>
      </c>
      <c r="K205" s="6">
        <v>0.1816</v>
      </c>
    </row>
    <row r="206" ht="14.5" spans="1:11">
      <c r="A206" s="3" t="str">
        <f t="shared" si="9"/>
        <v>2026年</v>
      </c>
      <c r="B206" s="3" t="str">
        <f t="shared" si="10"/>
        <v>1月</v>
      </c>
      <c r="C206" s="4" t="str">
        <f t="shared" si="11"/>
        <v>W2</v>
      </c>
      <c r="D206" s="2" t="s">
        <v>743</v>
      </c>
      <c r="E206" s="2" t="s">
        <v>727</v>
      </c>
      <c r="F206" s="2" t="str" cm="1">
        <f t="array" ref="F206">INDEX(_xlfn.TEXTSPLIT(E206,"-"),2)</f>
        <v>女装</v>
      </c>
      <c r="G206" s="2" t="str" cm="1">
        <f t="array" ref="G206">INDEX(_xlfn.TEXTSPLIT(E206,"-"),3)</f>
        <v>羽绒服</v>
      </c>
      <c r="H206" s="5">
        <v>2362624</v>
      </c>
      <c r="I206" s="5">
        <v>1001920735.21</v>
      </c>
      <c r="J206" s="6">
        <v>0.2383</v>
      </c>
      <c r="K206" s="6">
        <v>0.0867</v>
      </c>
    </row>
    <row r="207" ht="14.5" spans="1:11">
      <c r="A207" s="3" t="str">
        <f t="shared" si="9"/>
        <v>2026年</v>
      </c>
      <c r="B207" s="3" t="str">
        <f t="shared" si="10"/>
        <v>1月</v>
      </c>
      <c r="C207" s="4" t="str">
        <f t="shared" si="11"/>
        <v>W2</v>
      </c>
      <c r="D207" s="2" t="s">
        <v>743</v>
      </c>
      <c r="E207" s="2" t="s">
        <v>728</v>
      </c>
      <c r="F207" s="2" t="str" cm="1">
        <f t="array" ref="F207">INDEX(_xlfn.TEXTSPLIT(E207,"-"),2)</f>
        <v>女装</v>
      </c>
      <c r="G207" s="2" t="str" cm="1">
        <f t="array" ref="G207">INDEX(_xlfn.TEXTSPLIT(E207,"-"),3)</f>
        <v>肌底衣/肌肤衣</v>
      </c>
      <c r="H207" s="5">
        <v>5955</v>
      </c>
      <c r="I207" s="5">
        <v>378321.57</v>
      </c>
      <c r="J207" s="6">
        <v>0.0001</v>
      </c>
      <c r="K207" s="6">
        <v>0.3445</v>
      </c>
    </row>
    <row r="208" ht="14.5" spans="1:11">
      <c r="A208" s="3" t="str">
        <f t="shared" si="9"/>
        <v>2026年</v>
      </c>
      <c r="B208" s="3" t="str">
        <f t="shared" si="10"/>
        <v>1月</v>
      </c>
      <c r="C208" s="4" t="str">
        <f t="shared" si="11"/>
        <v>W2</v>
      </c>
      <c r="D208" s="2" t="s">
        <v>743</v>
      </c>
      <c r="E208" s="2" t="s">
        <v>729</v>
      </c>
      <c r="F208" s="2" t="str" cm="1">
        <f t="array" ref="F208">INDEX(_xlfn.TEXTSPLIT(E208,"-"),2)</f>
        <v>女装</v>
      </c>
      <c r="G208" s="2" t="str" cm="1">
        <f t="array" ref="G208">INDEX(_xlfn.TEXTSPLIT(E208,"-"),3)</f>
        <v>背心吊带</v>
      </c>
      <c r="H208" s="5">
        <v>213817</v>
      </c>
      <c r="I208" s="5">
        <v>11964511.34</v>
      </c>
      <c r="J208" s="6">
        <v>0.0028</v>
      </c>
      <c r="K208" s="6">
        <v>-0.0736</v>
      </c>
    </row>
    <row r="209" ht="14.5" spans="1:11">
      <c r="A209" s="3" t="str">
        <f t="shared" si="9"/>
        <v>2026年</v>
      </c>
      <c r="B209" s="3" t="str">
        <f t="shared" si="10"/>
        <v>1月</v>
      </c>
      <c r="C209" s="4" t="str">
        <f t="shared" si="11"/>
        <v>W2</v>
      </c>
      <c r="D209" s="2" t="s">
        <v>743</v>
      </c>
      <c r="E209" s="2" t="s">
        <v>730</v>
      </c>
      <c r="F209" s="2" t="str" cm="1">
        <f t="array" ref="F209">INDEX(_xlfn.TEXTSPLIT(E209,"-"),2)</f>
        <v>女装</v>
      </c>
      <c r="G209" s="2" t="str" cm="1">
        <f t="array" ref="G209">INDEX(_xlfn.TEXTSPLIT(E209,"-"),3)</f>
        <v>蕾丝衫/雪纺衫</v>
      </c>
      <c r="H209" s="5">
        <v>204890</v>
      </c>
      <c r="I209" s="5">
        <v>13676555.23</v>
      </c>
      <c r="J209" s="6">
        <v>0.0033</v>
      </c>
      <c r="K209" s="6">
        <v>0.0059</v>
      </c>
    </row>
    <row r="210" ht="14.5" spans="1:11">
      <c r="A210" s="3" t="str">
        <f t="shared" si="9"/>
        <v>2026年</v>
      </c>
      <c r="B210" s="3" t="str">
        <f t="shared" si="10"/>
        <v>1月</v>
      </c>
      <c r="C210" s="4" t="str">
        <f t="shared" si="11"/>
        <v>W2</v>
      </c>
      <c r="D210" s="2" t="s">
        <v>743</v>
      </c>
      <c r="E210" s="2" t="s">
        <v>731</v>
      </c>
      <c r="F210" s="2" t="str" cm="1">
        <f t="array" ref="F210">INDEX(_xlfn.TEXTSPLIT(E210,"-"),2)</f>
        <v>女装</v>
      </c>
      <c r="G210" s="2" t="str" cm="1">
        <f t="array" ref="G210">INDEX(_xlfn.TEXTSPLIT(E210,"-"),3)</f>
        <v>衬衫</v>
      </c>
      <c r="H210" s="5">
        <v>454831</v>
      </c>
      <c r="I210" s="5">
        <v>47601443.14</v>
      </c>
      <c r="J210" s="6">
        <v>0.0113</v>
      </c>
      <c r="K210" s="6">
        <v>-0.038</v>
      </c>
    </row>
    <row r="211" ht="14.5" spans="1:11">
      <c r="A211" s="3" t="str">
        <f t="shared" si="9"/>
        <v>2026年</v>
      </c>
      <c r="B211" s="3" t="str">
        <f t="shared" si="10"/>
        <v>1月</v>
      </c>
      <c r="C211" s="4" t="str">
        <f t="shared" si="11"/>
        <v>W2</v>
      </c>
      <c r="D211" s="2" t="s">
        <v>743</v>
      </c>
      <c r="E211" s="2" t="s">
        <v>732</v>
      </c>
      <c r="F211" s="2" t="str" cm="1">
        <f t="array" ref="F211">INDEX(_xlfn.TEXTSPLIT(E211,"-"),2)</f>
        <v>女装</v>
      </c>
      <c r="G211" s="2" t="str" cm="1">
        <f t="array" ref="G211">INDEX(_xlfn.TEXTSPLIT(E211,"-"),3)</f>
        <v>裤子</v>
      </c>
      <c r="H211" s="5">
        <v>5608262</v>
      </c>
      <c r="I211" s="5">
        <v>526247010.25</v>
      </c>
      <c r="J211" s="6">
        <v>0.1252</v>
      </c>
      <c r="K211" s="6">
        <v>0.037</v>
      </c>
    </row>
    <row r="212" ht="14.5" spans="1:11">
      <c r="A212" s="3" t="str">
        <f t="shared" si="9"/>
        <v>2026年</v>
      </c>
      <c r="B212" s="3" t="str">
        <f t="shared" si="10"/>
        <v>1月</v>
      </c>
      <c r="C212" s="4" t="str">
        <f t="shared" si="11"/>
        <v>W2</v>
      </c>
      <c r="D212" s="2" t="s">
        <v>743</v>
      </c>
      <c r="E212" s="2" t="s">
        <v>733</v>
      </c>
      <c r="F212" s="2" t="str" cm="1">
        <f t="array" ref="F212">INDEX(_xlfn.TEXTSPLIT(E212,"-"),2)</f>
        <v>女装</v>
      </c>
      <c r="G212" s="2" t="str" cm="1">
        <f t="array" ref="G212">INDEX(_xlfn.TEXTSPLIT(E212,"-"),3)</f>
        <v>西装</v>
      </c>
      <c r="H212" s="5">
        <v>45341</v>
      </c>
      <c r="I212" s="5">
        <v>11504817.4</v>
      </c>
      <c r="J212" s="6">
        <v>0.0027</v>
      </c>
      <c r="K212" s="6">
        <v>0.104</v>
      </c>
    </row>
    <row r="213" ht="14.5" spans="1:11">
      <c r="A213" s="3" t="str">
        <f t="shared" si="9"/>
        <v>2026年</v>
      </c>
      <c r="B213" s="3" t="str">
        <f t="shared" si="10"/>
        <v>1月</v>
      </c>
      <c r="C213" s="4" t="str">
        <f t="shared" si="11"/>
        <v>W2</v>
      </c>
      <c r="D213" s="2" t="s">
        <v>743</v>
      </c>
      <c r="E213" s="2" t="s">
        <v>734</v>
      </c>
      <c r="F213" s="2" t="str" cm="1">
        <f t="array" ref="F213">INDEX(_xlfn.TEXTSPLIT(E213,"-"),2)</f>
        <v>女装</v>
      </c>
      <c r="G213" s="2" t="str" cm="1">
        <f t="array" ref="G213">INDEX(_xlfn.TEXTSPLIT(E213,"-"),3)</f>
        <v>设计师/潮牌女装</v>
      </c>
      <c r="H213" s="5">
        <v>609406</v>
      </c>
      <c r="I213" s="5">
        <v>72997454.49</v>
      </c>
      <c r="J213" s="6">
        <v>0.0174</v>
      </c>
      <c r="K213" s="6">
        <v>0.1722</v>
      </c>
    </row>
    <row r="214" ht="14.5" spans="1:11">
      <c r="A214" s="3" t="str">
        <f t="shared" si="9"/>
        <v>2026年</v>
      </c>
      <c r="B214" s="3" t="str">
        <f t="shared" si="10"/>
        <v>1月</v>
      </c>
      <c r="C214" s="4" t="str">
        <f t="shared" si="11"/>
        <v>W2</v>
      </c>
      <c r="D214" s="2" t="s">
        <v>743</v>
      </c>
      <c r="E214" s="2" t="s">
        <v>735</v>
      </c>
      <c r="F214" s="2" t="str" cm="1">
        <f t="array" ref="F214">INDEX(_xlfn.TEXTSPLIT(E214,"-"),2)</f>
        <v>女装</v>
      </c>
      <c r="G214" s="2" t="str" cm="1">
        <f t="array" ref="G214">INDEX(_xlfn.TEXTSPLIT(E214,"-"),3)</f>
        <v>连体衣/裤</v>
      </c>
      <c r="H214" s="5">
        <v>11111</v>
      </c>
      <c r="I214" s="5">
        <v>1930342.24</v>
      </c>
      <c r="J214" s="6">
        <v>0.0005</v>
      </c>
      <c r="K214" s="6">
        <v>0.1992</v>
      </c>
    </row>
    <row r="215" ht="14.5" spans="1:11">
      <c r="A215" s="3" t="str">
        <f t="shared" si="9"/>
        <v>2026年</v>
      </c>
      <c r="B215" s="3" t="str">
        <f t="shared" si="10"/>
        <v>1月</v>
      </c>
      <c r="C215" s="4" t="str">
        <f t="shared" si="11"/>
        <v>W2</v>
      </c>
      <c r="D215" s="2" t="s">
        <v>743</v>
      </c>
      <c r="E215" s="2" t="s">
        <v>736</v>
      </c>
      <c r="F215" s="2" t="str" cm="1">
        <f t="array" ref="F215">INDEX(_xlfn.TEXTSPLIT(E215,"-"),2)</f>
        <v>女装</v>
      </c>
      <c r="G215" s="2" t="str" cm="1">
        <f t="array" ref="G215">INDEX(_xlfn.TEXTSPLIT(E215,"-"),3)</f>
        <v>连衣裙</v>
      </c>
      <c r="H215" s="5">
        <v>824240</v>
      </c>
      <c r="I215" s="5">
        <v>107729925.77</v>
      </c>
      <c r="J215" s="6">
        <v>0.0256</v>
      </c>
      <c r="K215" s="6">
        <v>0.0426</v>
      </c>
    </row>
    <row r="216" ht="14.5" spans="1:11">
      <c r="A216" s="3" t="str">
        <f t="shared" si="9"/>
        <v>2026年</v>
      </c>
      <c r="B216" s="3" t="str">
        <f t="shared" si="10"/>
        <v>1月</v>
      </c>
      <c r="C216" s="4" t="str">
        <f t="shared" si="11"/>
        <v>W2</v>
      </c>
      <c r="D216" s="2" t="s">
        <v>743</v>
      </c>
      <c r="E216" s="2" t="s">
        <v>737</v>
      </c>
      <c r="F216" s="2" t="str" cm="1">
        <f t="array" ref="F216">INDEX(_xlfn.TEXTSPLIT(E216,"-"),2)</f>
        <v>女装</v>
      </c>
      <c r="G216" s="2" t="str" cm="1">
        <f t="array" ref="G216">INDEX(_xlfn.TEXTSPLIT(E216,"-"),3)</f>
        <v>风衣</v>
      </c>
      <c r="H216" s="5">
        <v>102211</v>
      </c>
      <c r="I216" s="5">
        <v>12956398.7</v>
      </c>
      <c r="J216" s="6">
        <v>0.0031</v>
      </c>
      <c r="K216" s="6">
        <v>-0.1422</v>
      </c>
    </row>
    <row r="217" ht="14.5" spans="1:11">
      <c r="A217" s="3" t="str">
        <f t="shared" si="9"/>
        <v>2026年</v>
      </c>
      <c r="B217" s="3" t="str">
        <f t="shared" si="10"/>
        <v>1月</v>
      </c>
      <c r="C217" s="4" t="str">
        <f t="shared" si="11"/>
        <v>W2</v>
      </c>
      <c r="D217" s="2" t="s">
        <v>743</v>
      </c>
      <c r="E217" s="2" t="s">
        <v>738</v>
      </c>
      <c r="F217" s="2" t="str" cm="1">
        <f t="array" ref="F217">INDEX(_xlfn.TEXTSPLIT(E217,"-"),2)</f>
        <v>女装</v>
      </c>
      <c r="G217" s="2" t="str" cm="1">
        <f t="array" ref="G217">INDEX(_xlfn.TEXTSPLIT(E217,"-"),3)</f>
        <v>马夹</v>
      </c>
      <c r="H217" s="5">
        <v>411152</v>
      </c>
      <c r="I217" s="5">
        <v>46305198.97</v>
      </c>
      <c r="J217" s="6">
        <v>0.011</v>
      </c>
      <c r="K217" s="6">
        <v>0.0672</v>
      </c>
    </row>
    <row r="218" ht="14.5" spans="1:11">
      <c r="A218" s="3" t="str">
        <f t="shared" si="9"/>
        <v>2026年</v>
      </c>
      <c r="B218" s="3" t="str">
        <f t="shared" si="10"/>
        <v>1月</v>
      </c>
      <c r="C218" s="4" t="str">
        <f t="shared" si="11"/>
        <v>W2</v>
      </c>
      <c r="D218" s="2" t="s">
        <v>744</v>
      </c>
      <c r="E218" s="2" t="s">
        <v>702</v>
      </c>
      <c r="F218" s="2" t="str" cm="1">
        <f t="array" ref="F218">INDEX(_xlfn.TEXTSPLIT(E218,"-"),2)</f>
        <v>女装</v>
      </c>
      <c r="G218" s="2" t="str" cm="1">
        <f t="array" ref="G218">INDEX(_xlfn.TEXTSPLIT(E218,"-"),3)</f>
        <v>POLO衫</v>
      </c>
      <c r="H218" s="5">
        <v>12097</v>
      </c>
      <c r="I218" s="5">
        <v>838154.25</v>
      </c>
      <c r="J218" s="6">
        <v>0.0002</v>
      </c>
      <c r="K218" s="6">
        <v>-0.2781</v>
      </c>
    </row>
    <row r="219" ht="14.5" spans="1:11">
      <c r="A219" s="3" t="str">
        <f t="shared" ref="A219:A282" si="12">TEXT(YEAR(D219),"0")&amp;"年"</f>
        <v>2026年</v>
      </c>
      <c r="B219" s="3" t="str">
        <f t="shared" ref="B219:B282" si="13">TEXT(MONTH(D219),"0")&amp;"月"</f>
        <v>1月</v>
      </c>
      <c r="C219" s="4" t="str">
        <f t="shared" ref="C219:C282" si="14">"W"&amp;TEXT(WEEKNUM(D219,2),"0")</f>
        <v>W2</v>
      </c>
      <c r="D219" s="2" t="s">
        <v>744</v>
      </c>
      <c r="E219" s="2" t="s">
        <v>703</v>
      </c>
      <c r="F219" s="2" t="str" cm="1">
        <f t="array" ref="F219">INDEX(_xlfn.TEXTSPLIT(E219,"-"),2)</f>
        <v>女装</v>
      </c>
      <c r="G219" s="2" t="str" cm="1">
        <f t="array" ref="G219">INDEX(_xlfn.TEXTSPLIT(E219,"-"),3)</f>
        <v>T恤</v>
      </c>
      <c r="H219" s="5">
        <v>1550042</v>
      </c>
      <c r="I219" s="5">
        <v>86869242.68</v>
      </c>
      <c r="J219" s="6">
        <v>0.0207</v>
      </c>
      <c r="K219" s="6">
        <v>-0.0381</v>
      </c>
    </row>
    <row r="220" ht="14.5" spans="1:11">
      <c r="A220" s="3" t="str">
        <f t="shared" si="12"/>
        <v>2026年</v>
      </c>
      <c r="B220" s="3" t="str">
        <f t="shared" si="13"/>
        <v>1月</v>
      </c>
      <c r="C220" s="4" t="str">
        <f t="shared" si="14"/>
        <v>W2</v>
      </c>
      <c r="D220" s="2" t="s">
        <v>744</v>
      </c>
      <c r="E220" s="2" t="s">
        <v>704</v>
      </c>
      <c r="F220" s="2" t="str" cm="1">
        <f t="array" ref="F220">INDEX(_xlfn.TEXTSPLIT(E220,"-"),2)</f>
        <v>女装</v>
      </c>
      <c r="G220" s="2" t="str" cm="1">
        <f t="array" ref="G220">INDEX(_xlfn.TEXTSPLIT(E220,"-"),3)</f>
        <v>中老年女装</v>
      </c>
      <c r="H220" s="5">
        <v>510249</v>
      </c>
      <c r="I220" s="5">
        <v>58351374.8</v>
      </c>
      <c r="J220" s="6">
        <v>0.0139</v>
      </c>
      <c r="K220" s="6">
        <v>-0.093</v>
      </c>
    </row>
    <row r="221" ht="14.5" spans="1:11">
      <c r="A221" s="3" t="str">
        <f t="shared" si="12"/>
        <v>2026年</v>
      </c>
      <c r="B221" s="3" t="str">
        <f t="shared" si="13"/>
        <v>1月</v>
      </c>
      <c r="C221" s="4" t="str">
        <f t="shared" si="14"/>
        <v>W2</v>
      </c>
      <c r="D221" s="2" t="s">
        <v>744</v>
      </c>
      <c r="E221" s="2" t="s">
        <v>705</v>
      </c>
      <c r="F221" s="2" t="str" cm="1">
        <f t="array" ref="F221">INDEX(_xlfn.TEXTSPLIT(E221,"-"),2)</f>
        <v>女装</v>
      </c>
      <c r="G221" s="2" t="str" cm="1">
        <f t="array" ref="G221">INDEX(_xlfn.TEXTSPLIT(E221,"-"),3)</f>
        <v>半身裙</v>
      </c>
      <c r="H221" s="5">
        <v>818141</v>
      </c>
      <c r="I221" s="5">
        <v>79101325.43</v>
      </c>
      <c r="J221" s="6">
        <v>0.0188</v>
      </c>
      <c r="K221" s="6">
        <v>0.0538</v>
      </c>
    </row>
    <row r="222" ht="14.5" spans="1:11">
      <c r="A222" s="3" t="str">
        <f t="shared" si="12"/>
        <v>2026年</v>
      </c>
      <c r="B222" s="3" t="str">
        <f t="shared" si="13"/>
        <v>1月</v>
      </c>
      <c r="C222" s="4" t="str">
        <f t="shared" si="14"/>
        <v>W2</v>
      </c>
      <c r="D222" s="2" t="s">
        <v>744</v>
      </c>
      <c r="E222" s="2" t="s">
        <v>706</v>
      </c>
      <c r="F222" s="2" t="str" cm="1">
        <f t="array" ref="F222">INDEX(_xlfn.TEXTSPLIT(E222,"-"),2)</f>
        <v>女装</v>
      </c>
      <c r="G222" s="2" t="str" cm="1">
        <f t="array" ref="G222">INDEX(_xlfn.TEXTSPLIT(E222,"-"),3)</f>
        <v>卫衣/绒衫</v>
      </c>
      <c r="H222" s="5">
        <v>588384</v>
      </c>
      <c r="I222" s="5">
        <v>44168393.33</v>
      </c>
      <c r="J222" s="6">
        <v>0.0105</v>
      </c>
      <c r="K222" s="6">
        <v>0.021</v>
      </c>
    </row>
    <row r="223" ht="14.5" spans="1:11">
      <c r="A223" s="3" t="str">
        <f t="shared" si="12"/>
        <v>2026年</v>
      </c>
      <c r="B223" s="3" t="str">
        <f t="shared" si="13"/>
        <v>1月</v>
      </c>
      <c r="C223" s="4" t="str">
        <f t="shared" si="14"/>
        <v>W2</v>
      </c>
      <c r="D223" s="2" t="s">
        <v>744</v>
      </c>
      <c r="E223" s="2" t="s">
        <v>707</v>
      </c>
      <c r="F223" s="2" t="str" cm="1">
        <f t="array" ref="F223">INDEX(_xlfn.TEXTSPLIT(E223,"-"),2)</f>
        <v>女装</v>
      </c>
      <c r="G223" s="2" t="str" cm="1">
        <f t="array" ref="G223">INDEX(_xlfn.TEXTSPLIT(E223,"-"),3)</f>
        <v>唐装/民族服装/舞台服装</v>
      </c>
      <c r="H223" s="5">
        <v>199057</v>
      </c>
      <c r="I223" s="5">
        <v>39561460.16</v>
      </c>
      <c r="J223" s="6">
        <v>0.0094</v>
      </c>
      <c r="K223" s="6">
        <v>-0.1278</v>
      </c>
    </row>
    <row r="224" ht="14.5" spans="1:11">
      <c r="A224" s="3" t="str">
        <f t="shared" si="12"/>
        <v>2026年</v>
      </c>
      <c r="B224" s="3" t="str">
        <f t="shared" si="13"/>
        <v>1月</v>
      </c>
      <c r="C224" s="4" t="str">
        <f t="shared" si="14"/>
        <v>W2</v>
      </c>
      <c r="D224" s="2" t="s">
        <v>744</v>
      </c>
      <c r="E224" s="2" t="s">
        <v>708</v>
      </c>
      <c r="F224" s="2" t="str" cm="1">
        <f t="array" ref="F224">INDEX(_xlfn.TEXTSPLIT(E224,"-"),2)</f>
        <v>女装</v>
      </c>
      <c r="G224" s="2" t="str" cm="1">
        <f t="array" ref="G224">INDEX(_xlfn.TEXTSPLIT(E224,"-"),3)</f>
        <v>大码女装</v>
      </c>
      <c r="H224" s="5">
        <v>730809</v>
      </c>
      <c r="I224" s="5">
        <v>66528501.46</v>
      </c>
      <c r="J224" s="6">
        <v>0.0158</v>
      </c>
      <c r="K224" s="6">
        <v>-0.0801</v>
      </c>
    </row>
    <row r="225" ht="14.5" spans="1:11">
      <c r="A225" s="3" t="str">
        <f t="shared" si="12"/>
        <v>2026年</v>
      </c>
      <c r="B225" s="3" t="str">
        <f t="shared" si="13"/>
        <v>1月</v>
      </c>
      <c r="C225" s="4" t="str">
        <f t="shared" si="14"/>
        <v>W2</v>
      </c>
      <c r="D225" s="2" t="s">
        <v>744</v>
      </c>
      <c r="E225" s="2" t="s">
        <v>709</v>
      </c>
      <c r="F225" s="2" t="str" cm="1">
        <f t="array" ref="F225">INDEX(_xlfn.TEXTSPLIT(E225,"-"),2)</f>
        <v>女装</v>
      </c>
      <c r="G225" s="2" t="str" cm="1">
        <f t="array" ref="G225">INDEX(_xlfn.TEXTSPLIT(E225,"-"),3)</f>
        <v>套装/学生校服/工作制服</v>
      </c>
      <c r="H225" s="5">
        <v>1019348</v>
      </c>
      <c r="I225" s="5">
        <v>145064752.65</v>
      </c>
      <c r="J225" s="6">
        <v>0.0345</v>
      </c>
      <c r="K225" s="6">
        <v>0.0192</v>
      </c>
    </row>
    <row r="226" ht="14.5" spans="1:11">
      <c r="A226" s="3" t="str">
        <f t="shared" si="12"/>
        <v>2026年</v>
      </c>
      <c r="B226" s="3" t="str">
        <f t="shared" si="13"/>
        <v>1月</v>
      </c>
      <c r="C226" s="4" t="str">
        <f t="shared" si="14"/>
        <v>W2</v>
      </c>
      <c r="D226" s="2" t="s">
        <v>744</v>
      </c>
      <c r="E226" s="2" t="s">
        <v>710</v>
      </c>
      <c r="F226" s="2" t="str" cm="1">
        <f t="array" ref="F226">INDEX(_xlfn.TEXTSPLIT(E226,"-"),2)</f>
        <v>女装</v>
      </c>
      <c r="G226" s="2" t="str" cm="1">
        <f t="array" ref="G226">INDEX(_xlfn.TEXTSPLIT(E226,"-"),3)</f>
        <v>婚纱/旗袍/礼服</v>
      </c>
      <c r="H226" s="5">
        <v>64887</v>
      </c>
      <c r="I226" s="5">
        <v>11684957.76</v>
      </c>
      <c r="J226" s="6">
        <v>0.0028</v>
      </c>
      <c r="K226" s="6">
        <v>-0.0137</v>
      </c>
    </row>
    <row r="227" ht="14.5" spans="1:11">
      <c r="A227" s="3" t="str">
        <f t="shared" si="12"/>
        <v>2026年</v>
      </c>
      <c r="B227" s="3" t="str">
        <f t="shared" si="13"/>
        <v>1月</v>
      </c>
      <c r="C227" s="4" t="str">
        <f t="shared" si="14"/>
        <v>W2</v>
      </c>
      <c r="D227" s="2" t="s">
        <v>744</v>
      </c>
      <c r="E227" s="2" t="s">
        <v>711</v>
      </c>
      <c r="F227" s="2" t="str" cm="1">
        <f t="array" ref="F227">INDEX(_xlfn.TEXTSPLIT(E227,"-"),2)</f>
        <v>女装</v>
      </c>
      <c r="G227" s="2" t="str" cm="1">
        <f t="array" ref="G227">INDEX(_xlfn.TEXTSPLIT(E227,"-"),3)</f>
        <v>新中式女装</v>
      </c>
      <c r="H227" s="5">
        <v>104315</v>
      </c>
      <c r="I227" s="5">
        <v>12458220.9</v>
      </c>
      <c r="J227" s="6">
        <v>0.003</v>
      </c>
      <c r="K227" s="6">
        <v>-0.1146</v>
      </c>
    </row>
    <row r="228" ht="14.5" spans="1:11">
      <c r="A228" s="3" t="str">
        <f t="shared" si="12"/>
        <v>2026年</v>
      </c>
      <c r="B228" s="3" t="str">
        <f t="shared" si="13"/>
        <v>1月</v>
      </c>
      <c r="C228" s="4" t="str">
        <f t="shared" si="14"/>
        <v>W2</v>
      </c>
      <c r="D228" s="2" t="s">
        <v>744</v>
      </c>
      <c r="E228" s="2" t="s">
        <v>712</v>
      </c>
      <c r="F228" s="2" t="str" cm="1">
        <f t="array" ref="F228">INDEX(_xlfn.TEXTSPLIT(E228,"-"),2)</f>
        <v>女装</v>
      </c>
      <c r="G228" s="2" t="str" cm="1">
        <f t="array" ref="G228">INDEX(_xlfn.TEXTSPLIT(E228,"-"),3)</f>
        <v>时尚防晒服</v>
      </c>
      <c r="H228" s="5">
        <v>392</v>
      </c>
      <c r="I228" s="5">
        <v>41271.93</v>
      </c>
      <c r="J228" s="2" t="s">
        <v>713</v>
      </c>
      <c r="K228" s="6">
        <v>0.2754</v>
      </c>
    </row>
    <row r="229" ht="14.5" spans="1:11">
      <c r="A229" s="3" t="str">
        <f t="shared" si="12"/>
        <v>2026年</v>
      </c>
      <c r="B229" s="3" t="str">
        <f t="shared" si="13"/>
        <v>1月</v>
      </c>
      <c r="C229" s="4" t="str">
        <f t="shared" si="14"/>
        <v>W2</v>
      </c>
      <c r="D229" s="2" t="s">
        <v>744</v>
      </c>
      <c r="E229" s="2" t="s">
        <v>714</v>
      </c>
      <c r="F229" s="2" t="str" cm="1">
        <f t="array" ref="F229">INDEX(_xlfn.TEXTSPLIT(E229,"-"),2)</f>
        <v>女装</v>
      </c>
      <c r="G229" s="2" t="str" cm="1">
        <f t="array" ref="G229">INDEX(_xlfn.TEXTSPLIT(E229,"-"),3)</f>
        <v>棉衣/棉服</v>
      </c>
      <c r="H229" s="5">
        <v>1088357</v>
      </c>
      <c r="I229" s="5">
        <v>122018413.16</v>
      </c>
      <c r="J229" s="6">
        <v>0.029</v>
      </c>
      <c r="K229" s="6">
        <v>0.0055</v>
      </c>
    </row>
    <row r="230" ht="14.5" spans="1:11">
      <c r="A230" s="3" t="str">
        <f t="shared" si="12"/>
        <v>2026年</v>
      </c>
      <c r="B230" s="3" t="str">
        <f t="shared" si="13"/>
        <v>1月</v>
      </c>
      <c r="C230" s="4" t="str">
        <f t="shared" si="14"/>
        <v>W2</v>
      </c>
      <c r="D230" s="2" t="s">
        <v>744</v>
      </c>
      <c r="E230" s="2" t="s">
        <v>715</v>
      </c>
      <c r="F230" s="2" t="str" cm="1">
        <f t="array" ref="F230">INDEX(_xlfn.TEXTSPLIT(E230,"-"),2)</f>
        <v>女装</v>
      </c>
      <c r="G230" s="2" t="str" cm="1">
        <f t="array" ref="G230">INDEX(_xlfn.TEXTSPLIT(E230,"-"),3)</f>
        <v>毛呢外套</v>
      </c>
      <c r="H230" s="5">
        <v>829289</v>
      </c>
      <c r="I230" s="5">
        <v>335202681.99</v>
      </c>
      <c r="J230" s="6">
        <v>0.0797</v>
      </c>
      <c r="K230" s="6">
        <v>0.1493</v>
      </c>
    </row>
    <row r="231" ht="14.5" spans="1:11">
      <c r="A231" s="3" t="str">
        <f t="shared" si="12"/>
        <v>2026年</v>
      </c>
      <c r="B231" s="3" t="str">
        <f t="shared" si="13"/>
        <v>1月</v>
      </c>
      <c r="C231" s="4" t="str">
        <f t="shared" si="14"/>
        <v>W2</v>
      </c>
      <c r="D231" s="2" t="s">
        <v>744</v>
      </c>
      <c r="E231" s="2" t="s">
        <v>716</v>
      </c>
      <c r="F231" s="2" t="str" cm="1">
        <f t="array" ref="F231">INDEX(_xlfn.TEXTSPLIT(E231,"-"),2)</f>
        <v>女装</v>
      </c>
      <c r="G231" s="2" t="str" cm="1">
        <f t="array" ref="G231">INDEX(_xlfn.TEXTSPLIT(E231,"-"),3)</f>
        <v>毛衣</v>
      </c>
      <c r="H231" s="5">
        <v>640372</v>
      </c>
      <c r="I231" s="5">
        <v>58361576.55</v>
      </c>
      <c r="J231" s="6">
        <v>0.0139</v>
      </c>
      <c r="K231" s="6">
        <v>0.1116</v>
      </c>
    </row>
    <row r="232" ht="14.5" spans="1:11">
      <c r="A232" s="3" t="str">
        <f t="shared" si="12"/>
        <v>2026年</v>
      </c>
      <c r="B232" s="3" t="str">
        <f t="shared" si="13"/>
        <v>1月</v>
      </c>
      <c r="C232" s="4" t="str">
        <f t="shared" si="14"/>
        <v>W2</v>
      </c>
      <c r="D232" s="2" t="s">
        <v>744</v>
      </c>
      <c r="E232" s="2" t="s">
        <v>717</v>
      </c>
      <c r="F232" s="2" t="str" cm="1">
        <f t="array" ref="F232">INDEX(_xlfn.TEXTSPLIT(E232,"-"),2)</f>
        <v>女装</v>
      </c>
      <c r="G232" s="2" t="str" cm="1">
        <f t="array" ref="G232">INDEX(_xlfn.TEXTSPLIT(E232,"-"),3)</f>
        <v>毛针织衫</v>
      </c>
      <c r="H232" s="5">
        <v>2481987</v>
      </c>
      <c r="I232" s="5">
        <v>215219386.17</v>
      </c>
      <c r="J232" s="6">
        <v>0.0512</v>
      </c>
      <c r="K232" s="6">
        <v>0.0516</v>
      </c>
    </row>
    <row r="233" ht="14.5" spans="1:11">
      <c r="A233" s="3" t="str">
        <f t="shared" si="12"/>
        <v>2026年</v>
      </c>
      <c r="B233" s="3" t="str">
        <f t="shared" si="13"/>
        <v>1月</v>
      </c>
      <c r="C233" s="4" t="str">
        <f t="shared" si="14"/>
        <v>W2</v>
      </c>
      <c r="D233" s="2" t="s">
        <v>744</v>
      </c>
      <c r="E233" s="2" t="s">
        <v>718</v>
      </c>
      <c r="F233" s="2" t="str" cm="1">
        <f t="array" ref="F233">INDEX(_xlfn.TEXTSPLIT(E233,"-"),2)</f>
        <v>女装</v>
      </c>
      <c r="G233" s="2" t="str" cm="1">
        <f t="array" ref="G233">INDEX(_xlfn.TEXTSPLIT(E233,"-"),3)</f>
        <v>汉服</v>
      </c>
      <c r="H233" s="5">
        <v>148415</v>
      </c>
      <c r="I233" s="5">
        <v>107285905.75</v>
      </c>
      <c r="J233" s="6">
        <v>0.0255</v>
      </c>
      <c r="K233" s="6">
        <v>0.5409</v>
      </c>
    </row>
    <row r="234" ht="14.5" spans="1:11">
      <c r="A234" s="3" t="str">
        <f t="shared" si="12"/>
        <v>2026年</v>
      </c>
      <c r="B234" s="3" t="str">
        <f t="shared" si="13"/>
        <v>1月</v>
      </c>
      <c r="C234" s="4" t="str">
        <f t="shared" si="14"/>
        <v>W2</v>
      </c>
      <c r="D234" s="2" t="s">
        <v>744</v>
      </c>
      <c r="E234" s="2" t="s">
        <v>719</v>
      </c>
      <c r="F234" s="2" t="str" cm="1">
        <f t="array" ref="F234">INDEX(_xlfn.TEXTSPLIT(E234,"-"),2)</f>
        <v>女装</v>
      </c>
      <c r="G234" s="2" t="str" cm="1">
        <f t="array" ref="G234">INDEX(_xlfn.TEXTSPLIT(E234,"-"),3)</f>
        <v>派克服</v>
      </c>
      <c r="H234" s="5">
        <v>81479</v>
      </c>
      <c r="I234" s="5">
        <v>22078313.02</v>
      </c>
      <c r="J234" s="6">
        <v>0.0052</v>
      </c>
      <c r="K234" s="6">
        <v>-0.0579</v>
      </c>
    </row>
    <row r="235" ht="14.5" spans="1:11">
      <c r="A235" s="3" t="str">
        <f t="shared" si="12"/>
        <v>2026年</v>
      </c>
      <c r="B235" s="3" t="str">
        <f t="shared" si="13"/>
        <v>1月</v>
      </c>
      <c r="C235" s="4" t="str">
        <f t="shared" si="14"/>
        <v>W2</v>
      </c>
      <c r="D235" s="2" t="s">
        <v>744</v>
      </c>
      <c r="E235" s="2" t="s">
        <v>720</v>
      </c>
      <c r="F235" s="2" t="str" cm="1">
        <f t="array" ref="F235">INDEX(_xlfn.TEXTSPLIT(E235,"-"),2)</f>
        <v>女装</v>
      </c>
      <c r="G235" s="2" t="str" cm="1">
        <f t="array" ref="G235">INDEX(_xlfn.TEXTSPLIT(E235,"-"),3)</f>
        <v>皮草</v>
      </c>
      <c r="H235" s="5">
        <v>253525</v>
      </c>
      <c r="I235" s="5">
        <v>453031276.63</v>
      </c>
      <c r="J235" s="6">
        <v>0.1077</v>
      </c>
      <c r="K235" s="6">
        <v>-0.0978</v>
      </c>
    </row>
    <row r="236" ht="14.5" spans="1:11">
      <c r="A236" s="3" t="str">
        <f t="shared" si="12"/>
        <v>2026年</v>
      </c>
      <c r="B236" s="3" t="str">
        <f t="shared" si="13"/>
        <v>1月</v>
      </c>
      <c r="C236" s="4" t="str">
        <f t="shared" si="14"/>
        <v>W2</v>
      </c>
      <c r="D236" s="2" t="s">
        <v>744</v>
      </c>
      <c r="E236" s="2" t="s">
        <v>721</v>
      </c>
      <c r="F236" s="2" t="str" cm="1">
        <f t="array" ref="F236">INDEX(_xlfn.TEXTSPLIT(E236,"-"),2)</f>
        <v>女装</v>
      </c>
      <c r="G236" s="2" t="str" cm="1">
        <f t="array" ref="G236">INDEX(_xlfn.TEXTSPLIT(E236,"-"),3)</f>
        <v>皮衣</v>
      </c>
      <c r="H236" s="5">
        <v>131574</v>
      </c>
      <c r="I236" s="5">
        <v>48080781.08</v>
      </c>
      <c r="J236" s="6">
        <v>0.0114</v>
      </c>
      <c r="K236" s="6">
        <v>-0.021</v>
      </c>
    </row>
    <row r="237" ht="14.5" spans="1:11">
      <c r="A237" s="3" t="str">
        <f t="shared" si="12"/>
        <v>2026年</v>
      </c>
      <c r="B237" s="3" t="str">
        <f t="shared" si="13"/>
        <v>1月</v>
      </c>
      <c r="C237" s="4" t="str">
        <f t="shared" si="14"/>
        <v>W2</v>
      </c>
      <c r="D237" s="2" t="s">
        <v>744</v>
      </c>
      <c r="E237" s="2" t="s">
        <v>722</v>
      </c>
      <c r="F237" s="2" t="str" cm="1">
        <f t="array" ref="F237">INDEX(_xlfn.TEXTSPLIT(E237,"-"),2)</f>
        <v>女装</v>
      </c>
      <c r="G237" s="2" t="str" cm="1">
        <f t="array" ref="G237">INDEX(_xlfn.TEXTSPLIT(E237,"-"),3)</f>
        <v>短外套</v>
      </c>
      <c r="H237" s="5">
        <v>1566164</v>
      </c>
      <c r="I237" s="5">
        <v>314436639.41</v>
      </c>
      <c r="J237" s="6">
        <v>0.0748</v>
      </c>
      <c r="K237" s="6">
        <v>-0.0413</v>
      </c>
    </row>
    <row r="238" ht="14.5" spans="1:11">
      <c r="A238" s="3" t="str">
        <f t="shared" si="12"/>
        <v>2026年</v>
      </c>
      <c r="B238" s="3" t="str">
        <f t="shared" si="13"/>
        <v>1月</v>
      </c>
      <c r="C238" s="4" t="str">
        <f t="shared" si="14"/>
        <v>W2</v>
      </c>
      <c r="D238" s="2" t="s">
        <v>744</v>
      </c>
      <c r="E238" s="2" t="s">
        <v>723</v>
      </c>
      <c r="F238" s="2" t="str" cm="1">
        <f t="array" ref="F238">INDEX(_xlfn.TEXTSPLIT(E238,"-"),2)</f>
        <v>女装</v>
      </c>
      <c r="G238" s="2" t="str" cm="1">
        <f t="array" ref="G238">INDEX(_xlfn.TEXTSPLIT(E238,"-"),3)</f>
        <v>短裤</v>
      </c>
      <c r="H238" s="5">
        <v>132103</v>
      </c>
      <c r="I238" s="5">
        <v>7517661.47</v>
      </c>
      <c r="J238" s="6">
        <v>0.0018</v>
      </c>
      <c r="K238" s="6">
        <v>0.0336</v>
      </c>
    </row>
    <row r="239" ht="14.5" spans="1:11">
      <c r="A239" s="3" t="str">
        <f t="shared" si="12"/>
        <v>2026年</v>
      </c>
      <c r="B239" s="3" t="str">
        <f t="shared" si="13"/>
        <v>1月</v>
      </c>
      <c r="C239" s="4" t="str">
        <f t="shared" si="14"/>
        <v>W2</v>
      </c>
      <c r="D239" s="2" t="s">
        <v>744</v>
      </c>
      <c r="E239" s="2" t="s">
        <v>724</v>
      </c>
      <c r="F239" s="2" t="str" cm="1">
        <f t="array" ref="F239">INDEX(_xlfn.TEXTSPLIT(E239,"-"),2)</f>
        <v>女装</v>
      </c>
      <c r="G239" s="2" t="str" cm="1">
        <f t="array" ref="G239">INDEX(_xlfn.TEXTSPLIT(E239,"-"),3)</f>
        <v>羊毛衫</v>
      </c>
      <c r="H239" s="5">
        <v>612393</v>
      </c>
      <c r="I239" s="5">
        <v>83245310.69</v>
      </c>
      <c r="J239" s="6">
        <v>0.0198</v>
      </c>
      <c r="K239" s="6">
        <v>0.0528</v>
      </c>
    </row>
    <row r="240" ht="14.5" spans="1:11">
      <c r="A240" s="3" t="str">
        <f t="shared" si="12"/>
        <v>2026年</v>
      </c>
      <c r="B240" s="3" t="str">
        <f t="shared" si="13"/>
        <v>1月</v>
      </c>
      <c r="C240" s="4" t="str">
        <f t="shared" si="14"/>
        <v>W2</v>
      </c>
      <c r="D240" s="2" t="s">
        <v>744</v>
      </c>
      <c r="E240" s="2" t="s">
        <v>725</v>
      </c>
      <c r="F240" s="2" t="str" cm="1">
        <f t="array" ref="F240">INDEX(_xlfn.TEXTSPLIT(E240,"-"),2)</f>
        <v>女装</v>
      </c>
      <c r="G240" s="2" t="str" cm="1">
        <f t="array" ref="G240">INDEX(_xlfn.TEXTSPLIT(E240,"-"),3)</f>
        <v>羊绒大衣</v>
      </c>
      <c r="H240" s="5">
        <v>8243</v>
      </c>
      <c r="I240" s="5">
        <v>3330230.57</v>
      </c>
      <c r="J240" s="6">
        <v>0.0008</v>
      </c>
      <c r="K240" s="6">
        <v>-0.2492</v>
      </c>
    </row>
    <row r="241" ht="14.5" spans="1:11">
      <c r="A241" s="3" t="str">
        <f t="shared" si="12"/>
        <v>2026年</v>
      </c>
      <c r="B241" s="3" t="str">
        <f t="shared" si="13"/>
        <v>1月</v>
      </c>
      <c r="C241" s="4" t="str">
        <f t="shared" si="14"/>
        <v>W2</v>
      </c>
      <c r="D241" s="2" t="s">
        <v>744</v>
      </c>
      <c r="E241" s="2" t="s">
        <v>726</v>
      </c>
      <c r="F241" s="2" t="str" cm="1">
        <f t="array" ref="F241">INDEX(_xlfn.TEXTSPLIT(E241,"-"),2)</f>
        <v>女装</v>
      </c>
      <c r="G241" s="2" t="str" cm="1">
        <f t="array" ref="G241">INDEX(_xlfn.TEXTSPLIT(E241,"-"),3)</f>
        <v>羊绒衫</v>
      </c>
      <c r="H241" s="5">
        <v>167565</v>
      </c>
      <c r="I241" s="5">
        <v>60431729.11</v>
      </c>
      <c r="J241" s="6">
        <v>0.0144</v>
      </c>
      <c r="K241" s="6">
        <v>0.0946</v>
      </c>
    </row>
    <row r="242" ht="14.5" spans="1:11">
      <c r="A242" s="3" t="str">
        <f t="shared" si="12"/>
        <v>2026年</v>
      </c>
      <c r="B242" s="3" t="str">
        <f t="shared" si="13"/>
        <v>1月</v>
      </c>
      <c r="C242" s="4" t="str">
        <f t="shared" si="14"/>
        <v>W2</v>
      </c>
      <c r="D242" s="2" t="s">
        <v>744</v>
      </c>
      <c r="E242" s="2" t="s">
        <v>727</v>
      </c>
      <c r="F242" s="2" t="str" cm="1">
        <f t="array" ref="F242">INDEX(_xlfn.TEXTSPLIT(E242,"-"),2)</f>
        <v>女装</v>
      </c>
      <c r="G242" s="2" t="str" cm="1">
        <f t="array" ref="G242">INDEX(_xlfn.TEXTSPLIT(E242,"-"),3)</f>
        <v>羽绒服</v>
      </c>
      <c r="H242" s="5">
        <v>2358343</v>
      </c>
      <c r="I242" s="5">
        <v>986656562.68</v>
      </c>
      <c r="J242" s="6">
        <v>0.2346</v>
      </c>
      <c r="K242" s="6">
        <v>-0.0152</v>
      </c>
    </row>
    <row r="243" ht="14.5" spans="1:11">
      <c r="A243" s="3" t="str">
        <f t="shared" si="12"/>
        <v>2026年</v>
      </c>
      <c r="B243" s="3" t="str">
        <f t="shared" si="13"/>
        <v>1月</v>
      </c>
      <c r="C243" s="4" t="str">
        <f t="shared" si="14"/>
        <v>W2</v>
      </c>
      <c r="D243" s="2" t="s">
        <v>744</v>
      </c>
      <c r="E243" s="2" t="s">
        <v>728</v>
      </c>
      <c r="F243" s="2" t="str" cm="1">
        <f t="array" ref="F243">INDEX(_xlfn.TEXTSPLIT(E243,"-"),2)</f>
        <v>女装</v>
      </c>
      <c r="G243" s="2" t="str" cm="1">
        <f t="array" ref="G243">INDEX(_xlfn.TEXTSPLIT(E243,"-"),3)</f>
        <v>肌底衣/肌肤衣</v>
      </c>
      <c r="H243" s="5">
        <v>9395</v>
      </c>
      <c r="I243" s="5">
        <v>531736.1</v>
      </c>
      <c r="J243" s="6">
        <v>0.0001</v>
      </c>
      <c r="K243" s="6">
        <v>0.4055</v>
      </c>
    </row>
    <row r="244" ht="14.5" spans="1:11">
      <c r="A244" s="3" t="str">
        <f t="shared" si="12"/>
        <v>2026年</v>
      </c>
      <c r="B244" s="3" t="str">
        <f t="shared" si="13"/>
        <v>1月</v>
      </c>
      <c r="C244" s="4" t="str">
        <f t="shared" si="14"/>
        <v>W2</v>
      </c>
      <c r="D244" s="2" t="s">
        <v>744</v>
      </c>
      <c r="E244" s="2" t="s">
        <v>729</v>
      </c>
      <c r="F244" s="2" t="str" cm="1">
        <f t="array" ref="F244">INDEX(_xlfn.TEXTSPLIT(E244,"-"),2)</f>
        <v>女装</v>
      </c>
      <c r="G244" s="2" t="str" cm="1">
        <f t="array" ref="G244">INDEX(_xlfn.TEXTSPLIT(E244,"-"),3)</f>
        <v>背心吊带</v>
      </c>
      <c r="H244" s="5">
        <v>200273</v>
      </c>
      <c r="I244" s="5">
        <v>11382875.65</v>
      </c>
      <c r="J244" s="6">
        <v>0.0027</v>
      </c>
      <c r="K244" s="6">
        <v>-0.0486</v>
      </c>
    </row>
    <row r="245" ht="14.5" spans="1:11">
      <c r="A245" s="3" t="str">
        <f t="shared" si="12"/>
        <v>2026年</v>
      </c>
      <c r="B245" s="3" t="str">
        <f t="shared" si="13"/>
        <v>1月</v>
      </c>
      <c r="C245" s="4" t="str">
        <f t="shared" si="14"/>
        <v>W2</v>
      </c>
      <c r="D245" s="2" t="s">
        <v>744</v>
      </c>
      <c r="E245" s="2" t="s">
        <v>730</v>
      </c>
      <c r="F245" s="2" t="str" cm="1">
        <f t="array" ref="F245">INDEX(_xlfn.TEXTSPLIT(E245,"-"),2)</f>
        <v>女装</v>
      </c>
      <c r="G245" s="2" t="str" cm="1">
        <f t="array" ref="G245">INDEX(_xlfn.TEXTSPLIT(E245,"-"),3)</f>
        <v>蕾丝衫/雪纺衫</v>
      </c>
      <c r="H245" s="5">
        <v>169785</v>
      </c>
      <c r="I245" s="5">
        <v>11699186.42</v>
      </c>
      <c r="J245" s="6">
        <v>0.0028</v>
      </c>
      <c r="K245" s="6">
        <v>-0.1446</v>
      </c>
    </row>
    <row r="246" ht="14.5" spans="1:11">
      <c r="A246" s="3" t="str">
        <f t="shared" si="12"/>
        <v>2026年</v>
      </c>
      <c r="B246" s="3" t="str">
        <f t="shared" si="13"/>
        <v>1月</v>
      </c>
      <c r="C246" s="4" t="str">
        <f t="shared" si="14"/>
        <v>W2</v>
      </c>
      <c r="D246" s="2" t="s">
        <v>744</v>
      </c>
      <c r="E246" s="2" t="s">
        <v>731</v>
      </c>
      <c r="F246" s="2" t="str" cm="1">
        <f t="array" ref="F246">INDEX(_xlfn.TEXTSPLIT(E246,"-"),2)</f>
        <v>女装</v>
      </c>
      <c r="G246" s="2" t="str" cm="1">
        <f t="array" ref="G246">INDEX(_xlfn.TEXTSPLIT(E246,"-"),3)</f>
        <v>衬衫</v>
      </c>
      <c r="H246" s="5">
        <v>431112</v>
      </c>
      <c r="I246" s="5">
        <v>48514021.25</v>
      </c>
      <c r="J246" s="6">
        <v>0.0115</v>
      </c>
      <c r="K246" s="6">
        <v>0.0192</v>
      </c>
    </row>
    <row r="247" ht="14.5" spans="1:11">
      <c r="A247" s="3" t="str">
        <f t="shared" si="12"/>
        <v>2026年</v>
      </c>
      <c r="B247" s="3" t="str">
        <f t="shared" si="13"/>
        <v>1月</v>
      </c>
      <c r="C247" s="4" t="str">
        <f t="shared" si="14"/>
        <v>W2</v>
      </c>
      <c r="D247" s="2" t="s">
        <v>744</v>
      </c>
      <c r="E247" s="2" t="s">
        <v>732</v>
      </c>
      <c r="F247" s="2" t="str" cm="1">
        <f t="array" ref="F247">INDEX(_xlfn.TEXTSPLIT(E247,"-"),2)</f>
        <v>女装</v>
      </c>
      <c r="G247" s="2" t="str" cm="1">
        <f t="array" ref="G247">INDEX(_xlfn.TEXTSPLIT(E247,"-"),3)</f>
        <v>裤子</v>
      </c>
      <c r="H247" s="5">
        <v>5547014</v>
      </c>
      <c r="I247" s="5">
        <v>524461402.14</v>
      </c>
      <c r="J247" s="6">
        <v>0.1247</v>
      </c>
      <c r="K247" s="6">
        <v>-0.0034</v>
      </c>
    </row>
    <row r="248" ht="14.5" spans="1:11">
      <c r="A248" s="3" t="str">
        <f t="shared" si="12"/>
        <v>2026年</v>
      </c>
      <c r="B248" s="3" t="str">
        <f t="shared" si="13"/>
        <v>1月</v>
      </c>
      <c r="C248" s="4" t="str">
        <f t="shared" si="14"/>
        <v>W2</v>
      </c>
      <c r="D248" s="2" t="s">
        <v>744</v>
      </c>
      <c r="E248" s="2" t="s">
        <v>733</v>
      </c>
      <c r="F248" s="2" t="str" cm="1">
        <f t="array" ref="F248">INDEX(_xlfn.TEXTSPLIT(E248,"-"),2)</f>
        <v>女装</v>
      </c>
      <c r="G248" s="2" t="str" cm="1">
        <f t="array" ref="G248">INDEX(_xlfn.TEXTSPLIT(E248,"-"),3)</f>
        <v>西装</v>
      </c>
      <c r="H248" s="5">
        <v>43620</v>
      </c>
      <c r="I248" s="5">
        <v>11811509.14</v>
      </c>
      <c r="J248" s="6">
        <v>0.0028</v>
      </c>
      <c r="K248" s="6">
        <v>0.0267</v>
      </c>
    </row>
    <row r="249" ht="14.5" spans="1:11">
      <c r="A249" s="3" t="str">
        <f t="shared" si="12"/>
        <v>2026年</v>
      </c>
      <c r="B249" s="3" t="str">
        <f t="shared" si="13"/>
        <v>1月</v>
      </c>
      <c r="C249" s="4" t="str">
        <f t="shared" si="14"/>
        <v>W2</v>
      </c>
      <c r="D249" s="2" t="s">
        <v>744</v>
      </c>
      <c r="E249" s="2" t="s">
        <v>734</v>
      </c>
      <c r="F249" s="2" t="str" cm="1">
        <f t="array" ref="F249">INDEX(_xlfn.TEXTSPLIT(E249,"-"),2)</f>
        <v>女装</v>
      </c>
      <c r="G249" s="2" t="str" cm="1">
        <f t="array" ref="G249">INDEX(_xlfn.TEXTSPLIT(E249,"-"),3)</f>
        <v>设计师/潮牌女装</v>
      </c>
      <c r="H249" s="5">
        <v>687751</v>
      </c>
      <c r="I249" s="5">
        <v>72051463.66</v>
      </c>
      <c r="J249" s="6">
        <v>0.0171</v>
      </c>
      <c r="K249" s="6">
        <v>-0.013</v>
      </c>
    </row>
    <row r="250" ht="14.5" spans="1:11">
      <c r="A250" s="3" t="str">
        <f t="shared" si="12"/>
        <v>2026年</v>
      </c>
      <c r="B250" s="3" t="str">
        <f t="shared" si="13"/>
        <v>1月</v>
      </c>
      <c r="C250" s="4" t="str">
        <f t="shared" si="14"/>
        <v>W2</v>
      </c>
      <c r="D250" s="2" t="s">
        <v>744</v>
      </c>
      <c r="E250" s="2" t="s">
        <v>735</v>
      </c>
      <c r="F250" s="2" t="str" cm="1">
        <f t="array" ref="F250">INDEX(_xlfn.TEXTSPLIT(E250,"-"),2)</f>
        <v>女装</v>
      </c>
      <c r="G250" s="2" t="str" cm="1">
        <f t="array" ref="G250">INDEX(_xlfn.TEXTSPLIT(E250,"-"),3)</f>
        <v>连体衣/裤</v>
      </c>
      <c r="H250" s="5">
        <v>9913</v>
      </c>
      <c r="I250" s="5">
        <v>1812683.41</v>
      </c>
      <c r="J250" s="6">
        <v>0.0004</v>
      </c>
      <c r="K250" s="6">
        <v>-0.061</v>
      </c>
    </row>
    <row r="251" ht="14.5" spans="1:11">
      <c r="A251" s="3" t="str">
        <f t="shared" si="12"/>
        <v>2026年</v>
      </c>
      <c r="B251" s="3" t="str">
        <f t="shared" si="13"/>
        <v>1月</v>
      </c>
      <c r="C251" s="4" t="str">
        <f t="shared" si="14"/>
        <v>W2</v>
      </c>
      <c r="D251" s="2" t="s">
        <v>744</v>
      </c>
      <c r="E251" s="2" t="s">
        <v>736</v>
      </c>
      <c r="F251" s="2" t="str" cm="1">
        <f t="array" ref="F251">INDEX(_xlfn.TEXTSPLIT(E251,"-"),2)</f>
        <v>女装</v>
      </c>
      <c r="G251" s="2" t="str" cm="1">
        <f t="array" ref="G251">INDEX(_xlfn.TEXTSPLIT(E251,"-"),3)</f>
        <v>连衣裙</v>
      </c>
      <c r="H251" s="5">
        <v>810000</v>
      </c>
      <c r="I251" s="5">
        <v>101415667.71</v>
      </c>
      <c r="J251" s="6">
        <v>0.0241</v>
      </c>
      <c r="K251" s="6">
        <v>-0.0586</v>
      </c>
    </row>
    <row r="252" ht="14.5" spans="1:11">
      <c r="A252" s="3" t="str">
        <f t="shared" si="12"/>
        <v>2026年</v>
      </c>
      <c r="B252" s="3" t="str">
        <f t="shared" si="13"/>
        <v>1月</v>
      </c>
      <c r="C252" s="4" t="str">
        <f t="shared" si="14"/>
        <v>W2</v>
      </c>
      <c r="D252" s="2" t="s">
        <v>744</v>
      </c>
      <c r="E252" s="2" t="s">
        <v>737</v>
      </c>
      <c r="F252" s="2" t="str" cm="1">
        <f t="array" ref="F252">INDEX(_xlfn.TEXTSPLIT(E252,"-"),2)</f>
        <v>女装</v>
      </c>
      <c r="G252" s="2" t="str" cm="1">
        <f t="array" ref="G252">INDEX(_xlfn.TEXTSPLIT(E252,"-"),3)</f>
        <v>风衣</v>
      </c>
      <c r="H252" s="5">
        <v>104891</v>
      </c>
      <c r="I252" s="5">
        <v>12288558.45</v>
      </c>
      <c r="J252" s="6">
        <v>0.0029</v>
      </c>
      <c r="K252" s="6">
        <v>-0.0515</v>
      </c>
    </row>
    <row r="253" ht="14.5" spans="1:11">
      <c r="A253" s="3" t="str">
        <f t="shared" si="12"/>
        <v>2026年</v>
      </c>
      <c r="B253" s="3" t="str">
        <f t="shared" si="13"/>
        <v>1月</v>
      </c>
      <c r="C253" s="4" t="str">
        <f t="shared" si="14"/>
        <v>W2</v>
      </c>
      <c r="D253" s="2" t="s">
        <v>744</v>
      </c>
      <c r="E253" s="2" t="s">
        <v>738</v>
      </c>
      <c r="F253" s="2" t="str" cm="1">
        <f t="array" ref="F253">INDEX(_xlfn.TEXTSPLIT(E253,"-"),2)</f>
        <v>女装</v>
      </c>
      <c r="G253" s="2" t="str" cm="1">
        <f t="array" ref="G253">INDEX(_xlfn.TEXTSPLIT(E253,"-"),3)</f>
        <v>马夹</v>
      </c>
      <c r="H253" s="5">
        <v>416457</v>
      </c>
      <c r="I253" s="5">
        <v>48184344.25</v>
      </c>
      <c r="J253" s="6">
        <v>0.0115</v>
      </c>
      <c r="K253" s="6">
        <v>0.0406</v>
      </c>
    </row>
    <row r="254" ht="14.5" spans="1:11">
      <c r="A254" s="3" t="str">
        <f t="shared" si="12"/>
        <v>2026年</v>
      </c>
      <c r="B254" s="3" t="str">
        <f t="shared" si="13"/>
        <v>1月</v>
      </c>
      <c r="C254" s="4" t="str">
        <f t="shared" si="14"/>
        <v>W2</v>
      </c>
      <c r="D254" s="2" t="s">
        <v>745</v>
      </c>
      <c r="E254" s="2" t="s">
        <v>702</v>
      </c>
      <c r="F254" s="2" t="str" cm="1">
        <f t="array" ref="F254">INDEX(_xlfn.TEXTSPLIT(E254,"-"),2)</f>
        <v>女装</v>
      </c>
      <c r="G254" s="2" t="str" cm="1">
        <f t="array" ref="G254">INDEX(_xlfn.TEXTSPLIT(E254,"-"),3)</f>
        <v>POLO衫</v>
      </c>
      <c r="H254" s="5">
        <v>17735</v>
      </c>
      <c r="I254" s="5">
        <v>1859821.9</v>
      </c>
      <c r="J254" s="6">
        <v>0.0004</v>
      </c>
      <c r="K254" s="6">
        <v>1.2189</v>
      </c>
    </row>
    <row r="255" ht="14.5" spans="1:11">
      <c r="A255" s="3" t="str">
        <f t="shared" si="12"/>
        <v>2026年</v>
      </c>
      <c r="B255" s="3" t="str">
        <f t="shared" si="13"/>
        <v>1月</v>
      </c>
      <c r="C255" s="4" t="str">
        <f t="shared" si="14"/>
        <v>W2</v>
      </c>
      <c r="D255" s="2" t="s">
        <v>745</v>
      </c>
      <c r="E255" s="2" t="s">
        <v>703</v>
      </c>
      <c r="F255" s="2" t="str" cm="1">
        <f t="array" ref="F255">INDEX(_xlfn.TEXTSPLIT(E255,"-"),2)</f>
        <v>女装</v>
      </c>
      <c r="G255" s="2" t="str" cm="1">
        <f t="array" ref="G255">INDEX(_xlfn.TEXTSPLIT(E255,"-"),3)</f>
        <v>T恤</v>
      </c>
      <c r="H255" s="5">
        <v>1580540</v>
      </c>
      <c r="I255" s="5">
        <v>90501048.31</v>
      </c>
      <c r="J255" s="6">
        <v>0.0216</v>
      </c>
      <c r="K255" s="6">
        <v>0.0418</v>
      </c>
    </row>
    <row r="256" ht="14.5" spans="1:11">
      <c r="A256" s="3" t="str">
        <f t="shared" si="12"/>
        <v>2026年</v>
      </c>
      <c r="B256" s="3" t="str">
        <f t="shared" si="13"/>
        <v>1月</v>
      </c>
      <c r="C256" s="4" t="str">
        <f t="shared" si="14"/>
        <v>W2</v>
      </c>
      <c r="D256" s="2" t="s">
        <v>745</v>
      </c>
      <c r="E256" s="2" t="s">
        <v>704</v>
      </c>
      <c r="F256" s="2" t="str" cm="1">
        <f t="array" ref="F256">INDEX(_xlfn.TEXTSPLIT(E256,"-"),2)</f>
        <v>女装</v>
      </c>
      <c r="G256" s="2" t="str" cm="1">
        <f t="array" ref="G256">INDEX(_xlfn.TEXTSPLIT(E256,"-"),3)</f>
        <v>中老年女装</v>
      </c>
      <c r="H256" s="5">
        <v>491657</v>
      </c>
      <c r="I256" s="5">
        <v>56978282.28</v>
      </c>
      <c r="J256" s="6">
        <v>0.0136</v>
      </c>
      <c r="K256" s="6">
        <v>-0.0235</v>
      </c>
    </row>
    <row r="257" ht="14.5" spans="1:11">
      <c r="A257" s="3" t="str">
        <f t="shared" si="12"/>
        <v>2026年</v>
      </c>
      <c r="B257" s="3" t="str">
        <f t="shared" si="13"/>
        <v>1月</v>
      </c>
      <c r="C257" s="4" t="str">
        <f t="shared" si="14"/>
        <v>W2</v>
      </c>
      <c r="D257" s="2" t="s">
        <v>745</v>
      </c>
      <c r="E257" s="2" t="s">
        <v>705</v>
      </c>
      <c r="F257" s="2" t="str" cm="1">
        <f t="array" ref="F257">INDEX(_xlfn.TEXTSPLIT(E257,"-"),2)</f>
        <v>女装</v>
      </c>
      <c r="G257" s="2" t="str" cm="1">
        <f t="array" ref="G257">INDEX(_xlfn.TEXTSPLIT(E257,"-"),3)</f>
        <v>半身裙</v>
      </c>
      <c r="H257" s="5">
        <v>809274</v>
      </c>
      <c r="I257" s="5">
        <v>78532343.44</v>
      </c>
      <c r="J257" s="6">
        <v>0.0187</v>
      </c>
      <c r="K257" s="6">
        <v>-0.0072</v>
      </c>
    </row>
    <row r="258" ht="14.5" spans="1:11">
      <c r="A258" s="3" t="str">
        <f t="shared" si="12"/>
        <v>2026年</v>
      </c>
      <c r="B258" s="3" t="str">
        <f t="shared" si="13"/>
        <v>1月</v>
      </c>
      <c r="C258" s="4" t="str">
        <f t="shared" si="14"/>
        <v>W2</v>
      </c>
      <c r="D258" s="2" t="s">
        <v>745</v>
      </c>
      <c r="E258" s="2" t="s">
        <v>706</v>
      </c>
      <c r="F258" s="2" t="str" cm="1">
        <f t="array" ref="F258">INDEX(_xlfn.TEXTSPLIT(E258,"-"),2)</f>
        <v>女装</v>
      </c>
      <c r="G258" s="2" t="str" cm="1">
        <f t="array" ref="G258">INDEX(_xlfn.TEXTSPLIT(E258,"-"),3)</f>
        <v>卫衣/绒衫</v>
      </c>
      <c r="H258" s="5">
        <v>554186</v>
      </c>
      <c r="I258" s="5">
        <v>44620579.62</v>
      </c>
      <c r="J258" s="6">
        <v>0.0106</v>
      </c>
      <c r="K258" s="6">
        <v>0.0102</v>
      </c>
    </row>
    <row r="259" ht="14.5" spans="1:11">
      <c r="A259" s="3" t="str">
        <f t="shared" si="12"/>
        <v>2026年</v>
      </c>
      <c r="B259" s="3" t="str">
        <f t="shared" si="13"/>
        <v>1月</v>
      </c>
      <c r="C259" s="4" t="str">
        <f t="shared" si="14"/>
        <v>W2</v>
      </c>
      <c r="D259" s="2" t="s">
        <v>745</v>
      </c>
      <c r="E259" s="2" t="s">
        <v>707</v>
      </c>
      <c r="F259" s="2" t="str" cm="1">
        <f t="array" ref="F259">INDEX(_xlfn.TEXTSPLIT(E259,"-"),2)</f>
        <v>女装</v>
      </c>
      <c r="G259" s="2" t="str" cm="1">
        <f t="array" ref="G259">INDEX(_xlfn.TEXTSPLIT(E259,"-"),3)</f>
        <v>唐装/民族服装/舞台服装</v>
      </c>
      <c r="H259" s="5">
        <v>210398</v>
      </c>
      <c r="I259" s="5">
        <v>47242988.77</v>
      </c>
      <c r="J259" s="6">
        <v>0.0113</v>
      </c>
      <c r="K259" s="6">
        <v>0.1942</v>
      </c>
    </row>
    <row r="260" ht="14.5" spans="1:11">
      <c r="A260" s="3" t="str">
        <f t="shared" si="12"/>
        <v>2026年</v>
      </c>
      <c r="B260" s="3" t="str">
        <f t="shared" si="13"/>
        <v>1月</v>
      </c>
      <c r="C260" s="4" t="str">
        <f t="shared" si="14"/>
        <v>W2</v>
      </c>
      <c r="D260" s="2" t="s">
        <v>745</v>
      </c>
      <c r="E260" s="2" t="s">
        <v>708</v>
      </c>
      <c r="F260" s="2" t="str" cm="1">
        <f t="array" ref="F260">INDEX(_xlfn.TEXTSPLIT(E260,"-"),2)</f>
        <v>女装</v>
      </c>
      <c r="G260" s="2" t="str" cm="1">
        <f t="array" ref="G260">INDEX(_xlfn.TEXTSPLIT(E260,"-"),3)</f>
        <v>大码女装</v>
      </c>
      <c r="H260" s="5">
        <v>746374</v>
      </c>
      <c r="I260" s="5">
        <v>70060830.09</v>
      </c>
      <c r="J260" s="6">
        <v>0.0167</v>
      </c>
      <c r="K260" s="6">
        <v>0.0531</v>
      </c>
    </row>
    <row r="261" ht="14.5" spans="1:11">
      <c r="A261" s="3" t="str">
        <f t="shared" si="12"/>
        <v>2026年</v>
      </c>
      <c r="B261" s="3" t="str">
        <f t="shared" si="13"/>
        <v>1月</v>
      </c>
      <c r="C261" s="4" t="str">
        <f t="shared" si="14"/>
        <v>W2</v>
      </c>
      <c r="D261" s="2" t="s">
        <v>745</v>
      </c>
      <c r="E261" s="2" t="s">
        <v>709</v>
      </c>
      <c r="F261" s="2" t="str" cm="1">
        <f t="array" ref="F261">INDEX(_xlfn.TEXTSPLIT(E261,"-"),2)</f>
        <v>女装</v>
      </c>
      <c r="G261" s="2" t="str" cm="1">
        <f t="array" ref="G261">INDEX(_xlfn.TEXTSPLIT(E261,"-"),3)</f>
        <v>套装/学生校服/工作制服</v>
      </c>
      <c r="H261" s="5">
        <v>965791</v>
      </c>
      <c r="I261" s="5">
        <v>137300086.62</v>
      </c>
      <c r="J261" s="6">
        <v>0.0327</v>
      </c>
      <c r="K261" s="6">
        <v>-0.0535</v>
      </c>
    </row>
    <row r="262" ht="14.5" spans="1:11">
      <c r="A262" s="3" t="str">
        <f t="shared" si="12"/>
        <v>2026年</v>
      </c>
      <c r="B262" s="3" t="str">
        <f t="shared" si="13"/>
        <v>1月</v>
      </c>
      <c r="C262" s="4" t="str">
        <f t="shared" si="14"/>
        <v>W2</v>
      </c>
      <c r="D262" s="2" t="s">
        <v>745</v>
      </c>
      <c r="E262" s="2" t="s">
        <v>710</v>
      </c>
      <c r="F262" s="2" t="str" cm="1">
        <f t="array" ref="F262">INDEX(_xlfn.TEXTSPLIT(E262,"-"),2)</f>
        <v>女装</v>
      </c>
      <c r="G262" s="2" t="str" cm="1">
        <f t="array" ref="G262">INDEX(_xlfn.TEXTSPLIT(E262,"-"),3)</f>
        <v>婚纱/旗袍/礼服</v>
      </c>
      <c r="H262" s="5">
        <v>65442</v>
      </c>
      <c r="I262" s="5">
        <v>12035610.16</v>
      </c>
      <c r="J262" s="6">
        <v>0.0029</v>
      </c>
      <c r="K262" s="7">
        <v>0.03</v>
      </c>
    </row>
    <row r="263" ht="14.5" spans="1:11">
      <c r="A263" s="3" t="str">
        <f t="shared" si="12"/>
        <v>2026年</v>
      </c>
      <c r="B263" s="3" t="str">
        <f t="shared" si="13"/>
        <v>1月</v>
      </c>
      <c r="C263" s="4" t="str">
        <f t="shared" si="14"/>
        <v>W2</v>
      </c>
      <c r="D263" s="2" t="s">
        <v>745</v>
      </c>
      <c r="E263" s="2" t="s">
        <v>711</v>
      </c>
      <c r="F263" s="2" t="str" cm="1">
        <f t="array" ref="F263">INDEX(_xlfn.TEXTSPLIT(E263,"-"),2)</f>
        <v>女装</v>
      </c>
      <c r="G263" s="2" t="str" cm="1">
        <f t="array" ref="G263">INDEX(_xlfn.TEXTSPLIT(E263,"-"),3)</f>
        <v>新中式女装</v>
      </c>
      <c r="H263" s="5">
        <v>100165</v>
      </c>
      <c r="I263" s="5">
        <v>11659155</v>
      </c>
      <c r="J263" s="6">
        <v>0.0028</v>
      </c>
      <c r="K263" s="6">
        <v>-0.0641</v>
      </c>
    </row>
    <row r="264" ht="14.5" spans="1:11">
      <c r="A264" s="3" t="str">
        <f t="shared" si="12"/>
        <v>2026年</v>
      </c>
      <c r="B264" s="3" t="str">
        <f t="shared" si="13"/>
        <v>1月</v>
      </c>
      <c r="C264" s="4" t="str">
        <f t="shared" si="14"/>
        <v>W2</v>
      </c>
      <c r="D264" s="2" t="s">
        <v>745</v>
      </c>
      <c r="E264" s="2" t="s">
        <v>712</v>
      </c>
      <c r="F264" s="2" t="str" cm="1">
        <f t="array" ref="F264">INDEX(_xlfn.TEXTSPLIT(E264,"-"),2)</f>
        <v>女装</v>
      </c>
      <c r="G264" s="2" t="str" cm="1">
        <f t="array" ref="G264">INDEX(_xlfn.TEXTSPLIT(E264,"-"),3)</f>
        <v>时尚防晒服</v>
      </c>
      <c r="H264" s="5">
        <v>877</v>
      </c>
      <c r="I264" s="5">
        <v>61195.7</v>
      </c>
      <c r="J264" s="2" t="s">
        <v>713</v>
      </c>
      <c r="K264" s="6">
        <v>0.4827</v>
      </c>
    </row>
    <row r="265" ht="14.5" spans="1:11">
      <c r="A265" s="3" t="str">
        <f t="shared" si="12"/>
        <v>2026年</v>
      </c>
      <c r="B265" s="3" t="str">
        <f t="shared" si="13"/>
        <v>1月</v>
      </c>
      <c r="C265" s="4" t="str">
        <f t="shared" si="14"/>
        <v>W2</v>
      </c>
      <c r="D265" s="2" t="s">
        <v>745</v>
      </c>
      <c r="E265" s="2" t="s">
        <v>714</v>
      </c>
      <c r="F265" s="2" t="str" cm="1">
        <f t="array" ref="F265">INDEX(_xlfn.TEXTSPLIT(E265,"-"),2)</f>
        <v>女装</v>
      </c>
      <c r="G265" s="2" t="str" cm="1">
        <f t="array" ref="G265">INDEX(_xlfn.TEXTSPLIT(E265,"-"),3)</f>
        <v>棉衣/棉服</v>
      </c>
      <c r="H265" s="5">
        <v>1052460</v>
      </c>
      <c r="I265" s="5">
        <v>123448075.68</v>
      </c>
      <c r="J265" s="6">
        <v>0.0294</v>
      </c>
      <c r="K265" s="6">
        <v>0.0117</v>
      </c>
    </row>
    <row r="266" ht="14.5" spans="1:11">
      <c r="A266" s="3" t="str">
        <f t="shared" si="12"/>
        <v>2026年</v>
      </c>
      <c r="B266" s="3" t="str">
        <f t="shared" si="13"/>
        <v>1月</v>
      </c>
      <c r="C266" s="4" t="str">
        <f t="shared" si="14"/>
        <v>W2</v>
      </c>
      <c r="D266" s="2" t="s">
        <v>745</v>
      </c>
      <c r="E266" s="2" t="s">
        <v>715</v>
      </c>
      <c r="F266" s="2" t="str" cm="1">
        <f t="array" ref="F266">INDEX(_xlfn.TEXTSPLIT(E266,"-"),2)</f>
        <v>女装</v>
      </c>
      <c r="G266" s="2" t="str" cm="1">
        <f t="array" ref="G266">INDEX(_xlfn.TEXTSPLIT(E266,"-"),3)</f>
        <v>毛呢外套</v>
      </c>
      <c r="H266" s="5">
        <v>837881</v>
      </c>
      <c r="I266" s="5">
        <v>326904789.93</v>
      </c>
      <c r="J266" s="6">
        <v>0.0779</v>
      </c>
      <c r="K266" s="6">
        <v>-0.0248</v>
      </c>
    </row>
    <row r="267" ht="14.5" spans="1:11">
      <c r="A267" s="3" t="str">
        <f t="shared" si="12"/>
        <v>2026年</v>
      </c>
      <c r="B267" s="3" t="str">
        <f t="shared" si="13"/>
        <v>1月</v>
      </c>
      <c r="C267" s="4" t="str">
        <f t="shared" si="14"/>
        <v>W2</v>
      </c>
      <c r="D267" s="2" t="s">
        <v>745</v>
      </c>
      <c r="E267" s="2" t="s">
        <v>716</v>
      </c>
      <c r="F267" s="2" t="str" cm="1">
        <f t="array" ref="F267">INDEX(_xlfn.TEXTSPLIT(E267,"-"),2)</f>
        <v>女装</v>
      </c>
      <c r="G267" s="2" t="str" cm="1">
        <f t="array" ref="G267">INDEX(_xlfn.TEXTSPLIT(E267,"-"),3)</f>
        <v>毛衣</v>
      </c>
      <c r="H267" s="5">
        <v>648420</v>
      </c>
      <c r="I267" s="5">
        <v>58115053.3</v>
      </c>
      <c r="J267" s="6">
        <v>0.0139</v>
      </c>
      <c r="K267" s="6">
        <v>-0.0042</v>
      </c>
    </row>
    <row r="268" ht="14.5" spans="1:11">
      <c r="A268" s="3" t="str">
        <f t="shared" si="12"/>
        <v>2026年</v>
      </c>
      <c r="B268" s="3" t="str">
        <f t="shared" si="13"/>
        <v>1月</v>
      </c>
      <c r="C268" s="4" t="str">
        <f t="shared" si="14"/>
        <v>W2</v>
      </c>
      <c r="D268" s="2" t="s">
        <v>745</v>
      </c>
      <c r="E268" s="2" t="s">
        <v>717</v>
      </c>
      <c r="F268" s="2" t="str" cm="1">
        <f t="array" ref="F268">INDEX(_xlfn.TEXTSPLIT(E268,"-"),2)</f>
        <v>女装</v>
      </c>
      <c r="G268" s="2" t="str" cm="1">
        <f t="array" ref="G268">INDEX(_xlfn.TEXTSPLIT(E268,"-"),3)</f>
        <v>毛针织衫</v>
      </c>
      <c r="H268" s="5">
        <v>2588676</v>
      </c>
      <c r="I268" s="5">
        <v>216933593.03</v>
      </c>
      <c r="J268" s="6">
        <v>0.0517</v>
      </c>
      <c r="K268" s="6">
        <v>0.008</v>
      </c>
    </row>
    <row r="269" ht="14.5" spans="1:11">
      <c r="A269" s="3" t="str">
        <f t="shared" si="12"/>
        <v>2026年</v>
      </c>
      <c r="B269" s="3" t="str">
        <f t="shared" si="13"/>
        <v>1月</v>
      </c>
      <c r="C269" s="4" t="str">
        <f t="shared" si="14"/>
        <v>W2</v>
      </c>
      <c r="D269" s="2" t="s">
        <v>745</v>
      </c>
      <c r="E269" s="2" t="s">
        <v>718</v>
      </c>
      <c r="F269" s="2" t="str" cm="1">
        <f t="array" ref="F269">INDEX(_xlfn.TEXTSPLIT(E269,"-"),2)</f>
        <v>女装</v>
      </c>
      <c r="G269" s="2" t="str" cm="1">
        <f t="array" ref="G269">INDEX(_xlfn.TEXTSPLIT(E269,"-"),3)</f>
        <v>汉服</v>
      </c>
      <c r="H269" s="5">
        <v>136352</v>
      </c>
      <c r="I269" s="5">
        <v>68416856.68</v>
      </c>
      <c r="J269" s="6">
        <v>0.0163</v>
      </c>
      <c r="K269" s="6">
        <v>-0.3623</v>
      </c>
    </row>
    <row r="270" ht="14.5" spans="1:11">
      <c r="A270" s="3" t="str">
        <f t="shared" si="12"/>
        <v>2026年</v>
      </c>
      <c r="B270" s="3" t="str">
        <f t="shared" si="13"/>
        <v>1月</v>
      </c>
      <c r="C270" s="4" t="str">
        <f t="shared" si="14"/>
        <v>W2</v>
      </c>
      <c r="D270" s="2" t="s">
        <v>745</v>
      </c>
      <c r="E270" s="2" t="s">
        <v>719</v>
      </c>
      <c r="F270" s="2" t="str" cm="1">
        <f t="array" ref="F270">INDEX(_xlfn.TEXTSPLIT(E270,"-"),2)</f>
        <v>女装</v>
      </c>
      <c r="G270" s="2" t="str" cm="1">
        <f t="array" ref="G270">INDEX(_xlfn.TEXTSPLIT(E270,"-"),3)</f>
        <v>派克服</v>
      </c>
      <c r="H270" s="5">
        <v>84478</v>
      </c>
      <c r="I270" s="5">
        <v>22373343.88</v>
      </c>
      <c r="J270" s="6">
        <v>0.0053</v>
      </c>
      <c r="K270" s="6">
        <v>0.0134</v>
      </c>
    </row>
    <row r="271" ht="14.5" spans="1:11">
      <c r="A271" s="3" t="str">
        <f t="shared" si="12"/>
        <v>2026年</v>
      </c>
      <c r="B271" s="3" t="str">
        <f t="shared" si="13"/>
        <v>1月</v>
      </c>
      <c r="C271" s="4" t="str">
        <f t="shared" si="14"/>
        <v>W2</v>
      </c>
      <c r="D271" s="2" t="s">
        <v>745</v>
      </c>
      <c r="E271" s="2" t="s">
        <v>720</v>
      </c>
      <c r="F271" s="2" t="str" cm="1">
        <f t="array" ref="F271">INDEX(_xlfn.TEXTSPLIT(E271,"-"),2)</f>
        <v>女装</v>
      </c>
      <c r="G271" s="2" t="str" cm="1">
        <f t="array" ref="G271">INDEX(_xlfn.TEXTSPLIT(E271,"-"),3)</f>
        <v>皮草</v>
      </c>
      <c r="H271" s="5">
        <v>243127</v>
      </c>
      <c r="I271" s="5">
        <v>468632344.87</v>
      </c>
      <c r="J271" s="6">
        <v>0.1117</v>
      </c>
      <c r="K271" s="6">
        <v>0.0344</v>
      </c>
    </row>
    <row r="272" ht="14.5" spans="1:11">
      <c r="A272" s="3" t="str">
        <f t="shared" si="12"/>
        <v>2026年</v>
      </c>
      <c r="B272" s="3" t="str">
        <f t="shared" si="13"/>
        <v>1月</v>
      </c>
      <c r="C272" s="4" t="str">
        <f t="shared" si="14"/>
        <v>W2</v>
      </c>
      <c r="D272" s="2" t="s">
        <v>745</v>
      </c>
      <c r="E272" s="2" t="s">
        <v>721</v>
      </c>
      <c r="F272" s="2" t="str" cm="1">
        <f t="array" ref="F272">INDEX(_xlfn.TEXTSPLIT(E272,"-"),2)</f>
        <v>女装</v>
      </c>
      <c r="G272" s="2" t="str" cm="1">
        <f t="array" ref="G272">INDEX(_xlfn.TEXTSPLIT(E272,"-"),3)</f>
        <v>皮衣</v>
      </c>
      <c r="H272" s="5">
        <v>138152</v>
      </c>
      <c r="I272" s="5">
        <v>47685023.45</v>
      </c>
      <c r="J272" s="6">
        <v>0.0114</v>
      </c>
      <c r="K272" s="6">
        <v>-0.0082</v>
      </c>
    </row>
    <row r="273" ht="14.5" spans="1:11">
      <c r="A273" s="3" t="str">
        <f t="shared" si="12"/>
        <v>2026年</v>
      </c>
      <c r="B273" s="3" t="str">
        <f t="shared" si="13"/>
        <v>1月</v>
      </c>
      <c r="C273" s="4" t="str">
        <f t="shared" si="14"/>
        <v>W2</v>
      </c>
      <c r="D273" s="2" t="s">
        <v>745</v>
      </c>
      <c r="E273" s="2" t="s">
        <v>722</v>
      </c>
      <c r="F273" s="2" t="str" cm="1">
        <f t="array" ref="F273">INDEX(_xlfn.TEXTSPLIT(E273,"-"),2)</f>
        <v>女装</v>
      </c>
      <c r="G273" s="2" t="str" cm="1">
        <f t="array" ref="G273">INDEX(_xlfn.TEXTSPLIT(E273,"-"),3)</f>
        <v>短外套</v>
      </c>
      <c r="H273" s="5">
        <v>1643141</v>
      </c>
      <c r="I273" s="5">
        <v>339191113.29</v>
      </c>
      <c r="J273" s="6">
        <v>0.0809</v>
      </c>
      <c r="K273" s="6">
        <v>0.0787</v>
      </c>
    </row>
    <row r="274" ht="14.5" spans="1:11">
      <c r="A274" s="3" t="str">
        <f t="shared" si="12"/>
        <v>2026年</v>
      </c>
      <c r="B274" s="3" t="str">
        <f t="shared" si="13"/>
        <v>1月</v>
      </c>
      <c r="C274" s="4" t="str">
        <f t="shared" si="14"/>
        <v>W2</v>
      </c>
      <c r="D274" s="2" t="s">
        <v>745</v>
      </c>
      <c r="E274" s="2" t="s">
        <v>723</v>
      </c>
      <c r="F274" s="2" t="str" cm="1">
        <f t="array" ref="F274">INDEX(_xlfn.TEXTSPLIT(E274,"-"),2)</f>
        <v>女装</v>
      </c>
      <c r="G274" s="2" t="str" cm="1">
        <f t="array" ref="G274">INDEX(_xlfn.TEXTSPLIT(E274,"-"),3)</f>
        <v>短裤</v>
      </c>
      <c r="H274" s="5">
        <v>136297</v>
      </c>
      <c r="I274" s="5">
        <v>8089527.05</v>
      </c>
      <c r="J274" s="6">
        <v>0.0019</v>
      </c>
      <c r="K274" s="6">
        <v>0.0761</v>
      </c>
    </row>
    <row r="275" ht="14.5" spans="1:11">
      <c r="A275" s="3" t="str">
        <f t="shared" si="12"/>
        <v>2026年</v>
      </c>
      <c r="B275" s="3" t="str">
        <f t="shared" si="13"/>
        <v>1月</v>
      </c>
      <c r="C275" s="4" t="str">
        <f t="shared" si="14"/>
        <v>W2</v>
      </c>
      <c r="D275" s="2" t="s">
        <v>745</v>
      </c>
      <c r="E275" s="2" t="s">
        <v>724</v>
      </c>
      <c r="F275" s="2" t="str" cm="1">
        <f t="array" ref="F275">INDEX(_xlfn.TEXTSPLIT(E275,"-"),2)</f>
        <v>女装</v>
      </c>
      <c r="G275" s="2" t="str" cm="1">
        <f t="array" ref="G275">INDEX(_xlfn.TEXTSPLIT(E275,"-"),3)</f>
        <v>羊毛衫</v>
      </c>
      <c r="H275" s="5">
        <v>580605</v>
      </c>
      <c r="I275" s="5">
        <v>76121865.14</v>
      </c>
      <c r="J275" s="6">
        <v>0.0181</v>
      </c>
      <c r="K275" s="6">
        <v>-0.0856</v>
      </c>
    </row>
    <row r="276" ht="14.5" spans="1:11">
      <c r="A276" s="3" t="str">
        <f t="shared" si="12"/>
        <v>2026年</v>
      </c>
      <c r="B276" s="3" t="str">
        <f t="shared" si="13"/>
        <v>1月</v>
      </c>
      <c r="C276" s="4" t="str">
        <f t="shared" si="14"/>
        <v>W2</v>
      </c>
      <c r="D276" s="2" t="s">
        <v>745</v>
      </c>
      <c r="E276" s="2" t="s">
        <v>725</v>
      </c>
      <c r="F276" s="2" t="str" cm="1">
        <f t="array" ref="F276">INDEX(_xlfn.TEXTSPLIT(E276,"-"),2)</f>
        <v>女装</v>
      </c>
      <c r="G276" s="2" t="str" cm="1">
        <f t="array" ref="G276">INDEX(_xlfn.TEXTSPLIT(E276,"-"),3)</f>
        <v>羊绒大衣</v>
      </c>
      <c r="H276" s="5">
        <v>7262</v>
      </c>
      <c r="I276" s="5">
        <v>3919173.46</v>
      </c>
      <c r="J276" s="6">
        <v>0.0009</v>
      </c>
      <c r="K276" s="6">
        <v>0.1768</v>
      </c>
    </row>
    <row r="277" ht="14.5" spans="1:11">
      <c r="A277" s="3" t="str">
        <f t="shared" si="12"/>
        <v>2026年</v>
      </c>
      <c r="B277" s="3" t="str">
        <f t="shared" si="13"/>
        <v>1月</v>
      </c>
      <c r="C277" s="4" t="str">
        <f t="shared" si="14"/>
        <v>W2</v>
      </c>
      <c r="D277" s="2" t="s">
        <v>745</v>
      </c>
      <c r="E277" s="2" t="s">
        <v>726</v>
      </c>
      <c r="F277" s="2" t="str" cm="1">
        <f t="array" ref="F277">INDEX(_xlfn.TEXTSPLIT(E277,"-"),2)</f>
        <v>女装</v>
      </c>
      <c r="G277" s="2" t="str" cm="1">
        <f t="array" ref="G277">INDEX(_xlfn.TEXTSPLIT(E277,"-"),3)</f>
        <v>羊绒衫</v>
      </c>
      <c r="H277" s="5">
        <v>160677</v>
      </c>
      <c r="I277" s="5">
        <v>51229387.43</v>
      </c>
      <c r="J277" s="6">
        <v>0.0122</v>
      </c>
      <c r="K277" s="6">
        <v>-0.1523</v>
      </c>
    </row>
    <row r="278" ht="14.5" spans="1:11">
      <c r="A278" s="3" t="str">
        <f t="shared" si="12"/>
        <v>2026年</v>
      </c>
      <c r="B278" s="3" t="str">
        <f t="shared" si="13"/>
        <v>1月</v>
      </c>
      <c r="C278" s="4" t="str">
        <f t="shared" si="14"/>
        <v>W2</v>
      </c>
      <c r="D278" s="2" t="s">
        <v>745</v>
      </c>
      <c r="E278" s="2" t="s">
        <v>727</v>
      </c>
      <c r="F278" s="2" t="str" cm="1">
        <f t="array" ref="F278">INDEX(_xlfn.TEXTSPLIT(E278,"-"),2)</f>
        <v>女装</v>
      </c>
      <c r="G278" s="2" t="str" cm="1">
        <f t="array" ref="G278">INDEX(_xlfn.TEXTSPLIT(E278,"-"),3)</f>
        <v>羽绒服</v>
      </c>
      <c r="H278" s="5">
        <v>2357213</v>
      </c>
      <c r="I278" s="5">
        <v>967431615.51</v>
      </c>
      <c r="J278" s="6">
        <v>0.2306</v>
      </c>
      <c r="K278" s="6">
        <v>-0.0195</v>
      </c>
    </row>
    <row r="279" ht="14.5" spans="1:11">
      <c r="A279" s="3" t="str">
        <f t="shared" si="12"/>
        <v>2026年</v>
      </c>
      <c r="B279" s="3" t="str">
        <f t="shared" si="13"/>
        <v>1月</v>
      </c>
      <c r="C279" s="4" t="str">
        <f t="shared" si="14"/>
        <v>W2</v>
      </c>
      <c r="D279" s="2" t="s">
        <v>745</v>
      </c>
      <c r="E279" s="2" t="s">
        <v>728</v>
      </c>
      <c r="F279" s="2" t="str" cm="1">
        <f t="array" ref="F279">INDEX(_xlfn.TEXTSPLIT(E279,"-"),2)</f>
        <v>女装</v>
      </c>
      <c r="G279" s="2" t="str" cm="1">
        <f t="array" ref="G279">INDEX(_xlfn.TEXTSPLIT(E279,"-"),3)</f>
        <v>肌底衣/肌肤衣</v>
      </c>
      <c r="H279" s="5">
        <v>6475</v>
      </c>
      <c r="I279" s="5">
        <v>397066.98</v>
      </c>
      <c r="J279" s="6">
        <v>0.0001</v>
      </c>
      <c r="K279" s="6">
        <v>-0.2533</v>
      </c>
    </row>
    <row r="280" ht="14.5" spans="1:11">
      <c r="A280" s="3" t="str">
        <f t="shared" si="12"/>
        <v>2026年</v>
      </c>
      <c r="B280" s="3" t="str">
        <f t="shared" si="13"/>
        <v>1月</v>
      </c>
      <c r="C280" s="4" t="str">
        <f t="shared" si="14"/>
        <v>W2</v>
      </c>
      <c r="D280" s="2" t="s">
        <v>745</v>
      </c>
      <c r="E280" s="2" t="s">
        <v>729</v>
      </c>
      <c r="F280" s="2" t="str" cm="1">
        <f t="array" ref="F280">INDEX(_xlfn.TEXTSPLIT(E280,"-"),2)</f>
        <v>女装</v>
      </c>
      <c r="G280" s="2" t="str" cm="1">
        <f t="array" ref="G280">INDEX(_xlfn.TEXTSPLIT(E280,"-"),3)</f>
        <v>背心吊带</v>
      </c>
      <c r="H280" s="5">
        <v>222930</v>
      </c>
      <c r="I280" s="5">
        <v>14493246.9</v>
      </c>
      <c r="J280" s="6">
        <v>0.0035</v>
      </c>
      <c r="K280" s="6">
        <v>0.2733</v>
      </c>
    </row>
    <row r="281" ht="14.5" spans="1:11">
      <c r="A281" s="3" t="str">
        <f t="shared" si="12"/>
        <v>2026年</v>
      </c>
      <c r="B281" s="3" t="str">
        <f t="shared" si="13"/>
        <v>1月</v>
      </c>
      <c r="C281" s="4" t="str">
        <f t="shared" si="14"/>
        <v>W2</v>
      </c>
      <c r="D281" s="2" t="s">
        <v>745</v>
      </c>
      <c r="E281" s="2" t="s">
        <v>730</v>
      </c>
      <c r="F281" s="2" t="str" cm="1">
        <f t="array" ref="F281">INDEX(_xlfn.TEXTSPLIT(E281,"-"),2)</f>
        <v>女装</v>
      </c>
      <c r="G281" s="2" t="str" cm="1">
        <f t="array" ref="G281">INDEX(_xlfn.TEXTSPLIT(E281,"-"),3)</f>
        <v>蕾丝衫/雪纺衫</v>
      </c>
      <c r="H281" s="5">
        <v>177625</v>
      </c>
      <c r="I281" s="5">
        <v>12314793.35</v>
      </c>
      <c r="J281" s="6">
        <v>0.0029</v>
      </c>
      <c r="K281" s="6">
        <v>0.0526</v>
      </c>
    </row>
    <row r="282" ht="14.5" spans="1:11">
      <c r="A282" s="3" t="str">
        <f t="shared" si="12"/>
        <v>2026年</v>
      </c>
      <c r="B282" s="3" t="str">
        <f t="shared" si="13"/>
        <v>1月</v>
      </c>
      <c r="C282" s="4" t="str">
        <f t="shared" si="14"/>
        <v>W2</v>
      </c>
      <c r="D282" s="2" t="s">
        <v>745</v>
      </c>
      <c r="E282" s="2" t="s">
        <v>731</v>
      </c>
      <c r="F282" s="2" t="str" cm="1">
        <f t="array" ref="F282">INDEX(_xlfn.TEXTSPLIT(E282,"-"),2)</f>
        <v>女装</v>
      </c>
      <c r="G282" s="2" t="str" cm="1">
        <f t="array" ref="G282">INDEX(_xlfn.TEXTSPLIT(E282,"-"),3)</f>
        <v>衬衫</v>
      </c>
      <c r="H282" s="5">
        <v>444960</v>
      </c>
      <c r="I282" s="5">
        <v>50485978.39</v>
      </c>
      <c r="J282" s="6">
        <v>0.012</v>
      </c>
      <c r="K282" s="6">
        <v>0.0406</v>
      </c>
    </row>
    <row r="283" ht="14.5" spans="1:11">
      <c r="A283" s="3" t="str">
        <f t="shared" ref="A283:A346" si="15">TEXT(YEAR(D283),"0")&amp;"年"</f>
        <v>2026年</v>
      </c>
      <c r="B283" s="3" t="str">
        <f t="shared" ref="B283:B346" si="16">TEXT(MONTH(D283),"0")&amp;"月"</f>
        <v>1月</v>
      </c>
      <c r="C283" s="4" t="str">
        <f t="shared" ref="C283:C346" si="17">"W"&amp;TEXT(WEEKNUM(D283,2),"0")</f>
        <v>W2</v>
      </c>
      <c r="D283" s="2" t="s">
        <v>745</v>
      </c>
      <c r="E283" s="2" t="s">
        <v>732</v>
      </c>
      <c r="F283" s="2" t="str" cm="1">
        <f t="array" ref="F283">INDEX(_xlfn.TEXTSPLIT(E283,"-"),2)</f>
        <v>女装</v>
      </c>
      <c r="G283" s="2" t="str" cm="1">
        <f t="array" ref="G283">INDEX(_xlfn.TEXTSPLIT(E283,"-"),3)</f>
        <v>裤子</v>
      </c>
      <c r="H283" s="5">
        <v>5546165</v>
      </c>
      <c r="I283" s="5">
        <v>528743872.05</v>
      </c>
      <c r="J283" s="6">
        <v>0.126</v>
      </c>
      <c r="K283" s="6">
        <v>0.0082</v>
      </c>
    </row>
    <row r="284" ht="14.5" spans="1:11">
      <c r="A284" s="3" t="str">
        <f t="shared" si="15"/>
        <v>2026年</v>
      </c>
      <c r="B284" s="3" t="str">
        <f t="shared" si="16"/>
        <v>1月</v>
      </c>
      <c r="C284" s="4" t="str">
        <f t="shared" si="17"/>
        <v>W2</v>
      </c>
      <c r="D284" s="2" t="s">
        <v>745</v>
      </c>
      <c r="E284" s="2" t="s">
        <v>733</v>
      </c>
      <c r="F284" s="2" t="str" cm="1">
        <f t="array" ref="F284">INDEX(_xlfn.TEXTSPLIT(E284,"-"),2)</f>
        <v>女装</v>
      </c>
      <c r="G284" s="2" t="str" cm="1">
        <f t="array" ref="G284">INDEX(_xlfn.TEXTSPLIT(E284,"-"),3)</f>
        <v>西装</v>
      </c>
      <c r="H284" s="5">
        <v>52939</v>
      </c>
      <c r="I284" s="5">
        <v>14813892.64</v>
      </c>
      <c r="J284" s="6">
        <v>0.0035</v>
      </c>
      <c r="K284" s="6">
        <v>0.2542</v>
      </c>
    </row>
    <row r="285" ht="14.5" spans="1:11">
      <c r="A285" s="3" t="str">
        <f t="shared" si="15"/>
        <v>2026年</v>
      </c>
      <c r="B285" s="3" t="str">
        <f t="shared" si="16"/>
        <v>1月</v>
      </c>
      <c r="C285" s="4" t="str">
        <f t="shared" si="17"/>
        <v>W2</v>
      </c>
      <c r="D285" s="2" t="s">
        <v>745</v>
      </c>
      <c r="E285" s="2" t="s">
        <v>734</v>
      </c>
      <c r="F285" s="2" t="str" cm="1">
        <f t="array" ref="F285">INDEX(_xlfn.TEXTSPLIT(E285,"-"),2)</f>
        <v>女装</v>
      </c>
      <c r="G285" s="2" t="str" cm="1">
        <f t="array" ref="G285">INDEX(_xlfn.TEXTSPLIT(E285,"-"),3)</f>
        <v>设计师/潮牌女装</v>
      </c>
      <c r="H285" s="5">
        <v>505024</v>
      </c>
      <c r="I285" s="5">
        <v>67803123.36</v>
      </c>
      <c r="J285" s="6">
        <v>0.0162</v>
      </c>
      <c r="K285" s="6">
        <v>-0.059</v>
      </c>
    </row>
    <row r="286" ht="14.5" spans="1:11">
      <c r="A286" s="3" t="str">
        <f t="shared" si="15"/>
        <v>2026年</v>
      </c>
      <c r="B286" s="3" t="str">
        <f t="shared" si="16"/>
        <v>1月</v>
      </c>
      <c r="C286" s="4" t="str">
        <f t="shared" si="17"/>
        <v>W2</v>
      </c>
      <c r="D286" s="2" t="s">
        <v>745</v>
      </c>
      <c r="E286" s="2" t="s">
        <v>735</v>
      </c>
      <c r="F286" s="2" t="str" cm="1">
        <f t="array" ref="F286">INDEX(_xlfn.TEXTSPLIT(E286,"-"),2)</f>
        <v>女装</v>
      </c>
      <c r="G286" s="2" t="str" cm="1">
        <f t="array" ref="G286">INDEX(_xlfn.TEXTSPLIT(E286,"-"),3)</f>
        <v>连体衣/裤</v>
      </c>
      <c r="H286" s="5">
        <v>12991</v>
      </c>
      <c r="I286" s="5">
        <v>2298581.26</v>
      </c>
      <c r="J286" s="6">
        <v>0.0005</v>
      </c>
      <c r="K286" s="6">
        <v>0.2681</v>
      </c>
    </row>
    <row r="287" ht="14.5" spans="1:11">
      <c r="A287" s="3" t="str">
        <f t="shared" si="15"/>
        <v>2026年</v>
      </c>
      <c r="B287" s="3" t="str">
        <f t="shared" si="16"/>
        <v>1月</v>
      </c>
      <c r="C287" s="4" t="str">
        <f t="shared" si="17"/>
        <v>W2</v>
      </c>
      <c r="D287" s="2" t="s">
        <v>745</v>
      </c>
      <c r="E287" s="2" t="s">
        <v>736</v>
      </c>
      <c r="F287" s="2" t="str" cm="1">
        <f t="array" ref="F287">INDEX(_xlfn.TEXTSPLIT(E287,"-"),2)</f>
        <v>女装</v>
      </c>
      <c r="G287" s="2" t="str" cm="1">
        <f t="array" ref="G287">INDEX(_xlfn.TEXTSPLIT(E287,"-"),3)</f>
        <v>连衣裙</v>
      </c>
      <c r="H287" s="5">
        <v>805570</v>
      </c>
      <c r="I287" s="5">
        <v>110367082.01</v>
      </c>
      <c r="J287" s="6">
        <v>0.0263</v>
      </c>
      <c r="K287" s="6">
        <v>0.0883</v>
      </c>
    </row>
    <row r="288" ht="14.5" spans="1:11">
      <c r="A288" s="3" t="str">
        <f t="shared" si="15"/>
        <v>2026年</v>
      </c>
      <c r="B288" s="3" t="str">
        <f t="shared" si="16"/>
        <v>1月</v>
      </c>
      <c r="C288" s="4" t="str">
        <f t="shared" si="17"/>
        <v>W2</v>
      </c>
      <c r="D288" s="2" t="s">
        <v>745</v>
      </c>
      <c r="E288" s="2" t="s">
        <v>737</v>
      </c>
      <c r="F288" s="2" t="str" cm="1">
        <f t="array" ref="F288">INDEX(_xlfn.TEXTSPLIT(E288,"-"),2)</f>
        <v>女装</v>
      </c>
      <c r="G288" s="2" t="str" cm="1">
        <f t="array" ref="G288">INDEX(_xlfn.TEXTSPLIT(E288,"-"),3)</f>
        <v>风衣</v>
      </c>
      <c r="H288" s="5">
        <v>104635</v>
      </c>
      <c r="I288" s="5">
        <v>16729737.63</v>
      </c>
      <c r="J288" s="6">
        <v>0.004</v>
      </c>
      <c r="K288" s="6">
        <v>0.3614</v>
      </c>
    </row>
    <row r="289" ht="14.5" spans="1:11">
      <c r="A289" s="3" t="str">
        <f t="shared" si="15"/>
        <v>2026年</v>
      </c>
      <c r="B289" s="3" t="str">
        <f t="shared" si="16"/>
        <v>1月</v>
      </c>
      <c r="C289" s="4" t="str">
        <f t="shared" si="17"/>
        <v>W2</v>
      </c>
      <c r="D289" s="2" t="s">
        <v>745</v>
      </c>
      <c r="E289" s="2" t="s">
        <v>738</v>
      </c>
      <c r="F289" s="2" t="str" cm="1">
        <f t="array" ref="F289">INDEX(_xlfn.TEXTSPLIT(E289,"-"),2)</f>
        <v>女装</v>
      </c>
      <c r="G289" s="2" t="str" cm="1">
        <f t="array" ref="G289">INDEX(_xlfn.TEXTSPLIT(E289,"-"),3)</f>
        <v>马夹</v>
      </c>
      <c r="H289" s="5">
        <v>397705</v>
      </c>
      <c r="I289" s="5">
        <v>47088767.37</v>
      </c>
      <c r="J289" s="6">
        <v>0.0112</v>
      </c>
      <c r="K289" s="6">
        <v>-0.0227</v>
      </c>
    </row>
    <row r="290" ht="14.5" spans="1:11">
      <c r="A290" s="3" t="str">
        <f t="shared" si="15"/>
        <v>2026年</v>
      </c>
      <c r="B290" s="3" t="str">
        <f t="shared" si="16"/>
        <v>1月</v>
      </c>
      <c r="C290" s="4" t="str">
        <f t="shared" si="17"/>
        <v>W2</v>
      </c>
      <c r="D290" s="2" t="s">
        <v>746</v>
      </c>
      <c r="E290" s="2" t="s">
        <v>702</v>
      </c>
      <c r="F290" s="2" t="str" cm="1">
        <f t="array" ref="F290">INDEX(_xlfn.TEXTSPLIT(E290,"-"),2)</f>
        <v>女装</v>
      </c>
      <c r="G290" s="2" t="str" cm="1">
        <f t="array" ref="G290">INDEX(_xlfn.TEXTSPLIT(E290,"-"),3)</f>
        <v>POLO衫</v>
      </c>
      <c r="H290" s="5">
        <v>14880</v>
      </c>
      <c r="I290" s="5">
        <v>995609.61</v>
      </c>
      <c r="J290" s="6">
        <v>0.0002</v>
      </c>
      <c r="K290" s="6">
        <v>-0.4647</v>
      </c>
    </row>
    <row r="291" ht="14.5" spans="1:11">
      <c r="A291" s="3" t="str">
        <f t="shared" si="15"/>
        <v>2026年</v>
      </c>
      <c r="B291" s="3" t="str">
        <f t="shared" si="16"/>
        <v>1月</v>
      </c>
      <c r="C291" s="4" t="str">
        <f t="shared" si="17"/>
        <v>W2</v>
      </c>
      <c r="D291" s="2" t="s">
        <v>746</v>
      </c>
      <c r="E291" s="2" t="s">
        <v>703</v>
      </c>
      <c r="F291" s="2" t="str" cm="1">
        <f t="array" ref="F291">INDEX(_xlfn.TEXTSPLIT(E291,"-"),2)</f>
        <v>女装</v>
      </c>
      <c r="G291" s="2" t="str" cm="1">
        <f t="array" ref="G291">INDEX(_xlfn.TEXTSPLIT(E291,"-"),3)</f>
        <v>T恤</v>
      </c>
      <c r="H291" s="5">
        <v>1542798</v>
      </c>
      <c r="I291" s="5">
        <v>84595959.28</v>
      </c>
      <c r="J291" s="6">
        <v>0.0212</v>
      </c>
      <c r="K291" s="6">
        <v>-0.0652</v>
      </c>
    </row>
    <row r="292" ht="14.5" spans="1:11">
      <c r="A292" s="3" t="str">
        <f t="shared" si="15"/>
        <v>2026年</v>
      </c>
      <c r="B292" s="3" t="str">
        <f t="shared" si="16"/>
        <v>1月</v>
      </c>
      <c r="C292" s="4" t="str">
        <f t="shared" si="17"/>
        <v>W2</v>
      </c>
      <c r="D292" s="2" t="s">
        <v>746</v>
      </c>
      <c r="E292" s="2" t="s">
        <v>704</v>
      </c>
      <c r="F292" s="2" t="str" cm="1">
        <f t="array" ref="F292">INDEX(_xlfn.TEXTSPLIT(E292,"-"),2)</f>
        <v>女装</v>
      </c>
      <c r="G292" s="2" t="str" cm="1">
        <f t="array" ref="G292">INDEX(_xlfn.TEXTSPLIT(E292,"-"),3)</f>
        <v>中老年女装</v>
      </c>
      <c r="H292" s="5">
        <v>464826</v>
      </c>
      <c r="I292" s="5">
        <v>53644246.06</v>
      </c>
      <c r="J292" s="6">
        <v>0.0135</v>
      </c>
      <c r="K292" s="6">
        <v>-0.0585</v>
      </c>
    </row>
    <row r="293" ht="14.5" spans="1:11">
      <c r="A293" s="3" t="str">
        <f t="shared" si="15"/>
        <v>2026年</v>
      </c>
      <c r="B293" s="3" t="str">
        <f t="shared" si="16"/>
        <v>1月</v>
      </c>
      <c r="C293" s="4" t="str">
        <f t="shared" si="17"/>
        <v>W2</v>
      </c>
      <c r="D293" s="2" t="s">
        <v>746</v>
      </c>
      <c r="E293" s="2" t="s">
        <v>705</v>
      </c>
      <c r="F293" s="2" t="str" cm="1">
        <f t="array" ref="F293">INDEX(_xlfn.TEXTSPLIT(E293,"-"),2)</f>
        <v>女装</v>
      </c>
      <c r="G293" s="2" t="str" cm="1">
        <f t="array" ref="G293">INDEX(_xlfn.TEXTSPLIT(E293,"-"),3)</f>
        <v>半身裙</v>
      </c>
      <c r="H293" s="5">
        <v>787192</v>
      </c>
      <c r="I293" s="5">
        <v>73209774</v>
      </c>
      <c r="J293" s="6">
        <v>0.0184</v>
      </c>
      <c r="K293" s="6">
        <v>-0.0678</v>
      </c>
    </row>
    <row r="294" ht="14.5" spans="1:11">
      <c r="A294" s="3" t="str">
        <f t="shared" si="15"/>
        <v>2026年</v>
      </c>
      <c r="B294" s="3" t="str">
        <f t="shared" si="16"/>
        <v>1月</v>
      </c>
      <c r="C294" s="4" t="str">
        <f t="shared" si="17"/>
        <v>W2</v>
      </c>
      <c r="D294" s="2" t="s">
        <v>746</v>
      </c>
      <c r="E294" s="2" t="s">
        <v>706</v>
      </c>
      <c r="F294" s="2" t="str" cm="1">
        <f t="array" ref="F294">INDEX(_xlfn.TEXTSPLIT(E294,"-"),2)</f>
        <v>女装</v>
      </c>
      <c r="G294" s="2" t="str" cm="1">
        <f t="array" ref="G294">INDEX(_xlfn.TEXTSPLIT(E294,"-"),3)</f>
        <v>卫衣/绒衫</v>
      </c>
      <c r="H294" s="5">
        <v>536608</v>
      </c>
      <c r="I294" s="5">
        <v>42093907.97</v>
      </c>
      <c r="J294" s="6">
        <v>0.0106</v>
      </c>
      <c r="K294" s="6">
        <v>-0.0566</v>
      </c>
    </row>
    <row r="295" ht="14.5" spans="1:11">
      <c r="A295" s="3" t="str">
        <f t="shared" si="15"/>
        <v>2026年</v>
      </c>
      <c r="B295" s="3" t="str">
        <f t="shared" si="16"/>
        <v>1月</v>
      </c>
      <c r="C295" s="4" t="str">
        <f t="shared" si="17"/>
        <v>W2</v>
      </c>
      <c r="D295" s="2" t="s">
        <v>746</v>
      </c>
      <c r="E295" s="2" t="s">
        <v>707</v>
      </c>
      <c r="F295" s="2" t="str" cm="1">
        <f t="array" ref="F295">INDEX(_xlfn.TEXTSPLIT(E295,"-"),2)</f>
        <v>女装</v>
      </c>
      <c r="G295" s="2" t="str" cm="1">
        <f t="array" ref="G295">INDEX(_xlfn.TEXTSPLIT(E295,"-"),3)</f>
        <v>唐装/民族服装/舞台服装</v>
      </c>
      <c r="H295" s="5">
        <v>211440</v>
      </c>
      <c r="I295" s="5">
        <v>45331785.83</v>
      </c>
      <c r="J295" s="6">
        <v>0.0114</v>
      </c>
      <c r="K295" s="6">
        <v>-0.0405</v>
      </c>
    </row>
    <row r="296" ht="14.5" spans="1:11">
      <c r="A296" s="3" t="str">
        <f t="shared" si="15"/>
        <v>2026年</v>
      </c>
      <c r="B296" s="3" t="str">
        <f t="shared" si="16"/>
        <v>1月</v>
      </c>
      <c r="C296" s="4" t="str">
        <f t="shared" si="17"/>
        <v>W2</v>
      </c>
      <c r="D296" s="2" t="s">
        <v>746</v>
      </c>
      <c r="E296" s="2" t="s">
        <v>708</v>
      </c>
      <c r="F296" s="2" t="str" cm="1">
        <f t="array" ref="F296">INDEX(_xlfn.TEXTSPLIT(E296,"-"),2)</f>
        <v>女装</v>
      </c>
      <c r="G296" s="2" t="str" cm="1">
        <f t="array" ref="G296">INDEX(_xlfn.TEXTSPLIT(E296,"-"),3)</f>
        <v>大码女装</v>
      </c>
      <c r="H296" s="5">
        <v>711275</v>
      </c>
      <c r="I296" s="5">
        <v>67636099.11</v>
      </c>
      <c r="J296" s="6">
        <v>0.017</v>
      </c>
      <c r="K296" s="6">
        <v>-0.0346</v>
      </c>
    </row>
    <row r="297" ht="14.5" spans="1:11">
      <c r="A297" s="3" t="str">
        <f t="shared" si="15"/>
        <v>2026年</v>
      </c>
      <c r="B297" s="3" t="str">
        <f t="shared" si="16"/>
        <v>1月</v>
      </c>
      <c r="C297" s="4" t="str">
        <f t="shared" si="17"/>
        <v>W2</v>
      </c>
      <c r="D297" s="2" t="s">
        <v>746</v>
      </c>
      <c r="E297" s="2" t="s">
        <v>709</v>
      </c>
      <c r="F297" s="2" t="str" cm="1">
        <f t="array" ref="F297">INDEX(_xlfn.TEXTSPLIT(E297,"-"),2)</f>
        <v>女装</v>
      </c>
      <c r="G297" s="2" t="str" cm="1">
        <f t="array" ref="G297">INDEX(_xlfn.TEXTSPLIT(E297,"-"),3)</f>
        <v>套装/学生校服/工作制服</v>
      </c>
      <c r="H297" s="5">
        <v>971283</v>
      </c>
      <c r="I297" s="5">
        <v>135563796.75</v>
      </c>
      <c r="J297" s="6">
        <v>0.034</v>
      </c>
      <c r="K297" s="6">
        <v>-0.0126</v>
      </c>
    </row>
    <row r="298" ht="14.5" spans="1:11">
      <c r="A298" s="3" t="str">
        <f t="shared" si="15"/>
        <v>2026年</v>
      </c>
      <c r="B298" s="3" t="str">
        <f t="shared" si="16"/>
        <v>1月</v>
      </c>
      <c r="C298" s="4" t="str">
        <f t="shared" si="17"/>
        <v>W2</v>
      </c>
      <c r="D298" s="2" t="s">
        <v>746</v>
      </c>
      <c r="E298" s="2" t="s">
        <v>710</v>
      </c>
      <c r="F298" s="2" t="str" cm="1">
        <f t="array" ref="F298">INDEX(_xlfn.TEXTSPLIT(E298,"-"),2)</f>
        <v>女装</v>
      </c>
      <c r="G298" s="2" t="str" cm="1">
        <f t="array" ref="G298">INDEX(_xlfn.TEXTSPLIT(E298,"-"),3)</f>
        <v>婚纱/旗袍/礼服</v>
      </c>
      <c r="H298" s="5">
        <v>66980</v>
      </c>
      <c r="I298" s="5">
        <v>11708240.42</v>
      </c>
      <c r="J298" s="6">
        <v>0.0029</v>
      </c>
      <c r="K298" s="6">
        <v>-0.0272</v>
      </c>
    </row>
    <row r="299" ht="14.5" spans="1:11">
      <c r="A299" s="3" t="str">
        <f t="shared" si="15"/>
        <v>2026年</v>
      </c>
      <c r="B299" s="3" t="str">
        <f t="shared" si="16"/>
        <v>1月</v>
      </c>
      <c r="C299" s="4" t="str">
        <f t="shared" si="17"/>
        <v>W2</v>
      </c>
      <c r="D299" s="2" t="s">
        <v>746</v>
      </c>
      <c r="E299" s="2" t="s">
        <v>711</v>
      </c>
      <c r="F299" s="2" t="str" cm="1">
        <f t="array" ref="F299">INDEX(_xlfn.TEXTSPLIT(E299,"-"),2)</f>
        <v>女装</v>
      </c>
      <c r="G299" s="2" t="str" cm="1">
        <f t="array" ref="G299">INDEX(_xlfn.TEXTSPLIT(E299,"-"),3)</f>
        <v>新中式女装</v>
      </c>
      <c r="H299" s="5">
        <v>89845</v>
      </c>
      <c r="I299" s="5">
        <v>11374440.14</v>
      </c>
      <c r="J299" s="6">
        <v>0.0029</v>
      </c>
      <c r="K299" s="6">
        <v>-0.0244</v>
      </c>
    </row>
    <row r="300" ht="14.5" spans="1:11">
      <c r="A300" s="3" t="str">
        <f t="shared" si="15"/>
        <v>2026年</v>
      </c>
      <c r="B300" s="3" t="str">
        <f t="shared" si="16"/>
        <v>1月</v>
      </c>
      <c r="C300" s="4" t="str">
        <f t="shared" si="17"/>
        <v>W2</v>
      </c>
      <c r="D300" s="2" t="s">
        <v>746</v>
      </c>
      <c r="E300" s="2" t="s">
        <v>712</v>
      </c>
      <c r="F300" s="2" t="str" cm="1">
        <f t="array" ref="F300">INDEX(_xlfn.TEXTSPLIT(E300,"-"),2)</f>
        <v>女装</v>
      </c>
      <c r="G300" s="2" t="str" cm="1">
        <f t="array" ref="G300">INDEX(_xlfn.TEXTSPLIT(E300,"-"),3)</f>
        <v>时尚防晒服</v>
      </c>
      <c r="H300" s="5">
        <v>241</v>
      </c>
      <c r="I300" s="5">
        <v>19032.75</v>
      </c>
      <c r="J300" s="2" t="s">
        <v>713</v>
      </c>
      <c r="K300" s="6">
        <v>-0.689</v>
      </c>
    </row>
    <row r="301" ht="14.5" spans="1:11">
      <c r="A301" s="3" t="str">
        <f t="shared" si="15"/>
        <v>2026年</v>
      </c>
      <c r="B301" s="3" t="str">
        <f t="shared" si="16"/>
        <v>1月</v>
      </c>
      <c r="C301" s="4" t="str">
        <f t="shared" si="17"/>
        <v>W2</v>
      </c>
      <c r="D301" s="2" t="s">
        <v>746</v>
      </c>
      <c r="E301" s="2" t="s">
        <v>714</v>
      </c>
      <c r="F301" s="2" t="str" cm="1">
        <f t="array" ref="F301">INDEX(_xlfn.TEXTSPLIT(E301,"-"),2)</f>
        <v>女装</v>
      </c>
      <c r="G301" s="2" t="str" cm="1">
        <f t="array" ref="G301">INDEX(_xlfn.TEXTSPLIT(E301,"-"),3)</f>
        <v>棉衣/棉服</v>
      </c>
      <c r="H301" s="5">
        <v>1001490</v>
      </c>
      <c r="I301" s="5">
        <v>112096124.7</v>
      </c>
      <c r="J301" s="6">
        <v>0.0281</v>
      </c>
      <c r="K301" s="6">
        <v>-0.092</v>
      </c>
    </row>
    <row r="302" ht="14.5" spans="1:11">
      <c r="A302" s="3" t="str">
        <f t="shared" si="15"/>
        <v>2026年</v>
      </c>
      <c r="B302" s="3" t="str">
        <f t="shared" si="16"/>
        <v>1月</v>
      </c>
      <c r="C302" s="4" t="str">
        <f t="shared" si="17"/>
        <v>W2</v>
      </c>
      <c r="D302" s="2" t="s">
        <v>746</v>
      </c>
      <c r="E302" s="2" t="s">
        <v>715</v>
      </c>
      <c r="F302" s="2" t="str" cm="1">
        <f t="array" ref="F302">INDEX(_xlfn.TEXTSPLIT(E302,"-"),2)</f>
        <v>女装</v>
      </c>
      <c r="G302" s="2" t="str" cm="1">
        <f t="array" ref="G302">INDEX(_xlfn.TEXTSPLIT(E302,"-"),3)</f>
        <v>毛呢外套</v>
      </c>
      <c r="H302" s="5">
        <v>881306</v>
      </c>
      <c r="I302" s="5">
        <v>341147344.17</v>
      </c>
      <c r="J302" s="6">
        <v>0.0856</v>
      </c>
      <c r="K302" s="6">
        <v>0.0436</v>
      </c>
    </row>
    <row r="303" ht="14.5" spans="1:11">
      <c r="A303" s="3" t="str">
        <f t="shared" si="15"/>
        <v>2026年</v>
      </c>
      <c r="B303" s="3" t="str">
        <f t="shared" si="16"/>
        <v>1月</v>
      </c>
      <c r="C303" s="4" t="str">
        <f t="shared" si="17"/>
        <v>W2</v>
      </c>
      <c r="D303" s="2" t="s">
        <v>746</v>
      </c>
      <c r="E303" s="2" t="s">
        <v>716</v>
      </c>
      <c r="F303" s="2" t="str" cm="1">
        <f t="array" ref="F303">INDEX(_xlfn.TEXTSPLIT(E303,"-"),2)</f>
        <v>女装</v>
      </c>
      <c r="G303" s="2" t="str" cm="1">
        <f t="array" ref="G303">INDEX(_xlfn.TEXTSPLIT(E303,"-"),3)</f>
        <v>毛衣</v>
      </c>
      <c r="H303" s="5">
        <v>560217</v>
      </c>
      <c r="I303" s="5">
        <v>55256798.64</v>
      </c>
      <c r="J303" s="6">
        <v>0.0139</v>
      </c>
      <c r="K303" s="6">
        <v>-0.0492</v>
      </c>
    </row>
    <row r="304" ht="14.5" spans="1:11">
      <c r="A304" s="3" t="str">
        <f t="shared" si="15"/>
        <v>2026年</v>
      </c>
      <c r="B304" s="3" t="str">
        <f t="shared" si="16"/>
        <v>1月</v>
      </c>
      <c r="C304" s="4" t="str">
        <f t="shared" si="17"/>
        <v>W2</v>
      </c>
      <c r="D304" s="2" t="s">
        <v>746</v>
      </c>
      <c r="E304" s="2" t="s">
        <v>717</v>
      </c>
      <c r="F304" s="2" t="str" cm="1">
        <f t="array" ref="F304">INDEX(_xlfn.TEXTSPLIT(E304,"-"),2)</f>
        <v>女装</v>
      </c>
      <c r="G304" s="2" t="str" cm="1">
        <f t="array" ref="G304">INDEX(_xlfn.TEXTSPLIT(E304,"-"),3)</f>
        <v>毛针织衫</v>
      </c>
      <c r="H304" s="5">
        <v>2527019</v>
      </c>
      <c r="I304" s="5">
        <v>204473590.4</v>
      </c>
      <c r="J304" s="6">
        <v>0.0513</v>
      </c>
      <c r="K304" s="6">
        <v>-0.0574</v>
      </c>
    </row>
    <row r="305" ht="14.5" spans="1:11">
      <c r="A305" s="3" t="str">
        <f t="shared" si="15"/>
        <v>2026年</v>
      </c>
      <c r="B305" s="3" t="str">
        <f t="shared" si="16"/>
        <v>1月</v>
      </c>
      <c r="C305" s="4" t="str">
        <f t="shared" si="17"/>
        <v>W2</v>
      </c>
      <c r="D305" s="2" t="s">
        <v>746</v>
      </c>
      <c r="E305" s="2" t="s">
        <v>718</v>
      </c>
      <c r="F305" s="2" t="str" cm="1">
        <f t="array" ref="F305">INDEX(_xlfn.TEXTSPLIT(E305,"-"),2)</f>
        <v>女装</v>
      </c>
      <c r="G305" s="2" t="str" cm="1">
        <f t="array" ref="G305">INDEX(_xlfn.TEXTSPLIT(E305,"-"),3)</f>
        <v>汉服</v>
      </c>
      <c r="H305" s="5">
        <v>143863</v>
      </c>
      <c r="I305" s="5">
        <v>83379624.21</v>
      </c>
      <c r="J305" s="6">
        <v>0.0209</v>
      </c>
      <c r="K305" s="6">
        <v>0.2187</v>
      </c>
    </row>
    <row r="306" ht="14.5" spans="1:11">
      <c r="A306" s="3" t="str">
        <f t="shared" si="15"/>
        <v>2026年</v>
      </c>
      <c r="B306" s="3" t="str">
        <f t="shared" si="16"/>
        <v>1月</v>
      </c>
      <c r="C306" s="4" t="str">
        <f t="shared" si="17"/>
        <v>W2</v>
      </c>
      <c r="D306" s="2" t="s">
        <v>746</v>
      </c>
      <c r="E306" s="2" t="s">
        <v>719</v>
      </c>
      <c r="F306" s="2" t="str" cm="1">
        <f t="array" ref="F306">INDEX(_xlfn.TEXTSPLIT(E306,"-"),2)</f>
        <v>女装</v>
      </c>
      <c r="G306" s="2" t="str" cm="1">
        <f t="array" ref="G306">INDEX(_xlfn.TEXTSPLIT(E306,"-"),3)</f>
        <v>派克服</v>
      </c>
      <c r="H306" s="5">
        <v>66828</v>
      </c>
      <c r="I306" s="5">
        <v>17449301.12</v>
      </c>
      <c r="J306" s="6">
        <v>0.0044</v>
      </c>
      <c r="K306" s="6">
        <v>-0.2201</v>
      </c>
    </row>
    <row r="307" ht="14.5" spans="1:11">
      <c r="A307" s="3" t="str">
        <f t="shared" si="15"/>
        <v>2026年</v>
      </c>
      <c r="B307" s="3" t="str">
        <f t="shared" si="16"/>
        <v>1月</v>
      </c>
      <c r="C307" s="4" t="str">
        <f t="shared" si="17"/>
        <v>W2</v>
      </c>
      <c r="D307" s="2" t="s">
        <v>746</v>
      </c>
      <c r="E307" s="2" t="s">
        <v>720</v>
      </c>
      <c r="F307" s="2" t="str" cm="1">
        <f t="array" ref="F307">INDEX(_xlfn.TEXTSPLIT(E307,"-"),2)</f>
        <v>女装</v>
      </c>
      <c r="G307" s="2" t="str" cm="1">
        <f t="array" ref="G307">INDEX(_xlfn.TEXTSPLIT(E307,"-"),3)</f>
        <v>皮草</v>
      </c>
      <c r="H307" s="5">
        <v>248646</v>
      </c>
      <c r="I307" s="5">
        <v>524380942.93</v>
      </c>
      <c r="J307" s="6">
        <v>0.1316</v>
      </c>
      <c r="K307" s="6">
        <v>0.119</v>
      </c>
    </row>
    <row r="308" ht="14.5" spans="1:11">
      <c r="A308" s="3" t="str">
        <f t="shared" si="15"/>
        <v>2026年</v>
      </c>
      <c r="B308" s="3" t="str">
        <f t="shared" si="16"/>
        <v>1月</v>
      </c>
      <c r="C308" s="4" t="str">
        <f t="shared" si="17"/>
        <v>W2</v>
      </c>
      <c r="D308" s="2" t="s">
        <v>746</v>
      </c>
      <c r="E308" s="2" t="s">
        <v>721</v>
      </c>
      <c r="F308" s="2" t="str" cm="1">
        <f t="array" ref="F308">INDEX(_xlfn.TEXTSPLIT(E308,"-"),2)</f>
        <v>女装</v>
      </c>
      <c r="G308" s="2" t="str" cm="1">
        <f t="array" ref="G308">INDEX(_xlfn.TEXTSPLIT(E308,"-"),3)</f>
        <v>皮衣</v>
      </c>
      <c r="H308" s="5">
        <v>148723</v>
      </c>
      <c r="I308" s="5">
        <v>47783629.25</v>
      </c>
      <c r="J308" s="6">
        <v>0.012</v>
      </c>
      <c r="K308" s="6">
        <v>0.0021</v>
      </c>
    </row>
    <row r="309" ht="14.5" spans="1:11">
      <c r="A309" s="3" t="str">
        <f t="shared" si="15"/>
        <v>2026年</v>
      </c>
      <c r="B309" s="3" t="str">
        <f t="shared" si="16"/>
        <v>1月</v>
      </c>
      <c r="C309" s="4" t="str">
        <f t="shared" si="17"/>
        <v>W2</v>
      </c>
      <c r="D309" s="2" t="s">
        <v>746</v>
      </c>
      <c r="E309" s="2" t="s">
        <v>722</v>
      </c>
      <c r="F309" s="2" t="str" cm="1">
        <f t="array" ref="F309">INDEX(_xlfn.TEXTSPLIT(E309,"-"),2)</f>
        <v>女装</v>
      </c>
      <c r="G309" s="2" t="str" cm="1">
        <f t="array" ref="G309">INDEX(_xlfn.TEXTSPLIT(E309,"-"),3)</f>
        <v>短外套</v>
      </c>
      <c r="H309" s="5">
        <v>1674040</v>
      </c>
      <c r="I309" s="5">
        <v>318720215.46</v>
      </c>
      <c r="J309" s="7">
        <v>0.08</v>
      </c>
      <c r="K309" s="6">
        <v>-0.0604</v>
      </c>
    </row>
    <row r="310" ht="14.5" spans="1:11">
      <c r="A310" s="3" t="str">
        <f t="shared" si="15"/>
        <v>2026年</v>
      </c>
      <c r="B310" s="3" t="str">
        <f t="shared" si="16"/>
        <v>1月</v>
      </c>
      <c r="C310" s="4" t="str">
        <f t="shared" si="17"/>
        <v>W2</v>
      </c>
      <c r="D310" s="2" t="s">
        <v>746</v>
      </c>
      <c r="E310" s="2" t="s">
        <v>723</v>
      </c>
      <c r="F310" s="2" t="str" cm="1">
        <f t="array" ref="F310">INDEX(_xlfn.TEXTSPLIT(E310,"-"),2)</f>
        <v>女装</v>
      </c>
      <c r="G310" s="2" t="str" cm="1">
        <f t="array" ref="G310">INDEX(_xlfn.TEXTSPLIT(E310,"-"),3)</f>
        <v>短裤</v>
      </c>
      <c r="H310" s="5">
        <v>133754</v>
      </c>
      <c r="I310" s="5">
        <v>7512527.68</v>
      </c>
      <c r="J310" s="6">
        <v>0.0019</v>
      </c>
      <c r="K310" s="6">
        <v>-0.0713</v>
      </c>
    </row>
    <row r="311" ht="14.5" spans="1:11">
      <c r="A311" s="3" t="str">
        <f t="shared" si="15"/>
        <v>2026年</v>
      </c>
      <c r="B311" s="3" t="str">
        <f t="shared" si="16"/>
        <v>1月</v>
      </c>
      <c r="C311" s="4" t="str">
        <f t="shared" si="17"/>
        <v>W2</v>
      </c>
      <c r="D311" s="2" t="s">
        <v>746</v>
      </c>
      <c r="E311" s="2" t="s">
        <v>724</v>
      </c>
      <c r="F311" s="2" t="str" cm="1">
        <f t="array" ref="F311">INDEX(_xlfn.TEXTSPLIT(E311,"-"),2)</f>
        <v>女装</v>
      </c>
      <c r="G311" s="2" t="str" cm="1">
        <f t="array" ref="G311">INDEX(_xlfn.TEXTSPLIT(E311,"-"),3)</f>
        <v>羊毛衫</v>
      </c>
      <c r="H311" s="5">
        <v>576375</v>
      </c>
      <c r="I311" s="5">
        <v>75364686.13</v>
      </c>
      <c r="J311" s="6">
        <v>0.0189</v>
      </c>
      <c r="K311" s="6">
        <v>-0.0099</v>
      </c>
    </row>
    <row r="312" ht="14.5" spans="1:11">
      <c r="A312" s="3" t="str">
        <f t="shared" si="15"/>
        <v>2026年</v>
      </c>
      <c r="B312" s="3" t="str">
        <f t="shared" si="16"/>
        <v>1月</v>
      </c>
      <c r="C312" s="4" t="str">
        <f t="shared" si="17"/>
        <v>W2</v>
      </c>
      <c r="D312" s="2" t="s">
        <v>746</v>
      </c>
      <c r="E312" s="2" t="s">
        <v>725</v>
      </c>
      <c r="F312" s="2" t="str" cm="1">
        <f t="array" ref="F312">INDEX(_xlfn.TEXTSPLIT(E312,"-"),2)</f>
        <v>女装</v>
      </c>
      <c r="G312" s="2" t="str" cm="1">
        <f t="array" ref="G312">INDEX(_xlfn.TEXTSPLIT(E312,"-"),3)</f>
        <v>羊绒大衣</v>
      </c>
      <c r="H312" s="5">
        <v>5094</v>
      </c>
      <c r="I312" s="5">
        <v>2483873.5</v>
      </c>
      <c r="J312" s="6">
        <v>0.0006</v>
      </c>
      <c r="K312" s="6">
        <v>-0.3662</v>
      </c>
    </row>
    <row r="313" ht="14.5" spans="1:11">
      <c r="A313" s="3" t="str">
        <f t="shared" si="15"/>
        <v>2026年</v>
      </c>
      <c r="B313" s="3" t="str">
        <f t="shared" si="16"/>
        <v>1月</v>
      </c>
      <c r="C313" s="4" t="str">
        <f t="shared" si="17"/>
        <v>W2</v>
      </c>
      <c r="D313" s="2" t="s">
        <v>746</v>
      </c>
      <c r="E313" s="2" t="s">
        <v>726</v>
      </c>
      <c r="F313" s="2" t="str" cm="1">
        <f t="array" ref="F313">INDEX(_xlfn.TEXTSPLIT(E313,"-"),2)</f>
        <v>女装</v>
      </c>
      <c r="G313" s="2" t="str" cm="1">
        <f t="array" ref="G313">INDEX(_xlfn.TEXTSPLIT(E313,"-"),3)</f>
        <v>羊绒衫</v>
      </c>
      <c r="H313" s="5">
        <v>154031</v>
      </c>
      <c r="I313" s="5">
        <v>49802072.7</v>
      </c>
      <c r="J313" s="6">
        <v>0.0125</v>
      </c>
      <c r="K313" s="6">
        <v>-0.0279</v>
      </c>
    </row>
    <row r="314" ht="14.5" spans="1:11">
      <c r="A314" s="3" t="str">
        <f t="shared" si="15"/>
        <v>2026年</v>
      </c>
      <c r="B314" s="3" t="str">
        <f t="shared" si="16"/>
        <v>1月</v>
      </c>
      <c r="C314" s="4" t="str">
        <f t="shared" si="17"/>
        <v>W2</v>
      </c>
      <c r="D314" s="2" t="s">
        <v>746</v>
      </c>
      <c r="E314" s="2" t="s">
        <v>727</v>
      </c>
      <c r="F314" s="2" t="str" cm="1">
        <f t="array" ref="F314">INDEX(_xlfn.TEXTSPLIT(E314,"-"),2)</f>
        <v>女装</v>
      </c>
      <c r="G314" s="2" t="str" cm="1">
        <f t="array" ref="G314">INDEX(_xlfn.TEXTSPLIT(E314,"-"),3)</f>
        <v>羽绒服</v>
      </c>
      <c r="H314" s="5">
        <v>1984066</v>
      </c>
      <c r="I314" s="5">
        <v>805104250.43</v>
      </c>
      <c r="J314" s="6">
        <v>0.2021</v>
      </c>
      <c r="K314" s="6">
        <v>-0.1678</v>
      </c>
    </row>
    <row r="315" ht="14.5" spans="1:11">
      <c r="A315" s="3" t="str">
        <f t="shared" si="15"/>
        <v>2026年</v>
      </c>
      <c r="B315" s="3" t="str">
        <f t="shared" si="16"/>
        <v>1月</v>
      </c>
      <c r="C315" s="4" t="str">
        <f t="shared" si="17"/>
        <v>W2</v>
      </c>
      <c r="D315" s="2" t="s">
        <v>746</v>
      </c>
      <c r="E315" s="2" t="s">
        <v>728</v>
      </c>
      <c r="F315" s="2" t="str" cm="1">
        <f t="array" ref="F315">INDEX(_xlfn.TEXTSPLIT(E315,"-"),2)</f>
        <v>女装</v>
      </c>
      <c r="G315" s="2" t="str" cm="1">
        <f t="array" ref="G315">INDEX(_xlfn.TEXTSPLIT(E315,"-"),3)</f>
        <v>肌底衣/肌肤衣</v>
      </c>
      <c r="H315" s="5">
        <v>15238</v>
      </c>
      <c r="I315" s="5">
        <v>857064.92</v>
      </c>
      <c r="J315" s="6">
        <v>0.0002</v>
      </c>
      <c r="K315" s="6">
        <v>1.1585</v>
      </c>
    </row>
    <row r="316" ht="14.5" spans="1:11">
      <c r="A316" s="3" t="str">
        <f t="shared" si="15"/>
        <v>2026年</v>
      </c>
      <c r="B316" s="3" t="str">
        <f t="shared" si="16"/>
        <v>1月</v>
      </c>
      <c r="C316" s="4" t="str">
        <f t="shared" si="17"/>
        <v>W2</v>
      </c>
      <c r="D316" s="2" t="s">
        <v>746</v>
      </c>
      <c r="E316" s="2" t="s">
        <v>729</v>
      </c>
      <c r="F316" s="2" t="str" cm="1">
        <f t="array" ref="F316">INDEX(_xlfn.TEXTSPLIT(E316,"-"),2)</f>
        <v>女装</v>
      </c>
      <c r="G316" s="2" t="str" cm="1">
        <f t="array" ref="G316">INDEX(_xlfn.TEXTSPLIT(E316,"-"),3)</f>
        <v>背心吊带</v>
      </c>
      <c r="H316" s="5">
        <v>221092</v>
      </c>
      <c r="I316" s="5">
        <v>11962133.83</v>
      </c>
      <c r="J316" s="6">
        <v>0.003</v>
      </c>
      <c r="K316" s="6">
        <v>-0.1746</v>
      </c>
    </row>
    <row r="317" ht="14.5" spans="1:11">
      <c r="A317" s="3" t="str">
        <f t="shared" si="15"/>
        <v>2026年</v>
      </c>
      <c r="B317" s="3" t="str">
        <f t="shared" si="16"/>
        <v>1月</v>
      </c>
      <c r="C317" s="4" t="str">
        <f t="shared" si="17"/>
        <v>W2</v>
      </c>
      <c r="D317" s="2" t="s">
        <v>746</v>
      </c>
      <c r="E317" s="2" t="s">
        <v>730</v>
      </c>
      <c r="F317" s="2" t="str" cm="1">
        <f t="array" ref="F317">INDEX(_xlfn.TEXTSPLIT(E317,"-"),2)</f>
        <v>女装</v>
      </c>
      <c r="G317" s="2" t="str" cm="1">
        <f t="array" ref="G317">INDEX(_xlfn.TEXTSPLIT(E317,"-"),3)</f>
        <v>蕾丝衫/雪纺衫</v>
      </c>
      <c r="H317" s="5">
        <v>195707</v>
      </c>
      <c r="I317" s="5">
        <v>13791396.3</v>
      </c>
      <c r="J317" s="6">
        <v>0.0035</v>
      </c>
      <c r="K317" s="6">
        <v>0.1199</v>
      </c>
    </row>
    <row r="318" ht="14.5" spans="1:11">
      <c r="A318" s="3" t="str">
        <f t="shared" si="15"/>
        <v>2026年</v>
      </c>
      <c r="B318" s="3" t="str">
        <f t="shared" si="16"/>
        <v>1月</v>
      </c>
      <c r="C318" s="4" t="str">
        <f t="shared" si="17"/>
        <v>W2</v>
      </c>
      <c r="D318" s="2" t="s">
        <v>746</v>
      </c>
      <c r="E318" s="2" t="s">
        <v>731</v>
      </c>
      <c r="F318" s="2" t="str" cm="1">
        <f t="array" ref="F318">INDEX(_xlfn.TEXTSPLIT(E318,"-"),2)</f>
        <v>女装</v>
      </c>
      <c r="G318" s="2" t="str" cm="1">
        <f t="array" ref="G318">INDEX(_xlfn.TEXTSPLIT(E318,"-"),3)</f>
        <v>衬衫</v>
      </c>
      <c r="H318" s="5">
        <v>437142</v>
      </c>
      <c r="I318" s="5">
        <v>47974464.13</v>
      </c>
      <c r="J318" s="6">
        <v>0.012</v>
      </c>
      <c r="K318" s="6">
        <v>-0.0497</v>
      </c>
    </row>
    <row r="319" ht="14.5" spans="1:11">
      <c r="A319" s="3" t="str">
        <f t="shared" si="15"/>
        <v>2026年</v>
      </c>
      <c r="B319" s="3" t="str">
        <f t="shared" si="16"/>
        <v>1月</v>
      </c>
      <c r="C319" s="4" t="str">
        <f t="shared" si="17"/>
        <v>W2</v>
      </c>
      <c r="D319" s="2" t="s">
        <v>746</v>
      </c>
      <c r="E319" s="2" t="s">
        <v>732</v>
      </c>
      <c r="F319" s="2" t="str" cm="1">
        <f t="array" ref="F319">INDEX(_xlfn.TEXTSPLIT(E319,"-"),2)</f>
        <v>女装</v>
      </c>
      <c r="G319" s="2" t="str" cm="1">
        <f t="array" ref="G319">INDEX(_xlfn.TEXTSPLIT(E319,"-"),3)</f>
        <v>裤子</v>
      </c>
      <c r="H319" s="5">
        <v>5164854</v>
      </c>
      <c r="I319" s="5">
        <v>491179171.73</v>
      </c>
      <c r="J319" s="6">
        <v>0.1233</v>
      </c>
      <c r="K319" s="6">
        <v>-0.071</v>
      </c>
    </row>
    <row r="320" ht="14.5" spans="1:11">
      <c r="A320" s="3" t="str">
        <f t="shared" si="15"/>
        <v>2026年</v>
      </c>
      <c r="B320" s="3" t="str">
        <f t="shared" si="16"/>
        <v>1月</v>
      </c>
      <c r="C320" s="4" t="str">
        <f t="shared" si="17"/>
        <v>W2</v>
      </c>
      <c r="D320" s="2" t="s">
        <v>746</v>
      </c>
      <c r="E320" s="2" t="s">
        <v>733</v>
      </c>
      <c r="F320" s="2" t="str" cm="1">
        <f t="array" ref="F320">INDEX(_xlfn.TEXTSPLIT(E320,"-"),2)</f>
        <v>女装</v>
      </c>
      <c r="G320" s="2" t="str" cm="1">
        <f t="array" ref="G320">INDEX(_xlfn.TEXTSPLIT(E320,"-"),3)</f>
        <v>西装</v>
      </c>
      <c r="H320" s="5">
        <v>53685</v>
      </c>
      <c r="I320" s="5">
        <v>13374521.71</v>
      </c>
      <c r="J320" s="6">
        <v>0.0034</v>
      </c>
      <c r="K320" s="6">
        <v>-0.0972</v>
      </c>
    </row>
    <row r="321" ht="14.5" spans="1:11">
      <c r="A321" s="3" t="str">
        <f t="shared" si="15"/>
        <v>2026年</v>
      </c>
      <c r="B321" s="3" t="str">
        <f t="shared" si="16"/>
        <v>1月</v>
      </c>
      <c r="C321" s="4" t="str">
        <f t="shared" si="17"/>
        <v>W2</v>
      </c>
      <c r="D321" s="2" t="s">
        <v>746</v>
      </c>
      <c r="E321" s="2" t="s">
        <v>734</v>
      </c>
      <c r="F321" s="2" t="str" cm="1">
        <f t="array" ref="F321">INDEX(_xlfn.TEXTSPLIT(E321,"-"),2)</f>
        <v>女装</v>
      </c>
      <c r="G321" s="2" t="str" cm="1">
        <f t="array" ref="G321">INDEX(_xlfn.TEXTSPLIT(E321,"-"),3)</f>
        <v>设计师/潮牌女装</v>
      </c>
      <c r="H321" s="5">
        <v>522497</v>
      </c>
      <c r="I321" s="5">
        <v>64352307.36</v>
      </c>
      <c r="J321" s="6">
        <v>0.0162</v>
      </c>
      <c r="K321" s="6">
        <v>-0.0509</v>
      </c>
    </row>
    <row r="322" ht="14.5" spans="1:11">
      <c r="A322" s="3" t="str">
        <f t="shared" si="15"/>
        <v>2026年</v>
      </c>
      <c r="B322" s="3" t="str">
        <f t="shared" si="16"/>
        <v>1月</v>
      </c>
      <c r="C322" s="4" t="str">
        <f t="shared" si="17"/>
        <v>W2</v>
      </c>
      <c r="D322" s="2" t="s">
        <v>746</v>
      </c>
      <c r="E322" s="2" t="s">
        <v>735</v>
      </c>
      <c r="F322" s="2" t="str" cm="1">
        <f t="array" ref="F322">INDEX(_xlfn.TEXTSPLIT(E322,"-"),2)</f>
        <v>女装</v>
      </c>
      <c r="G322" s="2" t="str" cm="1">
        <f t="array" ref="G322">INDEX(_xlfn.TEXTSPLIT(E322,"-"),3)</f>
        <v>连体衣/裤</v>
      </c>
      <c r="H322" s="5">
        <v>11901</v>
      </c>
      <c r="I322" s="5">
        <v>1928078.66</v>
      </c>
      <c r="J322" s="6">
        <v>0.0005</v>
      </c>
      <c r="K322" s="6">
        <v>-0.1612</v>
      </c>
    </row>
    <row r="323" ht="14.5" spans="1:11">
      <c r="A323" s="3" t="str">
        <f t="shared" si="15"/>
        <v>2026年</v>
      </c>
      <c r="B323" s="3" t="str">
        <f t="shared" si="16"/>
        <v>1月</v>
      </c>
      <c r="C323" s="4" t="str">
        <f t="shared" si="17"/>
        <v>W2</v>
      </c>
      <c r="D323" s="2" t="s">
        <v>746</v>
      </c>
      <c r="E323" s="2" t="s">
        <v>736</v>
      </c>
      <c r="F323" s="2" t="str" cm="1">
        <f t="array" ref="F323">INDEX(_xlfn.TEXTSPLIT(E323,"-"),2)</f>
        <v>女装</v>
      </c>
      <c r="G323" s="2" t="str" cm="1">
        <f t="array" ref="G323">INDEX(_xlfn.TEXTSPLIT(E323,"-"),3)</f>
        <v>连衣裙</v>
      </c>
      <c r="H323" s="5">
        <v>764195</v>
      </c>
      <c r="I323" s="5">
        <v>104500719.15</v>
      </c>
      <c r="J323" s="6">
        <v>0.0262</v>
      </c>
      <c r="K323" s="6">
        <v>-0.0532</v>
      </c>
    </row>
    <row r="324" ht="14.5" spans="1:11">
      <c r="A324" s="3" t="str">
        <f t="shared" si="15"/>
        <v>2026年</v>
      </c>
      <c r="B324" s="3" t="str">
        <f t="shared" si="16"/>
        <v>1月</v>
      </c>
      <c r="C324" s="4" t="str">
        <f t="shared" si="17"/>
        <v>W2</v>
      </c>
      <c r="D324" s="2" t="s">
        <v>746</v>
      </c>
      <c r="E324" s="2" t="s">
        <v>737</v>
      </c>
      <c r="F324" s="2" t="str" cm="1">
        <f t="array" ref="F324">INDEX(_xlfn.TEXTSPLIT(E324,"-"),2)</f>
        <v>女装</v>
      </c>
      <c r="G324" s="2" t="str" cm="1">
        <f t="array" ref="G324">INDEX(_xlfn.TEXTSPLIT(E324,"-"),3)</f>
        <v>风衣</v>
      </c>
      <c r="H324" s="5">
        <v>101359</v>
      </c>
      <c r="I324" s="5">
        <v>14188073.4</v>
      </c>
      <c r="J324" s="6">
        <v>0.0036</v>
      </c>
      <c r="K324" s="6">
        <v>-0.1519</v>
      </c>
    </row>
    <row r="325" ht="14.5" spans="1:11">
      <c r="A325" s="3" t="str">
        <f t="shared" si="15"/>
        <v>2026年</v>
      </c>
      <c r="B325" s="3" t="str">
        <f t="shared" si="16"/>
        <v>1月</v>
      </c>
      <c r="C325" s="4" t="str">
        <f t="shared" si="17"/>
        <v>W2</v>
      </c>
      <c r="D325" s="2" t="s">
        <v>746</v>
      </c>
      <c r="E325" s="2" t="s">
        <v>738</v>
      </c>
      <c r="F325" s="2" t="str" cm="1">
        <f t="array" ref="F325">INDEX(_xlfn.TEXTSPLIT(E325,"-"),2)</f>
        <v>女装</v>
      </c>
      <c r="G325" s="2" t="str" cm="1">
        <f t="array" ref="G325">INDEX(_xlfn.TEXTSPLIT(E325,"-"),3)</f>
        <v>马夹</v>
      </c>
      <c r="H325" s="5">
        <v>408321</v>
      </c>
      <c r="I325" s="5">
        <v>47910988.37</v>
      </c>
      <c r="J325" s="6">
        <v>0.012</v>
      </c>
      <c r="K325" s="6">
        <v>0.0175</v>
      </c>
    </row>
    <row r="326" ht="14.5" spans="1:11">
      <c r="A326" s="3" t="str">
        <f t="shared" si="15"/>
        <v>2026年</v>
      </c>
      <c r="B326" s="3" t="str">
        <f t="shared" si="16"/>
        <v>1月</v>
      </c>
      <c r="C326" s="4" t="str">
        <f t="shared" si="17"/>
        <v>W2</v>
      </c>
      <c r="D326" s="2" t="s">
        <v>747</v>
      </c>
      <c r="E326" s="2" t="s">
        <v>702</v>
      </c>
      <c r="F326" s="2" t="str" cm="1">
        <f t="array" ref="F326">INDEX(_xlfn.TEXTSPLIT(E326,"-"),2)</f>
        <v>女装</v>
      </c>
      <c r="G326" s="2" t="str" cm="1">
        <f t="array" ref="G326">INDEX(_xlfn.TEXTSPLIT(E326,"-"),3)</f>
        <v>POLO衫</v>
      </c>
      <c r="H326" s="5">
        <v>19711</v>
      </c>
      <c r="I326" s="5">
        <v>1441614.01</v>
      </c>
      <c r="J326" s="6">
        <v>0.0003</v>
      </c>
      <c r="K326" s="6">
        <v>0.448</v>
      </c>
    </row>
    <row r="327" ht="14.5" spans="1:11">
      <c r="A327" s="3" t="str">
        <f t="shared" si="15"/>
        <v>2026年</v>
      </c>
      <c r="B327" s="3" t="str">
        <f t="shared" si="16"/>
        <v>1月</v>
      </c>
      <c r="C327" s="4" t="str">
        <f t="shared" si="17"/>
        <v>W2</v>
      </c>
      <c r="D327" s="2" t="s">
        <v>747</v>
      </c>
      <c r="E327" s="2" t="s">
        <v>703</v>
      </c>
      <c r="F327" s="2" t="str" cm="1">
        <f t="array" ref="F327">INDEX(_xlfn.TEXTSPLIT(E327,"-"),2)</f>
        <v>女装</v>
      </c>
      <c r="G327" s="2" t="str" cm="1">
        <f t="array" ref="G327">INDEX(_xlfn.TEXTSPLIT(E327,"-"),3)</f>
        <v>T恤</v>
      </c>
      <c r="H327" s="5">
        <v>1603333</v>
      </c>
      <c r="I327" s="5">
        <v>100600076.21</v>
      </c>
      <c r="J327" s="6">
        <v>0.0229</v>
      </c>
      <c r="K327" s="6">
        <v>0.1892</v>
      </c>
    </row>
    <row r="328" ht="14.5" spans="1:11">
      <c r="A328" s="3" t="str">
        <f t="shared" si="15"/>
        <v>2026年</v>
      </c>
      <c r="B328" s="3" t="str">
        <f t="shared" si="16"/>
        <v>1月</v>
      </c>
      <c r="C328" s="4" t="str">
        <f t="shared" si="17"/>
        <v>W2</v>
      </c>
      <c r="D328" s="2" t="s">
        <v>747</v>
      </c>
      <c r="E328" s="2" t="s">
        <v>704</v>
      </c>
      <c r="F328" s="2" t="str" cm="1">
        <f t="array" ref="F328">INDEX(_xlfn.TEXTSPLIT(E328,"-"),2)</f>
        <v>女装</v>
      </c>
      <c r="G328" s="2" t="str" cm="1">
        <f t="array" ref="G328">INDEX(_xlfn.TEXTSPLIT(E328,"-"),3)</f>
        <v>中老年女装</v>
      </c>
      <c r="H328" s="5">
        <v>499758</v>
      </c>
      <c r="I328" s="5">
        <v>55213700.01</v>
      </c>
      <c r="J328" s="6">
        <v>0.0126</v>
      </c>
      <c r="K328" s="6">
        <v>0.0293</v>
      </c>
    </row>
    <row r="329" ht="14.5" spans="1:11">
      <c r="A329" s="3" t="str">
        <f t="shared" si="15"/>
        <v>2026年</v>
      </c>
      <c r="B329" s="3" t="str">
        <f t="shared" si="16"/>
        <v>1月</v>
      </c>
      <c r="C329" s="4" t="str">
        <f t="shared" si="17"/>
        <v>W2</v>
      </c>
      <c r="D329" s="2" t="s">
        <v>747</v>
      </c>
      <c r="E329" s="2" t="s">
        <v>705</v>
      </c>
      <c r="F329" s="2" t="str" cm="1">
        <f t="array" ref="F329">INDEX(_xlfn.TEXTSPLIT(E329,"-"),2)</f>
        <v>女装</v>
      </c>
      <c r="G329" s="2" t="str" cm="1">
        <f t="array" ref="G329">INDEX(_xlfn.TEXTSPLIT(E329,"-"),3)</f>
        <v>半身裙</v>
      </c>
      <c r="H329" s="5">
        <v>863373</v>
      </c>
      <c r="I329" s="5">
        <v>86352032.58</v>
      </c>
      <c r="J329" s="6">
        <v>0.0197</v>
      </c>
      <c r="K329" s="6">
        <v>0.1795</v>
      </c>
    </row>
    <row r="330" ht="14.5" spans="1:11">
      <c r="A330" s="3" t="str">
        <f t="shared" si="15"/>
        <v>2026年</v>
      </c>
      <c r="B330" s="3" t="str">
        <f t="shared" si="16"/>
        <v>1月</v>
      </c>
      <c r="C330" s="4" t="str">
        <f t="shared" si="17"/>
        <v>W2</v>
      </c>
      <c r="D330" s="2" t="s">
        <v>747</v>
      </c>
      <c r="E330" s="2" t="s">
        <v>706</v>
      </c>
      <c r="F330" s="2" t="str" cm="1">
        <f t="array" ref="F330">INDEX(_xlfn.TEXTSPLIT(E330,"-"),2)</f>
        <v>女装</v>
      </c>
      <c r="G330" s="2" t="str" cm="1">
        <f t="array" ref="G330">INDEX(_xlfn.TEXTSPLIT(E330,"-"),3)</f>
        <v>卫衣/绒衫</v>
      </c>
      <c r="H330" s="5">
        <v>544516</v>
      </c>
      <c r="I330" s="5">
        <v>44992164.63</v>
      </c>
      <c r="J330" s="6">
        <v>0.0102</v>
      </c>
      <c r="K330" s="6">
        <v>0.0689</v>
      </c>
    </row>
    <row r="331" ht="14.5" spans="1:11">
      <c r="A331" s="3" t="str">
        <f t="shared" si="15"/>
        <v>2026年</v>
      </c>
      <c r="B331" s="3" t="str">
        <f t="shared" si="16"/>
        <v>1月</v>
      </c>
      <c r="C331" s="4" t="str">
        <f t="shared" si="17"/>
        <v>W2</v>
      </c>
      <c r="D331" s="2" t="s">
        <v>747</v>
      </c>
      <c r="E331" s="2" t="s">
        <v>707</v>
      </c>
      <c r="F331" s="2" t="str" cm="1">
        <f t="array" ref="F331">INDEX(_xlfn.TEXTSPLIT(E331,"-"),2)</f>
        <v>女装</v>
      </c>
      <c r="G331" s="2" t="str" cm="1">
        <f t="array" ref="G331">INDEX(_xlfn.TEXTSPLIT(E331,"-"),3)</f>
        <v>唐装/民族服装/舞台服装</v>
      </c>
      <c r="H331" s="5">
        <v>237668</v>
      </c>
      <c r="I331" s="5">
        <v>46513860.75</v>
      </c>
      <c r="J331" s="6">
        <v>0.0106</v>
      </c>
      <c r="K331" s="6">
        <v>0.0261</v>
      </c>
    </row>
    <row r="332" ht="14.5" spans="1:11">
      <c r="A332" s="3" t="str">
        <f t="shared" si="15"/>
        <v>2026年</v>
      </c>
      <c r="B332" s="3" t="str">
        <f t="shared" si="16"/>
        <v>1月</v>
      </c>
      <c r="C332" s="4" t="str">
        <f t="shared" si="17"/>
        <v>W2</v>
      </c>
      <c r="D332" s="2" t="s">
        <v>747</v>
      </c>
      <c r="E332" s="2" t="s">
        <v>708</v>
      </c>
      <c r="F332" s="2" t="str" cm="1">
        <f t="array" ref="F332">INDEX(_xlfn.TEXTSPLIT(E332,"-"),2)</f>
        <v>女装</v>
      </c>
      <c r="G332" s="2" t="str" cm="1">
        <f t="array" ref="G332">INDEX(_xlfn.TEXTSPLIT(E332,"-"),3)</f>
        <v>大码女装</v>
      </c>
      <c r="H332" s="5">
        <v>739739</v>
      </c>
      <c r="I332" s="5">
        <v>68868834.63</v>
      </c>
      <c r="J332" s="6">
        <v>0.0157</v>
      </c>
      <c r="K332" s="6">
        <v>0.0182</v>
      </c>
    </row>
    <row r="333" ht="14.5" spans="1:11">
      <c r="A333" s="3" t="str">
        <f t="shared" si="15"/>
        <v>2026年</v>
      </c>
      <c r="B333" s="3" t="str">
        <f t="shared" si="16"/>
        <v>1月</v>
      </c>
      <c r="C333" s="4" t="str">
        <f t="shared" si="17"/>
        <v>W2</v>
      </c>
      <c r="D333" s="2" t="s">
        <v>747</v>
      </c>
      <c r="E333" s="2" t="s">
        <v>709</v>
      </c>
      <c r="F333" s="2" t="str" cm="1">
        <f t="array" ref="F333">INDEX(_xlfn.TEXTSPLIT(E333,"-"),2)</f>
        <v>女装</v>
      </c>
      <c r="G333" s="2" t="str" cm="1">
        <f t="array" ref="G333">INDEX(_xlfn.TEXTSPLIT(E333,"-"),3)</f>
        <v>套装/学生校服/工作制服</v>
      </c>
      <c r="H333" s="5">
        <v>1154908</v>
      </c>
      <c r="I333" s="5">
        <v>167126133.04</v>
      </c>
      <c r="J333" s="6">
        <v>0.0381</v>
      </c>
      <c r="K333" s="6">
        <v>0.2328</v>
      </c>
    </row>
    <row r="334" ht="14.5" spans="1:11">
      <c r="A334" s="3" t="str">
        <f t="shared" si="15"/>
        <v>2026年</v>
      </c>
      <c r="B334" s="3" t="str">
        <f t="shared" si="16"/>
        <v>1月</v>
      </c>
      <c r="C334" s="4" t="str">
        <f t="shared" si="17"/>
        <v>W2</v>
      </c>
      <c r="D334" s="2" t="s">
        <v>747</v>
      </c>
      <c r="E334" s="2" t="s">
        <v>710</v>
      </c>
      <c r="F334" s="2" t="str" cm="1">
        <f t="array" ref="F334">INDEX(_xlfn.TEXTSPLIT(E334,"-"),2)</f>
        <v>女装</v>
      </c>
      <c r="G334" s="2" t="str" cm="1">
        <f t="array" ref="G334">INDEX(_xlfn.TEXTSPLIT(E334,"-"),3)</f>
        <v>婚纱/旗袍/礼服</v>
      </c>
      <c r="H334" s="5">
        <v>66462</v>
      </c>
      <c r="I334" s="5">
        <v>11971192.74</v>
      </c>
      <c r="J334" s="6">
        <v>0.0027</v>
      </c>
      <c r="K334" s="6">
        <v>0.0225</v>
      </c>
    </row>
    <row r="335" ht="14.5" spans="1:11">
      <c r="A335" s="3" t="str">
        <f t="shared" si="15"/>
        <v>2026年</v>
      </c>
      <c r="B335" s="3" t="str">
        <f t="shared" si="16"/>
        <v>1月</v>
      </c>
      <c r="C335" s="4" t="str">
        <f t="shared" si="17"/>
        <v>W2</v>
      </c>
      <c r="D335" s="2" t="s">
        <v>747</v>
      </c>
      <c r="E335" s="2" t="s">
        <v>711</v>
      </c>
      <c r="F335" s="2" t="str" cm="1">
        <f t="array" ref="F335">INDEX(_xlfn.TEXTSPLIT(E335,"-"),2)</f>
        <v>女装</v>
      </c>
      <c r="G335" s="2" t="str" cm="1">
        <f t="array" ref="G335">INDEX(_xlfn.TEXTSPLIT(E335,"-"),3)</f>
        <v>新中式女装</v>
      </c>
      <c r="H335" s="5">
        <v>103546</v>
      </c>
      <c r="I335" s="5">
        <v>14632239.46</v>
      </c>
      <c r="J335" s="6">
        <v>0.0033</v>
      </c>
      <c r="K335" s="6">
        <v>0.2864</v>
      </c>
    </row>
    <row r="336" ht="14.5" spans="1:11">
      <c r="A336" s="3" t="str">
        <f t="shared" si="15"/>
        <v>2026年</v>
      </c>
      <c r="B336" s="3" t="str">
        <f t="shared" si="16"/>
        <v>1月</v>
      </c>
      <c r="C336" s="4" t="str">
        <f t="shared" si="17"/>
        <v>W2</v>
      </c>
      <c r="D336" s="2" t="s">
        <v>747</v>
      </c>
      <c r="E336" s="2" t="s">
        <v>712</v>
      </c>
      <c r="F336" s="2" t="str" cm="1">
        <f t="array" ref="F336">INDEX(_xlfn.TEXTSPLIT(E336,"-"),2)</f>
        <v>女装</v>
      </c>
      <c r="G336" s="2" t="str" cm="1">
        <f t="array" ref="G336">INDEX(_xlfn.TEXTSPLIT(E336,"-"),3)</f>
        <v>时尚防晒服</v>
      </c>
      <c r="H336" s="5">
        <v>1108</v>
      </c>
      <c r="I336" s="5">
        <v>99437.86</v>
      </c>
      <c r="J336" s="2" t="s">
        <v>713</v>
      </c>
      <c r="K336" s="6">
        <v>4.2246</v>
      </c>
    </row>
    <row r="337" ht="14.5" spans="1:11">
      <c r="A337" s="3" t="str">
        <f t="shared" si="15"/>
        <v>2026年</v>
      </c>
      <c r="B337" s="3" t="str">
        <f t="shared" si="16"/>
        <v>1月</v>
      </c>
      <c r="C337" s="4" t="str">
        <f t="shared" si="17"/>
        <v>W2</v>
      </c>
      <c r="D337" s="2" t="s">
        <v>747</v>
      </c>
      <c r="E337" s="2" t="s">
        <v>714</v>
      </c>
      <c r="F337" s="2" t="str" cm="1">
        <f t="array" ref="F337">INDEX(_xlfn.TEXTSPLIT(E337,"-"),2)</f>
        <v>女装</v>
      </c>
      <c r="G337" s="2" t="str" cm="1">
        <f t="array" ref="G337">INDEX(_xlfn.TEXTSPLIT(E337,"-"),3)</f>
        <v>棉衣/棉服</v>
      </c>
      <c r="H337" s="5">
        <v>1021421</v>
      </c>
      <c r="I337" s="5">
        <v>115317995.29</v>
      </c>
      <c r="J337" s="6">
        <v>0.0263</v>
      </c>
      <c r="K337" s="6">
        <v>0.0287</v>
      </c>
    </row>
    <row r="338" ht="14.5" spans="1:11">
      <c r="A338" s="3" t="str">
        <f t="shared" si="15"/>
        <v>2026年</v>
      </c>
      <c r="B338" s="3" t="str">
        <f t="shared" si="16"/>
        <v>1月</v>
      </c>
      <c r="C338" s="4" t="str">
        <f t="shared" si="17"/>
        <v>W2</v>
      </c>
      <c r="D338" s="2" t="s">
        <v>747</v>
      </c>
      <c r="E338" s="2" t="s">
        <v>715</v>
      </c>
      <c r="F338" s="2" t="str" cm="1">
        <f t="array" ref="F338">INDEX(_xlfn.TEXTSPLIT(E338,"-"),2)</f>
        <v>女装</v>
      </c>
      <c r="G338" s="2" t="str" cm="1">
        <f t="array" ref="G338">INDEX(_xlfn.TEXTSPLIT(E338,"-"),3)</f>
        <v>毛呢外套</v>
      </c>
      <c r="H338" s="5">
        <v>892970</v>
      </c>
      <c r="I338" s="5">
        <v>366903255.41</v>
      </c>
      <c r="J338" s="6">
        <v>0.0836</v>
      </c>
      <c r="K338" s="6">
        <v>0.0755</v>
      </c>
    </row>
    <row r="339" ht="14.5" spans="1:11">
      <c r="A339" s="3" t="str">
        <f t="shared" si="15"/>
        <v>2026年</v>
      </c>
      <c r="B339" s="3" t="str">
        <f t="shared" si="16"/>
        <v>1月</v>
      </c>
      <c r="C339" s="4" t="str">
        <f t="shared" si="17"/>
        <v>W2</v>
      </c>
      <c r="D339" s="2" t="s">
        <v>747</v>
      </c>
      <c r="E339" s="2" t="s">
        <v>716</v>
      </c>
      <c r="F339" s="2" t="str" cm="1">
        <f t="array" ref="F339">INDEX(_xlfn.TEXTSPLIT(E339,"-"),2)</f>
        <v>女装</v>
      </c>
      <c r="G339" s="2" t="str" cm="1">
        <f t="array" ref="G339">INDEX(_xlfn.TEXTSPLIT(E339,"-"),3)</f>
        <v>毛衣</v>
      </c>
      <c r="H339" s="5">
        <v>691304</v>
      </c>
      <c r="I339" s="5">
        <v>63081596.82</v>
      </c>
      <c r="J339" s="6">
        <v>0.0144</v>
      </c>
      <c r="K339" s="6">
        <v>0.1416</v>
      </c>
    </row>
    <row r="340" ht="14.5" spans="1:11">
      <c r="A340" s="3" t="str">
        <f t="shared" si="15"/>
        <v>2026年</v>
      </c>
      <c r="B340" s="3" t="str">
        <f t="shared" si="16"/>
        <v>1月</v>
      </c>
      <c r="C340" s="4" t="str">
        <f t="shared" si="17"/>
        <v>W2</v>
      </c>
      <c r="D340" s="2" t="s">
        <v>747</v>
      </c>
      <c r="E340" s="2" t="s">
        <v>717</v>
      </c>
      <c r="F340" s="2" t="str" cm="1">
        <f t="array" ref="F340">INDEX(_xlfn.TEXTSPLIT(E340,"-"),2)</f>
        <v>女装</v>
      </c>
      <c r="G340" s="2" t="str" cm="1">
        <f t="array" ref="G340">INDEX(_xlfn.TEXTSPLIT(E340,"-"),3)</f>
        <v>毛针织衫</v>
      </c>
      <c r="H340" s="5">
        <v>2580677</v>
      </c>
      <c r="I340" s="5">
        <v>223194261.71</v>
      </c>
      <c r="J340" s="6">
        <v>0.0508</v>
      </c>
      <c r="K340" s="6">
        <v>0.0916</v>
      </c>
    </row>
    <row r="341" ht="14.5" spans="1:11">
      <c r="A341" s="3" t="str">
        <f t="shared" si="15"/>
        <v>2026年</v>
      </c>
      <c r="B341" s="3" t="str">
        <f t="shared" si="16"/>
        <v>1月</v>
      </c>
      <c r="C341" s="4" t="str">
        <f t="shared" si="17"/>
        <v>W2</v>
      </c>
      <c r="D341" s="2" t="s">
        <v>747</v>
      </c>
      <c r="E341" s="2" t="s">
        <v>718</v>
      </c>
      <c r="F341" s="2" t="str" cm="1">
        <f t="array" ref="F341">INDEX(_xlfn.TEXTSPLIT(E341,"-"),2)</f>
        <v>女装</v>
      </c>
      <c r="G341" s="2" t="str" cm="1">
        <f t="array" ref="G341">INDEX(_xlfn.TEXTSPLIT(E341,"-"),3)</f>
        <v>汉服</v>
      </c>
      <c r="H341" s="5">
        <v>115533</v>
      </c>
      <c r="I341" s="5">
        <v>71236537.49</v>
      </c>
      <c r="J341" s="6">
        <v>0.0162</v>
      </c>
      <c r="K341" s="6">
        <v>-0.1456</v>
      </c>
    </row>
    <row r="342" ht="14.5" spans="1:11">
      <c r="A342" s="3" t="str">
        <f t="shared" si="15"/>
        <v>2026年</v>
      </c>
      <c r="B342" s="3" t="str">
        <f t="shared" si="16"/>
        <v>1月</v>
      </c>
      <c r="C342" s="4" t="str">
        <f t="shared" si="17"/>
        <v>W2</v>
      </c>
      <c r="D342" s="2" t="s">
        <v>747</v>
      </c>
      <c r="E342" s="2" t="s">
        <v>719</v>
      </c>
      <c r="F342" s="2" t="str" cm="1">
        <f t="array" ref="F342">INDEX(_xlfn.TEXTSPLIT(E342,"-"),2)</f>
        <v>女装</v>
      </c>
      <c r="G342" s="2" t="str" cm="1">
        <f t="array" ref="G342">INDEX(_xlfn.TEXTSPLIT(E342,"-"),3)</f>
        <v>派克服</v>
      </c>
      <c r="H342" s="5">
        <v>86504</v>
      </c>
      <c r="I342" s="5">
        <v>26197026.97</v>
      </c>
      <c r="J342" s="6">
        <v>0.006</v>
      </c>
      <c r="K342" s="6">
        <v>0.5013</v>
      </c>
    </row>
    <row r="343" ht="14.5" spans="1:11">
      <c r="A343" s="3" t="str">
        <f t="shared" si="15"/>
        <v>2026年</v>
      </c>
      <c r="B343" s="3" t="str">
        <f t="shared" si="16"/>
        <v>1月</v>
      </c>
      <c r="C343" s="4" t="str">
        <f t="shared" si="17"/>
        <v>W2</v>
      </c>
      <c r="D343" s="2" t="s">
        <v>747</v>
      </c>
      <c r="E343" s="2" t="s">
        <v>720</v>
      </c>
      <c r="F343" s="2" t="str" cm="1">
        <f t="array" ref="F343">INDEX(_xlfn.TEXTSPLIT(E343,"-"),2)</f>
        <v>女装</v>
      </c>
      <c r="G343" s="2" t="str" cm="1">
        <f t="array" ref="G343">INDEX(_xlfn.TEXTSPLIT(E343,"-"),3)</f>
        <v>皮草</v>
      </c>
      <c r="H343" s="5">
        <v>269116</v>
      </c>
      <c r="I343" s="5">
        <v>523009447.41</v>
      </c>
      <c r="J343" s="6">
        <v>0.1191</v>
      </c>
      <c r="K343" s="6">
        <v>-0.0026</v>
      </c>
    </row>
    <row r="344" ht="14.5" spans="1:11">
      <c r="A344" s="3" t="str">
        <f t="shared" si="15"/>
        <v>2026年</v>
      </c>
      <c r="B344" s="3" t="str">
        <f t="shared" si="16"/>
        <v>1月</v>
      </c>
      <c r="C344" s="4" t="str">
        <f t="shared" si="17"/>
        <v>W2</v>
      </c>
      <c r="D344" s="2" t="s">
        <v>747</v>
      </c>
      <c r="E344" s="2" t="s">
        <v>721</v>
      </c>
      <c r="F344" s="2" t="str" cm="1">
        <f t="array" ref="F344">INDEX(_xlfn.TEXTSPLIT(E344,"-"),2)</f>
        <v>女装</v>
      </c>
      <c r="G344" s="2" t="str" cm="1">
        <f t="array" ref="G344">INDEX(_xlfn.TEXTSPLIT(E344,"-"),3)</f>
        <v>皮衣</v>
      </c>
      <c r="H344" s="5">
        <v>141121</v>
      </c>
      <c r="I344" s="5">
        <v>51927038.86</v>
      </c>
      <c r="J344" s="6">
        <v>0.0118</v>
      </c>
      <c r="K344" s="6">
        <v>0.0867</v>
      </c>
    </row>
    <row r="345" ht="14.5" spans="1:11">
      <c r="A345" s="3" t="str">
        <f t="shared" si="15"/>
        <v>2026年</v>
      </c>
      <c r="B345" s="3" t="str">
        <f t="shared" si="16"/>
        <v>1月</v>
      </c>
      <c r="C345" s="4" t="str">
        <f t="shared" si="17"/>
        <v>W2</v>
      </c>
      <c r="D345" s="2" t="s">
        <v>747</v>
      </c>
      <c r="E345" s="2" t="s">
        <v>722</v>
      </c>
      <c r="F345" s="2" t="str" cm="1">
        <f t="array" ref="F345">INDEX(_xlfn.TEXTSPLIT(E345,"-"),2)</f>
        <v>女装</v>
      </c>
      <c r="G345" s="2" t="str" cm="1">
        <f t="array" ref="G345">INDEX(_xlfn.TEXTSPLIT(E345,"-"),3)</f>
        <v>短外套</v>
      </c>
      <c r="H345" s="5">
        <v>1725160</v>
      </c>
      <c r="I345" s="5">
        <v>365233717.77</v>
      </c>
      <c r="J345" s="6">
        <v>0.0832</v>
      </c>
      <c r="K345" s="6">
        <v>0.1459</v>
      </c>
    </row>
    <row r="346" ht="14.5" spans="1:11">
      <c r="A346" s="3" t="str">
        <f t="shared" si="15"/>
        <v>2026年</v>
      </c>
      <c r="B346" s="3" t="str">
        <f t="shared" si="16"/>
        <v>1月</v>
      </c>
      <c r="C346" s="4" t="str">
        <f t="shared" si="17"/>
        <v>W2</v>
      </c>
      <c r="D346" s="2" t="s">
        <v>747</v>
      </c>
      <c r="E346" s="2" t="s">
        <v>723</v>
      </c>
      <c r="F346" s="2" t="str" cm="1">
        <f t="array" ref="F346">INDEX(_xlfn.TEXTSPLIT(E346,"-"),2)</f>
        <v>女装</v>
      </c>
      <c r="G346" s="2" t="str" cm="1">
        <f t="array" ref="G346">INDEX(_xlfn.TEXTSPLIT(E346,"-"),3)</f>
        <v>短裤</v>
      </c>
      <c r="H346" s="5">
        <v>142921</v>
      </c>
      <c r="I346" s="5">
        <v>8177280.22</v>
      </c>
      <c r="J346" s="6">
        <v>0.0019</v>
      </c>
      <c r="K346" s="6">
        <v>0.0885</v>
      </c>
    </row>
    <row r="347" ht="14.5" spans="1:11">
      <c r="A347" s="3" t="str">
        <f t="shared" ref="A347:A410" si="18">TEXT(YEAR(D347),"0")&amp;"年"</f>
        <v>2026年</v>
      </c>
      <c r="B347" s="3" t="str">
        <f t="shared" ref="B347:B410" si="19">TEXT(MONTH(D347),"0")&amp;"月"</f>
        <v>1月</v>
      </c>
      <c r="C347" s="4" t="str">
        <f t="shared" ref="C347:C410" si="20">"W"&amp;TEXT(WEEKNUM(D347,2),"0")</f>
        <v>W2</v>
      </c>
      <c r="D347" s="2" t="s">
        <v>747</v>
      </c>
      <c r="E347" s="2" t="s">
        <v>724</v>
      </c>
      <c r="F347" s="2" t="str" cm="1">
        <f t="array" ref="F347">INDEX(_xlfn.TEXTSPLIT(E347,"-"),2)</f>
        <v>女装</v>
      </c>
      <c r="G347" s="2" t="str" cm="1">
        <f t="array" ref="G347">INDEX(_xlfn.TEXTSPLIT(E347,"-"),3)</f>
        <v>羊毛衫</v>
      </c>
      <c r="H347" s="5">
        <v>628431</v>
      </c>
      <c r="I347" s="5">
        <v>86595334.12</v>
      </c>
      <c r="J347" s="6">
        <v>0.0197</v>
      </c>
      <c r="K347" s="6">
        <v>0.149</v>
      </c>
    </row>
    <row r="348" ht="14.5" spans="1:11">
      <c r="A348" s="3" t="str">
        <f t="shared" si="18"/>
        <v>2026年</v>
      </c>
      <c r="B348" s="3" t="str">
        <f t="shared" si="19"/>
        <v>1月</v>
      </c>
      <c r="C348" s="4" t="str">
        <f t="shared" si="20"/>
        <v>W2</v>
      </c>
      <c r="D348" s="2" t="s">
        <v>747</v>
      </c>
      <c r="E348" s="2" t="s">
        <v>725</v>
      </c>
      <c r="F348" s="2" t="str" cm="1">
        <f t="array" ref="F348">INDEX(_xlfn.TEXTSPLIT(E348,"-"),2)</f>
        <v>女装</v>
      </c>
      <c r="G348" s="2" t="str" cm="1">
        <f t="array" ref="G348">INDEX(_xlfn.TEXTSPLIT(E348,"-"),3)</f>
        <v>羊绒大衣</v>
      </c>
      <c r="H348" s="5">
        <v>6747</v>
      </c>
      <c r="I348" s="5">
        <v>3379544.62</v>
      </c>
      <c r="J348" s="6">
        <v>0.0008</v>
      </c>
      <c r="K348" s="6">
        <v>0.3606</v>
      </c>
    </row>
    <row r="349" ht="14.5" spans="1:11">
      <c r="A349" s="3" t="str">
        <f t="shared" si="18"/>
        <v>2026年</v>
      </c>
      <c r="B349" s="3" t="str">
        <f t="shared" si="19"/>
        <v>1月</v>
      </c>
      <c r="C349" s="4" t="str">
        <f t="shared" si="20"/>
        <v>W2</v>
      </c>
      <c r="D349" s="2" t="s">
        <v>747</v>
      </c>
      <c r="E349" s="2" t="s">
        <v>726</v>
      </c>
      <c r="F349" s="2" t="str" cm="1">
        <f t="array" ref="F349">INDEX(_xlfn.TEXTSPLIT(E349,"-"),2)</f>
        <v>女装</v>
      </c>
      <c r="G349" s="2" t="str" cm="1">
        <f t="array" ref="G349">INDEX(_xlfn.TEXTSPLIT(E349,"-"),3)</f>
        <v>羊绒衫</v>
      </c>
      <c r="H349" s="5">
        <v>163401</v>
      </c>
      <c r="I349" s="5">
        <v>59658535.52</v>
      </c>
      <c r="J349" s="6">
        <v>0.0136</v>
      </c>
      <c r="K349" s="6">
        <v>0.1979</v>
      </c>
    </row>
    <row r="350" ht="14.5" spans="1:11">
      <c r="A350" s="3" t="str">
        <f t="shared" si="18"/>
        <v>2026年</v>
      </c>
      <c r="B350" s="3" t="str">
        <f t="shared" si="19"/>
        <v>1月</v>
      </c>
      <c r="C350" s="4" t="str">
        <f t="shared" si="20"/>
        <v>W2</v>
      </c>
      <c r="D350" s="2" t="s">
        <v>747</v>
      </c>
      <c r="E350" s="2" t="s">
        <v>727</v>
      </c>
      <c r="F350" s="2" t="str" cm="1">
        <f t="array" ref="F350">INDEX(_xlfn.TEXTSPLIT(E350,"-"),2)</f>
        <v>女装</v>
      </c>
      <c r="G350" s="2" t="str" cm="1">
        <f t="array" ref="G350">INDEX(_xlfn.TEXTSPLIT(E350,"-"),3)</f>
        <v>羽绒服</v>
      </c>
      <c r="H350" s="5">
        <v>2180439</v>
      </c>
      <c r="I350" s="5">
        <v>921395394.57</v>
      </c>
      <c r="J350" s="6">
        <v>0.2099</v>
      </c>
      <c r="K350" s="6">
        <v>0.1444</v>
      </c>
    </row>
    <row r="351" ht="14.5" spans="1:11">
      <c r="A351" s="3" t="str">
        <f t="shared" si="18"/>
        <v>2026年</v>
      </c>
      <c r="B351" s="3" t="str">
        <f t="shared" si="19"/>
        <v>1月</v>
      </c>
      <c r="C351" s="4" t="str">
        <f t="shared" si="20"/>
        <v>W2</v>
      </c>
      <c r="D351" s="2" t="s">
        <v>747</v>
      </c>
      <c r="E351" s="2" t="s">
        <v>728</v>
      </c>
      <c r="F351" s="2" t="str" cm="1">
        <f t="array" ref="F351">INDEX(_xlfn.TEXTSPLIT(E351,"-"),2)</f>
        <v>女装</v>
      </c>
      <c r="G351" s="2" t="str" cm="1">
        <f t="array" ref="G351">INDEX(_xlfn.TEXTSPLIT(E351,"-"),3)</f>
        <v>肌底衣/肌肤衣</v>
      </c>
      <c r="H351" s="5">
        <v>6559</v>
      </c>
      <c r="I351" s="5">
        <v>424307.1</v>
      </c>
      <c r="J351" s="6">
        <v>0.0001</v>
      </c>
      <c r="K351" s="6">
        <v>-0.5049</v>
      </c>
    </row>
    <row r="352" ht="14.5" spans="1:11">
      <c r="A352" s="3" t="str">
        <f t="shared" si="18"/>
        <v>2026年</v>
      </c>
      <c r="B352" s="3" t="str">
        <f t="shared" si="19"/>
        <v>1月</v>
      </c>
      <c r="C352" s="4" t="str">
        <f t="shared" si="20"/>
        <v>W2</v>
      </c>
      <c r="D352" s="2" t="s">
        <v>747</v>
      </c>
      <c r="E352" s="2" t="s">
        <v>729</v>
      </c>
      <c r="F352" s="2" t="str" cm="1">
        <f t="array" ref="F352">INDEX(_xlfn.TEXTSPLIT(E352,"-"),2)</f>
        <v>女装</v>
      </c>
      <c r="G352" s="2" t="str" cm="1">
        <f t="array" ref="G352">INDEX(_xlfn.TEXTSPLIT(E352,"-"),3)</f>
        <v>背心吊带</v>
      </c>
      <c r="H352" s="5">
        <v>230843</v>
      </c>
      <c r="I352" s="5">
        <v>12791964.11</v>
      </c>
      <c r="J352" s="6">
        <v>0.0029</v>
      </c>
      <c r="K352" s="6">
        <v>0.0694</v>
      </c>
    </row>
    <row r="353" ht="14.5" spans="1:11">
      <c r="A353" s="3" t="str">
        <f t="shared" si="18"/>
        <v>2026年</v>
      </c>
      <c r="B353" s="3" t="str">
        <f t="shared" si="19"/>
        <v>1月</v>
      </c>
      <c r="C353" s="4" t="str">
        <f t="shared" si="20"/>
        <v>W2</v>
      </c>
      <c r="D353" s="2" t="s">
        <v>747</v>
      </c>
      <c r="E353" s="2" t="s">
        <v>730</v>
      </c>
      <c r="F353" s="2" t="str" cm="1">
        <f t="array" ref="F353">INDEX(_xlfn.TEXTSPLIT(E353,"-"),2)</f>
        <v>女装</v>
      </c>
      <c r="G353" s="2" t="str" cm="1">
        <f t="array" ref="G353">INDEX(_xlfn.TEXTSPLIT(E353,"-"),3)</f>
        <v>蕾丝衫/雪纺衫</v>
      </c>
      <c r="H353" s="5">
        <v>183336</v>
      </c>
      <c r="I353" s="5">
        <v>14193582.65</v>
      </c>
      <c r="J353" s="6">
        <v>0.0032</v>
      </c>
      <c r="K353" s="6">
        <v>0.0292</v>
      </c>
    </row>
    <row r="354" ht="14.5" spans="1:11">
      <c r="A354" s="3" t="str">
        <f t="shared" si="18"/>
        <v>2026年</v>
      </c>
      <c r="B354" s="3" t="str">
        <f t="shared" si="19"/>
        <v>1月</v>
      </c>
      <c r="C354" s="4" t="str">
        <f t="shared" si="20"/>
        <v>W2</v>
      </c>
      <c r="D354" s="2" t="s">
        <v>747</v>
      </c>
      <c r="E354" s="2" t="s">
        <v>731</v>
      </c>
      <c r="F354" s="2" t="str" cm="1">
        <f t="array" ref="F354">INDEX(_xlfn.TEXTSPLIT(E354,"-"),2)</f>
        <v>女装</v>
      </c>
      <c r="G354" s="2" t="str" cm="1">
        <f t="array" ref="G354">INDEX(_xlfn.TEXTSPLIT(E354,"-"),3)</f>
        <v>衬衫</v>
      </c>
      <c r="H354" s="5">
        <v>490321</v>
      </c>
      <c r="I354" s="5">
        <v>61820068.31</v>
      </c>
      <c r="J354" s="6">
        <v>0.0141</v>
      </c>
      <c r="K354" s="6">
        <v>0.2886</v>
      </c>
    </row>
    <row r="355" ht="14.5" spans="1:11">
      <c r="A355" s="3" t="str">
        <f t="shared" si="18"/>
        <v>2026年</v>
      </c>
      <c r="B355" s="3" t="str">
        <f t="shared" si="19"/>
        <v>1月</v>
      </c>
      <c r="C355" s="4" t="str">
        <f t="shared" si="20"/>
        <v>W2</v>
      </c>
      <c r="D355" s="2" t="s">
        <v>747</v>
      </c>
      <c r="E355" s="2" t="s">
        <v>732</v>
      </c>
      <c r="F355" s="2" t="str" cm="1">
        <f t="array" ref="F355">INDEX(_xlfn.TEXTSPLIT(E355,"-"),2)</f>
        <v>女装</v>
      </c>
      <c r="G355" s="2" t="str" cm="1">
        <f t="array" ref="G355">INDEX(_xlfn.TEXTSPLIT(E355,"-"),3)</f>
        <v>裤子</v>
      </c>
      <c r="H355" s="5">
        <v>5332874</v>
      </c>
      <c r="I355" s="5">
        <v>529163201.88</v>
      </c>
      <c r="J355" s="6">
        <v>0.1205</v>
      </c>
      <c r="K355" s="6">
        <v>0.0773</v>
      </c>
    </row>
    <row r="356" ht="14.5" spans="1:11">
      <c r="A356" s="3" t="str">
        <f t="shared" si="18"/>
        <v>2026年</v>
      </c>
      <c r="B356" s="3" t="str">
        <f t="shared" si="19"/>
        <v>1月</v>
      </c>
      <c r="C356" s="4" t="str">
        <f t="shared" si="20"/>
        <v>W2</v>
      </c>
      <c r="D356" s="2" t="s">
        <v>747</v>
      </c>
      <c r="E356" s="2" t="s">
        <v>733</v>
      </c>
      <c r="F356" s="2" t="str" cm="1">
        <f t="array" ref="F356">INDEX(_xlfn.TEXTSPLIT(E356,"-"),2)</f>
        <v>女装</v>
      </c>
      <c r="G356" s="2" t="str" cm="1">
        <f t="array" ref="G356">INDEX(_xlfn.TEXTSPLIT(E356,"-"),3)</f>
        <v>西装</v>
      </c>
      <c r="H356" s="5">
        <v>58846</v>
      </c>
      <c r="I356" s="5">
        <v>17049528.4</v>
      </c>
      <c r="J356" s="6">
        <v>0.0039</v>
      </c>
      <c r="K356" s="6">
        <v>0.2748</v>
      </c>
    </row>
    <row r="357" ht="14.5" spans="1:11">
      <c r="A357" s="3" t="str">
        <f t="shared" si="18"/>
        <v>2026年</v>
      </c>
      <c r="B357" s="3" t="str">
        <f t="shared" si="19"/>
        <v>1月</v>
      </c>
      <c r="C357" s="4" t="str">
        <f t="shared" si="20"/>
        <v>W2</v>
      </c>
      <c r="D357" s="2" t="s">
        <v>747</v>
      </c>
      <c r="E357" s="2" t="s">
        <v>734</v>
      </c>
      <c r="F357" s="2" t="str" cm="1">
        <f t="array" ref="F357">INDEX(_xlfn.TEXTSPLIT(E357,"-"),2)</f>
        <v>女装</v>
      </c>
      <c r="G357" s="2" t="str" cm="1">
        <f t="array" ref="G357">INDEX(_xlfn.TEXTSPLIT(E357,"-"),3)</f>
        <v>设计师/潮牌女装</v>
      </c>
      <c r="H357" s="5">
        <v>624032</v>
      </c>
      <c r="I357" s="5">
        <v>80230343.36</v>
      </c>
      <c r="J357" s="6">
        <v>0.0183</v>
      </c>
      <c r="K357" s="6">
        <v>0.2467</v>
      </c>
    </row>
    <row r="358" ht="14.5" spans="1:11">
      <c r="A358" s="3" t="str">
        <f t="shared" si="18"/>
        <v>2026年</v>
      </c>
      <c r="B358" s="3" t="str">
        <f t="shared" si="19"/>
        <v>1月</v>
      </c>
      <c r="C358" s="4" t="str">
        <f t="shared" si="20"/>
        <v>W2</v>
      </c>
      <c r="D358" s="2" t="s">
        <v>747</v>
      </c>
      <c r="E358" s="2" t="s">
        <v>735</v>
      </c>
      <c r="F358" s="2" t="str" cm="1">
        <f t="array" ref="F358">INDEX(_xlfn.TEXTSPLIT(E358,"-"),2)</f>
        <v>女装</v>
      </c>
      <c r="G358" s="2" t="str" cm="1">
        <f t="array" ref="G358">INDEX(_xlfn.TEXTSPLIT(E358,"-"),3)</f>
        <v>连体衣/裤</v>
      </c>
      <c r="H358" s="5">
        <v>15143</v>
      </c>
      <c r="I358" s="5">
        <v>3010160.85</v>
      </c>
      <c r="J358" s="6">
        <v>0.0007</v>
      </c>
      <c r="K358" s="6">
        <v>0.5612</v>
      </c>
    </row>
    <row r="359" ht="14.5" spans="1:11">
      <c r="A359" s="3" t="str">
        <f t="shared" si="18"/>
        <v>2026年</v>
      </c>
      <c r="B359" s="3" t="str">
        <f t="shared" si="19"/>
        <v>1月</v>
      </c>
      <c r="C359" s="4" t="str">
        <f t="shared" si="20"/>
        <v>W2</v>
      </c>
      <c r="D359" s="2" t="s">
        <v>747</v>
      </c>
      <c r="E359" s="2" t="s">
        <v>736</v>
      </c>
      <c r="F359" s="2" t="str" cm="1">
        <f t="array" ref="F359">INDEX(_xlfn.TEXTSPLIT(E359,"-"),2)</f>
        <v>女装</v>
      </c>
      <c r="G359" s="2" t="str" cm="1">
        <f t="array" ref="G359">INDEX(_xlfn.TEXTSPLIT(E359,"-"),3)</f>
        <v>连衣裙</v>
      </c>
      <c r="H359" s="5">
        <v>820687</v>
      </c>
      <c r="I359" s="5">
        <v>117180671.39</v>
      </c>
      <c r="J359" s="6">
        <v>0.0267</v>
      </c>
      <c r="K359" s="6">
        <v>0.1213</v>
      </c>
    </row>
    <row r="360" ht="14.5" spans="1:11">
      <c r="A360" s="3" t="str">
        <f t="shared" si="18"/>
        <v>2026年</v>
      </c>
      <c r="B360" s="3" t="str">
        <f t="shared" si="19"/>
        <v>1月</v>
      </c>
      <c r="C360" s="4" t="str">
        <f t="shared" si="20"/>
        <v>W2</v>
      </c>
      <c r="D360" s="2" t="s">
        <v>747</v>
      </c>
      <c r="E360" s="2" t="s">
        <v>737</v>
      </c>
      <c r="F360" s="2" t="str" cm="1">
        <f t="array" ref="F360">INDEX(_xlfn.TEXTSPLIT(E360,"-"),2)</f>
        <v>女装</v>
      </c>
      <c r="G360" s="2" t="str" cm="1">
        <f t="array" ref="G360">INDEX(_xlfn.TEXTSPLIT(E360,"-"),3)</f>
        <v>风衣</v>
      </c>
      <c r="H360" s="5">
        <v>122780</v>
      </c>
      <c r="I360" s="5">
        <v>17016677.75</v>
      </c>
      <c r="J360" s="6">
        <v>0.0039</v>
      </c>
      <c r="K360" s="6">
        <v>0.1994</v>
      </c>
    </row>
    <row r="361" ht="14.5" spans="1:11">
      <c r="A361" s="3" t="str">
        <f t="shared" si="18"/>
        <v>2026年</v>
      </c>
      <c r="B361" s="3" t="str">
        <f t="shared" si="19"/>
        <v>1月</v>
      </c>
      <c r="C361" s="4" t="str">
        <f t="shared" si="20"/>
        <v>W2</v>
      </c>
      <c r="D361" s="2" t="s">
        <v>747</v>
      </c>
      <c r="E361" s="2" t="s">
        <v>738</v>
      </c>
      <c r="F361" s="2" t="str" cm="1">
        <f t="array" ref="F361">INDEX(_xlfn.TEXTSPLIT(E361,"-"),2)</f>
        <v>女装</v>
      </c>
      <c r="G361" s="2" t="str" cm="1">
        <f t="array" ref="G361">INDEX(_xlfn.TEXTSPLIT(E361,"-"),3)</f>
        <v>马夹</v>
      </c>
      <c r="H361" s="5">
        <v>417869</v>
      </c>
      <c r="I361" s="5">
        <v>54224641.96</v>
      </c>
      <c r="J361" s="6">
        <v>0.0124</v>
      </c>
      <c r="K361" s="6">
        <v>0.1318</v>
      </c>
    </row>
    <row r="362" ht="14.5" spans="1:11">
      <c r="A362" s="3" t="str">
        <f t="shared" si="18"/>
        <v>2026年</v>
      </c>
      <c r="B362" s="3" t="str">
        <f t="shared" si="19"/>
        <v>1月</v>
      </c>
      <c r="C362" s="4" t="str">
        <f t="shared" si="20"/>
        <v>W2</v>
      </c>
      <c r="D362" s="2" t="s">
        <v>748</v>
      </c>
      <c r="E362" s="2" t="s">
        <v>702</v>
      </c>
      <c r="F362" s="2" t="str" cm="1">
        <f t="array" ref="F362">INDEX(_xlfn.TEXTSPLIT(E362,"-"),2)</f>
        <v>女装</v>
      </c>
      <c r="G362" s="2" t="str" cm="1">
        <f t="array" ref="G362">INDEX(_xlfn.TEXTSPLIT(E362,"-"),3)</f>
        <v>POLO衫</v>
      </c>
      <c r="H362" s="5">
        <v>18083</v>
      </c>
      <c r="I362" s="5">
        <v>1586495.48</v>
      </c>
      <c r="J362" s="6">
        <v>0.0004</v>
      </c>
      <c r="K362" s="6">
        <v>0.1005</v>
      </c>
    </row>
    <row r="363" ht="14.5" spans="1:11">
      <c r="A363" s="3" t="str">
        <f t="shared" si="18"/>
        <v>2026年</v>
      </c>
      <c r="B363" s="3" t="str">
        <f t="shared" si="19"/>
        <v>1月</v>
      </c>
      <c r="C363" s="4" t="str">
        <f t="shared" si="20"/>
        <v>W2</v>
      </c>
      <c r="D363" s="2" t="s">
        <v>748</v>
      </c>
      <c r="E363" s="2" t="s">
        <v>703</v>
      </c>
      <c r="F363" s="2" t="str" cm="1">
        <f t="array" ref="F363">INDEX(_xlfn.TEXTSPLIT(E363,"-"),2)</f>
        <v>女装</v>
      </c>
      <c r="G363" s="2" t="str" cm="1">
        <f t="array" ref="G363">INDEX(_xlfn.TEXTSPLIT(E363,"-"),3)</f>
        <v>T恤</v>
      </c>
      <c r="H363" s="5">
        <v>1751154</v>
      </c>
      <c r="I363" s="5">
        <v>103033182.42</v>
      </c>
      <c r="J363" s="6">
        <v>0.023</v>
      </c>
      <c r="K363" s="6">
        <v>0.0242</v>
      </c>
    </row>
    <row r="364" ht="14.5" spans="1:11">
      <c r="A364" s="3" t="str">
        <f t="shared" si="18"/>
        <v>2026年</v>
      </c>
      <c r="B364" s="3" t="str">
        <f t="shared" si="19"/>
        <v>1月</v>
      </c>
      <c r="C364" s="4" t="str">
        <f t="shared" si="20"/>
        <v>W2</v>
      </c>
      <c r="D364" s="2" t="s">
        <v>748</v>
      </c>
      <c r="E364" s="2" t="s">
        <v>704</v>
      </c>
      <c r="F364" s="2" t="str" cm="1">
        <f t="array" ref="F364">INDEX(_xlfn.TEXTSPLIT(E364,"-"),2)</f>
        <v>女装</v>
      </c>
      <c r="G364" s="2" t="str" cm="1">
        <f t="array" ref="G364">INDEX(_xlfn.TEXTSPLIT(E364,"-"),3)</f>
        <v>中老年女装</v>
      </c>
      <c r="H364" s="5">
        <v>516132</v>
      </c>
      <c r="I364" s="5">
        <v>59807050.34</v>
      </c>
      <c r="J364" s="6">
        <v>0.0133</v>
      </c>
      <c r="K364" s="6">
        <v>0.0832</v>
      </c>
    </row>
    <row r="365" ht="14.5" spans="1:11">
      <c r="A365" s="3" t="str">
        <f t="shared" si="18"/>
        <v>2026年</v>
      </c>
      <c r="B365" s="3" t="str">
        <f t="shared" si="19"/>
        <v>1月</v>
      </c>
      <c r="C365" s="4" t="str">
        <f t="shared" si="20"/>
        <v>W2</v>
      </c>
      <c r="D365" s="2" t="s">
        <v>748</v>
      </c>
      <c r="E365" s="2" t="s">
        <v>705</v>
      </c>
      <c r="F365" s="2" t="str" cm="1">
        <f t="array" ref="F365">INDEX(_xlfn.TEXTSPLIT(E365,"-"),2)</f>
        <v>女装</v>
      </c>
      <c r="G365" s="2" t="str" cm="1">
        <f t="array" ref="G365">INDEX(_xlfn.TEXTSPLIT(E365,"-"),3)</f>
        <v>半身裙</v>
      </c>
      <c r="H365" s="5">
        <v>882724</v>
      </c>
      <c r="I365" s="5">
        <v>85092983.5</v>
      </c>
      <c r="J365" s="6">
        <v>0.019</v>
      </c>
      <c r="K365" s="6">
        <v>-0.0146</v>
      </c>
    </row>
    <row r="366" ht="14.5" spans="1:11">
      <c r="A366" s="3" t="str">
        <f t="shared" si="18"/>
        <v>2026年</v>
      </c>
      <c r="B366" s="3" t="str">
        <f t="shared" si="19"/>
        <v>1月</v>
      </c>
      <c r="C366" s="4" t="str">
        <f t="shared" si="20"/>
        <v>W2</v>
      </c>
      <c r="D366" s="2" t="s">
        <v>748</v>
      </c>
      <c r="E366" s="2" t="s">
        <v>706</v>
      </c>
      <c r="F366" s="2" t="str" cm="1">
        <f t="array" ref="F366">INDEX(_xlfn.TEXTSPLIT(E366,"-"),2)</f>
        <v>女装</v>
      </c>
      <c r="G366" s="2" t="str" cm="1">
        <f t="array" ref="G366">INDEX(_xlfn.TEXTSPLIT(E366,"-"),3)</f>
        <v>卫衣/绒衫</v>
      </c>
      <c r="H366" s="5">
        <v>575694</v>
      </c>
      <c r="I366" s="5">
        <v>47483044.33</v>
      </c>
      <c r="J366" s="6">
        <v>0.0106</v>
      </c>
      <c r="K366" s="6">
        <v>0.0554</v>
      </c>
    </row>
    <row r="367" ht="14.5" spans="1:11">
      <c r="A367" s="3" t="str">
        <f t="shared" si="18"/>
        <v>2026年</v>
      </c>
      <c r="B367" s="3" t="str">
        <f t="shared" si="19"/>
        <v>1月</v>
      </c>
      <c r="C367" s="4" t="str">
        <f t="shared" si="20"/>
        <v>W2</v>
      </c>
      <c r="D367" s="2" t="s">
        <v>748</v>
      </c>
      <c r="E367" s="2" t="s">
        <v>707</v>
      </c>
      <c r="F367" s="2" t="str" cm="1">
        <f t="array" ref="F367">INDEX(_xlfn.TEXTSPLIT(E367,"-"),2)</f>
        <v>女装</v>
      </c>
      <c r="G367" s="2" t="str" cm="1">
        <f t="array" ref="G367">INDEX(_xlfn.TEXTSPLIT(E367,"-"),3)</f>
        <v>唐装/民族服装/舞台服装</v>
      </c>
      <c r="H367" s="5">
        <v>233617</v>
      </c>
      <c r="I367" s="5">
        <v>48707260.53</v>
      </c>
      <c r="J367" s="6">
        <v>0.0109</v>
      </c>
      <c r="K367" s="6">
        <v>0.0472</v>
      </c>
    </row>
    <row r="368" ht="14.5" spans="1:11">
      <c r="A368" s="3" t="str">
        <f t="shared" si="18"/>
        <v>2026年</v>
      </c>
      <c r="B368" s="3" t="str">
        <f t="shared" si="19"/>
        <v>1月</v>
      </c>
      <c r="C368" s="4" t="str">
        <f t="shared" si="20"/>
        <v>W2</v>
      </c>
      <c r="D368" s="2" t="s">
        <v>748</v>
      </c>
      <c r="E368" s="2" t="s">
        <v>708</v>
      </c>
      <c r="F368" s="2" t="str" cm="1">
        <f t="array" ref="F368">INDEX(_xlfn.TEXTSPLIT(E368,"-"),2)</f>
        <v>女装</v>
      </c>
      <c r="G368" s="2" t="str" cm="1">
        <f t="array" ref="G368">INDEX(_xlfn.TEXTSPLIT(E368,"-"),3)</f>
        <v>大码女装</v>
      </c>
      <c r="H368" s="5">
        <v>728017</v>
      </c>
      <c r="I368" s="5">
        <v>66822766.43</v>
      </c>
      <c r="J368" s="6">
        <v>0.0149</v>
      </c>
      <c r="K368" s="6">
        <v>-0.0297</v>
      </c>
    </row>
    <row r="369" ht="14.5" spans="1:11">
      <c r="A369" s="3" t="str">
        <f t="shared" si="18"/>
        <v>2026年</v>
      </c>
      <c r="B369" s="3" t="str">
        <f t="shared" si="19"/>
        <v>1月</v>
      </c>
      <c r="C369" s="4" t="str">
        <f t="shared" si="20"/>
        <v>W2</v>
      </c>
      <c r="D369" s="2" t="s">
        <v>748</v>
      </c>
      <c r="E369" s="2" t="s">
        <v>709</v>
      </c>
      <c r="F369" s="2" t="str" cm="1">
        <f t="array" ref="F369">INDEX(_xlfn.TEXTSPLIT(E369,"-"),2)</f>
        <v>女装</v>
      </c>
      <c r="G369" s="2" t="str" cm="1">
        <f t="array" ref="G369">INDEX(_xlfn.TEXTSPLIT(E369,"-"),3)</f>
        <v>套装/学生校服/工作制服</v>
      </c>
      <c r="H369" s="5">
        <v>1161462</v>
      </c>
      <c r="I369" s="5">
        <v>160801785.8</v>
      </c>
      <c r="J369" s="6">
        <v>0.0359</v>
      </c>
      <c r="K369" s="6">
        <v>-0.0378</v>
      </c>
    </row>
    <row r="370" ht="14.5" spans="1:11">
      <c r="A370" s="3" t="str">
        <f t="shared" si="18"/>
        <v>2026年</v>
      </c>
      <c r="B370" s="3" t="str">
        <f t="shared" si="19"/>
        <v>1月</v>
      </c>
      <c r="C370" s="4" t="str">
        <f t="shared" si="20"/>
        <v>W2</v>
      </c>
      <c r="D370" s="2" t="s">
        <v>748</v>
      </c>
      <c r="E370" s="2" t="s">
        <v>710</v>
      </c>
      <c r="F370" s="2" t="str" cm="1">
        <f t="array" ref="F370">INDEX(_xlfn.TEXTSPLIT(E370,"-"),2)</f>
        <v>女装</v>
      </c>
      <c r="G370" s="2" t="str" cm="1">
        <f t="array" ref="G370">INDEX(_xlfn.TEXTSPLIT(E370,"-"),3)</f>
        <v>婚纱/旗袍/礼服</v>
      </c>
      <c r="H370" s="5">
        <v>66148</v>
      </c>
      <c r="I370" s="5">
        <v>12137324.89</v>
      </c>
      <c r="J370" s="6">
        <v>0.0027</v>
      </c>
      <c r="K370" s="6">
        <v>0.0139</v>
      </c>
    </row>
    <row r="371" ht="14.5" spans="1:11">
      <c r="A371" s="3" t="str">
        <f t="shared" si="18"/>
        <v>2026年</v>
      </c>
      <c r="B371" s="3" t="str">
        <f t="shared" si="19"/>
        <v>1月</v>
      </c>
      <c r="C371" s="4" t="str">
        <f t="shared" si="20"/>
        <v>W2</v>
      </c>
      <c r="D371" s="2" t="s">
        <v>748</v>
      </c>
      <c r="E371" s="2" t="s">
        <v>711</v>
      </c>
      <c r="F371" s="2" t="str" cm="1">
        <f t="array" ref="F371">INDEX(_xlfn.TEXTSPLIT(E371,"-"),2)</f>
        <v>女装</v>
      </c>
      <c r="G371" s="2" t="str" cm="1">
        <f t="array" ref="G371">INDEX(_xlfn.TEXTSPLIT(E371,"-"),3)</f>
        <v>新中式女装</v>
      </c>
      <c r="H371" s="5">
        <v>116408</v>
      </c>
      <c r="I371" s="5">
        <v>12573473.8</v>
      </c>
      <c r="J371" s="6">
        <v>0.0028</v>
      </c>
      <c r="K371" s="6">
        <v>-0.1407</v>
      </c>
    </row>
    <row r="372" ht="14.5" spans="1:11">
      <c r="A372" s="3" t="str">
        <f t="shared" si="18"/>
        <v>2026年</v>
      </c>
      <c r="B372" s="3" t="str">
        <f t="shared" si="19"/>
        <v>1月</v>
      </c>
      <c r="C372" s="4" t="str">
        <f t="shared" si="20"/>
        <v>W2</v>
      </c>
      <c r="D372" s="2" t="s">
        <v>748</v>
      </c>
      <c r="E372" s="2" t="s">
        <v>712</v>
      </c>
      <c r="F372" s="2" t="str" cm="1">
        <f t="array" ref="F372">INDEX(_xlfn.TEXTSPLIT(E372,"-"),2)</f>
        <v>女装</v>
      </c>
      <c r="G372" s="2" t="str" cm="1">
        <f t="array" ref="G372">INDEX(_xlfn.TEXTSPLIT(E372,"-"),3)</f>
        <v>时尚防晒服</v>
      </c>
      <c r="H372" s="5">
        <v>182</v>
      </c>
      <c r="I372" s="5">
        <v>23075.79</v>
      </c>
      <c r="J372" s="2" t="s">
        <v>713</v>
      </c>
      <c r="K372" s="6">
        <v>-0.7679</v>
      </c>
    </row>
    <row r="373" ht="14.5" spans="1:11">
      <c r="A373" s="3" t="str">
        <f t="shared" si="18"/>
        <v>2026年</v>
      </c>
      <c r="B373" s="3" t="str">
        <f t="shared" si="19"/>
        <v>1月</v>
      </c>
      <c r="C373" s="4" t="str">
        <f t="shared" si="20"/>
        <v>W2</v>
      </c>
      <c r="D373" s="2" t="s">
        <v>748</v>
      </c>
      <c r="E373" s="2" t="s">
        <v>714</v>
      </c>
      <c r="F373" s="2" t="str" cm="1">
        <f t="array" ref="F373">INDEX(_xlfn.TEXTSPLIT(E373,"-"),2)</f>
        <v>女装</v>
      </c>
      <c r="G373" s="2" t="str" cm="1">
        <f t="array" ref="G373">INDEX(_xlfn.TEXTSPLIT(E373,"-"),3)</f>
        <v>棉衣/棉服</v>
      </c>
      <c r="H373" s="5">
        <v>1075934</v>
      </c>
      <c r="I373" s="5">
        <v>120075298.56</v>
      </c>
      <c r="J373" s="6">
        <v>0.0268</v>
      </c>
      <c r="K373" s="6">
        <v>0.0413</v>
      </c>
    </row>
    <row r="374" ht="14.5" spans="1:11">
      <c r="A374" s="3" t="str">
        <f t="shared" si="18"/>
        <v>2026年</v>
      </c>
      <c r="B374" s="3" t="str">
        <f t="shared" si="19"/>
        <v>1月</v>
      </c>
      <c r="C374" s="4" t="str">
        <f t="shared" si="20"/>
        <v>W2</v>
      </c>
      <c r="D374" s="2" t="s">
        <v>748</v>
      </c>
      <c r="E374" s="2" t="s">
        <v>715</v>
      </c>
      <c r="F374" s="2" t="str" cm="1">
        <f t="array" ref="F374">INDEX(_xlfn.TEXTSPLIT(E374,"-"),2)</f>
        <v>女装</v>
      </c>
      <c r="G374" s="2" t="str" cm="1">
        <f t="array" ref="G374">INDEX(_xlfn.TEXTSPLIT(E374,"-"),3)</f>
        <v>毛呢外套</v>
      </c>
      <c r="H374" s="5">
        <v>921343</v>
      </c>
      <c r="I374" s="5">
        <v>361702207.13</v>
      </c>
      <c r="J374" s="6">
        <v>0.0807</v>
      </c>
      <c r="K374" s="6">
        <v>-0.0142</v>
      </c>
    </row>
    <row r="375" ht="14.5" spans="1:11">
      <c r="A375" s="3" t="str">
        <f t="shared" si="18"/>
        <v>2026年</v>
      </c>
      <c r="B375" s="3" t="str">
        <f t="shared" si="19"/>
        <v>1月</v>
      </c>
      <c r="C375" s="4" t="str">
        <f t="shared" si="20"/>
        <v>W2</v>
      </c>
      <c r="D375" s="2" t="s">
        <v>748</v>
      </c>
      <c r="E375" s="2" t="s">
        <v>716</v>
      </c>
      <c r="F375" s="2" t="str" cm="1">
        <f t="array" ref="F375">INDEX(_xlfn.TEXTSPLIT(E375,"-"),2)</f>
        <v>女装</v>
      </c>
      <c r="G375" s="2" t="str" cm="1">
        <f t="array" ref="G375">INDEX(_xlfn.TEXTSPLIT(E375,"-"),3)</f>
        <v>毛衣</v>
      </c>
      <c r="H375" s="5">
        <v>630165</v>
      </c>
      <c r="I375" s="5">
        <v>56098212.81</v>
      </c>
      <c r="J375" s="6">
        <v>0.0125</v>
      </c>
      <c r="K375" s="6">
        <v>-0.1107</v>
      </c>
    </row>
    <row r="376" ht="14.5" spans="1:11">
      <c r="A376" s="3" t="str">
        <f t="shared" si="18"/>
        <v>2026年</v>
      </c>
      <c r="B376" s="3" t="str">
        <f t="shared" si="19"/>
        <v>1月</v>
      </c>
      <c r="C376" s="4" t="str">
        <f t="shared" si="20"/>
        <v>W2</v>
      </c>
      <c r="D376" s="2" t="s">
        <v>748</v>
      </c>
      <c r="E376" s="2" t="s">
        <v>717</v>
      </c>
      <c r="F376" s="2" t="str" cm="1">
        <f t="array" ref="F376">INDEX(_xlfn.TEXTSPLIT(E376,"-"),2)</f>
        <v>女装</v>
      </c>
      <c r="G376" s="2" t="str" cm="1">
        <f t="array" ref="G376">INDEX(_xlfn.TEXTSPLIT(E376,"-"),3)</f>
        <v>毛针织衫</v>
      </c>
      <c r="H376" s="5">
        <v>2786788</v>
      </c>
      <c r="I376" s="5">
        <v>255565059.12</v>
      </c>
      <c r="J376" s="6">
        <v>0.057</v>
      </c>
      <c r="K376" s="6">
        <v>0.145</v>
      </c>
    </row>
    <row r="377" ht="14.5" spans="1:11">
      <c r="A377" s="3" t="str">
        <f t="shared" si="18"/>
        <v>2026年</v>
      </c>
      <c r="B377" s="3" t="str">
        <f t="shared" si="19"/>
        <v>1月</v>
      </c>
      <c r="C377" s="4" t="str">
        <f t="shared" si="20"/>
        <v>W2</v>
      </c>
      <c r="D377" s="2" t="s">
        <v>748</v>
      </c>
      <c r="E377" s="2" t="s">
        <v>718</v>
      </c>
      <c r="F377" s="2" t="str" cm="1">
        <f t="array" ref="F377">INDEX(_xlfn.TEXTSPLIT(E377,"-"),2)</f>
        <v>女装</v>
      </c>
      <c r="G377" s="2" t="str" cm="1">
        <f t="array" ref="G377">INDEX(_xlfn.TEXTSPLIT(E377,"-"),3)</f>
        <v>汉服</v>
      </c>
      <c r="H377" s="5">
        <v>261374</v>
      </c>
      <c r="I377" s="5">
        <v>107192649.16</v>
      </c>
      <c r="J377" s="6">
        <v>0.0239</v>
      </c>
      <c r="K377" s="6">
        <v>0.5047</v>
      </c>
    </row>
    <row r="378" ht="14.5" spans="1:11">
      <c r="A378" s="3" t="str">
        <f t="shared" si="18"/>
        <v>2026年</v>
      </c>
      <c r="B378" s="3" t="str">
        <f t="shared" si="19"/>
        <v>1月</v>
      </c>
      <c r="C378" s="4" t="str">
        <f t="shared" si="20"/>
        <v>W2</v>
      </c>
      <c r="D378" s="2" t="s">
        <v>748</v>
      </c>
      <c r="E378" s="2" t="s">
        <v>719</v>
      </c>
      <c r="F378" s="2" t="str" cm="1">
        <f t="array" ref="F378">INDEX(_xlfn.TEXTSPLIT(E378,"-"),2)</f>
        <v>女装</v>
      </c>
      <c r="G378" s="2" t="str" cm="1">
        <f t="array" ref="G378">INDEX(_xlfn.TEXTSPLIT(E378,"-"),3)</f>
        <v>派克服</v>
      </c>
      <c r="H378" s="5">
        <v>80376</v>
      </c>
      <c r="I378" s="5">
        <v>17932890</v>
      </c>
      <c r="J378" s="6">
        <v>0.004</v>
      </c>
      <c r="K378" s="6">
        <v>-0.3155</v>
      </c>
    </row>
    <row r="379" ht="14.5" spans="1:11">
      <c r="A379" s="3" t="str">
        <f t="shared" si="18"/>
        <v>2026年</v>
      </c>
      <c r="B379" s="3" t="str">
        <f t="shared" si="19"/>
        <v>1月</v>
      </c>
      <c r="C379" s="4" t="str">
        <f t="shared" si="20"/>
        <v>W2</v>
      </c>
      <c r="D379" s="2" t="s">
        <v>748</v>
      </c>
      <c r="E379" s="2" t="s">
        <v>720</v>
      </c>
      <c r="F379" s="2" t="str" cm="1">
        <f t="array" ref="F379">INDEX(_xlfn.TEXTSPLIT(E379,"-"),2)</f>
        <v>女装</v>
      </c>
      <c r="G379" s="2" t="str" cm="1">
        <f t="array" ref="G379">INDEX(_xlfn.TEXTSPLIT(E379,"-"),3)</f>
        <v>皮草</v>
      </c>
      <c r="H379" s="5">
        <v>285372</v>
      </c>
      <c r="I379" s="5">
        <v>534570204.72</v>
      </c>
      <c r="J379" s="6">
        <v>0.1193</v>
      </c>
      <c r="K379" s="6">
        <v>0.0221</v>
      </c>
    </row>
    <row r="380" ht="14.5" spans="1:11">
      <c r="A380" s="3" t="str">
        <f t="shared" si="18"/>
        <v>2026年</v>
      </c>
      <c r="B380" s="3" t="str">
        <f t="shared" si="19"/>
        <v>1月</v>
      </c>
      <c r="C380" s="4" t="str">
        <f t="shared" si="20"/>
        <v>W2</v>
      </c>
      <c r="D380" s="2" t="s">
        <v>748</v>
      </c>
      <c r="E380" s="2" t="s">
        <v>721</v>
      </c>
      <c r="F380" s="2" t="str" cm="1">
        <f t="array" ref="F380">INDEX(_xlfn.TEXTSPLIT(E380,"-"),2)</f>
        <v>女装</v>
      </c>
      <c r="G380" s="2" t="str" cm="1">
        <f t="array" ref="G380">INDEX(_xlfn.TEXTSPLIT(E380,"-"),3)</f>
        <v>皮衣</v>
      </c>
      <c r="H380" s="5">
        <v>149097</v>
      </c>
      <c r="I380" s="5">
        <v>55610649.8</v>
      </c>
      <c r="J380" s="6">
        <v>0.0124</v>
      </c>
      <c r="K380" s="6">
        <v>0.0709</v>
      </c>
    </row>
    <row r="381" ht="14.5" spans="1:11">
      <c r="A381" s="3" t="str">
        <f t="shared" si="18"/>
        <v>2026年</v>
      </c>
      <c r="B381" s="3" t="str">
        <f t="shared" si="19"/>
        <v>1月</v>
      </c>
      <c r="C381" s="4" t="str">
        <f t="shared" si="20"/>
        <v>W2</v>
      </c>
      <c r="D381" s="2" t="s">
        <v>748</v>
      </c>
      <c r="E381" s="2" t="s">
        <v>722</v>
      </c>
      <c r="F381" s="2" t="str" cm="1">
        <f t="array" ref="F381">INDEX(_xlfn.TEXTSPLIT(E381,"-"),2)</f>
        <v>女装</v>
      </c>
      <c r="G381" s="2" t="str" cm="1">
        <f t="array" ref="G381">INDEX(_xlfn.TEXTSPLIT(E381,"-"),3)</f>
        <v>短外套</v>
      </c>
      <c r="H381" s="5">
        <v>1729949</v>
      </c>
      <c r="I381" s="5">
        <v>352692638.02</v>
      </c>
      <c r="J381" s="6">
        <v>0.0787</v>
      </c>
      <c r="K381" s="6">
        <v>-0.0343</v>
      </c>
    </row>
    <row r="382" ht="14.5" spans="1:11">
      <c r="A382" s="3" t="str">
        <f t="shared" si="18"/>
        <v>2026年</v>
      </c>
      <c r="B382" s="3" t="str">
        <f t="shared" si="19"/>
        <v>1月</v>
      </c>
      <c r="C382" s="4" t="str">
        <f t="shared" si="20"/>
        <v>W2</v>
      </c>
      <c r="D382" s="2" t="s">
        <v>748</v>
      </c>
      <c r="E382" s="2" t="s">
        <v>723</v>
      </c>
      <c r="F382" s="2" t="str" cm="1">
        <f t="array" ref="F382">INDEX(_xlfn.TEXTSPLIT(E382,"-"),2)</f>
        <v>女装</v>
      </c>
      <c r="G382" s="2" t="str" cm="1">
        <f t="array" ref="G382">INDEX(_xlfn.TEXTSPLIT(E382,"-"),3)</f>
        <v>短裤</v>
      </c>
      <c r="H382" s="5">
        <v>145486</v>
      </c>
      <c r="I382" s="5">
        <v>9540573.45</v>
      </c>
      <c r="J382" s="6">
        <v>0.0021</v>
      </c>
      <c r="K382" s="6">
        <v>0.1667</v>
      </c>
    </row>
    <row r="383" ht="14.5" spans="1:11">
      <c r="A383" s="3" t="str">
        <f t="shared" si="18"/>
        <v>2026年</v>
      </c>
      <c r="B383" s="3" t="str">
        <f t="shared" si="19"/>
        <v>1月</v>
      </c>
      <c r="C383" s="4" t="str">
        <f t="shared" si="20"/>
        <v>W2</v>
      </c>
      <c r="D383" s="2" t="s">
        <v>748</v>
      </c>
      <c r="E383" s="2" t="s">
        <v>724</v>
      </c>
      <c r="F383" s="2" t="str" cm="1">
        <f t="array" ref="F383">INDEX(_xlfn.TEXTSPLIT(E383,"-"),2)</f>
        <v>女装</v>
      </c>
      <c r="G383" s="2" t="str" cm="1">
        <f t="array" ref="G383">INDEX(_xlfn.TEXTSPLIT(E383,"-"),3)</f>
        <v>羊毛衫</v>
      </c>
      <c r="H383" s="5">
        <v>665392</v>
      </c>
      <c r="I383" s="5">
        <v>88013445.98</v>
      </c>
      <c r="J383" s="6">
        <v>0.0196</v>
      </c>
      <c r="K383" s="6">
        <v>0.0164</v>
      </c>
    </row>
    <row r="384" ht="14.5" spans="1:11">
      <c r="A384" s="3" t="str">
        <f t="shared" si="18"/>
        <v>2026年</v>
      </c>
      <c r="B384" s="3" t="str">
        <f t="shared" si="19"/>
        <v>1月</v>
      </c>
      <c r="C384" s="4" t="str">
        <f t="shared" si="20"/>
        <v>W2</v>
      </c>
      <c r="D384" s="2" t="s">
        <v>748</v>
      </c>
      <c r="E384" s="2" t="s">
        <v>725</v>
      </c>
      <c r="F384" s="2" t="str" cm="1">
        <f t="array" ref="F384">INDEX(_xlfn.TEXTSPLIT(E384,"-"),2)</f>
        <v>女装</v>
      </c>
      <c r="G384" s="2" t="str" cm="1">
        <f t="array" ref="G384">INDEX(_xlfn.TEXTSPLIT(E384,"-"),3)</f>
        <v>羊绒大衣</v>
      </c>
      <c r="H384" s="5">
        <v>8219</v>
      </c>
      <c r="I384" s="5">
        <v>3929067.51</v>
      </c>
      <c r="J384" s="6">
        <v>0.0009</v>
      </c>
      <c r="K384" s="6">
        <v>0.1626</v>
      </c>
    </row>
    <row r="385" ht="14.5" spans="1:11">
      <c r="A385" s="3" t="str">
        <f t="shared" si="18"/>
        <v>2026年</v>
      </c>
      <c r="B385" s="3" t="str">
        <f t="shared" si="19"/>
        <v>1月</v>
      </c>
      <c r="C385" s="4" t="str">
        <f t="shared" si="20"/>
        <v>W2</v>
      </c>
      <c r="D385" s="2" t="s">
        <v>748</v>
      </c>
      <c r="E385" s="2" t="s">
        <v>726</v>
      </c>
      <c r="F385" s="2" t="str" cm="1">
        <f t="array" ref="F385">INDEX(_xlfn.TEXTSPLIT(E385,"-"),2)</f>
        <v>女装</v>
      </c>
      <c r="G385" s="2" t="str" cm="1">
        <f t="array" ref="G385">INDEX(_xlfn.TEXTSPLIT(E385,"-"),3)</f>
        <v>羊绒衫</v>
      </c>
      <c r="H385" s="5">
        <v>184783</v>
      </c>
      <c r="I385" s="5">
        <v>59155884.49</v>
      </c>
      <c r="J385" s="6">
        <v>0.0132</v>
      </c>
      <c r="K385" s="6">
        <v>-0.0084</v>
      </c>
    </row>
    <row r="386" ht="14.5" spans="1:11">
      <c r="A386" s="3" t="str">
        <f t="shared" si="18"/>
        <v>2026年</v>
      </c>
      <c r="B386" s="3" t="str">
        <f t="shared" si="19"/>
        <v>1月</v>
      </c>
      <c r="C386" s="4" t="str">
        <f t="shared" si="20"/>
        <v>W2</v>
      </c>
      <c r="D386" s="2" t="s">
        <v>748</v>
      </c>
      <c r="E386" s="2" t="s">
        <v>727</v>
      </c>
      <c r="F386" s="2" t="str" cm="1">
        <f t="array" ref="F386">INDEX(_xlfn.TEXTSPLIT(E386,"-"),2)</f>
        <v>女装</v>
      </c>
      <c r="G386" s="2" t="str" cm="1">
        <f t="array" ref="G386">INDEX(_xlfn.TEXTSPLIT(E386,"-"),3)</f>
        <v>羽绒服</v>
      </c>
      <c r="H386" s="5">
        <v>2294309</v>
      </c>
      <c r="I386" s="5">
        <v>949849431.72</v>
      </c>
      <c r="J386" s="6">
        <v>0.2119</v>
      </c>
      <c r="K386" s="6">
        <v>0.0309</v>
      </c>
    </row>
    <row r="387" ht="14.5" spans="1:11">
      <c r="A387" s="3" t="str">
        <f t="shared" si="18"/>
        <v>2026年</v>
      </c>
      <c r="B387" s="3" t="str">
        <f t="shared" si="19"/>
        <v>1月</v>
      </c>
      <c r="C387" s="4" t="str">
        <f t="shared" si="20"/>
        <v>W2</v>
      </c>
      <c r="D387" s="2" t="s">
        <v>748</v>
      </c>
      <c r="E387" s="2" t="s">
        <v>728</v>
      </c>
      <c r="F387" s="2" t="str" cm="1">
        <f t="array" ref="F387">INDEX(_xlfn.TEXTSPLIT(E387,"-"),2)</f>
        <v>女装</v>
      </c>
      <c r="G387" s="2" t="str" cm="1">
        <f t="array" ref="G387">INDEX(_xlfn.TEXTSPLIT(E387,"-"),3)</f>
        <v>肌底衣/肌肤衣</v>
      </c>
      <c r="H387" s="5">
        <v>6198</v>
      </c>
      <c r="I387" s="5">
        <v>388572.55</v>
      </c>
      <c r="J387" s="6">
        <v>0.0001</v>
      </c>
      <c r="K387" s="6">
        <v>-0.0842</v>
      </c>
    </row>
    <row r="388" ht="14.5" spans="1:11">
      <c r="A388" s="3" t="str">
        <f t="shared" si="18"/>
        <v>2026年</v>
      </c>
      <c r="B388" s="3" t="str">
        <f t="shared" si="19"/>
        <v>1月</v>
      </c>
      <c r="C388" s="4" t="str">
        <f t="shared" si="20"/>
        <v>W2</v>
      </c>
      <c r="D388" s="2" t="s">
        <v>748</v>
      </c>
      <c r="E388" s="2" t="s">
        <v>729</v>
      </c>
      <c r="F388" s="2" t="str" cm="1">
        <f t="array" ref="F388">INDEX(_xlfn.TEXTSPLIT(E388,"-"),2)</f>
        <v>女装</v>
      </c>
      <c r="G388" s="2" t="str" cm="1">
        <f t="array" ref="G388">INDEX(_xlfn.TEXTSPLIT(E388,"-"),3)</f>
        <v>背心吊带</v>
      </c>
      <c r="H388" s="5">
        <v>222794</v>
      </c>
      <c r="I388" s="5">
        <v>12847504.38</v>
      </c>
      <c r="J388" s="6">
        <v>0.0029</v>
      </c>
      <c r="K388" s="6">
        <v>0.0043</v>
      </c>
    </row>
    <row r="389" ht="14.5" spans="1:11">
      <c r="A389" s="3" t="str">
        <f t="shared" si="18"/>
        <v>2026年</v>
      </c>
      <c r="B389" s="3" t="str">
        <f t="shared" si="19"/>
        <v>1月</v>
      </c>
      <c r="C389" s="4" t="str">
        <f t="shared" si="20"/>
        <v>W2</v>
      </c>
      <c r="D389" s="2" t="s">
        <v>748</v>
      </c>
      <c r="E389" s="2" t="s">
        <v>730</v>
      </c>
      <c r="F389" s="2" t="str" cm="1">
        <f t="array" ref="F389">INDEX(_xlfn.TEXTSPLIT(E389,"-"),2)</f>
        <v>女装</v>
      </c>
      <c r="G389" s="2" t="str" cm="1">
        <f t="array" ref="G389">INDEX(_xlfn.TEXTSPLIT(E389,"-"),3)</f>
        <v>蕾丝衫/雪纺衫</v>
      </c>
      <c r="H389" s="5">
        <v>212435</v>
      </c>
      <c r="I389" s="5">
        <v>14938235.25</v>
      </c>
      <c r="J389" s="6">
        <v>0.0033</v>
      </c>
      <c r="K389" s="6">
        <v>0.0525</v>
      </c>
    </row>
    <row r="390" ht="14.5" spans="1:11">
      <c r="A390" s="3" t="str">
        <f t="shared" si="18"/>
        <v>2026年</v>
      </c>
      <c r="B390" s="3" t="str">
        <f t="shared" si="19"/>
        <v>1月</v>
      </c>
      <c r="C390" s="4" t="str">
        <f t="shared" si="20"/>
        <v>W2</v>
      </c>
      <c r="D390" s="2" t="s">
        <v>748</v>
      </c>
      <c r="E390" s="2" t="s">
        <v>731</v>
      </c>
      <c r="F390" s="2" t="str" cm="1">
        <f t="array" ref="F390">INDEX(_xlfn.TEXTSPLIT(E390,"-"),2)</f>
        <v>女装</v>
      </c>
      <c r="G390" s="2" t="str" cm="1">
        <f t="array" ref="G390">INDEX(_xlfn.TEXTSPLIT(E390,"-"),3)</f>
        <v>衬衫</v>
      </c>
      <c r="H390" s="5">
        <v>503185</v>
      </c>
      <c r="I390" s="5">
        <v>56663752.56</v>
      </c>
      <c r="J390" s="6">
        <v>0.0126</v>
      </c>
      <c r="K390" s="6">
        <v>-0.0834</v>
      </c>
    </row>
    <row r="391" ht="14.5" spans="1:11">
      <c r="A391" s="3" t="str">
        <f t="shared" si="18"/>
        <v>2026年</v>
      </c>
      <c r="B391" s="3" t="str">
        <f t="shared" si="19"/>
        <v>1月</v>
      </c>
      <c r="C391" s="4" t="str">
        <f t="shared" si="20"/>
        <v>W2</v>
      </c>
      <c r="D391" s="2" t="s">
        <v>748</v>
      </c>
      <c r="E391" s="2" t="s">
        <v>732</v>
      </c>
      <c r="F391" s="2" t="str" cm="1">
        <f t="array" ref="F391">INDEX(_xlfn.TEXTSPLIT(E391,"-"),2)</f>
        <v>女装</v>
      </c>
      <c r="G391" s="2" t="str" cm="1">
        <f t="array" ref="G391">INDEX(_xlfn.TEXTSPLIT(E391,"-"),3)</f>
        <v>裤子</v>
      </c>
      <c r="H391" s="5">
        <v>5638313</v>
      </c>
      <c r="I391" s="5">
        <v>546189754.54</v>
      </c>
      <c r="J391" s="6">
        <v>0.1219</v>
      </c>
      <c r="K391" s="6">
        <v>0.0322</v>
      </c>
    </row>
    <row r="392" ht="14.5" spans="1:11">
      <c r="A392" s="3" t="str">
        <f t="shared" si="18"/>
        <v>2026年</v>
      </c>
      <c r="B392" s="3" t="str">
        <f t="shared" si="19"/>
        <v>1月</v>
      </c>
      <c r="C392" s="4" t="str">
        <f t="shared" si="20"/>
        <v>W2</v>
      </c>
      <c r="D392" s="2" t="s">
        <v>748</v>
      </c>
      <c r="E392" s="2" t="s">
        <v>733</v>
      </c>
      <c r="F392" s="2" t="str" cm="1">
        <f t="array" ref="F392">INDEX(_xlfn.TEXTSPLIT(E392,"-"),2)</f>
        <v>女装</v>
      </c>
      <c r="G392" s="2" t="str" cm="1">
        <f t="array" ref="G392">INDEX(_xlfn.TEXTSPLIT(E392,"-"),3)</f>
        <v>西装</v>
      </c>
      <c r="H392" s="5">
        <v>49275</v>
      </c>
      <c r="I392" s="5">
        <v>13770397.38</v>
      </c>
      <c r="J392" s="6">
        <v>0.0031</v>
      </c>
      <c r="K392" s="6">
        <v>-0.1923</v>
      </c>
    </row>
    <row r="393" ht="14.5" spans="1:11">
      <c r="A393" s="3" t="str">
        <f t="shared" si="18"/>
        <v>2026年</v>
      </c>
      <c r="B393" s="3" t="str">
        <f t="shared" si="19"/>
        <v>1月</v>
      </c>
      <c r="C393" s="4" t="str">
        <f t="shared" si="20"/>
        <v>W2</v>
      </c>
      <c r="D393" s="2" t="s">
        <v>748</v>
      </c>
      <c r="E393" s="2" t="s">
        <v>734</v>
      </c>
      <c r="F393" s="2" t="str" cm="1">
        <f t="array" ref="F393">INDEX(_xlfn.TEXTSPLIT(E393,"-"),2)</f>
        <v>女装</v>
      </c>
      <c r="G393" s="2" t="str" cm="1">
        <f t="array" ref="G393">INDEX(_xlfn.TEXTSPLIT(E393,"-"),3)</f>
        <v>设计师/潮牌女装</v>
      </c>
      <c r="H393" s="5">
        <v>705268</v>
      </c>
      <c r="I393" s="5">
        <v>78681530.34</v>
      </c>
      <c r="J393" s="6">
        <v>0.0176</v>
      </c>
      <c r="K393" s="6">
        <v>-0.0193</v>
      </c>
    </row>
    <row r="394" ht="14.5" spans="1:11">
      <c r="A394" s="3" t="str">
        <f t="shared" si="18"/>
        <v>2026年</v>
      </c>
      <c r="B394" s="3" t="str">
        <f t="shared" si="19"/>
        <v>1月</v>
      </c>
      <c r="C394" s="4" t="str">
        <f t="shared" si="20"/>
        <v>W2</v>
      </c>
      <c r="D394" s="2" t="s">
        <v>748</v>
      </c>
      <c r="E394" s="2" t="s">
        <v>735</v>
      </c>
      <c r="F394" s="2" t="str" cm="1">
        <f t="array" ref="F394">INDEX(_xlfn.TEXTSPLIT(E394,"-"),2)</f>
        <v>女装</v>
      </c>
      <c r="G394" s="2" t="str" cm="1">
        <f t="array" ref="G394">INDEX(_xlfn.TEXTSPLIT(E394,"-"),3)</f>
        <v>连体衣/裤</v>
      </c>
      <c r="H394" s="5">
        <v>14055</v>
      </c>
      <c r="I394" s="5">
        <v>2645863.55</v>
      </c>
      <c r="J394" s="6">
        <v>0.0006</v>
      </c>
      <c r="K394" s="6">
        <v>-0.121</v>
      </c>
    </row>
    <row r="395" ht="14.5" spans="1:11">
      <c r="A395" s="3" t="str">
        <f t="shared" si="18"/>
        <v>2026年</v>
      </c>
      <c r="B395" s="3" t="str">
        <f t="shared" si="19"/>
        <v>1月</v>
      </c>
      <c r="C395" s="4" t="str">
        <f t="shared" si="20"/>
        <v>W2</v>
      </c>
      <c r="D395" s="2" t="s">
        <v>748</v>
      </c>
      <c r="E395" s="2" t="s">
        <v>736</v>
      </c>
      <c r="F395" s="2" t="str" cm="1">
        <f t="array" ref="F395">INDEX(_xlfn.TEXTSPLIT(E395,"-"),2)</f>
        <v>女装</v>
      </c>
      <c r="G395" s="2" t="str" cm="1">
        <f t="array" ref="G395">INDEX(_xlfn.TEXTSPLIT(E395,"-"),3)</f>
        <v>连衣裙</v>
      </c>
      <c r="H395" s="5">
        <v>851688</v>
      </c>
      <c r="I395" s="5">
        <v>115605181.91</v>
      </c>
      <c r="J395" s="6">
        <v>0.0258</v>
      </c>
      <c r="K395" s="6">
        <v>-0.0134</v>
      </c>
    </row>
    <row r="396" ht="14.5" spans="1:11">
      <c r="A396" s="3" t="str">
        <f t="shared" si="18"/>
        <v>2026年</v>
      </c>
      <c r="B396" s="3" t="str">
        <f t="shared" si="19"/>
        <v>1月</v>
      </c>
      <c r="C396" s="4" t="str">
        <f t="shared" si="20"/>
        <v>W2</v>
      </c>
      <c r="D396" s="2" t="s">
        <v>748</v>
      </c>
      <c r="E396" s="2" t="s">
        <v>737</v>
      </c>
      <c r="F396" s="2" t="str" cm="1">
        <f t="array" ref="F396">INDEX(_xlfn.TEXTSPLIT(E396,"-"),2)</f>
        <v>女装</v>
      </c>
      <c r="G396" s="2" t="str" cm="1">
        <f t="array" ref="G396">INDEX(_xlfn.TEXTSPLIT(E396,"-"),3)</f>
        <v>风衣</v>
      </c>
      <c r="H396" s="5">
        <v>113584</v>
      </c>
      <c r="I396" s="5">
        <v>16698365.36</v>
      </c>
      <c r="J396" s="6">
        <v>0.0037</v>
      </c>
      <c r="K396" s="6">
        <v>-0.0187</v>
      </c>
    </row>
    <row r="397" ht="14.5" spans="1:11">
      <c r="A397" s="3" t="str">
        <f t="shared" si="18"/>
        <v>2026年</v>
      </c>
      <c r="B397" s="3" t="str">
        <f t="shared" si="19"/>
        <v>1月</v>
      </c>
      <c r="C397" s="4" t="str">
        <f t="shared" si="20"/>
        <v>W2</v>
      </c>
      <c r="D397" s="2" t="s">
        <v>748</v>
      </c>
      <c r="E397" s="2" t="s">
        <v>738</v>
      </c>
      <c r="F397" s="2" t="str" cm="1">
        <f t="array" ref="F397">INDEX(_xlfn.TEXTSPLIT(E397,"-"),2)</f>
        <v>女装</v>
      </c>
      <c r="G397" s="2" t="str" cm="1">
        <f t="array" ref="G397">INDEX(_xlfn.TEXTSPLIT(E397,"-"),3)</f>
        <v>马夹</v>
      </c>
      <c r="H397" s="5">
        <v>443816</v>
      </c>
      <c r="I397" s="5">
        <v>53862415.08</v>
      </c>
      <c r="J397" s="6">
        <v>0.012</v>
      </c>
      <c r="K397" s="6">
        <v>-0.0067</v>
      </c>
    </row>
    <row r="398" ht="14.5" spans="1:11">
      <c r="A398" s="3" t="str">
        <f t="shared" si="18"/>
        <v>2026年</v>
      </c>
      <c r="B398" s="3" t="str">
        <f t="shared" si="19"/>
        <v>1月</v>
      </c>
      <c r="C398" s="4" t="str">
        <f t="shared" si="20"/>
        <v>W3</v>
      </c>
      <c r="D398" s="2" t="s">
        <v>749</v>
      </c>
      <c r="E398" s="2" t="s">
        <v>702</v>
      </c>
      <c r="F398" s="2" t="str" cm="1">
        <f t="array" ref="F398">INDEX(_xlfn.TEXTSPLIT(E398,"-"),2)</f>
        <v>女装</v>
      </c>
      <c r="G398" s="2" t="str" cm="1">
        <f t="array" ref="G398">INDEX(_xlfn.TEXTSPLIT(E398,"-"),3)</f>
        <v>POLO衫</v>
      </c>
      <c r="H398" s="5">
        <v>13431</v>
      </c>
      <c r="I398" s="5">
        <v>1031853.6</v>
      </c>
      <c r="J398" s="6">
        <v>0.0003</v>
      </c>
      <c r="K398" s="6">
        <v>-0.3496</v>
      </c>
    </row>
    <row r="399" ht="14.5" spans="1:11">
      <c r="A399" s="3" t="str">
        <f t="shared" si="18"/>
        <v>2026年</v>
      </c>
      <c r="B399" s="3" t="str">
        <f t="shared" si="19"/>
        <v>1月</v>
      </c>
      <c r="C399" s="4" t="str">
        <f t="shared" si="20"/>
        <v>W3</v>
      </c>
      <c r="D399" s="2" t="s">
        <v>749</v>
      </c>
      <c r="E399" s="2" t="s">
        <v>703</v>
      </c>
      <c r="F399" s="2" t="str" cm="1">
        <f t="array" ref="F399">INDEX(_xlfn.TEXTSPLIT(E399,"-"),2)</f>
        <v>女装</v>
      </c>
      <c r="G399" s="2" t="str" cm="1">
        <f t="array" ref="G399">INDEX(_xlfn.TEXTSPLIT(E399,"-"),3)</f>
        <v>T恤</v>
      </c>
      <c r="H399" s="5">
        <v>1560742</v>
      </c>
      <c r="I399" s="5">
        <v>86465702.67</v>
      </c>
      <c r="J399" s="6">
        <v>0.0235</v>
      </c>
      <c r="K399" s="6">
        <v>-0.1608</v>
      </c>
    </row>
    <row r="400" ht="14.5" spans="1:11">
      <c r="A400" s="3" t="str">
        <f t="shared" si="18"/>
        <v>2026年</v>
      </c>
      <c r="B400" s="3" t="str">
        <f t="shared" si="19"/>
        <v>1月</v>
      </c>
      <c r="C400" s="4" t="str">
        <f t="shared" si="20"/>
        <v>W3</v>
      </c>
      <c r="D400" s="2" t="s">
        <v>749</v>
      </c>
      <c r="E400" s="2" t="s">
        <v>704</v>
      </c>
      <c r="F400" s="2" t="str" cm="1">
        <f t="array" ref="F400">INDEX(_xlfn.TEXTSPLIT(E400,"-"),2)</f>
        <v>女装</v>
      </c>
      <c r="G400" s="2" t="str" cm="1">
        <f t="array" ref="G400">INDEX(_xlfn.TEXTSPLIT(E400,"-"),3)</f>
        <v>中老年女装</v>
      </c>
      <c r="H400" s="5">
        <v>472322</v>
      </c>
      <c r="I400" s="5">
        <v>55504786.38</v>
      </c>
      <c r="J400" s="6">
        <v>0.0151</v>
      </c>
      <c r="K400" s="6">
        <v>-0.0719</v>
      </c>
    </row>
    <row r="401" ht="14.5" spans="1:11">
      <c r="A401" s="3" t="str">
        <f t="shared" si="18"/>
        <v>2026年</v>
      </c>
      <c r="B401" s="3" t="str">
        <f t="shared" si="19"/>
        <v>1月</v>
      </c>
      <c r="C401" s="4" t="str">
        <f t="shared" si="20"/>
        <v>W3</v>
      </c>
      <c r="D401" s="2" t="s">
        <v>749</v>
      </c>
      <c r="E401" s="2" t="s">
        <v>705</v>
      </c>
      <c r="F401" s="2" t="str" cm="1">
        <f t="array" ref="F401">INDEX(_xlfn.TEXTSPLIT(E401,"-"),2)</f>
        <v>女装</v>
      </c>
      <c r="G401" s="2" t="str" cm="1">
        <f t="array" ref="G401">INDEX(_xlfn.TEXTSPLIT(E401,"-"),3)</f>
        <v>半身裙</v>
      </c>
      <c r="H401" s="5">
        <v>792771</v>
      </c>
      <c r="I401" s="5">
        <v>68137593.88</v>
      </c>
      <c r="J401" s="6">
        <v>0.0185</v>
      </c>
      <c r="K401" s="6">
        <v>-0.1993</v>
      </c>
    </row>
    <row r="402" ht="14.5" spans="1:11">
      <c r="A402" s="3" t="str">
        <f t="shared" si="18"/>
        <v>2026年</v>
      </c>
      <c r="B402" s="3" t="str">
        <f t="shared" si="19"/>
        <v>1月</v>
      </c>
      <c r="C402" s="4" t="str">
        <f t="shared" si="20"/>
        <v>W3</v>
      </c>
      <c r="D402" s="2" t="s">
        <v>749</v>
      </c>
      <c r="E402" s="2" t="s">
        <v>706</v>
      </c>
      <c r="F402" s="2" t="str" cm="1">
        <f t="array" ref="F402">INDEX(_xlfn.TEXTSPLIT(E402,"-"),2)</f>
        <v>女装</v>
      </c>
      <c r="G402" s="2" t="str" cm="1">
        <f t="array" ref="G402">INDEX(_xlfn.TEXTSPLIT(E402,"-"),3)</f>
        <v>卫衣/绒衫</v>
      </c>
      <c r="H402" s="5">
        <v>477495</v>
      </c>
      <c r="I402" s="5">
        <v>37009816.19</v>
      </c>
      <c r="J402" s="6">
        <v>0.0101</v>
      </c>
      <c r="K402" s="6">
        <v>-0.2206</v>
      </c>
    </row>
    <row r="403" ht="14.5" spans="1:11">
      <c r="A403" s="3" t="str">
        <f t="shared" si="18"/>
        <v>2026年</v>
      </c>
      <c r="B403" s="3" t="str">
        <f t="shared" si="19"/>
        <v>1月</v>
      </c>
      <c r="C403" s="4" t="str">
        <f t="shared" si="20"/>
        <v>W3</v>
      </c>
      <c r="D403" s="2" t="s">
        <v>749</v>
      </c>
      <c r="E403" s="2" t="s">
        <v>707</v>
      </c>
      <c r="F403" s="2" t="str" cm="1">
        <f t="array" ref="F403">INDEX(_xlfn.TEXTSPLIT(E403,"-"),2)</f>
        <v>女装</v>
      </c>
      <c r="G403" s="2" t="str" cm="1">
        <f t="array" ref="G403">INDEX(_xlfn.TEXTSPLIT(E403,"-"),3)</f>
        <v>唐装/民族服装/舞台服装</v>
      </c>
      <c r="H403" s="5">
        <v>224308</v>
      </c>
      <c r="I403" s="5">
        <v>42887211.23</v>
      </c>
      <c r="J403" s="6">
        <v>0.0117</v>
      </c>
      <c r="K403" s="6">
        <v>-0.1195</v>
      </c>
    </row>
    <row r="404" ht="14.5" spans="1:11">
      <c r="A404" s="3" t="str">
        <f t="shared" si="18"/>
        <v>2026年</v>
      </c>
      <c r="B404" s="3" t="str">
        <f t="shared" si="19"/>
        <v>1月</v>
      </c>
      <c r="C404" s="4" t="str">
        <f t="shared" si="20"/>
        <v>W3</v>
      </c>
      <c r="D404" s="2" t="s">
        <v>749</v>
      </c>
      <c r="E404" s="2" t="s">
        <v>708</v>
      </c>
      <c r="F404" s="2" t="str" cm="1">
        <f t="array" ref="F404">INDEX(_xlfn.TEXTSPLIT(E404,"-"),2)</f>
        <v>女装</v>
      </c>
      <c r="G404" s="2" t="str" cm="1">
        <f t="array" ref="G404">INDEX(_xlfn.TEXTSPLIT(E404,"-"),3)</f>
        <v>大码女装</v>
      </c>
      <c r="H404" s="5">
        <v>729018</v>
      </c>
      <c r="I404" s="5">
        <v>64904439.51</v>
      </c>
      <c r="J404" s="6">
        <v>0.0177</v>
      </c>
      <c r="K404" s="6">
        <v>-0.0287</v>
      </c>
    </row>
    <row r="405" ht="14.5" spans="1:11">
      <c r="A405" s="3" t="str">
        <f t="shared" si="18"/>
        <v>2026年</v>
      </c>
      <c r="B405" s="3" t="str">
        <f t="shared" si="19"/>
        <v>1月</v>
      </c>
      <c r="C405" s="4" t="str">
        <f t="shared" si="20"/>
        <v>W3</v>
      </c>
      <c r="D405" s="2" t="s">
        <v>749</v>
      </c>
      <c r="E405" s="2" t="s">
        <v>709</v>
      </c>
      <c r="F405" s="2" t="str" cm="1">
        <f t="array" ref="F405">INDEX(_xlfn.TEXTSPLIT(E405,"-"),2)</f>
        <v>女装</v>
      </c>
      <c r="G405" s="2" t="str" cm="1">
        <f t="array" ref="G405">INDEX(_xlfn.TEXTSPLIT(E405,"-"),3)</f>
        <v>套装/学生校服/工作制服</v>
      </c>
      <c r="H405" s="5">
        <v>1003680</v>
      </c>
      <c r="I405" s="5">
        <v>136263034.23</v>
      </c>
      <c r="J405" s="6">
        <v>0.0371</v>
      </c>
      <c r="K405" s="6">
        <v>-0.1526</v>
      </c>
    </row>
    <row r="406" ht="14.5" spans="1:11">
      <c r="A406" s="3" t="str">
        <f t="shared" si="18"/>
        <v>2026年</v>
      </c>
      <c r="B406" s="3" t="str">
        <f t="shared" si="19"/>
        <v>1月</v>
      </c>
      <c r="C406" s="4" t="str">
        <f t="shared" si="20"/>
        <v>W3</v>
      </c>
      <c r="D406" s="2" t="s">
        <v>749</v>
      </c>
      <c r="E406" s="2" t="s">
        <v>710</v>
      </c>
      <c r="F406" s="2" t="str" cm="1">
        <f t="array" ref="F406">INDEX(_xlfn.TEXTSPLIT(E406,"-"),2)</f>
        <v>女装</v>
      </c>
      <c r="G406" s="2" t="str" cm="1">
        <f t="array" ref="G406">INDEX(_xlfn.TEXTSPLIT(E406,"-"),3)</f>
        <v>婚纱/旗袍/礼服</v>
      </c>
      <c r="H406" s="5">
        <v>63556</v>
      </c>
      <c r="I406" s="5">
        <v>11525902.28</v>
      </c>
      <c r="J406" s="6">
        <v>0.0031</v>
      </c>
      <c r="K406" s="6">
        <v>-0.0504</v>
      </c>
    </row>
    <row r="407" ht="14.5" spans="1:11">
      <c r="A407" s="3" t="str">
        <f t="shared" si="18"/>
        <v>2026年</v>
      </c>
      <c r="B407" s="3" t="str">
        <f t="shared" si="19"/>
        <v>1月</v>
      </c>
      <c r="C407" s="4" t="str">
        <f t="shared" si="20"/>
        <v>W3</v>
      </c>
      <c r="D407" s="2" t="s">
        <v>749</v>
      </c>
      <c r="E407" s="2" t="s">
        <v>711</v>
      </c>
      <c r="F407" s="2" t="str" cm="1">
        <f t="array" ref="F407">INDEX(_xlfn.TEXTSPLIT(E407,"-"),2)</f>
        <v>女装</v>
      </c>
      <c r="G407" s="2" t="str" cm="1">
        <f t="array" ref="G407">INDEX(_xlfn.TEXTSPLIT(E407,"-"),3)</f>
        <v>新中式女装</v>
      </c>
      <c r="H407" s="5">
        <v>83884</v>
      </c>
      <c r="I407" s="5">
        <v>12090255.86</v>
      </c>
      <c r="J407" s="6">
        <v>0.0033</v>
      </c>
      <c r="K407" s="6">
        <v>-0.0384</v>
      </c>
    </row>
    <row r="408" ht="14.5" spans="1:11">
      <c r="A408" s="3" t="str">
        <f t="shared" si="18"/>
        <v>2026年</v>
      </c>
      <c r="B408" s="3" t="str">
        <f t="shared" si="19"/>
        <v>1月</v>
      </c>
      <c r="C408" s="4" t="str">
        <f t="shared" si="20"/>
        <v>W3</v>
      </c>
      <c r="D408" s="2" t="s">
        <v>749</v>
      </c>
      <c r="E408" s="2" t="s">
        <v>712</v>
      </c>
      <c r="F408" s="2" t="str" cm="1">
        <f t="array" ref="F408">INDEX(_xlfn.TEXTSPLIT(E408,"-"),2)</f>
        <v>女装</v>
      </c>
      <c r="G408" s="2" t="str" cm="1">
        <f t="array" ref="G408">INDEX(_xlfn.TEXTSPLIT(E408,"-"),3)</f>
        <v>时尚防晒服</v>
      </c>
      <c r="H408" s="5">
        <v>246</v>
      </c>
      <c r="I408" s="5">
        <v>27300.74</v>
      </c>
      <c r="J408" s="2" t="s">
        <v>713</v>
      </c>
      <c r="K408" s="6">
        <v>0.1831</v>
      </c>
    </row>
    <row r="409" ht="14.5" spans="1:11">
      <c r="A409" s="3" t="str">
        <f t="shared" si="18"/>
        <v>2026年</v>
      </c>
      <c r="B409" s="3" t="str">
        <f t="shared" si="19"/>
        <v>1月</v>
      </c>
      <c r="C409" s="4" t="str">
        <f t="shared" si="20"/>
        <v>W3</v>
      </c>
      <c r="D409" s="2" t="s">
        <v>749</v>
      </c>
      <c r="E409" s="2" t="s">
        <v>714</v>
      </c>
      <c r="F409" s="2" t="str" cm="1">
        <f t="array" ref="F409">INDEX(_xlfn.TEXTSPLIT(E409,"-"),2)</f>
        <v>女装</v>
      </c>
      <c r="G409" s="2" t="str" cm="1">
        <f t="array" ref="G409">INDEX(_xlfn.TEXTSPLIT(E409,"-"),3)</f>
        <v>棉衣/棉服</v>
      </c>
      <c r="H409" s="5">
        <v>984287</v>
      </c>
      <c r="I409" s="5">
        <v>105111838.64</v>
      </c>
      <c r="J409" s="6">
        <v>0.0286</v>
      </c>
      <c r="K409" s="6">
        <v>-0.1246</v>
      </c>
    </row>
    <row r="410" ht="14.5" spans="1:11">
      <c r="A410" s="3" t="str">
        <f t="shared" si="18"/>
        <v>2026年</v>
      </c>
      <c r="B410" s="3" t="str">
        <f t="shared" si="19"/>
        <v>1月</v>
      </c>
      <c r="C410" s="4" t="str">
        <f t="shared" si="20"/>
        <v>W3</v>
      </c>
      <c r="D410" s="2" t="s">
        <v>749</v>
      </c>
      <c r="E410" s="2" t="s">
        <v>715</v>
      </c>
      <c r="F410" s="2" t="str" cm="1">
        <f t="array" ref="F410">INDEX(_xlfn.TEXTSPLIT(E410,"-"),2)</f>
        <v>女装</v>
      </c>
      <c r="G410" s="2" t="str" cm="1">
        <f t="array" ref="G410">INDEX(_xlfn.TEXTSPLIT(E410,"-"),3)</f>
        <v>毛呢外套</v>
      </c>
      <c r="H410" s="5">
        <v>765055</v>
      </c>
      <c r="I410" s="5">
        <v>274854604.63</v>
      </c>
      <c r="J410" s="6">
        <v>0.0748</v>
      </c>
      <c r="K410" s="6">
        <v>-0.2401</v>
      </c>
    </row>
    <row r="411" ht="14.5" spans="1:11">
      <c r="A411" s="3" t="str">
        <f t="shared" ref="A411:A474" si="21">TEXT(YEAR(D411),"0")&amp;"年"</f>
        <v>2026年</v>
      </c>
      <c r="B411" s="3" t="str">
        <f t="shared" ref="B411:B474" si="22">TEXT(MONTH(D411),"0")&amp;"月"</f>
        <v>1月</v>
      </c>
      <c r="C411" s="4" t="str">
        <f t="shared" ref="C411:C474" si="23">"W"&amp;TEXT(WEEKNUM(D411,2),"0")</f>
        <v>W3</v>
      </c>
      <c r="D411" s="2" t="s">
        <v>749</v>
      </c>
      <c r="E411" s="2" t="s">
        <v>716</v>
      </c>
      <c r="F411" s="2" t="str" cm="1">
        <f t="array" ref="F411">INDEX(_xlfn.TEXTSPLIT(E411,"-"),2)</f>
        <v>女装</v>
      </c>
      <c r="G411" s="2" t="str" cm="1">
        <f t="array" ref="G411">INDEX(_xlfn.TEXTSPLIT(E411,"-"),3)</f>
        <v>毛衣</v>
      </c>
      <c r="H411" s="5">
        <v>537485</v>
      </c>
      <c r="I411" s="5">
        <v>44045231.07</v>
      </c>
      <c r="J411" s="6">
        <v>0.012</v>
      </c>
      <c r="K411" s="6">
        <v>-0.2149</v>
      </c>
    </row>
    <row r="412" ht="14.5" spans="1:11">
      <c r="A412" s="3" t="str">
        <f t="shared" si="21"/>
        <v>2026年</v>
      </c>
      <c r="B412" s="3" t="str">
        <f t="shared" si="22"/>
        <v>1月</v>
      </c>
      <c r="C412" s="4" t="str">
        <f t="shared" si="23"/>
        <v>W3</v>
      </c>
      <c r="D412" s="2" t="s">
        <v>749</v>
      </c>
      <c r="E412" s="2" t="s">
        <v>717</v>
      </c>
      <c r="F412" s="2" t="str" cm="1">
        <f t="array" ref="F412">INDEX(_xlfn.TEXTSPLIT(E412,"-"),2)</f>
        <v>女装</v>
      </c>
      <c r="G412" s="2" t="str" cm="1">
        <f t="array" ref="G412">INDEX(_xlfn.TEXTSPLIT(E412,"-"),3)</f>
        <v>毛针织衫</v>
      </c>
      <c r="H412" s="5">
        <v>2273744</v>
      </c>
      <c r="I412" s="5">
        <v>186184517.77</v>
      </c>
      <c r="J412" s="6">
        <v>0.0507</v>
      </c>
      <c r="K412" s="6">
        <v>-0.2715</v>
      </c>
    </row>
    <row r="413" ht="14.5" spans="1:11">
      <c r="A413" s="3" t="str">
        <f t="shared" si="21"/>
        <v>2026年</v>
      </c>
      <c r="B413" s="3" t="str">
        <f t="shared" si="22"/>
        <v>1月</v>
      </c>
      <c r="C413" s="4" t="str">
        <f t="shared" si="23"/>
        <v>W3</v>
      </c>
      <c r="D413" s="2" t="s">
        <v>749</v>
      </c>
      <c r="E413" s="2" t="s">
        <v>718</v>
      </c>
      <c r="F413" s="2" t="str" cm="1">
        <f t="array" ref="F413">INDEX(_xlfn.TEXTSPLIT(E413,"-"),2)</f>
        <v>女装</v>
      </c>
      <c r="G413" s="2" t="str" cm="1">
        <f t="array" ref="G413">INDEX(_xlfn.TEXTSPLIT(E413,"-"),3)</f>
        <v>汉服</v>
      </c>
      <c r="H413" s="5">
        <v>115668</v>
      </c>
      <c r="I413" s="5">
        <v>52500856.76</v>
      </c>
      <c r="J413" s="6">
        <v>0.0143</v>
      </c>
      <c r="K413" s="6">
        <v>-0.5102</v>
      </c>
    </row>
    <row r="414" ht="14.5" spans="1:11">
      <c r="A414" s="3" t="str">
        <f t="shared" si="21"/>
        <v>2026年</v>
      </c>
      <c r="B414" s="3" t="str">
        <f t="shared" si="22"/>
        <v>1月</v>
      </c>
      <c r="C414" s="4" t="str">
        <f t="shared" si="23"/>
        <v>W3</v>
      </c>
      <c r="D414" s="2" t="s">
        <v>749</v>
      </c>
      <c r="E414" s="2" t="s">
        <v>719</v>
      </c>
      <c r="F414" s="2" t="str" cm="1">
        <f t="array" ref="F414">INDEX(_xlfn.TEXTSPLIT(E414,"-"),2)</f>
        <v>女装</v>
      </c>
      <c r="G414" s="2" t="str" cm="1">
        <f t="array" ref="G414">INDEX(_xlfn.TEXTSPLIT(E414,"-"),3)</f>
        <v>派克服</v>
      </c>
      <c r="H414" s="5">
        <v>61687</v>
      </c>
      <c r="I414" s="5">
        <v>15678811.83</v>
      </c>
      <c r="J414" s="6">
        <v>0.0043</v>
      </c>
      <c r="K414" s="6">
        <v>-0.1257</v>
      </c>
    </row>
    <row r="415" ht="14.5" spans="1:11">
      <c r="A415" s="3" t="str">
        <f t="shared" si="21"/>
        <v>2026年</v>
      </c>
      <c r="B415" s="3" t="str">
        <f t="shared" si="22"/>
        <v>1月</v>
      </c>
      <c r="C415" s="4" t="str">
        <f t="shared" si="23"/>
        <v>W3</v>
      </c>
      <c r="D415" s="2" t="s">
        <v>749</v>
      </c>
      <c r="E415" s="2" t="s">
        <v>720</v>
      </c>
      <c r="F415" s="2" t="str" cm="1">
        <f t="array" ref="F415">INDEX(_xlfn.TEXTSPLIT(E415,"-"),2)</f>
        <v>女装</v>
      </c>
      <c r="G415" s="2" t="str" cm="1">
        <f t="array" ref="G415">INDEX(_xlfn.TEXTSPLIT(E415,"-"),3)</f>
        <v>皮草</v>
      </c>
      <c r="H415" s="5">
        <v>233200</v>
      </c>
      <c r="I415" s="5">
        <v>425516722.1</v>
      </c>
      <c r="J415" s="6">
        <v>0.1158</v>
      </c>
      <c r="K415" s="6">
        <v>-0.204</v>
      </c>
    </row>
    <row r="416" ht="14.5" spans="1:11">
      <c r="A416" s="3" t="str">
        <f t="shared" si="21"/>
        <v>2026年</v>
      </c>
      <c r="B416" s="3" t="str">
        <f t="shared" si="22"/>
        <v>1月</v>
      </c>
      <c r="C416" s="4" t="str">
        <f t="shared" si="23"/>
        <v>W3</v>
      </c>
      <c r="D416" s="2" t="s">
        <v>749</v>
      </c>
      <c r="E416" s="2" t="s">
        <v>721</v>
      </c>
      <c r="F416" s="2" t="str" cm="1">
        <f t="array" ref="F416">INDEX(_xlfn.TEXTSPLIT(E416,"-"),2)</f>
        <v>女装</v>
      </c>
      <c r="G416" s="2" t="str" cm="1">
        <f t="array" ref="G416">INDEX(_xlfn.TEXTSPLIT(E416,"-"),3)</f>
        <v>皮衣</v>
      </c>
      <c r="H416" s="5">
        <v>138177</v>
      </c>
      <c r="I416" s="5">
        <v>42770542.36</v>
      </c>
      <c r="J416" s="6">
        <v>0.0116</v>
      </c>
      <c r="K416" s="6">
        <v>-0.2309</v>
      </c>
    </row>
    <row r="417" ht="14.5" spans="1:11">
      <c r="A417" s="3" t="str">
        <f t="shared" si="21"/>
        <v>2026年</v>
      </c>
      <c r="B417" s="3" t="str">
        <f t="shared" si="22"/>
        <v>1月</v>
      </c>
      <c r="C417" s="4" t="str">
        <f t="shared" si="23"/>
        <v>W3</v>
      </c>
      <c r="D417" s="2" t="s">
        <v>749</v>
      </c>
      <c r="E417" s="2" t="s">
        <v>722</v>
      </c>
      <c r="F417" s="2" t="str" cm="1">
        <f t="array" ref="F417">INDEX(_xlfn.TEXTSPLIT(E417,"-"),2)</f>
        <v>女装</v>
      </c>
      <c r="G417" s="2" t="str" cm="1">
        <f t="array" ref="G417">INDEX(_xlfn.TEXTSPLIT(E417,"-"),3)</f>
        <v>短外套</v>
      </c>
      <c r="H417" s="5">
        <v>1638605</v>
      </c>
      <c r="I417" s="5">
        <v>302505317.89</v>
      </c>
      <c r="J417" s="6">
        <v>0.0823</v>
      </c>
      <c r="K417" s="6">
        <v>-0.1423</v>
      </c>
    </row>
    <row r="418" ht="14.5" spans="1:11">
      <c r="A418" s="3" t="str">
        <f t="shared" si="21"/>
        <v>2026年</v>
      </c>
      <c r="B418" s="3" t="str">
        <f t="shared" si="22"/>
        <v>1月</v>
      </c>
      <c r="C418" s="4" t="str">
        <f t="shared" si="23"/>
        <v>W3</v>
      </c>
      <c r="D418" s="2" t="s">
        <v>749</v>
      </c>
      <c r="E418" s="2" t="s">
        <v>723</v>
      </c>
      <c r="F418" s="2" t="str" cm="1">
        <f t="array" ref="F418">INDEX(_xlfn.TEXTSPLIT(E418,"-"),2)</f>
        <v>女装</v>
      </c>
      <c r="G418" s="2" t="str" cm="1">
        <f t="array" ref="G418">INDEX(_xlfn.TEXTSPLIT(E418,"-"),3)</f>
        <v>短裤</v>
      </c>
      <c r="H418" s="5">
        <v>131388</v>
      </c>
      <c r="I418" s="5">
        <v>7755514.33</v>
      </c>
      <c r="J418" s="6">
        <v>0.0021</v>
      </c>
      <c r="K418" s="6">
        <v>-0.1871</v>
      </c>
    </row>
    <row r="419" ht="14.5" spans="1:11">
      <c r="A419" s="3" t="str">
        <f t="shared" si="21"/>
        <v>2026年</v>
      </c>
      <c r="B419" s="3" t="str">
        <f t="shared" si="22"/>
        <v>1月</v>
      </c>
      <c r="C419" s="4" t="str">
        <f t="shared" si="23"/>
        <v>W3</v>
      </c>
      <c r="D419" s="2" t="s">
        <v>749</v>
      </c>
      <c r="E419" s="2" t="s">
        <v>724</v>
      </c>
      <c r="F419" s="2" t="str" cm="1">
        <f t="array" ref="F419">INDEX(_xlfn.TEXTSPLIT(E419,"-"),2)</f>
        <v>女装</v>
      </c>
      <c r="G419" s="2" t="str" cm="1">
        <f t="array" ref="G419">INDEX(_xlfn.TEXTSPLIT(E419,"-"),3)</f>
        <v>羊毛衫</v>
      </c>
      <c r="H419" s="5">
        <v>563630</v>
      </c>
      <c r="I419" s="5">
        <v>69307816.33</v>
      </c>
      <c r="J419" s="6">
        <v>0.0189</v>
      </c>
      <c r="K419" s="6">
        <v>-0.2125</v>
      </c>
    </row>
    <row r="420" ht="14.5" spans="1:11">
      <c r="A420" s="3" t="str">
        <f t="shared" si="21"/>
        <v>2026年</v>
      </c>
      <c r="B420" s="3" t="str">
        <f t="shared" si="22"/>
        <v>1月</v>
      </c>
      <c r="C420" s="4" t="str">
        <f t="shared" si="23"/>
        <v>W3</v>
      </c>
      <c r="D420" s="2" t="s">
        <v>749</v>
      </c>
      <c r="E420" s="2" t="s">
        <v>725</v>
      </c>
      <c r="F420" s="2" t="str" cm="1">
        <f t="array" ref="F420">INDEX(_xlfn.TEXTSPLIT(E420,"-"),2)</f>
        <v>女装</v>
      </c>
      <c r="G420" s="2" t="str" cm="1">
        <f t="array" ref="G420">INDEX(_xlfn.TEXTSPLIT(E420,"-"),3)</f>
        <v>羊绒大衣</v>
      </c>
      <c r="H420" s="5">
        <v>7302</v>
      </c>
      <c r="I420" s="5">
        <v>3030031.62</v>
      </c>
      <c r="J420" s="6">
        <v>0.0008</v>
      </c>
      <c r="K420" s="6">
        <v>-0.2288</v>
      </c>
    </row>
    <row r="421" ht="14.5" spans="1:11">
      <c r="A421" s="3" t="str">
        <f t="shared" si="21"/>
        <v>2026年</v>
      </c>
      <c r="B421" s="3" t="str">
        <f t="shared" si="22"/>
        <v>1月</v>
      </c>
      <c r="C421" s="4" t="str">
        <f t="shared" si="23"/>
        <v>W3</v>
      </c>
      <c r="D421" s="2" t="s">
        <v>749</v>
      </c>
      <c r="E421" s="2" t="s">
        <v>726</v>
      </c>
      <c r="F421" s="2" t="str" cm="1">
        <f t="array" ref="F421">INDEX(_xlfn.TEXTSPLIT(E421,"-"),2)</f>
        <v>女装</v>
      </c>
      <c r="G421" s="2" t="str" cm="1">
        <f t="array" ref="G421">INDEX(_xlfn.TEXTSPLIT(E421,"-"),3)</f>
        <v>羊绒衫</v>
      </c>
      <c r="H421" s="5">
        <v>145361</v>
      </c>
      <c r="I421" s="5">
        <v>40927013.52</v>
      </c>
      <c r="J421" s="6">
        <v>0.0111</v>
      </c>
      <c r="K421" s="6">
        <v>-0.3081</v>
      </c>
    </row>
    <row r="422" ht="14.5" spans="1:11">
      <c r="A422" s="3" t="str">
        <f t="shared" si="21"/>
        <v>2026年</v>
      </c>
      <c r="B422" s="3" t="str">
        <f t="shared" si="22"/>
        <v>1月</v>
      </c>
      <c r="C422" s="4" t="str">
        <f t="shared" si="23"/>
        <v>W3</v>
      </c>
      <c r="D422" s="2" t="s">
        <v>749</v>
      </c>
      <c r="E422" s="2" t="s">
        <v>727</v>
      </c>
      <c r="F422" s="2" t="str" cm="1">
        <f t="array" ref="F422">INDEX(_xlfn.TEXTSPLIT(E422,"-"),2)</f>
        <v>女装</v>
      </c>
      <c r="G422" s="2" t="str" cm="1">
        <f t="array" ref="G422">INDEX(_xlfn.TEXTSPLIT(E422,"-"),3)</f>
        <v>羽绒服</v>
      </c>
      <c r="H422" s="5">
        <v>1981139</v>
      </c>
      <c r="I422" s="5">
        <v>818546182.21</v>
      </c>
      <c r="J422" s="6">
        <v>0.2227</v>
      </c>
      <c r="K422" s="6">
        <v>-0.1382</v>
      </c>
    </row>
    <row r="423" ht="14.5" spans="1:11">
      <c r="A423" s="3" t="str">
        <f t="shared" si="21"/>
        <v>2026年</v>
      </c>
      <c r="B423" s="3" t="str">
        <f t="shared" si="22"/>
        <v>1月</v>
      </c>
      <c r="C423" s="4" t="str">
        <f t="shared" si="23"/>
        <v>W3</v>
      </c>
      <c r="D423" s="2" t="s">
        <v>749</v>
      </c>
      <c r="E423" s="2" t="s">
        <v>728</v>
      </c>
      <c r="F423" s="2" t="str" cm="1">
        <f t="array" ref="F423">INDEX(_xlfn.TEXTSPLIT(E423,"-"),2)</f>
        <v>女装</v>
      </c>
      <c r="G423" s="2" t="str" cm="1">
        <f t="array" ref="G423">INDEX(_xlfn.TEXTSPLIT(E423,"-"),3)</f>
        <v>肌底衣/肌肤衣</v>
      </c>
      <c r="H423" s="5">
        <v>3911</v>
      </c>
      <c r="I423" s="5">
        <v>240132.91</v>
      </c>
      <c r="J423" s="6">
        <v>0.0001</v>
      </c>
      <c r="K423" s="6">
        <v>-0.382</v>
      </c>
    </row>
    <row r="424" ht="14.5" spans="1:11">
      <c r="A424" s="3" t="str">
        <f t="shared" si="21"/>
        <v>2026年</v>
      </c>
      <c r="B424" s="3" t="str">
        <f t="shared" si="22"/>
        <v>1月</v>
      </c>
      <c r="C424" s="4" t="str">
        <f t="shared" si="23"/>
        <v>W3</v>
      </c>
      <c r="D424" s="2" t="s">
        <v>749</v>
      </c>
      <c r="E424" s="2" t="s">
        <v>729</v>
      </c>
      <c r="F424" s="2" t="str" cm="1">
        <f t="array" ref="F424">INDEX(_xlfn.TEXTSPLIT(E424,"-"),2)</f>
        <v>女装</v>
      </c>
      <c r="G424" s="2" t="str" cm="1">
        <f t="array" ref="G424">INDEX(_xlfn.TEXTSPLIT(E424,"-"),3)</f>
        <v>背心吊带</v>
      </c>
      <c r="H424" s="5">
        <v>212330</v>
      </c>
      <c r="I424" s="5">
        <v>11304571.26</v>
      </c>
      <c r="J424" s="6">
        <v>0.0031</v>
      </c>
      <c r="K424" s="6">
        <v>-0.1201</v>
      </c>
    </row>
    <row r="425" ht="14.5" spans="1:11">
      <c r="A425" s="3" t="str">
        <f t="shared" si="21"/>
        <v>2026年</v>
      </c>
      <c r="B425" s="3" t="str">
        <f t="shared" si="22"/>
        <v>1月</v>
      </c>
      <c r="C425" s="4" t="str">
        <f t="shared" si="23"/>
        <v>W3</v>
      </c>
      <c r="D425" s="2" t="s">
        <v>749</v>
      </c>
      <c r="E425" s="2" t="s">
        <v>730</v>
      </c>
      <c r="F425" s="2" t="str" cm="1">
        <f t="array" ref="F425">INDEX(_xlfn.TEXTSPLIT(E425,"-"),2)</f>
        <v>女装</v>
      </c>
      <c r="G425" s="2" t="str" cm="1">
        <f t="array" ref="G425">INDEX(_xlfn.TEXTSPLIT(E425,"-"),3)</f>
        <v>蕾丝衫/雪纺衫</v>
      </c>
      <c r="H425" s="5">
        <v>212005</v>
      </c>
      <c r="I425" s="5">
        <v>14438421.12</v>
      </c>
      <c r="J425" s="6">
        <v>0.0039</v>
      </c>
      <c r="K425" s="6">
        <v>-0.0335</v>
      </c>
    </row>
    <row r="426" ht="14.5" spans="1:11">
      <c r="A426" s="3" t="str">
        <f t="shared" si="21"/>
        <v>2026年</v>
      </c>
      <c r="B426" s="3" t="str">
        <f t="shared" si="22"/>
        <v>1月</v>
      </c>
      <c r="C426" s="4" t="str">
        <f t="shared" si="23"/>
        <v>W3</v>
      </c>
      <c r="D426" s="2" t="s">
        <v>749</v>
      </c>
      <c r="E426" s="2" t="s">
        <v>731</v>
      </c>
      <c r="F426" s="2" t="str" cm="1">
        <f t="array" ref="F426">INDEX(_xlfn.TEXTSPLIT(E426,"-"),2)</f>
        <v>女装</v>
      </c>
      <c r="G426" s="2" t="str" cm="1">
        <f t="array" ref="G426">INDEX(_xlfn.TEXTSPLIT(E426,"-"),3)</f>
        <v>衬衫</v>
      </c>
      <c r="H426" s="5">
        <v>417811</v>
      </c>
      <c r="I426" s="5">
        <v>43255888.2</v>
      </c>
      <c r="J426" s="6">
        <v>0.0118</v>
      </c>
      <c r="K426" s="6">
        <v>-0.2366</v>
      </c>
    </row>
    <row r="427" ht="14.5" spans="1:11">
      <c r="A427" s="3" t="str">
        <f t="shared" si="21"/>
        <v>2026年</v>
      </c>
      <c r="B427" s="3" t="str">
        <f t="shared" si="22"/>
        <v>1月</v>
      </c>
      <c r="C427" s="4" t="str">
        <f t="shared" si="23"/>
        <v>W3</v>
      </c>
      <c r="D427" s="2" t="s">
        <v>749</v>
      </c>
      <c r="E427" s="2" t="s">
        <v>732</v>
      </c>
      <c r="F427" s="2" t="str" cm="1">
        <f t="array" ref="F427">INDEX(_xlfn.TEXTSPLIT(E427,"-"),2)</f>
        <v>女装</v>
      </c>
      <c r="G427" s="2" t="str" cm="1">
        <f t="array" ref="G427">INDEX(_xlfn.TEXTSPLIT(E427,"-"),3)</f>
        <v>裤子</v>
      </c>
      <c r="H427" s="5">
        <v>5036564</v>
      </c>
      <c r="I427" s="5">
        <v>471683379.95</v>
      </c>
      <c r="J427" s="6">
        <v>0.1283</v>
      </c>
      <c r="K427" s="6">
        <v>-0.1364</v>
      </c>
    </row>
    <row r="428" ht="14.5" spans="1:11">
      <c r="A428" s="3" t="str">
        <f t="shared" si="21"/>
        <v>2026年</v>
      </c>
      <c r="B428" s="3" t="str">
        <f t="shared" si="22"/>
        <v>1月</v>
      </c>
      <c r="C428" s="4" t="str">
        <f t="shared" si="23"/>
        <v>W3</v>
      </c>
      <c r="D428" s="2" t="s">
        <v>749</v>
      </c>
      <c r="E428" s="2" t="s">
        <v>733</v>
      </c>
      <c r="F428" s="2" t="str" cm="1">
        <f t="array" ref="F428">INDEX(_xlfn.TEXTSPLIT(E428,"-"),2)</f>
        <v>女装</v>
      </c>
      <c r="G428" s="2" t="str" cm="1">
        <f t="array" ref="G428">INDEX(_xlfn.TEXTSPLIT(E428,"-"),3)</f>
        <v>西装</v>
      </c>
      <c r="H428" s="5">
        <v>48724</v>
      </c>
      <c r="I428" s="5">
        <v>11485223.48</v>
      </c>
      <c r="J428" s="6">
        <v>0.0031</v>
      </c>
      <c r="K428" s="6">
        <v>-0.1659</v>
      </c>
    </row>
    <row r="429" ht="14.5" spans="1:11">
      <c r="A429" s="3" t="str">
        <f t="shared" si="21"/>
        <v>2026年</v>
      </c>
      <c r="B429" s="3" t="str">
        <f t="shared" si="22"/>
        <v>1月</v>
      </c>
      <c r="C429" s="4" t="str">
        <f t="shared" si="23"/>
        <v>W3</v>
      </c>
      <c r="D429" s="2" t="s">
        <v>749</v>
      </c>
      <c r="E429" s="2" t="s">
        <v>734</v>
      </c>
      <c r="F429" s="2" t="str" cm="1">
        <f t="array" ref="F429">INDEX(_xlfn.TEXTSPLIT(E429,"-"),2)</f>
        <v>女装</v>
      </c>
      <c r="G429" s="2" t="str" cm="1">
        <f t="array" ref="G429">INDEX(_xlfn.TEXTSPLIT(E429,"-"),3)</f>
        <v>设计师/潮牌女装</v>
      </c>
      <c r="H429" s="5">
        <v>539597</v>
      </c>
      <c r="I429" s="5">
        <v>62933236.37</v>
      </c>
      <c r="J429" s="6">
        <v>0.0171</v>
      </c>
      <c r="K429" s="6">
        <v>-0.2002</v>
      </c>
    </row>
    <row r="430" ht="14.5" spans="1:11">
      <c r="A430" s="3" t="str">
        <f t="shared" si="21"/>
        <v>2026年</v>
      </c>
      <c r="B430" s="3" t="str">
        <f t="shared" si="22"/>
        <v>1月</v>
      </c>
      <c r="C430" s="4" t="str">
        <f t="shared" si="23"/>
        <v>W3</v>
      </c>
      <c r="D430" s="2" t="s">
        <v>749</v>
      </c>
      <c r="E430" s="2" t="s">
        <v>735</v>
      </c>
      <c r="F430" s="2" t="str" cm="1">
        <f t="array" ref="F430">INDEX(_xlfn.TEXTSPLIT(E430,"-"),2)</f>
        <v>女装</v>
      </c>
      <c r="G430" s="2" t="str" cm="1">
        <f t="array" ref="G430">INDEX(_xlfn.TEXTSPLIT(E430,"-"),3)</f>
        <v>连体衣/裤</v>
      </c>
      <c r="H430" s="5">
        <v>12688</v>
      </c>
      <c r="I430" s="5">
        <v>2093850.14</v>
      </c>
      <c r="J430" s="6">
        <v>0.0006</v>
      </c>
      <c r="K430" s="6">
        <v>-0.2086</v>
      </c>
    </row>
    <row r="431" ht="14.5" spans="1:11">
      <c r="A431" s="3" t="str">
        <f t="shared" si="21"/>
        <v>2026年</v>
      </c>
      <c r="B431" s="3" t="str">
        <f t="shared" si="22"/>
        <v>1月</v>
      </c>
      <c r="C431" s="4" t="str">
        <f t="shared" si="23"/>
        <v>W3</v>
      </c>
      <c r="D431" s="2" t="s">
        <v>749</v>
      </c>
      <c r="E431" s="2" t="s">
        <v>736</v>
      </c>
      <c r="F431" s="2" t="str" cm="1">
        <f t="array" ref="F431">INDEX(_xlfn.TEXTSPLIT(E431,"-"),2)</f>
        <v>女装</v>
      </c>
      <c r="G431" s="2" t="str" cm="1">
        <f t="array" ref="G431">INDEX(_xlfn.TEXTSPLIT(E431,"-"),3)</f>
        <v>连衣裙</v>
      </c>
      <c r="H431" s="5">
        <v>723380</v>
      </c>
      <c r="I431" s="5">
        <v>97008170.49</v>
      </c>
      <c r="J431" s="6">
        <v>0.0264</v>
      </c>
      <c r="K431" s="6">
        <v>-0.1609</v>
      </c>
    </row>
    <row r="432" ht="14.5" spans="1:11">
      <c r="A432" s="3" t="str">
        <f t="shared" si="21"/>
        <v>2026年</v>
      </c>
      <c r="B432" s="3" t="str">
        <f t="shared" si="22"/>
        <v>1月</v>
      </c>
      <c r="C432" s="4" t="str">
        <f t="shared" si="23"/>
        <v>W3</v>
      </c>
      <c r="D432" s="2" t="s">
        <v>749</v>
      </c>
      <c r="E432" s="2" t="s">
        <v>737</v>
      </c>
      <c r="F432" s="2" t="str" cm="1">
        <f t="array" ref="F432">INDEX(_xlfn.TEXTSPLIT(E432,"-"),2)</f>
        <v>女装</v>
      </c>
      <c r="G432" s="2" t="str" cm="1">
        <f t="array" ref="G432">INDEX(_xlfn.TEXTSPLIT(E432,"-"),3)</f>
        <v>风衣</v>
      </c>
      <c r="H432" s="5">
        <v>93097</v>
      </c>
      <c r="I432" s="5">
        <v>13398807.81</v>
      </c>
      <c r="J432" s="6">
        <v>0.0036</v>
      </c>
      <c r="K432" s="6">
        <v>-0.1976</v>
      </c>
    </row>
    <row r="433" ht="14.5" spans="1:11">
      <c r="A433" s="3" t="str">
        <f t="shared" si="21"/>
        <v>2026年</v>
      </c>
      <c r="B433" s="3" t="str">
        <f t="shared" si="22"/>
        <v>1月</v>
      </c>
      <c r="C433" s="4" t="str">
        <f t="shared" si="23"/>
        <v>W3</v>
      </c>
      <c r="D433" s="2" t="s">
        <v>749</v>
      </c>
      <c r="E433" s="2" t="s">
        <v>738</v>
      </c>
      <c r="F433" s="2" t="str" cm="1">
        <f t="array" ref="F433">INDEX(_xlfn.TEXTSPLIT(E433,"-"),2)</f>
        <v>女装</v>
      </c>
      <c r="G433" s="2" t="str" cm="1">
        <f t="array" ref="G433">INDEX(_xlfn.TEXTSPLIT(E433,"-"),3)</f>
        <v>马夹</v>
      </c>
      <c r="H433" s="5">
        <v>396977</v>
      </c>
      <c r="I433" s="5">
        <v>42693498.52</v>
      </c>
      <c r="J433" s="6">
        <v>0.0116</v>
      </c>
      <c r="K433" s="6">
        <v>-0.2074</v>
      </c>
    </row>
    <row r="434" ht="14.5" spans="1:11">
      <c r="A434" s="3" t="str">
        <f t="shared" si="21"/>
        <v>2026年</v>
      </c>
      <c r="B434" s="3" t="str">
        <f t="shared" si="22"/>
        <v>1月</v>
      </c>
      <c r="C434" s="4" t="str">
        <f t="shared" si="23"/>
        <v>W3</v>
      </c>
      <c r="D434" s="2" t="s">
        <v>750</v>
      </c>
      <c r="E434" s="2" t="s">
        <v>702</v>
      </c>
      <c r="F434" s="2" t="str" cm="1">
        <f t="array" ref="F434">INDEX(_xlfn.TEXTSPLIT(E434,"-"),2)</f>
        <v>女装</v>
      </c>
      <c r="G434" s="2" t="str" cm="1">
        <f t="array" ref="G434">INDEX(_xlfn.TEXTSPLIT(E434,"-"),3)</f>
        <v>POLO衫</v>
      </c>
      <c r="H434" s="5">
        <v>17959</v>
      </c>
      <c r="I434" s="5">
        <v>1927485.65</v>
      </c>
      <c r="J434" s="6">
        <v>0.0005</v>
      </c>
      <c r="K434" s="6">
        <v>0.868</v>
      </c>
    </row>
    <row r="435" ht="14.5" spans="1:11">
      <c r="A435" s="3" t="str">
        <f t="shared" si="21"/>
        <v>2026年</v>
      </c>
      <c r="B435" s="3" t="str">
        <f t="shared" si="22"/>
        <v>1月</v>
      </c>
      <c r="C435" s="4" t="str">
        <f t="shared" si="23"/>
        <v>W3</v>
      </c>
      <c r="D435" s="2" t="s">
        <v>750</v>
      </c>
      <c r="E435" s="2" t="s">
        <v>703</v>
      </c>
      <c r="F435" s="2" t="str" cm="1">
        <f t="array" ref="F435">INDEX(_xlfn.TEXTSPLIT(E435,"-"),2)</f>
        <v>女装</v>
      </c>
      <c r="G435" s="2" t="str" cm="1">
        <f t="array" ref="G435">INDEX(_xlfn.TEXTSPLIT(E435,"-"),3)</f>
        <v>T恤</v>
      </c>
      <c r="H435" s="5">
        <v>1601930</v>
      </c>
      <c r="I435" s="5">
        <v>93602272.58</v>
      </c>
      <c r="J435" s="6">
        <v>0.0237</v>
      </c>
      <c r="K435" s="6">
        <v>0.0825</v>
      </c>
    </row>
    <row r="436" ht="14.5" spans="1:11">
      <c r="A436" s="3" t="str">
        <f t="shared" si="21"/>
        <v>2026年</v>
      </c>
      <c r="B436" s="3" t="str">
        <f t="shared" si="22"/>
        <v>1月</v>
      </c>
      <c r="C436" s="4" t="str">
        <f t="shared" si="23"/>
        <v>W3</v>
      </c>
      <c r="D436" s="2" t="s">
        <v>750</v>
      </c>
      <c r="E436" s="2" t="s">
        <v>704</v>
      </c>
      <c r="F436" s="2" t="str" cm="1">
        <f t="array" ref="F436">INDEX(_xlfn.TEXTSPLIT(E436,"-"),2)</f>
        <v>女装</v>
      </c>
      <c r="G436" s="2" t="str" cm="1">
        <f t="array" ref="G436">INDEX(_xlfn.TEXTSPLIT(E436,"-"),3)</f>
        <v>中老年女装</v>
      </c>
      <c r="H436" s="5">
        <v>459013</v>
      </c>
      <c r="I436" s="5">
        <v>54159646.99</v>
      </c>
      <c r="J436" s="6">
        <v>0.0137</v>
      </c>
      <c r="K436" s="6">
        <v>-0.0242</v>
      </c>
    </row>
    <row r="437" ht="14.5" spans="1:11">
      <c r="A437" s="3" t="str">
        <f t="shared" si="21"/>
        <v>2026年</v>
      </c>
      <c r="B437" s="3" t="str">
        <f t="shared" si="22"/>
        <v>1月</v>
      </c>
      <c r="C437" s="4" t="str">
        <f t="shared" si="23"/>
        <v>W3</v>
      </c>
      <c r="D437" s="2" t="s">
        <v>750</v>
      </c>
      <c r="E437" s="2" t="s">
        <v>705</v>
      </c>
      <c r="F437" s="2" t="str" cm="1">
        <f t="array" ref="F437">INDEX(_xlfn.TEXTSPLIT(E437,"-"),2)</f>
        <v>女装</v>
      </c>
      <c r="G437" s="2" t="str" cm="1">
        <f t="array" ref="G437">INDEX(_xlfn.TEXTSPLIT(E437,"-"),3)</f>
        <v>半身裙</v>
      </c>
      <c r="H437" s="5">
        <v>829029</v>
      </c>
      <c r="I437" s="5">
        <v>77476742.16</v>
      </c>
      <c r="J437" s="6">
        <v>0.0196</v>
      </c>
      <c r="K437" s="6">
        <v>0.1371</v>
      </c>
    </row>
    <row r="438" ht="14.5" spans="1:11">
      <c r="A438" s="3" t="str">
        <f t="shared" si="21"/>
        <v>2026年</v>
      </c>
      <c r="B438" s="3" t="str">
        <f t="shared" si="22"/>
        <v>1月</v>
      </c>
      <c r="C438" s="4" t="str">
        <f t="shared" si="23"/>
        <v>W3</v>
      </c>
      <c r="D438" s="2" t="s">
        <v>750</v>
      </c>
      <c r="E438" s="2" t="s">
        <v>706</v>
      </c>
      <c r="F438" s="2" t="str" cm="1">
        <f t="array" ref="F438">INDEX(_xlfn.TEXTSPLIT(E438,"-"),2)</f>
        <v>女装</v>
      </c>
      <c r="G438" s="2" t="str" cm="1">
        <f t="array" ref="G438">INDEX(_xlfn.TEXTSPLIT(E438,"-"),3)</f>
        <v>卫衣/绒衫</v>
      </c>
      <c r="H438" s="5">
        <v>524235</v>
      </c>
      <c r="I438" s="5">
        <v>42096783.77</v>
      </c>
      <c r="J438" s="6">
        <v>0.0106</v>
      </c>
      <c r="K438" s="6">
        <v>0.1374</v>
      </c>
    </row>
    <row r="439" ht="14.5" spans="1:11">
      <c r="A439" s="3" t="str">
        <f t="shared" si="21"/>
        <v>2026年</v>
      </c>
      <c r="B439" s="3" t="str">
        <f t="shared" si="22"/>
        <v>1月</v>
      </c>
      <c r="C439" s="4" t="str">
        <f t="shared" si="23"/>
        <v>W3</v>
      </c>
      <c r="D439" s="2" t="s">
        <v>750</v>
      </c>
      <c r="E439" s="2" t="s">
        <v>707</v>
      </c>
      <c r="F439" s="2" t="str" cm="1">
        <f t="array" ref="F439">INDEX(_xlfn.TEXTSPLIT(E439,"-"),2)</f>
        <v>女装</v>
      </c>
      <c r="G439" s="2" t="str" cm="1">
        <f t="array" ref="G439">INDEX(_xlfn.TEXTSPLIT(E439,"-"),3)</f>
        <v>唐装/民族服装/舞台服装</v>
      </c>
      <c r="H439" s="5">
        <v>232167</v>
      </c>
      <c r="I439" s="5">
        <v>46260024.17</v>
      </c>
      <c r="J439" s="6">
        <v>0.0117</v>
      </c>
      <c r="K439" s="6">
        <v>0.0786</v>
      </c>
    </row>
    <row r="440" ht="14.5" spans="1:11">
      <c r="A440" s="3" t="str">
        <f t="shared" si="21"/>
        <v>2026年</v>
      </c>
      <c r="B440" s="3" t="str">
        <f t="shared" si="22"/>
        <v>1月</v>
      </c>
      <c r="C440" s="4" t="str">
        <f t="shared" si="23"/>
        <v>W3</v>
      </c>
      <c r="D440" s="2" t="s">
        <v>750</v>
      </c>
      <c r="E440" s="2" t="s">
        <v>708</v>
      </c>
      <c r="F440" s="2" t="str" cm="1">
        <f t="array" ref="F440">INDEX(_xlfn.TEXTSPLIT(E440,"-"),2)</f>
        <v>女装</v>
      </c>
      <c r="G440" s="2" t="str" cm="1">
        <f t="array" ref="G440">INDEX(_xlfn.TEXTSPLIT(E440,"-"),3)</f>
        <v>大码女装</v>
      </c>
      <c r="H440" s="5">
        <v>706393</v>
      </c>
      <c r="I440" s="5">
        <v>69232596.08</v>
      </c>
      <c r="J440" s="6">
        <v>0.0175</v>
      </c>
      <c r="K440" s="6">
        <v>0.0667</v>
      </c>
    </row>
    <row r="441" ht="14.5" spans="1:11">
      <c r="A441" s="3" t="str">
        <f t="shared" si="21"/>
        <v>2026年</v>
      </c>
      <c r="B441" s="3" t="str">
        <f t="shared" si="22"/>
        <v>1月</v>
      </c>
      <c r="C441" s="4" t="str">
        <f t="shared" si="23"/>
        <v>W3</v>
      </c>
      <c r="D441" s="2" t="s">
        <v>750</v>
      </c>
      <c r="E441" s="2" t="s">
        <v>709</v>
      </c>
      <c r="F441" s="2" t="str" cm="1">
        <f t="array" ref="F441">INDEX(_xlfn.TEXTSPLIT(E441,"-"),2)</f>
        <v>女装</v>
      </c>
      <c r="G441" s="2" t="str" cm="1">
        <f t="array" ref="G441">INDEX(_xlfn.TEXTSPLIT(E441,"-"),3)</f>
        <v>套装/学生校服/工作制服</v>
      </c>
      <c r="H441" s="5">
        <v>1069230</v>
      </c>
      <c r="I441" s="5">
        <v>145251873.45</v>
      </c>
      <c r="J441" s="6">
        <v>0.0367</v>
      </c>
      <c r="K441" s="6">
        <v>0.066</v>
      </c>
    </row>
    <row r="442" ht="14.5" spans="1:11">
      <c r="A442" s="3" t="str">
        <f t="shared" si="21"/>
        <v>2026年</v>
      </c>
      <c r="B442" s="3" t="str">
        <f t="shared" si="22"/>
        <v>1月</v>
      </c>
      <c r="C442" s="4" t="str">
        <f t="shared" si="23"/>
        <v>W3</v>
      </c>
      <c r="D442" s="2" t="s">
        <v>750</v>
      </c>
      <c r="E442" s="2" t="s">
        <v>710</v>
      </c>
      <c r="F442" s="2" t="str" cm="1">
        <f t="array" ref="F442">INDEX(_xlfn.TEXTSPLIT(E442,"-"),2)</f>
        <v>女装</v>
      </c>
      <c r="G442" s="2" t="str" cm="1">
        <f t="array" ref="G442">INDEX(_xlfn.TEXTSPLIT(E442,"-"),3)</f>
        <v>婚纱/旗袍/礼服</v>
      </c>
      <c r="H442" s="5">
        <v>61160</v>
      </c>
      <c r="I442" s="5">
        <v>11647789.29</v>
      </c>
      <c r="J442" s="6">
        <v>0.0029</v>
      </c>
      <c r="K442" s="6">
        <v>0.0106</v>
      </c>
    </row>
    <row r="443" ht="14.5" spans="1:11">
      <c r="A443" s="3" t="str">
        <f t="shared" si="21"/>
        <v>2026年</v>
      </c>
      <c r="B443" s="3" t="str">
        <f t="shared" si="22"/>
        <v>1月</v>
      </c>
      <c r="C443" s="4" t="str">
        <f t="shared" si="23"/>
        <v>W3</v>
      </c>
      <c r="D443" s="2" t="s">
        <v>750</v>
      </c>
      <c r="E443" s="2" t="s">
        <v>711</v>
      </c>
      <c r="F443" s="2" t="str" cm="1">
        <f t="array" ref="F443">INDEX(_xlfn.TEXTSPLIT(E443,"-"),2)</f>
        <v>女装</v>
      </c>
      <c r="G443" s="2" t="str" cm="1">
        <f t="array" ref="G443">INDEX(_xlfn.TEXTSPLIT(E443,"-"),3)</f>
        <v>新中式女装</v>
      </c>
      <c r="H443" s="5">
        <v>60834</v>
      </c>
      <c r="I443" s="5">
        <v>8246216.21</v>
      </c>
      <c r="J443" s="6">
        <v>0.0021</v>
      </c>
      <c r="K443" s="6">
        <v>-0.3179</v>
      </c>
    </row>
    <row r="444" ht="14.5" spans="1:11">
      <c r="A444" s="3" t="str">
        <f t="shared" si="21"/>
        <v>2026年</v>
      </c>
      <c r="B444" s="3" t="str">
        <f t="shared" si="22"/>
        <v>1月</v>
      </c>
      <c r="C444" s="4" t="str">
        <f t="shared" si="23"/>
        <v>W3</v>
      </c>
      <c r="D444" s="2" t="s">
        <v>750</v>
      </c>
      <c r="E444" s="2" t="s">
        <v>712</v>
      </c>
      <c r="F444" s="2" t="str" cm="1">
        <f t="array" ref="F444">INDEX(_xlfn.TEXTSPLIT(E444,"-"),2)</f>
        <v>女装</v>
      </c>
      <c r="G444" s="2" t="str" cm="1">
        <f t="array" ref="G444">INDEX(_xlfn.TEXTSPLIT(E444,"-"),3)</f>
        <v>时尚防晒服</v>
      </c>
      <c r="H444" s="5">
        <v>644</v>
      </c>
      <c r="I444" s="5">
        <v>34351.28</v>
      </c>
      <c r="J444" s="2" t="s">
        <v>713</v>
      </c>
      <c r="K444" s="6">
        <v>0.2583</v>
      </c>
    </row>
    <row r="445" ht="14.5" spans="1:11">
      <c r="A445" s="3" t="str">
        <f t="shared" si="21"/>
        <v>2026年</v>
      </c>
      <c r="B445" s="3" t="str">
        <f t="shared" si="22"/>
        <v>1月</v>
      </c>
      <c r="C445" s="4" t="str">
        <f t="shared" si="23"/>
        <v>W3</v>
      </c>
      <c r="D445" s="2" t="s">
        <v>750</v>
      </c>
      <c r="E445" s="2" t="s">
        <v>714</v>
      </c>
      <c r="F445" s="2" t="str" cm="1">
        <f t="array" ref="F445">INDEX(_xlfn.TEXTSPLIT(E445,"-"),2)</f>
        <v>女装</v>
      </c>
      <c r="G445" s="2" t="str" cm="1">
        <f t="array" ref="G445">INDEX(_xlfn.TEXTSPLIT(E445,"-"),3)</f>
        <v>棉衣/棉服</v>
      </c>
      <c r="H445" s="5">
        <v>936916</v>
      </c>
      <c r="I445" s="5">
        <v>106320763.69</v>
      </c>
      <c r="J445" s="6">
        <v>0.0269</v>
      </c>
      <c r="K445" s="6">
        <v>0.0115</v>
      </c>
    </row>
    <row r="446" ht="14.5" spans="1:11">
      <c r="A446" s="3" t="str">
        <f t="shared" si="21"/>
        <v>2026年</v>
      </c>
      <c r="B446" s="3" t="str">
        <f t="shared" si="22"/>
        <v>1月</v>
      </c>
      <c r="C446" s="4" t="str">
        <f t="shared" si="23"/>
        <v>W3</v>
      </c>
      <c r="D446" s="2" t="s">
        <v>750</v>
      </c>
      <c r="E446" s="2" t="s">
        <v>715</v>
      </c>
      <c r="F446" s="2" t="str" cm="1">
        <f t="array" ref="F446">INDEX(_xlfn.TEXTSPLIT(E446,"-"),2)</f>
        <v>女装</v>
      </c>
      <c r="G446" s="2" t="str" cm="1">
        <f t="array" ref="G446">INDEX(_xlfn.TEXTSPLIT(E446,"-"),3)</f>
        <v>毛呢外套</v>
      </c>
      <c r="H446" s="5">
        <v>829216</v>
      </c>
      <c r="I446" s="5">
        <v>310447231.22</v>
      </c>
      <c r="J446" s="6">
        <v>0.0785</v>
      </c>
      <c r="K446" s="6">
        <v>0.1295</v>
      </c>
    </row>
    <row r="447" ht="14.5" spans="1:11">
      <c r="A447" s="3" t="str">
        <f t="shared" si="21"/>
        <v>2026年</v>
      </c>
      <c r="B447" s="3" t="str">
        <f t="shared" si="22"/>
        <v>1月</v>
      </c>
      <c r="C447" s="4" t="str">
        <f t="shared" si="23"/>
        <v>W3</v>
      </c>
      <c r="D447" s="2" t="s">
        <v>750</v>
      </c>
      <c r="E447" s="2" t="s">
        <v>716</v>
      </c>
      <c r="F447" s="2" t="str" cm="1">
        <f t="array" ref="F447">INDEX(_xlfn.TEXTSPLIT(E447,"-"),2)</f>
        <v>女装</v>
      </c>
      <c r="G447" s="2" t="str" cm="1">
        <f t="array" ref="G447">INDEX(_xlfn.TEXTSPLIT(E447,"-"),3)</f>
        <v>毛衣</v>
      </c>
      <c r="H447" s="5">
        <v>580349</v>
      </c>
      <c r="I447" s="5">
        <v>50323825.96</v>
      </c>
      <c r="J447" s="6">
        <v>0.0127</v>
      </c>
      <c r="K447" s="6">
        <v>0.1425</v>
      </c>
    </row>
    <row r="448" ht="14.5" spans="1:11">
      <c r="A448" s="3" t="str">
        <f t="shared" si="21"/>
        <v>2026年</v>
      </c>
      <c r="B448" s="3" t="str">
        <f t="shared" si="22"/>
        <v>1月</v>
      </c>
      <c r="C448" s="4" t="str">
        <f t="shared" si="23"/>
        <v>W3</v>
      </c>
      <c r="D448" s="2" t="s">
        <v>750</v>
      </c>
      <c r="E448" s="2" t="s">
        <v>717</v>
      </c>
      <c r="F448" s="2" t="str" cm="1">
        <f t="array" ref="F448">INDEX(_xlfn.TEXTSPLIT(E448,"-"),2)</f>
        <v>女装</v>
      </c>
      <c r="G448" s="2" t="str" cm="1">
        <f t="array" ref="G448">INDEX(_xlfn.TEXTSPLIT(E448,"-"),3)</f>
        <v>毛针织衫</v>
      </c>
      <c r="H448" s="5">
        <v>2521000</v>
      </c>
      <c r="I448" s="5">
        <v>223145052.24</v>
      </c>
      <c r="J448" s="6">
        <v>0.0564</v>
      </c>
      <c r="K448" s="6">
        <v>0.1985</v>
      </c>
    </row>
    <row r="449" ht="14.5" spans="1:11">
      <c r="A449" s="3" t="str">
        <f t="shared" si="21"/>
        <v>2026年</v>
      </c>
      <c r="B449" s="3" t="str">
        <f t="shared" si="22"/>
        <v>1月</v>
      </c>
      <c r="C449" s="4" t="str">
        <f t="shared" si="23"/>
        <v>W3</v>
      </c>
      <c r="D449" s="2" t="s">
        <v>750</v>
      </c>
      <c r="E449" s="2" t="s">
        <v>718</v>
      </c>
      <c r="F449" s="2" t="str" cm="1">
        <f t="array" ref="F449">INDEX(_xlfn.TEXTSPLIT(E449,"-"),2)</f>
        <v>女装</v>
      </c>
      <c r="G449" s="2" t="str" cm="1">
        <f t="array" ref="G449">INDEX(_xlfn.TEXTSPLIT(E449,"-"),3)</f>
        <v>汉服</v>
      </c>
      <c r="H449" s="5">
        <v>115874</v>
      </c>
      <c r="I449" s="5">
        <v>63449887.5</v>
      </c>
      <c r="J449" s="6">
        <v>0.016</v>
      </c>
      <c r="K449" s="6">
        <v>0.2085</v>
      </c>
    </row>
    <row r="450" ht="14.5" spans="1:11">
      <c r="A450" s="3" t="str">
        <f t="shared" si="21"/>
        <v>2026年</v>
      </c>
      <c r="B450" s="3" t="str">
        <f t="shared" si="22"/>
        <v>1月</v>
      </c>
      <c r="C450" s="4" t="str">
        <f t="shared" si="23"/>
        <v>W3</v>
      </c>
      <c r="D450" s="2" t="s">
        <v>750</v>
      </c>
      <c r="E450" s="2" t="s">
        <v>719</v>
      </c>
      <c r="F450" s="2" t="str" cm="1">
        <f t="array" ref="F450">INDEX(_xlfn.TEXTSPLIT(E450,"-"),2)</f>
        <v>女装</v>
      </c>
      <c r="G450" s="2" t="str" cm="1">
        <f t="array" ref="G450">INDEX(_xlfn.TEXTSPLIT(E450,"-"),3)</f>
        <v>派克服</v>
      </c>
      <c r="H450" s="5">
        <v>73605</v>
      </c>
      <c r="I450" s="5">
        <v>16587148.14</v>
      </c>
      <c r="J450" s="6">
        <v>0.0042</v>
      </c>
      <c r="K450" s="6">
        <v>0.0579</v>
      </c>
    </row>
    <row r="451" ht="14.5" spans="1:11">
      <c r="A451" s="3" t="str">
        <f t="shared" si="21"/>
        <v>2026年</v>
      </c>
      <c r="B451" s="3" t="str">
        <f t="shared" si="22"/>
        <v>1月</v>
      </c>
      <c r="C451" s="4" t="str">
        <f t="shared" si="23"/>
        <v>W3</v>
      </c>
      <c r="D451" s="2" t="s">
        <v>750</v>
      </c>
      <c r="E451" s="2" t="s">
        <v>720</v>
      </c>
      <c r="F451" s="2" t="str" cm="1">
        <f t="array" ref="F451">INDEX(_xlfn.TEXTSPLIT(E451,"-"),2)</f>
        <v>女装</v>
      </c>
      <c r="G451" s="2" t="str" cm="1">
        <f t="array" ref="G451">INDEX(_xlfn.TEXTSPLIT(E451,"-"),3)</f>
        <v>皮草</v>
      </c>
      <c r="H451" s="5">
        <v>229062</v>
      </c>
      <c r="I451" s="5">
        <v>456905286.91</v>
      </c>
      <c r="J451" s="6">
        <v>0.1155</v>
      </c>
      <c r="K451" s="6">
        <v>0.0738</v>
      </c>
    </row>
    <row r="452" ht="14.5" spans="1:11">
      <c r="A452" s="3" t="str">
        <f t="shared" si="21"/>
        <v>2026年</v>
      </c>
      <c r="B452" s="3" t="str">
        <f t="shared" si="22"/>
        <v>1月</v>
      </c>
      <c r="C452" s="4" t="str">
        <f t="shared" si="23"/>
        <v>W3</v>
      </c>
      <c r="D452" s="2" t="s">
        <v>750</v>
      </c>
      <c r="E452" s="2" t="s">
        <v>721</v>
      </c>
      <c r="F452" s="2" t="str" cm="1">
        <f t="array" ref="F452">INDEX(_xlfn.TEXTSPLIT(E452,"-"),2)</f>
        <v>女装</v>
      </c>
      <c r="G452" s="2" t="str" cm="1">
        <f t="array" ref="G452">INDEX(_xlfn.TEXTSPLIT(E452,"-"),3)</f>
        <v>皮衣</v>
      </c>
      <c r="H452" s="5">
        <v>179452</v>
      </c>
      <c r="I452" s="5">
        <v>51241924.65</v>
      </c>
      <c r="J452" s="6">
        <v>0.013</v>
      </c>
      <c r="K452" s="6">
        <v>0.1981</v>
      </c>
    </row>
    <row r="453" ht="14.5" spans="1:11">
      <c r="A453" s="3" t="str">
        <f t="shared" si="21"/>
        <v>2026年</v>
      </c>
      <c r="B453" s="3" t="str">
        <f t="shared" si="22"/>
        <v>1月</v>
      </c>
      <c r="C453" s="4" t="str">
        <f t="shared" si="23"/>
        <v>W3</v>
      </c>
      <c r="D453" s="2" t="s">
        <v>750</v>
      </c>
      <c r="E453" s="2" t="s">
        <v>722</v>
      </c>
      <c r="F453" s="2" t="str" cm="1">
        <f t="array" ref="F453">INDEX(_xlfn.TEXTSPLIT(E453,"-"),2)</f>
        <v>女装</v>
      </c>
      <c r="G453" s="2" t="str" cm="1">
        <f t="array" ref="G453">INDEX(_xlfn.TEXTSPLIT(E453,"-"),3)</f>
        <v>短外套</v>
      </c>
      <c r="H453" s="5">
        <v>1677763</v>
      </c>
      <c r="I453" s="5">
        <v>323113597.86</v>
      </c>
      <c r="J453" s="6">
        <v>0.0817</v>
      </c>
      <c r="K453" s="6">
        <v>0.0681</v>
      </c>
    </row>
    <row r="454" ht="14.5" spans="1:11">
      <c r="A454" s="3" t="str">
        <f t="shared" si="21"/>
        <v>2026年</v>
      </c>
      <c r="B454" s="3" t="str">
        <f t="shared" si="22"/>
        <v>1月</v>
      </c>
      <c r="C454" s="4" t="str">
        <f t="shared" si="23"/>
        <v>W3</v>
      </c>
      <c r="D454" s="2" t="s">
        <v>750</v>
      </c>
      <c r="E454" s="2" t="s">
        <v>723</v>
      </c>
      <c r="F454" s="2" t="str" cm="1">
        <f t="array" ref="F454">INDEX(_xlfn.TEXTSPLIT(E454,"-"),2)</f>
        <v>女装</v>
      </c>
      <c r="G454" s="2" t="str" cm="1">
        <f t="array" ref="G454">INDEX(_xlfn.TEXTSPLIT(E454,"-"),3)</f>
        <v>短裤</v>
      </c>
      <c r="H454" s="5">
        <v>140880</v>
      </c>
      <c r="I454" s="5">
        <v>8480052.55</v>
      </c>
      <c r="J454" s="6">
        <v>0.0021</v>
      </c>
      <c r="K454" s="6">
        <v>0.0934</v>
      </c>
    </row>
    <row r="455" ht="14.5" spans="1:11">
      <c r="A455" s="3" t="str">
        <f t="shared" si="21"/>
        <v>2026年</v>
      </c>
      <c r="B455" s="3" t="str">
        <f t="shared" si="22"/>
        <v>1月</v>
      </c>
      <c r="C455" s="4" t="str">
        <f t="shared" si="23"/>
        <v>W3</v>
      </c>
      <c r="D455" s="2" t="s">
        <v>750</v>
      </c>
      <c r="E455" s="2" t="s">
        <v>724</v>
      </c>
      <c r="F455" s="2" t="str" cm="1">
        <f t="array" ref="F455">INDEX(_xlfn.TEXTSPLIT(E455,"-"),2)</f>
        <v>女装</v>
      </c>
      <c r="G455" s="2" t="str" cm="1">
        <f t="array" ref="G455">INDEX(_xlfn.TEXTSPLIT(E455,"-"),3)</f>
        <v>羊毛衫</v>
      </c>
      <c r="H455" s="5">
        <v>661432</v>
      </c>
      <c r="I455" s="5">
        <v>86901717.15</v>
      </c>
      <c r="J455" s="6">
        <v>0.022</v>
      </c>
      <c r="K455" s="6">
        <v>0.2539</v>
      </c>
    </row>
    <row r="456" ht="14.5" spans="1:11">
      <c r="A456" s="3" t="str">
        <f t="shared" si="21"/>
        <v>2026年</v>
      </c>
      <c r="B456" s="3" t="str">
        <f t="shared" si="22"/>
        <v>1月</v>
      </c>
      <c r="C456" s="4" t="str">
        <f t="shared" si="23"/>
        <v>W3</v>
      </c>
      <c r="D456" s="2" t="s">
        <v>750</v>
      </c>
      <c r="E456" s="2" t="s">
        <v>725</v>
      </c>
      <c r="F456" s="2" t="str" cm="1">
        <f t="array" ref="F456">INDEX(_xlfn.TEXTSPLIT(E456,"-"),2)</f>
        <v>女装</v>
      </c>
      <c r="G456" s="2" t="str" cm="1">
        <f t="array" ref="G456">INDEX(_xlfn.TEXTSPLIT(E456,"-"),3)</f>
        <v>羊绒大衣</v>
      </c>
      <c r="H456" s="5">
        <v>8837</v>
      </c>
      <c r="I456" s="5">
        <v>4343886.97</v>
      </c>
      <c r="J456" s="6">
        <v>0.0011</v>
      </c>
      <c r="K456" s="6">
        <v>0.4336</v>
      </c>
    </row>
    <row r="457" ht="14.5" spans="1:11">
      <c r="A457" s="3" t="str">
        <f t="shared" si="21"/>
        <v>2026年</v>
      </c>
      <c r="B457" s="3" t="str">
        <f t="shared" si="22"/>
        <v>1月</v>
      </c>
      <c r="C457" s="4" t="str">
        <f t="shared" si="23"/>
        <v>W3</v>
      </c>
      <c r="D457" s="2" t="s">
        <v>750</v>
      </c>
      <c r="E457" s="2" t="s">
        <v>726</v>
      </c>
      <c r="F457" s="2" t="str" cm="1">
        <f t="array" ref="F457">INDEX(_xlfn.TEXTSPLIT(E457,"-"),2)</f>
        <v>女装</v>
      </c>
      <c r="G457" s="2" t="str" cm="1">
        <f t="array" ref="G457">INDEX(_xlfn.TEXTSPLIT(E457,"-"),3)</f>
        <v>羊绒衫</v>
      </c>
      <c r="H457" s="5">
        <v>177386</v>
      </c>
      <c r="I457" s="5">
        <v>61749252.55</v>
      </c>
      <c r="J457" s="6">
        <v>0.0156</v>
      </c>
      <c r="K457" s="6">
        <v>0.5088</v>
      </c>
    </row>
    <row r="458" ht="14.5" spans="1:11">
      <c r="A458" s="3" t="str">
        <f t="shared" si="21"/>
        <v>2026年</v>
      </c>
      <c r="B458" s="3" t="str">
        <f t="shared" si="22"/>
        <v>1月</v>
      </c>
      <c r="C458" s="4" t="str">
        <f t="shared" si="23"/>
        <v>W3</v>
      </c>
      <c r="D458" s="2" t="s">
        <v>750</v>
      </c>
      <c r="E458" s="2" t="s">
        <v>727</v>
      </c>
      <c r="F458" s="2" t="str" cm="1">
        <f t="array" ref="F458">INDEX(_xlfn.TEXTSPLIT(E458,"-"),2)</f>
        <v>女装</v>
      </c>
      <c r="G458" s="2" t="str" cm="1">
        <f t="array" ref="G458">INDEX(_xlfn.TEXTSPLIT(E458,"-"),3)</f>
        <v>羽绒服</v>
      </c>
      <c r="H458" s="5">
        <v>2042610</v>
      </c>
      <c r="I458" s="5">
        <v>831631019.47</v>
      </c>
      <c r="J458" s="6">
        <v>0.2102</v>
      </c>
      <c r="K458" s="6">
        <v>0.016</v>
      </c>
    </row>
    <row r="459" ht="14.5" spans="1:11">
      <c r="A459" s="3" t="str">
        <f t="shared" si="21"/>
        <v>2026年</v>
      </c>
      <c r="B459" s="3" t="str">
        <f t="shared" si="22"/>
        <v>1月</v>
      </c>
      <c r="C459" s="4" t="str">
        <f t="shared" si="23"/>
        <v>W3</v>
      </c>
      <c r="D459" s="2" t="s">
        <v>750</v>
      </c>
      <c r="E459" s="2" t="s">
        <v>728</v>
      </c>
      <c r="F459" s="2" t="str" cm="1">
        <f t="array" ref="F459">INDEX(_xlfn.TEXTSPLIT(E459,"-"),2)</f>
        <v>女装</v>
      </c>
      <c r="G459" s="2" t="str" cm="1">
        <f t="array" ref="G459">INDEX(_xlfn.TEXTSPLIT(E459,"-"),3)</f>
        <v>肌底衣/肌肤衣</v>
      </c>
      <c r="H459" s="5">
        <v>5994</v>
      </c>
      <c r="I459" s="5">
        <v>474550.43</v>
      </c>
      <c r="J459" s="6">
        <v>0.0001</v>
      </c>
      <c r="K459" s="6">
        <v>0.9762</v>
      </c>
    </row>
    <row r="460" ht="14.5" spans="1:11">
      <c r="A460" s="3" t="str">
        <f t="shared" si="21"/>
        <v>2026年</v>
      </c>
      <c r="B460" s="3" t="str">
        <f t="shared" si="22"/>
        <v>1月</v>
      </c>
      <c r="C460" s="4" t="str">
        <f t="shared" si="23"/>
        <v>W3</v>
      </c>
      <c r="D460" s="2" t="s">
        <v>750</v>
      </c>
      <c r="E460" s="2" t="s">
        <v>729</v>
      </c>
      <c r="F460" s="2" t="str" cm="1">
        <f t="array" ref="F460">INDEX(_xlfn.TEXTSPLIT(E460,"-"),2)</f>
        <v>女装</v>
      </c>
      <c r="G460" s="2" t="str" cm="1">
        <f t="array" ref="G460">INDEX(_xlfn.TEXTSPLIT(E460,"-"),3)</f>
        <v>背心吊带</v>
      </c>
      <c r="H460" s="5">
        <v>224023</v>
      </c>
      <c r="I460" s="5">
        <v>13625259.61</v>
      </c>
      <c r="J460" s="6">
        <v>0.0034</v>
      </c>
      <c r="K460" s="6">
        <v>0.2053</v>
      </c>
    </row>
    <row r="461" ht="14.5" spans="1:11">
      <c r="A461" s="3" t="str">
        <f t="shared" si="21"/>
        <v>2026年</v>
      </c>
      <c r="B461" s="3" t="str">
        <f t="shared" si="22"/>
        <v>1月</v>
      </c>
      <c r="C461" s="4" t="str">
        <f t="shared" si="23"/>
        <v>W3</v>
      </c>
      <c r="D461" s="2" t="s">
        <v>750</v>
      </c>
      <c r="E461" s="2" t="s">
        <v>730</v>
      </c>
      <c r="F461" s="2" t="str" cm="1">
        <f t="array" ref="F461">INDEX(_xlfn.TEXTSPLIT(E461,"-"),2)</f>
        <v>女装</v>
      </c>
      <c r="G461" s="2" t="str" cm="1">
        <f t="array" ref="G461">INDEX(_xlfn.TEXTSPLIT(E461,"-"),3)</f>
        <v>蕾丝衫/雪纺衫</v>
      </c>
      <c r="H461" s="5">
        <v>196772</v>
      </c>
      <c r="I461" s="5">
        <v>14402121.99</v>
      </c>
      <c r="J461" s="6">
        <v>0.0036</v>
      </c>
      <c r="K461" s="6">
        <v>-0.0025</v>
      </c>
    </row>
    <row r="462" ht="14.5" spans="1:11">
      <c r="A462" s="3" t="str">
        <f t="shared" si="21"/>
        <v>2026年</v>
      </c>
      <c r="B462" s="3" t="str">
        <f t="shared" si="22"/>
        <v>1月</v>
      </c>
      <c r="C462" s="4" t="str">
        <f t="shared" si="23"/>
        <v>W3</v>
      </c>
      <c r="D462" s="2" t="s">
        <v>750</v>
      </c>
      <c r="E462" s="2" t="s">
        <v>731</v>
      </c>
      <c r="F462" s="2" t="str" cm="1">
        <f t="array" ref="F462">INDEX(_xlfn.TEXTSPLIT(E462,"-"),2)</f>
        <v>女装</v>
      </c>
      <c r="G462" s="2" t="str" cm="1">
        <f t="array" ref="G462">INDEX(_xlfn.TEXTSPLIT(E462,"-"),3)</f>
        <v>衬衫</v>
      </c>
      <c r="H462" s="5">
        <v>474981</v>
      </c>
      <c r="I462" s="5">
        <v>52083066</v>
      </c>
      <c r="J462" s="6">
        <v>0.0132</v>
      </c>
      <c r="K462" s="6">
        <v>0.2041</v>
      </c>
    </row>
    <row r="463" ht="14.5" spans="1:11">
      <c r="A463" s="3" t="str">
        <f t="shared" si="21"/>
        <v>2026年</v>
      </c>
      <c r="B463" s="3" t="str">
        <f t="shared" si="22"/>
        <v>1月</v>
      </c>
      <c r="C463" s="4" t="str">
        <f t="shared" si="23"/>
        <v>W3</v>
      </c>
      <c r="D463" s="2" t="s">
        <v>750</v>
      </c>
      <c r="E463" s="2" t="s">
        <v>732</v>
      </c>
      <c r="F463" s="2" t="str" cm="1">
        <f t="array" ref="F463">INDEX(_xlfn.TEXTSPLIT(E463,"-"),2)</f>
        <v>女装</v>
      </c>
      <c r="G463" s="2" t="str" cm="1">
        <f t="array" ref="G463">INDEX(_xlfn.TEXTSPLIT(E463,"-"),3)</f>
        <v>裤子</v>
      </c>
      <c r="H463" s="5">
        <v>4942080</v>
      </c>
      <c r="I463" s="5">
        <v>482366187.42</v>
      </c>
      <c r="J463" s="6">
        <v>0.1219</v>
      </c>
      <c r="K463" s="6">
        <v>0.0226</v>
      </c>
    </row>
    <row r="464" ht="14.5" spans="1:11">
      <c r="A464" s="3" t="str">
        <f t="shared" si="21"/>
        <v>2026年</v>
      </c>
      <c r="B464" s="3" t="str">
        <f t="shared" si="22"/>
        <v>1月</v>
      </c>
      <c r="C464" s="4" t="str">
        <f t="shared" si="23"/>
        <v>W3</v>
      </c>
      <c r="D464" s="2" t="s">
        <v>750</v>
      </c>
      <c r="E464" s="2" t="s">
        <v>733</v>
      </c>
      <c r="F464" s="2" t="str" cm="1">
        <f t="array" ref="F464">INDEX(_xlfn.TEXTSPLIT(E464,"-"),2)</f>
        <v>女装</v>
      </c>
      <c r="G464" s="2" t="str" cm="1">
        <f t="array" ref="G464">INDEX(_xlfn.TEXTSPLIT(E464,"-"),3)</f>
        <v>西装</v>
      </c>
      <c r="H464" s="5">
        <v>51138</v>
      </c>
      <c r="I464" s="5">
        <v>14130785.86</v>
      </c>
      <c r="J464" s="6">
        <v>0.0036</v>
      </c>
      <c r="K464" s="6">
        <v>0.2303</v>
      </c>
    </row>
    <row r="465" ht="14.5" spans="1:11">
      <c r="A465" s="3" t="str">
        <f t="shared" si="21"/>
        <v>2026年</v>
      </c>
      <c r="B465" s="3" t="str">
        <f t="shared" si="22"/>
        <v>1月</v>
      </c>
      <c r="C465" s="4" t="str">
        <f t="shared" si="23"/>
        <v>W3</v>
      </c>
      <c r="D465" s="2" t="s">
        <v>750</v>
      </c>
      <c r="E465" s="2" t="s">
        <v>734</v>
      </c>
      <c r="F465" s="2" t="str" cm="1">
        <f t="array" ref="F465">INDEX(_xlfn.TEXTSPLIT(E465,"-"),2)</f>
        <v>女装</v>
      </c>
      <c r="G465" s="2" t="str" cm="1">
        <f t="array" ref="G465">INDEX(_xlfn.TEXTSPLIT(E465,"-"),3)</f>
        <v>设计师/潮牌女装</v>
      </c>
      <c r="H465" s="5">
        <v>427355</v>
      </c>
      <c r="I465" s="5">
        <v>58264802.43</v>
      </c>
      <c r="J465" s="6">
        <v>0.0147</v>
      </c>
      <c r="K465" s="6">
        <v>-0.0742</v>
      </c>
    </row>
    <row r="466" ht="14.5" spans="1:11">
      <c r="A466" s="3" t="str">
        <f t="shared" si="21"/>
        <v>2026年</v>
      </c>
      <c r="B466" s="3" t="str">
        <f t="shared" si="22"/>
        <v>1月</v>
      </c>
      <c r="C466" s="4" t="str">
        <f t="shared" si="23"/>
        <v>W3</v>
      </c>
      <c r="D466" s="2" t="s">
        <v>750</v>
      </c>
      <c r="E466" s="2" t="s">
        <v>735</v>
      </c>
      <c r="F466" s="2" t="str" cm="1">
        <f t="array" ref="F466">INDEX(_xlfn.TEXTSPLIT(E466,"-"),2)</f>
        <v>女装</v>
      </c>
      <c r="G466" s="2" t="str" cm="1">
        <f t="array" ref="G466">INDEX(_xlfn.TEXTSPLIT(E466,"-"),3)</f>
        <v>连体衣/裤</v>
      </c>
      <c r="H466" s="5">
        <v>13662</v>
      </c>
      <c r="I466" s="5">
        <v>1980235.1</v>
      </c>
      <c r="J466" s="6">
        <v>0.0005</v>
      </c>
      <c r="K466" s="6">
        <v>-0.0543</v>
      </c>
    </row>
    <row r="467" ht="14.5" spans="1:11">
      <c r="A467" s="3" t="str">
        <f t="shared" si="21"/>
        <v>2026年</v>
      </c>
      <c r="B467" s="3" t="str">
        <f t="shared" si="22"/>
        <v>1月</v>
      </c>
      <c r="C467" s="4" t="str">
        <f t="shared" si="23"/>
        <v>W3</v>
      </c>
      <c r="D467" s="2" t="s">
        <v>750</v>
      </c>
      <c r="E467" s="2" t="s">
        <v>736</v>
      </c>
      <c r="F467" s="2" t="str" cm="1">
        <f t="array" ref="F467">INDEX(_xlfn.TEXTSPLIT(E467,"-"),2)</f>
        <v>女装</v>
      </c>
      <c r="G467" s="2" t="str" cm="1">
        <f t="array" ref="G467">INDEX(_xlfn.TEXTSPLIT(E467,"-"),3)</f>
        <v>连衣裙</v>
      </c>
      <c r="H467" s="5">
        <v>769831</v>
      </c>
      <c r="I467" s="5">
        <v>106136066.78</v>
      </c>
      <c r="J467" s="6">
        <v>0.0268</v>
      </c>
      <c r="K467" s="6">
        <v>0.0941</v>
      </c>
    </row>
    <row r="468" ht="14.5" spans="1:11">
      <c r="A468" s="3" t="str">
        <f t="shared" si="21"/>
        <v>2026年</v>
      </c>
      <c r="B468" s="3" t="str">
        <f t="shared" si="22"/>
        <v>1月</v>
      </c>
      <c r="C468" s="4" t="str">
        <f t="shared" si="23"/>
        <v>W3</v>
      </c>
      <c r="D468" s="2" t="s">
        <v>750</v>
      </c>
      <c r="E468" s="2" t="s">
        <v>737</v>
      </c>
      <c r="F468" s="2" t="str" cm="1">
        <f t="array" ref="F468">INDEX(_xlfn.TEXTSPLIT(E468,"-"),2)</f>
        <v>女装</v>
      </c>
      <c r="G468" s="2" t="str" cm="1">
        <f t="array" ref="G468">INDEX(_xlfn.TEXTSPLIT(E468,"-"),3)</f>
        <v>风衣</v>
      </c>
      <c r="H468" s="5">
        <v>134173</v>
      </c>
      <c r="I468" s="5">
        <v>16678009.95</v>
      </c>
      <c r="J468" s="6">
        <v>0.0042</v>
      </c>
      <c r="K468" s="6">
        <v>0.2447</v>
      </c>
    </row>
    <row r="469" ht="14.5" spans="1:11">
      <c r="A469" s="3" t="str">
        <f t="shared" si="21"/>
        <v>2026年</v>
      </c>
      <c r="B469" s="3" t="str">
        <f t="shared" si="22"/>
        <v>1月</v>
      </c>
      <c r="C469" s="4" t="str">
        <f t="shared" si="23"/>
        <v>W3</v>
      </c>
      <c r="D469" s="2" t="s">
        <v>750</v>
      </c>
      <c r="E469" s="2" t="s">
        <v>738</v>
      </c>
      <c r="F469" s="2" t="str" cm="1">
        <f t="array" ref="F469">INDEX(_xlfn.TEXTSPLIT(E469,"-"),2)</f>
        <v>女装</v>
      </c>
      <c r="G469" s="2" t="str" cm="1">
        <f t="array" ref="G469">INDEX(_xlfn.TEXTSPLIT(E469,"-"),3)</f>
        <v>马夹</v>
      </c>
      <c r="H469" s="5">
        <v>434865</v>
      </c>
      <c r="I469" s="5">
        <v>50765443.91</v>
      </c>
      <c r="J469" s="6">
        <v>0.0128</v>
      </c>
      <c r="K469" s="6">
        <v>0.1891</v>
      </c>
    </row>
    <row r="470" ht="14.5" spans="1:11">
      <c r="A470" s="3" t="str">
        <f t="shared" si="21"/>
        <v>2026年</v>
      </c>
      <c r="B470" s="3" t="str">
        <f t="shared" si="22"/>
        <v>1月</v>
      </c>
      <c r="C470" s="4" t="str">
        <f t="shared" si="23"/>
        <v>W3</v>
      </c>
      <c r="D470" s="2" t="s">
        <v>751</v>
      </c>
      <c r="E470" s="2" t="s">
        <v>702</v>
      </c>
      <c r="F470" s="2" t="str" cm="1">
        <f t="array" ref="F470">INDEX(_xlfn.TEXTSPLIT(E470,"-"),2)</f>
        <v>女装</v>
      </c>
      <c r="G470" s="2" t="str" cm="1">
        <f t="array" ref="G470">INDEX(_xlfn.TEXTSPLIT(E470,"-"),3)</f>
        <v>POLO衫</v>
      </c>
      <c r="H470" s="5">
        <v>15952</v>
      </c>
      <c r="I470" s="5">
        <v>956167.94</v>
      </c>
      <c r="J470" s="6">
        <v>0.0003</v>
      </c>
      <c r="K470" s="6">
        <v>-0.5039</v>
      </c>
    </row>
    <row r="471" ht="14.5" spans="1:11">
      <c r="A471" s="3" t="str">
        <f t="shared" si="21"/>
        <v>2026年</v>
      </c>
      <c r="B471" s="3" t="str">
        <f t="shared" si="22"/>
        <v>1月</v>
      </c>
      <c r="C471" s="4" t="str">
        <f t="shared" si="23"/>
        <v>W3</v>
      </c>
      <c r="D471" s="2" t="s">
        <v>751</v>
      </c>
      <c r="E471" s="2" t="s">
        <v>703</v>
      </c>
      <c r="F471" s="2" t="str" cm="1">
        <f t="array" ref="F471">INDEX(_xlfn.TEXTSPLIT(E471,"-"),2)</f>
        <v>女装</v>
      </c>
      <c r="G471" s="2" t="str" cm="1">
        <f t="array" ref="G471">INDEX(_xlfn.TEXTSPLIT(E471,"-"),3)</f>
        <v>T恤</v>
      </c>
      <c r="H471" s="5">
        <v>1634779</v>
      </c>
      <c r="I471" s="5">
        <v>94344332.39</v>
      </c>
      <c r="J471" s="6">
        <v>0.0251</v>
      </c>
      <c r="K471" s="6">
        <v>0.0079</v>
      </c>
    </row>
    <row r="472" ht="14.5" spans="1:11">
      <c r="A472" s="3" t="str">
        <f t="shared" si="21"/>
        <v>2026年</v>
      </c>
      <c r="B472" s="3" t="str">
        <f t="shared" si="22"/>
        <v>1月</v>
      </c>
      <c r="C472" s="4" t="str">
        <f t="shared" si="23"/>
        <v>W3</v>
      </c>
      <c r="D472" s="2" t="s">
        <v>751</v>
      </c>
      <c r="E472" s="2" t="s">
        <v>704</v>
      </c>
      <c r="F472" s="2" t="str" cm="1">
        <f t="array" ref="F472">INDEX(_xlfn.TEXTSPLIT(E472,"-"),2)</f>
        <v>女装</v>
      </c>
      <c r="G472" s="2" t="str" cm="1">
        <f t="array" ref="G472">INDEX(_xlfn.TEXTSPLIT(E472,"-"),3)</f>
        <v>中老年女装</v>
      </c>
      <c r="H472" s="5">
        <v>475994</v>
      </c>
      <c r="I472" s="5">
        <v>58867732.62</v>
      </c>
      <c r="J472" s="6">
        <v>0.0157</v>
      </c>
      <c r="K472" s="6">
        <v>0.0869</v>
      </c>
    </row>
    <row r="473" ht="14.5" spans="1:11">
      <c r="A473" s="3" t="str">
        <f t="shared" si="21"/>
        <v>2026年</v>
      </c>
      <c r="B473" s="3" t="str">
        <f t="shared" si="22"/>
        <v>1月</v>
      </c>
      <c r="C473" s="4" t="str">
        <f t="shared" si="23"/>
        <v>W3</v>
      </c>
      <c r="D473" s="2" t="s">
        <v>751</v>
      </c>
      <c r="E473" s="2" t="s">
        <v>705</v>
      </c>
      <c r="F473" s="2" t="str" cm="1">
        <f t="array" ref="F473">INDEX(_xlfn.TEXTSPLIT(E473,"-"),2)</f>
        <v>女装</v>
      </c>
      <c r="G473" s="2" t="str" cm="1">
        <f t="array" ref="G473">INDEX(_xlfn.TEXTSPLIT(E473,"-"),3)</f>
        <v>半身裙</v>
      </c>
      <c r="H473" s="5">
        <v>851309</v>
      </c>
      <c r="I473" s="5">
        <v>75106890.38</v>
      </c>
      <c r="J473" s="7">
        <v>0.02</v>
      </c>
      <c r="K473" s="6">
        <v>-0.0306</v>
      </c>
    </row>
    <row r="474" ht="14.5" spans="1:11">
      <c r="A474" s="3" t="str">
        <f t="shared" si="21"/>
        <v>2026年</v>
      </c>
      <c r="B474" s="3" t="str">
        <f t="shared" si="22"/>
        <v>1月</v>
      </c>
      <c r="C474" s="4" t="str">
        <f t="shared" si="23"/>
        <v>W3</v>
      </c>
      <c r="D474" s="2" t="s">
        <v>751</v>
      </c>
      <c r="E474" s="2" t="s">
        <v>706</v>
      </c>
      <c r="F474" s="2" t="str" cm="1">
        <f t="array" ref="F474">INDEX(_xlfn.TEXTSPLIT(E474,"-"),2)</f>
        <v>女装</v>
      </c>
      <c r="G474" s="2" t="str" cm="1">
        <f t="array" ref="G474">INDEX(_xlfn.TEXTSPLIT(E474,"-"),3)</f>
        <v>卫衣/绒衫</v>
      </c>
      <c r="H474" s="5">
        <v>501976</v>
      </c>
      <c r="I474" s="5">
        <v>39926080.97</v>
      </c>
      <c r="J474" s="6">
        <v>0.0106</v>
      </c>
      <c r="K474" s="6">
        <v>-0.0516</v>
      </c>
    </row>
    <row r="475" ht="14.5" spans="1:11">
      <c r="A475" s="3" t="str">
        <f t="shared" ref="A475:A538" si="24">TEXT(YEAR(D475),"0")&amp;"年"</f>
        <v>2026年</v>
      </c>
      <c r="B475" s="3" t="str">
        <f t="shared" ref="B475:B538" si="25">TEXT(MONTH(D475),"0")&amp;"月"</f>
        <v>1月</v>
      </c>
      <c r="C475" s="4" t="str">
        <f t="shared" ref="C475:C538" si="26">"W"&amp;TEXT(WEEKNUM(D475,2),"0")</f>
        <v>W3</v>
      </c>
      <c r="D475" s="2" t="s">
        <v>751</v>
      </c>
      <c r="E475" s="2" t="s">
        <v>707</v>
      </c>
      <c r="F475" s="2" t="str" cm="1">
        <f t="array" ref="F475">INDEX(_xlfn.TEXTSPLIT(E475,"-"),2)</f>
        <v>女装</v>
      </c>
      <c r="G475" s="2" t="str" cm="1">
        <f t="array" ref="G475">INDEX(_xlfn.TEXTSPLIT(E475,"-"),3)</f>
        <v>唐装/民族服装/舞台服装</v>
      </c>
      <c r="H475" s="5">
        <v>227562</v>
      </c>
      <c r="I475" s="5">
        <v>47789170.38</v>
      </c>
      <c r="J475" s="6">
        <v>0.0127</v>
      </c>
      <c r="K475" s="6">
        <v>0.0331</v>
      </c>
    </row>
    <row r="476" ht="14.5" spans="1:11">
      <c r="A476" s="3" t="str">
        <f t="shared" si="24"/>
        <v>2026年</v>
      </c>
      <c r="B476" s="3" t="str">
        <f t="shared" si="25"/>
        <v>1月</v>
      </c>
      <c r="C476" s="4" t="str">
        <f t="shared" si="26"/>
        <v>W3</v>
      </c>
      <c r="D476" s="2" t="s">
        <v>751</v>
      </c>
      <c r="E476" s="2" t="s">
        <v>708</v>
      </c>
      <c r="F476" s="2" t="str" cm="1">
        <f t="array" ref="F476">INDEX(_xlfn.TEXTSPLIT(E476,"-"),2)</f>
        <v>女装</v>
      </c>
      <c r="G476" s="2" t="str" cm="1">
        <f t="array" ref="G476">INDEX(_xlfn.TEXTSPLIT(E476,"-"),3)</f>
        <v>大码女装</v>
      </c>
      <c r="H476" s="5">
        <v>739728</v>
      </c>
      <c r="I476" s="5">
        <v>66520949.87</v>
      </c>
      <c r="J476" s="6">
        <v>0.0177</v>
      </c>
      <c r="K476" s="6">
        <v>-0.0392</v>
      </c>
    </row>
    <row r="477" ht="14.5" spans="1:11">
      <c r="A477" s="3" t="str">
        <f t="shared" si="24"/>
        <v>2026年</v>
      </c>
      <c r="B477" s="3" t="str">
        <f t="shared" si="25"/>
        <v>1月</v>
      </c>
      <c r="C477" s="4" t="str">
        <f t="shared" si="26"/>
        <v>W3</v>
      </c>
      <c r="D477" s="2" t="s">
        <v>751</v>
      </c>
      <c r="E477" s="2" t="s">
        <v>709</v>
      </c>
      <c r="F477" s="2" t="str" cm="1">
        <f t="array" ref="F477">INDEX(_xlfn.TEXTSPLIT(E477,"-"),2)</f>
        <v>女装</v>
      </c>
      <c r="G477" s="2" t="str" cm="1">
        <f t="array" ref="G477">INDEX(_xlfn.TEXTSPLIT(E477,"-"),3)</f>
        <v>套装/学生校服/工作制服</v>
      </c>
      <c r="H477" s="5">
        <v>1077769</v>
      </c>
      <c r="I477" s="5">
        <v>147253153.03</v>
      </c>
      <c r="J477" s="6">
        <v>0.0392</v>
      </c>
      <c r="K477" s="6">
        <v>0.0138</v>
      </c>
    </row>
    <row r="478" ht="14.5" spans="1:11">
      <c r="A478" s="3" t="str">
        <f t="shared" si="24"/>
        <v>2026年</v>
      </c>
      <c r="B478" s="3" t="str">
        <f t="shared" si="25"/>
        <v>1月</v>
      </c>
      <c r="C478" s="4" t="str">
        <f t="shared" si="26"/>
        <v>W3</v>
      </c>
      <c r="D478" s="2" t="s">
        <v>751</v>
      </c>
      <c r="E478" s="2" t="s">
        <v>710</v>
      </c>
      <c r="F478" s="2" t="str" cm="1">
        <f t="array" ref="F478">INDEX(_xlfn.TEXTSPLIT(E478,"-"),2)</f>
        <v>女装</v>
      </c>
      <c r="G478" s="2" t="str" cm="1">
        <f t="array" ref="G478">INDEX(_xlfn.TEXTSPLIT(E478,"-"),3)</f>
        <v>婚纱/旗袍/礼服</v>
      </c>
      <c r="H478" s="5">
        <v>62362</v>
      </c>
      <c r="I478" s="5">
        <v>11519002.26</v>
      </c>
      <c r="J478" s="6">
        <v>0.0031</v>
      </c>
      <c r="K478" s="6">
        <v>-0.0111</v>
      </c>
    </row>
    <row r="479" ht="14.5" spans="1:11">
      <c r="A479" s="3" t="str">
        <f t="shared" si="24"/>
        <v>2026年</v>
      </c>
      <c r="B479" s="3" t="str">
        <f t="shared" si="25"/>
        <v>1月</v>
      </c>
      <c r="C479" s="4" t="str">
        <f t="shared" si="26"/>
        <v>W3</v>
      </c>
      <c r="D479" s="2" t="s">
        <v>751</v>
      </c>
      <c r="E479" s="2" t="s">
        <v>711</v>
      </c>
      <c r="F479" s="2" t="str" cm="1">
        <f t="array" ref="F479">INDEX(_xlfn.TEXTSPLIT(E479,"-"),2)</f>
        <v>女装</v>
      </c>
      <c r="G479" s="2" t="str" cm="1">
        <f t="array" ref="G479">INDEX(_xlfn.TEXTSPLIT(E479,"-"),3)</f>
        <v>新中式女装</v>
      </c>
      <c r="H479" s="5">
        <v>111886</v>
      </c>
      <c r="I479" s="5">
        <v>27784220.21</v>
      </c>
      <c r="J479" s="6">
        <v>0.0074</v>
      </c>
      <c r="K479" s="6">
        <v>2.3693</v>
      </c>
    </row>
    <row r="480" ht="14.5" spans="1:11">
      <c r="A480" s="3" t="str">
        <f t="shared" si="24"/>
        <v>2026年</v>
      </c>
      <c r="B480" s="3" t="str">
        <f t="shared" si="25"/>
        <v>1月</v>
      </c>
      <c r="C480" s="4" t="str">
        <f t="shared" si="26"/>
        <v>W3</v>
      </c>
      <c r="D480" s="2" t="s">
        <v>751</v>
      </c>
      <c r="E480" s="2" t="s">
        <v>712</v>
      </c>
      <c r="F480" s="2" t="str" cm="1">
        <f t="array" ref="F480">INDEX(_xlfn.TEXTSPLIT(E480,"-"),2)</f>
        <v>女装</v>
      </c>
      <c r="G480" s="2" t="str" cm="1">
        <f t="array" ref="G480">INDEX(_xlfn.TEXTSPLIT(E480,"-"),3)</f>
        <v>时尚防晒服</v>
      </c>
      <c r="H480" s="5">
        <v>333</v>
      </c>
      <c r="I480" s="5">
        <v>47639.1</v>
      </c>
      <c r="J480" s="2" t="s">
        <v>713</v>
      </c>
      <c r="K480" s="6">
        <v>0.3868</v>
      </c>
    </row>
    <row r="481" ht="14.5" spans="1:11">
      <c r="A481" s="3" t="str">
        <f t="shared" si="24"/>
        <v>2026年</v>
      </c>
      <c r="B481" s="3" t="str">
        <f t="shared" si="25"/>
        <v>1月</v>
      </c>
      <c r="C481" s="4" t="str">
        <f t="shared" si="26"/>
        <v>W3</v>
      </c>
      <c r="D481" s="2" t="s">
        <v>751</v>
      </c>
      <c r="E481" s="2" t="s">
        <v>714</v>
      </c>
      <c r="F481" s="2" t="str" cm="1">
        <f t="array" ref="F481">INDEX(_xlfn.TEXTSPLIT(E481,"-"),2)</f>
        <v>女装</v>
      </c>
      <c r="G481" s="2" t="str" cm="1">
        <f t="array" ref="G481">INDEX(_xlfn.TEXTSPLIT(E481,"-"),3)</f>
        <v>棉衣/棉服</v>
      </c>
      <c r="H481" s="5">
        <v>919352</v>
      </c>
      <c r="I481" s="5">
        <v>107551952.12</v>
      </c>
      <c r="J481" s="6">
        <v>0.0286</v>
      </c>
      <c r="K481" s="6">
        <v>0.0116</v>
      </c>
    </row>
    <row r="482" ht="14.5" spans="1:11">
      <c r="A482" s="3" t="str">
        <f t="shared" si="24"/>
        <v>2026年</v>
      </c>
      <c r="B482" s="3" t="str">
        <f t="shared" si="25"/>
        <v>1月</v>
      </c>
      <c r="C482" s="4" t="str">
        <f t="shared" si="26"/>
        <v>W3</v>
      </c>
      <c r="D482" s="2" t="s">
        <v>751</v>
      </c>
      <c r="E482" s="2" t="s">
        <v>715</v>
      </c>
      <c r="F482" s="2" t="str" cm="1">
        <f t="array" ref="F482">INDEX(_xlfn.TEXTSPLIT(E482,"-"),2)</f>
        <v>女装</v>
      </c>
      <c r="G482" s="2" t="str" cm="1">
        <f t="array" ref="G482">INDEX(_xlfn.TEXTSPLIT(E482,"-"),3)</f>
        <v>毛呢外套</v>
      </c>
      <c r="H482" s="5">
        <v>868923</v>
      </c>
      <c r="I482" s="5">
        <v>307561078.99</v>
      </c>
      <c r="J482" s="6">
        <v>0.0819</v>
      </c>
      <c r="K482" s="6">
        <v>-0.0093</v>
      </c>
    </row>
    <row r="483" ht="14.5" spans="1:11">
      <c r="A483" s="3" t="str">
        <f t="shared" si="24"/>
        <v>2026年</v>
      </c>
      <c r="B483" s="3" t="str">
        <f t="shared" si="25"/>
        <v>1月</v>
      </c>
      <c r="C483" s="4" t="str">
        <f t="shared" si="26"/>
        <v>W3</v>
      </c>
      <c r="D483" s="2" t="s">
        <v>751</v>
      </c>
      <c r="E483" s="2" t="s">
        <v>716</v>
      </c>
      <c r="F483" s="2" t="str" cm="1">
        <f t="array" ref="F483">INDEX(_xlfn.TEXTSPLIT(E483,"-"),2)</f>
        <v>女装</v>
      </c>
      <c r="G483" s="2" t="str" cm="1">
        <f t="array" ref="G483">INDEX(_xlfn.TEXTSPLIT(E483,"-"),3)</f>
        <v>毛衣</v>
      </c>
      <c r="H483" s="5">
        <v>589298</v>
      </c>
      <c r="I483" s="5">
        <v>55554064.41</v>
      </c>
      <c r="J483" s="6">
        <v>0.0148</v>
      </c>
      <c r="K483" s="6">
        <v>0.1039</v>
      </c>
    </row>
    <row r="484" ht="14.5" spans="1:11">
      <c r="A484" s="3" t="str">
        <f t="shared" si="24"/>
        <v>2026年</v>
      </c>
      <c r="B484" s="3" t="str">
        <f t="shared" si="25"/>
        <v>1月</v>
      </c>
      <c r="C484" s="4" t="str">
        <f t="shared" si="26"/>
        <v>W3</v>
      </c>
      <c r="D484" s="2" t="s">
        <v>751</v>
      </c>
      <c r="E484" s="2" t="s">
        <v>717</v>
      </c>
      <c r="F484" s="2" t="str" cm="1">
        <f t="array" ref="F484">INDEX(_xlfn.TEXTSPLIT(E484,"-"),2)</f>
        <v>女装</v>
      </c>
      <c r="G484" s="2" t="str" cm="1">
        <f t="array" ref="G484">INDEX(_xlfn.TEXTSPLIT(E484,"-"),3)</f>
        <v>毛针织衫</v>
      </c>
      <c r="H484" s="5">
        <v>2512164</v>
      </c>
      <c r="I484" s="5">
        <v>210261252.71</v>
      </c>
      <c r="J484" s="6">
        <v>0.056</v>
      </c>
      <c r="K484" s="6">
        <v>-0.0577</v>
      </c>
    </row>
    <row r="485" ht="14.5" spans="1:11">
      <c r="A485" s="3" t="str">
        <f t="shared" si="24"/>
        <v>2026年</v>
      </c>
      <c r="B485" s="3" t="str">
        <f t="shared" si="25"/>
        <v>1月</v>
      </c>
      <c r="C485" s="4" t="str">
        <f t="shared" si="26"/>
        <v>W3</v>
      </c>
      <c r="D485" s="2" t="s">
        <v>751</v>
      </c>
      <c r="E485" s="2" t="s">
        <v>718</v>
      </c>
      <c r="F485" s="2" t="str" cm="1">
        <f t="array" ref="F485">INDEX(_xlfn.TEXTSPLIT(E485,"-"),2)</f>
        <v>女装</v>
      </c>
      <c r="G485" s="2" t="str" cm="1">
        <f t="array" ref="G485">INDEX(_xlfn.TEXTSPLIT(E485,"-"),3)</f>
        <v>汉服</v>
      </c>
      <c r="H485" s="5">
        <v>144027</v>
      </c>
      <c r="I485" s="5">
        <v>68367347.6</v>
      </c>
      <c r="J485" s="6">
        <v>0.0182</v>
      </c>
      <c r="K485" s="6">
        <v>0.0775</v>
      </c>
    </row>
    <row r="486" ht="14.5" spans="1:11">
      <c r="A486" s="3" t="str">
        <f t="shared" si="24"/>
        <v>2026年</v>
      </c>
      <c r="B486" s="3" t="str">
        <f t="shared" si="25"/>
        <v>1月</v>
      </c>
      <c r="C486" s="4" t="str">
        <f t="shared" si="26"/>
        <v>W3</v>
      </c>
      <c r="D486" s="2" t="s">
        <v>751</v>
      </c>
      <c r="E486" s="2" t="s">
        <v>719</v>
      </c>
      <c r="F486" s="2" t="str" cm="1">
        <f t="array" ref="F486">INDEX(_xlfn.TEXTSPLIT(E486,"-"),2)</f>
        <v>女装</v>
      </c>
      <c r="G486" s="2" t="str" cm="1">
        <f t="array" ref="G486">INDEX(_xlfn.TEXTSPLIT(E486,"-"),3)</f>
        <v>派克服</v>
      </c>
      <c r="H486" s="5">
        <v>69055</v>
      </c>
      <c r="I486" s="5">
        <v>15320155.14</v>
      </c>
      <c r="J486" s="6">
        <v>0.0041</v>
      </c>
      <c r="K486" s="6">
        <v>-0.0764</v>
      </c>
    </row>
    <row r="487" ht="14.5" spans="1:11">
      <c r="A487" s="3" t="str">
        <f t="shared" si="24"/>
        <v>2026年</v>
      </c>
      <c r="B487" s="3" t="str">
        <f t="shared" si="25"/>
        <v>1月</v>
      </c>
      <c r="C487" s="4" t="str">
        <f t="shared" si="26"/>
        <v>W3</v>
      </c>
      <c r="D487" s="2" t="s">
        <v>751</v>
      </c>
      <c r="E487" s="2" t="s">
        <v>720</v>
      </c>
      <c r="F487" s="2" t="str" cm="1">
        <f t="array" ref="F487">INDEX(_xlfn.TEXTSPLIT(E487,"-"),2)</f>
        <v>女装</v>
      </c>
      <c r="G487" s="2" t="str" cm="1">
        <f t="array" ref="G487">INDEX(_xlfn.TEXTSPLIT(E487,"-"),3)</f>
        <v>皮草</v>
      </c>
      <c r="H487" s="5">
        <v>234691</v>
      </c>
      <c r="I487" s="5">
        <v>409796545.06</v>
      </c>
      <c r="J487" s="6">
        <v>0.1091</v>
      </c>
      <c r="K487" s="6">
        <v>-0.1031</v>
      </c>
    </row>
    <row r="488" ht="14.5" spans="1:11">
      <c r="A488" s="3" t="str">
        <f t="shared" si="24"/>
        <v>2026年</v>
      </c>
      <c r="B488" s="3" t="str">
        <f t="shared" si="25"/>
        <v>1月</v>
      </c>
      <c r="C488" s="4" t="str">
        <f t="shared" si="26"/>
        <v>W3</v>
      </c>
      <c r="D488" s="2" t="s">
        <v>751</v>
      </c>
      <c r="E488" s="2" t="s">
        <v>721</v>
      </c>
      <c r="F488" s="2" t="str" cm="1">
        <f t="array" ref="F488">INDEX(_xlfn.TEXTSPLIT(E488,"-"),2)</f>
        <v>女装</v>
      </c>
      <c r="G488" s="2" t="str" cm="1">
        <f t="array" ref="G488">INDEX(_xlfn.TEXTSPLIT(E488,"-"),3)</f>
        <v>皮衣</v>
      </c>
      <c r="H488" s="5">
        <v>184573</v>
      </c>
      <c r="I488" s="5">
        <v>50776141.23</v>
      </c>
      <c r="J488" s="6">
        <v>0.0135</v>
      </c>
      <c r="K488" s="6">
        <v>-0.0091</v>
      </c>
    </row>
    <row r="489" ht="14.5" spans="1:11">
      <c r="A489" s="3" t="str">
        <f t="shared" si="24"/>
        <v>2026年</v>
      </c>
      <c r="B489" s="3" t="str">
        <f t="shared" si="25"/>
        <v>1月</v>
      </c>
      <c r="C489" s="4" t="str">
        <f t="shared" si="26"/>
        <v>W3</v>
      </c>
      <c r="D489" s="2" t="s">
        <v>751</v>
      </c>
      <c r="E489" s="2" t="s">
        <v>722</v>
      </c>
      <c r="F489" s="2" t="str" cm="1">
        <f t="array" ref="F489">INDEX(_xlfn.TEXTSPLIT(E489,"-"),2)</f>
        <v>女装</v>
      </c>
      <c r="G489" s="2" t="str" cm="1">
        <f t="array" ref="G489">INDEX(_xlfn.TEXTSPLIT(E489,"-"),3)</f>
        <v>短外套</v>
      </c>
      <c r="H489" s="5">
        <v>1612702</v>
      </c>
      <c r="I489" s="5">
        <v>296448827.17</v>
      </c>
      <c r="J489" s="6">
        <v>0.079</v>
      </c>
      <c r="K489" s="6">
        <v>-0.0825</v>
      </c>
    </row>
    <row r="490" ht="14.5" spans="1:11">
      <c r="A490" s="3" t="str">
        <f t="shared" si="24"/>
        <v>2026年</v>
      </c>
      <c r="B490" s="3" t="str">
        <f t="shared" si="25"/>
        <v>1月</v>
      </c>
      <c r="C490" s="4" t="str">
        <f t="shared" si="26"/>
        <v>W3</v>
      </c>
      <c r="D490" s="2" t="s">
        <v>751</v>
      </c>
      <c r="E490" s="2" t="s">
        <v>723</v>
      </c>
      <c r="F490" s="2" t="str" cm="1">
        <f t="array" ref="F490">INDEX(_xlfn.TEXTSPLIT(E490,"-"),2)</f>
        <v>女装</v>
      </c>
      <c r="G490" s="2" t="str" cm="1">
        <f t="array" ref="G490">INDEX(_xlfn.TEXTSPLIT(E490,"-"),3)</f>
        <v>短裤</v>
      </c>
      <c r="H490" s="5">
        <v>134070</v>
      </c>
      <c r="I490" s="5">
        <v>7219408.3</v>
      </c>
      <c r="J490" s="6">
        <v>0.0019</v>
      </c>
      <c r="K490" s="6">
        <v>-0.1487</v>
      </c>
    </row>
    <row r="491" ht="14.5" spans="1:11">
      <c r="A491" s="3" t="str">
        <f t="shared" si="24"/>
        <v>2026年</v>
      </c>
      <c r="B491" s="3" t="str">
        <f t="shared" si="25"/>
        <v>1月</v>
      </c>
      <c r="C491" s="4" t="str">
        <f t="shared" si="26"/>
        <v>W3</v>
      </c>
      <c r="D491" s="2" t="s">
        <v>751</v>
      </c>
      <c r="E491" s="2" t="s">
        <v>724</v>
      </c>
      <c r="F491" s="2" t="str" cm="1">
        <f t="array" ref="F491">INDEX(_xlfn.TEXTSPLIT(E491,"-"),2)</f>
        <v>女装</v>
      </c>
      <c r="G491" s="2" t="str" cm="1">
        <f t="array" ref="G491">INDEX(_xlfn.TEXTSPLIT(E491,"-"),3)</f>
        <v>羊毛衫</v>
      </c>
      <c r="H491" s="5">
        <v>579028</v>
      </c>
      <c r="I491" s="5">
        <v>75814834.98</v>
      </c>
      <c r="J491" s="6">
        <v>0.0202</v>
      </c>
      <c r="K491" s="6">
        <v>-0.1276</v>
      </c>
    </row>
    <row r="492" ht="14.5" spans="1:11">
      <c r="A492" s="3" t="str">
        <f t="shared" si="24"/>
        <v>2026年</v>
      </c>
      <c r="B492" s="3" t="str">
        <f t="shared" si="25"/>
        <v>1月</v>
      </c>
      <c r="C492" s="4" t="str">
        <f t="shared" si="26"/>
        <v>W3</v>
      </c>
      <c r="D492" s="2" t="s">
        <v>751</v>
      </c>
      <c r="E492" s="2" t="s">
        <v>725</v>
      </c>
      <c r="F492" s="2" t="str" cm="1">
        <f t="array" ref="F492">INDEX(_xlfn.TEXTSPLIT(E492,"-"),2)</f>
        <v>女装</v>
      </c>
      <c r="G492" s="2" t="str" cm="1">
        <f t="array" ref="G492">INDEX(_xlfn.TEXTSPLIT(E492,"-"),3)</f>
        <v>羊绒大衣</v>
      </c>
      <c r="H492" s="5">
        <v>10589</v>
      </c>
      <c r="I492" s="5">
        <v>3876533.15</v>
      </c>
      <c r="J492" s="6">
        <v>0.001</v>
      </c>
      <c r="K492" s="6">
        <v>-0.1076</v>
      </c>
    </row>
    <row r="493" ht="14.5" spans="1:11">
      <c r="A493" s="3" t="str">
        <f t="shared" si="24"/>
        <v>2026年</v>
      </c>
      <c r="B493" s="3" t="str">
        <f t="shared" si="25"/>
        <v>1月</v>
      </c>
      <c r="C493" s="4" t="str">
        <f t="shared" si="26"/>
        <v>W3</v>
      </c>
      <c r="D493" s="2" t="s">
        <v>751</v>
      </c>
      <c r="E493" s="2" t="s">
        <v>726</v>
      </c>
      <c r="F493" s="2" t="str" cm="1">
        <f t="array" ref="F493">INDEX(_xlfn.TEXTSPLIT(E493,"-"),2)</f>
        <v>女装</v>
      </c>
      <c r="G493" s="2" t="str" cm="1">
        <f t="array" ref="G493">INDEX(_xlfn.TEXTSPLIT(E493,"-"),3)</f>
        <v>羊绒衫</v>
      </c>
      <c r="H493" s="5">
        <v>142966</v>
      </c>
      <c r="I493" s="5">
        <v>44205868.16</v>
      </c>
      <c r="J493" s="6">
        <v>0.0118</v>
      </c>
      <c r="K493" s="6">
        <v>-0.2841</v>
      </c>
    </row>
    <row r="494" ht="14.5" spans="1:11">
      <c r="A494" s="3" t="str">
        <f t="shared" si="24"/>
        <v>2026年</v>
      </c>
      <c r="B494" s="3" t="str">
        <f t="shared" si="25"/>
        <v>1月</v>
      </c>
      <c r="C494" s="4" t="str">
        <f t="shared" si="26"/>
        <v>W3</v>
      </c>
      <c r="D494" s="2" t="s">
        <v>751</v>
      </c>
      <c r="E494" s="2" t="s">
        <v>727</v>
      </c>
      <c r="F494" s="2" t="str" cm="1">
        <f t="array" ref="F494">INDEX(_xlfn.TEXTSPLIT(E494,"-"),2)</f>
        <v>女装</v>
      </c>
      <c r="G494" s="2" t="str" cm="1">
        <f t="array" ref="G494">INDEX(_xlfn.TEXTSPLIT(E494,"-"),3)</f>
        <v>羽绒服</v>
      </c>
      <c r="H494" s="5">
        <v>1781519</v>
      </c>
      <c r="I494" s="5">
        <v>718872992.16</v>
      </c>
      <c r="J494" s="6">
        <v>0.1915</v>
      </c>
      <c r="K494" s="6">
        <v>-0.1356</v>
      </c>
    </row>
    <row r="495" ht="14.5" spans="1:11">
      <c r="A495" s="3" t="str">
        <f t="shared" si="24"/>
        <v>2026年</v>
      </c>
      <c r="B495" s="3" t="str">
        <f t="shared" si="25"/>
        <v>1月</v>
      </c>
      <c r="C495" s="4" t="str">
        <f t="shared" si="26"/>
        <v>W3</v>
      </c>
      <c r="D495" s="2" t="s">
        <v>751</v>
      </c>
      <c r="E495" s="2" t="s">
        <v>728</v>
      </c>
      <c r="F495" s="2" t="str" cm="1">
        <f t="array" ref="F495">INDEX(_xlfn.TEXTSPLIT(E495,"-"),2)</f>
        <v>女装</v>
      </c>
      <c r="G495" s="2" t="str" cm="1">
        <f t="array" ref="G495">INDEX(_xlfn.TEXTSPLIT(E495,"-"),3)</f>
        <v>肌底衣/肌肤衣</v>
      </c>
      <c r="H495" s="5">
        <v>5486</v>
      </c>
      <c r="I495" s="5">
        <v>303408.92</v>
      </c>
      <c r="J495" s="6">
        <v>0.0001</v>
      </c>
      <c r="K495" s="6">
        <v>-0.3606</v>
      </c>
    </row>
    <row r="496" ht="14.5" spans="1:11">
      <c r="A496" s="3" t="str">
        <f t="shared" si="24"/>
        <v>2026年</v>
      </c>
      <c r="B496" s="3" t="str">
        <f t="shared" si="25"/>
        <v>1月</v>
      </c>
      <c r="C496" s="4" t="str">
        <f t="shared" si="26"/>
        <v>W3</v>
      </c>
      <c r="D496" s="2" t="s">
        <v>751</v>
      </c>
      <c r="E496" s="2" t="s">
        <v>729</v>
      </c>
      <c r="F496" s="2" t="str" cm="1">
        <f t="array" ref="F496">INDEX(_xlfn.TEXTSPLIT(E496,"-"),2)</f>
        <v>女装</v>
      </c>
      <c r="G496" s="2" t="str" cm="1">
        <f t="array" ref="G496">INDEX(_xlfn.TEXTSPLIT(E496,"-"),3)</f>
        <v>背心吊带</v>
      </c>
      <c r="H496" s="5">
        <v>209487</v>
      </c>
      <c r="I496" s="5">
        <v>11854504.52</v>
      </c>
      <c r="J496" s="6">
        <v>0.0032</v>
      </c>
      <c r="K496" s="7">
        <v>-0.13</v>
      </c>
    </row>
    <row r="497" ht="14.5" spans="1:11">
      <c r="A497" s="3" t="str">
        <f t="shared" si="24"/>
        <v>2026年</v>
      </c>
      <c r="B497" s="3" t="str">
        <f t="shared" si="25"/>
        <v>1月</v>
      </c>
      <c r="C497" s="4" t="str">
        <f t="shared" si="26"/>
        <v>W3</v>
      </c>
      <c r="D497" s="2" t="s">
        <v>751</v>
      </c>
      <c r="E497" s="2" t="s">
        <v>730</v>
      </c>
      <c r="F497" s="2" t="str" cm="1">
        <f t="array" ref="F497">INDEX(_xlfn.TEXTSPLIT(E497,"-"),2)</f>
        <v>女装</v>
      </c>
      <c r="G497" s="2" t="str" cm="1">
        <f t="array" ref="G497">INDEX(_xlfn.TEXTSPLIT(E497,"-"),3)</f>
        <v>蕾丝衫/雪纺衫</v>
      </c>
      <c r="H497" s="5">
        <v>213323</v>
      </c>
      <c r="I497" s="5">
        <v>14371847.08</v>
      </c>
      <c r="J497" s="6">
        <v>0.0038</v>
      </c>
      <c r="K497" s="6">
        <v>-0.0021</v>
      </c>
    </row>
    <row r="498" ht="14.5" spans="1:11">
      <c r="A498" s="3" t="str">
        <f t="shared" si="24"/>
        <v>2026年</v>
      </c>
      <c r="B498" s="3" t="str">
        <f t="shared" si="25"/>
        <v>1月</v>
      </c>
      <c r="C498" s="4" t="str">
        <f t="shared" si="26"/>
        <v>W3</v>
      </c>
      <c r="D498" s="2" t="s">
        <v>751</v>
      </c>
      <c r="E498" s="2" t="s">
        <v>731</v>
      </c>
      <c r="F498" s="2" t="str" cm="1">
        <f t="array" ref="F498">INDEX(_xlfn.TEXTSPLIT(E498,"-"),2)</f>
        <v>女装</v>
      </c>
      <c r="G498" s="2" t="str" cm="1">
        <f t="array" ref="G498">INDEX(_xlfn.TEXTSPLIT(E498,"-"),3)</f>
        <v>衬衫</v>
      </c>
      <c r="H498" s="5">
        <v>489110</v>
      </c>
      <c r="I498" s="5">
        <v>56049925.79</v>
      </c>
      <c r="J498" s="6">
        <v>0.0149</v>
      </c>
      <c r="K498" s="6">
        <v>0.0762</v>
      </c>
    </row>
    <row r="499" ht="14.5" spans="1:11">
      <c r="A499" s="3" t="str">
        <f t="shared" si="24"/>
        <v>2026年</v>
      </c>
      <c r="B499" s="3" t="str">
        <f t="shared" si="25"/>
        <v>1月</v>
      </c>
      <c r="C499" s="4" t="str">
        <f t="shared" si="26"/>
        <v>W3</v>
      </c>
      <c r="D499" s="2" t="s">
        <v>751</v>
      </c>
      <c r="E499" s="2" t="s">
        <v>732</v>
      </c>
      <c r="F499" s="2" t="str" cm="1">
        <f t="array" ref="F499">INDEX(_xlfn.TEXTSPLIT(E499,"-"),2)</f>
        <v>女装</v>
      </c>
      <c r="G499" s="2" t="str" cm="1">
        <f t="array" ref="G499">INDEX(_xlfn.TEXTSPLIT(E499,"-"),3)</f>
        <v>裤子</v>
      </c>
      <c r="H499" s="5">
        <v>4875573</v>
      </c>
      <c r="I499" s="5">
        <v>472957144.77</v>
      </c>
      <c r="J499" s="6">
        <v>0.126</v>
      </c>
      <c r="K499" s="6">
        <v>-0.0195</v>
      </c>
    </row>
    <row r="500" ht="14.5" spans="1:11">
      <c r="A500" s="3" t="str">
        <f t="shared" si="24"/>
        <v>2026年</v>
      </c>
      <c r="B500" s="3" t="str">
        <f t="shared" si="25"/>
        <v>1月</v>
      </c>
      <c r="C500" s="4" t="str">
        <f t="shared" si="26"/>
        <v>W3</v>
      </c>
      <c r="D500" s="2" t="s">
        <v>751</v>
      </c>
      <c r="E500" s="2" t="s">
        <v>733</v>
      </c>
      <c r="F500" s="2" t="str" cm="1">
        <f t="array" ref="F500">INDEX(_xlfn.TEXTSPLIT(E500,"-"),2)</f>
        <v>女装</v>
      </c>
      <c r="G500" s="2" t="str" cm="1">
        <f t="array" ref="G500">INDEX(_xlfn.TEXTSPLIT(E500,"-"),3)</f>
        <v>西装</v>
      </c>
      <c r="H500" s="5">
        <v>52165</v>
      </c>
      <c r="I500" s="5">
        <v>13242912.43</v>
      </c>
      <c r="J500" s="6">
        <v>0.0035</v>
      </c>
      <c r="K500" s="6">
        <v>-0.0628</v>
      </c>
    </row>
    <row r="501" ht="14.5" spans="1:11">
      <c r="A501" s="3" t="str">
        <f t="shared" si="24"/>
        <v>2026年</v>
      </c>
      <c r="B501" s="3" t="str">
        <f t="shared" si="25"/>
        <v>1月</v>
      </c>
      <c r="C501" s="4" t="str">
        <f t="shared" si="26"/>
        <v>W3</v>
      </c>
      <c r="D501" s="2" t="s">
        <v>751</v>
      </c>
      <c r="E501" s="2" t="s">
        <v>734</v>
      </c>
      <c r="F501" s="2" t="str" cm="1">
        <f t="array" ref="F501">INDEX(_xlfn.TEXTSPLIT(E501,"-"),2)</f>
        <v>女装</v>
      </c>
      <c r="G501" s="2" t="str" cm="1">
        <f t="array" ref="G501">INDEX(_xlfn.TEXTSPLIT(E501,"-"),3)</f>
        <v>设计师/潮牌女装</v>
      </c>
      <c r="H501" s="5">
        <v>543761</v>
      </c>
      <c r="I501" s="5">
        <v>69756240.14</v>
      </c>
      <c r="J501" s="6">
        <v>0.0186</v>
      </c>
      <c r="K501" s="6">
        <v>0.1972</v>
      </c>
    </row>
    <row r="502" ht="14.5" spans="1:11">
      <c r="A502" s="3" t="str">
        <f t="shared" si="24"/>
        <v>2026年</v>
      </c>
      <c r="B502" s="3" t="str">
        <f t="shared" si="25"/>
        <v>1月</v>
      </c>
      <c r="C502" s="4" t="str">
        <f t="shared" si="26"/>
        <v>W3</v>
      </c>
      <c r="D502" s="2" t="s">
        <v>751</v>
      </c>
      <c r="E502" s="2" t="s">
        <v>735</v>
      </c>
      <c r="F502" s="2" t="str" cm="1">
        <f t="array" ref="F502">INDEX(_xlfn.TEXTSPLIT(E502,"-"),2)</f>
        <v>女装</v>
      </c>
      <c r="G502" s="2" t="str" cm="1">
        <f t="array" ref="G502">INDEX(_xlfn.TEXTSPLIT(E502,"-"),3)</f>
        <v>连体衣/裤</v>
      </c>
      <c r="H502" s="5">
        <v>12658</v>
      </c>
      <c r="I502" s="5">
        <v>1727431.8</v>
      </c>
      <c r="J502" s="6">
        <v>0.0005</v>
      </c>
      <c r="K502" s="6">
        <v>-0.1277</v>
      </c>
    </row>
    <row r="503" ht="14.5" spans="1:11">
      <c r="A503" s="3" t="str">
        <f t="shared" si="24"/>
        <v>2026年</v>
      </c>
      <c r="B503" s="3" t="str">
        <f t="shared" si="25"/>
        <v>1月</v>
      </c>
      <c r="C503" s="4" t="str">
        <f t="shared" si="26"/>
        <v>W3</v>
      </c>
      <c r="D503" s="2" t="s">
        <v>751</v>
      </c>
      <c r="E503" s="2" t="s">
        <v>736</v>
      </c>
      <c r="F503" s="2" t="str" cm="1">
        <f t="array" ref="F503">INDEX(_xlfn.TEXTSPLIT(E503,"-"),2)</f>
        <v>女装</v>
      </c>
      <c r="G503" s="2" t="str" cm="1">
        <f t="array" ref="G503">INDEX(_xlfn.TEXTSPLIT(E503,"-"),3)</f>
        <v>连衣裙</v>
      </c>
      <c r="H503" s="5">
        <v>846273</v>
      </c>
      <c r="I503" s="5">
        <v>111601857.8</v>
      </c>
      <c r="J503" s="6">
        <v>0.0297</v>
      </c>
      <c r="K503" s="6">
        <v>0.0515</v>
      </c>
    </row>
    <row r="504" ht="14.5" spans="1:11">
      <c r="A504" s="3" t="str">
        <f t="shared" si="24"/>
        <v>2026年</v>
      </c>
      <c r="B504" s="3" t="str">
        <f t="shared" si="25"/>
        <v>1月</v>
      </c>
      <c r="C504" s="4" t="str">
        <f t="shared" si="26"/>
        <v>W3</v>
      </c>
      <c r="D504" s="2" t="s">
        <v>751</v>
      </c>
      <c r="E504" s="2" t="s">
        <v>737</v>
      </c>
      <c r="F504" s="2" t="str" cm="1">
        <f t="array" ref="F504">INDEX(_xlfn.TEXTSPLIT(E504,"-"),2)</f>
        <v>女装</v>
      </c>
      <c r="G504" s="2" t="str" cm="1">
        <f t="array" ref="G504">INDEX(_xlfn.TEXTSPLIT(E504,"-"),3)</f>
        <v>风衣</v>
      </c>
      <c r="H504" s="5">
        <v>104820</v>
      </c>
      <c r="I504" s="5">
        <v>13756903.51</v>
      </c>
      <c r="J504" s="6">
        <v>0.0037</v>
      </c>
      <c r="K504" s="6">
        <v>-0.1751</v>
      </c>
    </row>
    <row r="505" ht="14.5" spans="1:11">
      <c r="A505" s="3" t="str">
        <f t="shared" si="24"/>
        <v>2026年</v>
      </c>
      <c r="B505" s="3" t="str">
        <f t="shared" si="25"/>
        <v>1月</v>
      </c>
      <c r="C505" s="4" t="str">
        <f t="shared" si="26"/>
        <v>W3</v>
      </c>
      <c r="D505" s="2" t="s">
        <v>751</v>
      </c>
      <c r="E505" s="2" t="s">
        <v>738</v>
      </c>
      <c r="F505" s="2" t="str" cm="1">
        <f t="array" ref="F505">INDEX(_xlfn.TEXTSPLIT(E505,"-"),2)</f>
        <v>女装</v>
      </c>
      <c r="G505" s="2" t="str" cm="1">
        <f t="array" ref="G505">INDEX(_xlfn.TEXTSPLIT(E505,"-"),3)</f>
        <v>马夹</v>
      </c>
      <c r="H505" s="5">
        <v>424412</v>
      </c>
      <c r="I505" s="5">
        <v>47436319.25</v>
      </c>
      <c r="J505" s="6">
        <v>0.0126</v>
      </c>
      <c r="K505" s="6">
        <v>-0.0656</v>
      </c>
    </row>
    <row r="506" ht="14.5" spans="1:11">
      <c r="A506" s="3" t="str">
        <f t="shared" si="24"/>
        <v>2026年</v>
      </c>
      <c r="B506" s="3" t="str">
        <f t="shared" si="25"/>
        <v>1月</v>
      </c>
      <c r="C506" s="4" t="str">
        <f t="shared" si="26"/>
        <v>W3</v>
      </c>
      <c r="D506" s="2" t="s">
        <v>752</v>
      </c>
      <c r="E506" s="2" t="s">
        <v>702</v>
      </c>
      <c r="F506" s="2" t="str" cm="1">
        <f t="array" ref="F506">INDEX(_xlfn.TEXTSPLIT(E506,"-"),2)</f>
        <v>女装</v>
      </c>
      <c r="G506" s="2" t="str" cm="1">
        <f t="array" ref="G506">INDEX(_xlfn.TEXTSPLIT(E506,"-"),3)</f>
        <v>POLO衫</v>
      </c>
      <c r="H506" s="5">
        <v>15124</v>
      </c>
      <c r="I506" s="5">
        <v>1160275.95</v>
      </c>
      <c r="J506" s="6">
        <v>0.0003</v>
      </c>
      <c r="K506" s="6">
        <v>0.2135</v>
      </c>
    </row>
    <row r="507" ht="14.5" spans="1:11">
      <c r="A507" s="3" t="str">
        <f t="shared" si="24"/>
        <v>2026年</v>
      </c>
      <c r="B507" s="3" t="str">
        <f t="shared" si="25"/>
        <v>1月</v>
      </c>
      <c r="C507" s="4" t="str">
        <f t="shared" si="26"/>
        <v>W3</v>
      </c>
      <c r="D507" s="2" t="s">
        <v>752</v>
      </c>
      <c r="E507" s="2" t="s">
        <v>703</v>
      </c>
      <c r="F507" s="2" t="str" cm="1">
        <f t="array" ref="F507">INDEX(_xlfn.TEXTSPLIT(E507,"-"),2)</f>
        <v>女装</v>
      </c>
      <c r="G507" s="2" t="str" cm="1">
        <f t="array" ref="G507">INDEX(_xlfn.TEXTSPLIT(E507,"-"),3)</f>
        <v>T恤</v>
      </c>
      <c r="H507" s="5">
        <v>1683545</v>
      </c>
      <c r="I507" s="5">
        <v>91417814.91</v>
      </c>
      <c r="J507" s="6">
        <v>0.0255</v>
      </c>
      <c r="K507" s="6">
        <v>-0.031</v>
      </c>
    </row>
    <row r="508" ht="14.5" spans="1:11">
      <c r="A508" s="3" t="str">
        <f t="shared" si="24"/>
        <v>2026年</v>
      </c>
      <c r="B508" s="3" t="str">
        <f t="shared" si="25"/>
        <v>1月</v>
      </c>
      <c r="C508" s="4" t="str">
        <f t="shared" si="26"/>
        <v>W3</v>
      </c>
      <c r="D508" s="2" t="s">
        <v>752</v>
      </c>
      <c r="E508" s="2" t="s">
        <v>704</v>
      </c>
      <c r="F508" s="2" t="str" cm="1">
        <f t="array" ref="F508">INDEX(_xlfn.TEXTSPLIT(E508,"-"),2)</f>
        <v>女装</v>
      </c>
      <c r="G508" s="2" t="str" cm="1">
        <f t="array" ref="G508">INDEX(_xlfn.TEXTSPLIT(E508,"-"),3)</f>
        <v>中老年女装</v>
      </c>
      <c r="H508" s="5">
        <v>433086</v>
      </c>
      <c r="I508" s="5">
        <v>49762450.04</v>
      </c>
      <c r="J508" s="6">
        <v>0.0139</v>
      </c>
      <c r="K508" s="6">
        <v>-0.1547</v>
      </c>
    </row>
    <row r="509" ht="14.5" spans="1:11">
      <c r="A509" s="3" t="str">
        <f t="shared" si="24"/>
        <v>2026年</v>
      </c>
      <c r="B509" s="3" t="str">
        <f t="shared" si="25"/>
        <v>1月</v>
      </c>
      <c r="C509" s="4" t="str">
        <f t="shared" si="26"/>
        <v>W3</v>
      </c>
      <c r="D509" s="2" t="s">
        <v>752</v>
      </c>
      <c r="E509" s="2" t="s">
        <v>705</v>
      </c>
      <c r="F509" s="2" t="str" cm="1">
        <f t="array" ref="F509">INDEX(_xlfn.TEXTSPLIT(E509,"-"),2)</f>
        <v>女装</v>
      </c>
      <c r="G509" s="2" t="str" cm="1">
        <f t="array" ref="G509">INDEX(_xlfn.TEXTSPLIT(E509,"-"),3)</f>
        <v>半身裙</v>
      </c>
      <c r="H509" s="5">
        <v>831046</v>
      </c>
      <c r="I509" s="5">
        <v>73338550.92</v>
      </c>
      <c r="J509" s="6">
        <v>0.0204</v>
      </c>
      <c r="K509" s="6">
        <v>-0.0235</v>
      </c>
    </row>
    <row r="510" ht="14.5" spans="1:11">
      <c r="A510" s="3" t="str">
        <f t="shared" si="24"/>
        <v>2026年</v>
      </c>
      <c r="B510" s="3" t="str">
        <f t="shared" si="25"/>
        <v>1月</v>
      </c>
      <c r="C510" s="4" t="str">
        <f t="shared" si="26"/>
        <v>W3</v>
      </c>
      <c r="D510" s="2" t="s">
        <v>752</v>
      </c>
      <c r="E510" s="2" t="s">
        <v>706</v>
      </c>
      <c r="F510" s="2" t="str" cm="1">
        <f t="array" ref="F510">INDEX(_xlfn.TEXTSPLIT(E510,"-"),2)</f>
        <v>女装</v>
      </c>
      <c r="G510" s="2" t="str" cm="1">
        <f t="array" ref="G510">INDEX(_xlfn.TEXTSPLIT(E510,"-"),3)</f>
        <v>卫衣/绒衫</v>
      </c>
      <c r="H510" s="5">
        <v>497359</v>
      </c>
      <c r="I510" s="5">
        <v>38985305.92</v>
      </c>
      <c r="J510" s="6">
        <v>0.0109</v>
      </c>
      <c r="K510" s="6">
        <v>-0.0236</v>
      </c>
    </row>
    <row r="511" ht="14.5" spans="1:11">
      <c r="A511" s="3" t="str">
        <f t="shared" si="24"/>
        <v>2026年</v>
      </c>
      <c r="B511" s="3" t="str">
        <f t="shared" si="25"/>
        <v>1月</v>
      </c>
      <c r="C511" s="4" t="str">
        <f t="shared" si="26"/>
        <v>W3</v>
      </c>
      <c r="D511" s="2" t="s">
        <v>752</v>
      </c>
      <c r="E511" s="2" t="s">
        <v>707</v>
      </c>
      <c r="F511" s="2" t="str" cm="1">
        <f t="array" ref="F511">INDEX(_xlfn.TEXTSPLIT(E511,"-"),2)</f>
        <v>女装</v>
      </c>
      <c r="G511" s="2" t="str" cm="1">
        <f t="array" ref="G511">INDEX(_xlfn.TEXTSPLIT(E511,"-"),3)</f>
        <v>唐装/民族服装/舞台服装</v>
      </c>
      <c r="H511" s="5">
        <v>229433</v>
      </c>
      <c r="I511" s="5">
        <v>45573733.01</v>
      </c>
      <c r="J511" s="6">
        <v>0.0127</v>
      </c>
      <c r="K511" s="6">
        <v>-0.0464</v>
      </c>
    </row>
    <row r="512" ht="14.5" spans="1:11">
      <c r="A512" s="3" t="str">
        <f t="shared" si="24"/>
        <v>2026年</v>
      </c>
      <c r="B512" s="3" t="str">
        <f t="shared" si="25"/>
        <v>1月</v>
      </c>
      <c r="C512" s="4" t="str">
        <f t="shared" si="26"/>
        <v>W3</v>
      </c>
      <c r="D512" s="2" t="s">
        <v>752</v>
      </c>
      <c r="E512" s="2" t="s">
        <v>708</v>
      </c>
      <c r="F512" s="2" t="str" cm="1">
        <f t="array" ref="F512">INDEX(_xlfn.TEXTSPLIT(E512,"-"),2)</f>
        <v>女装</v>
      </c>
      <c r="G512" s="2" t="str" cm="1">
        <f t="array" ref="G512">INDEX(_xlfn.TEXTSPLIT(E512,"-"),3)</f>
        <v>大码女装</v>
      </c>
      <c r="H512" s="5">
        <v>766349</v>
      </c>
      <c r="I512" s="5">
        <v>66985072.99</v>
      </c>
      <c r="J512" s="6">
        <v>0.0187</v>
      </c>
      <c r="K512" s="6">
        <v>0.007</v>
      </c>
    </row>
    <row r="513" ht="14.5" spans="1:11">
      <c r="A513" s="3" t="str">
        <f t="shared" si="24"/>
        <v>2026年</v>
      </c>
      <c r="B513" s="3" t="str">
        <f t="shared" si="25"/>
        <v>1月</v>
      </c>
      <c r="C513" s="4" t="str">
        <f t="shared" si="26"/>
        <v>W3</v>
      </c>
      <c r="D513" s="2" t="s">
        <v>752</v>
      </c>
      <c r="E513" s="2" t="s">
        <v>709</v>
      </c>
      <c r="F513" s="2" t="str" cm="1">
        <f t="array" ref="F513">INDEX(_xlfn.TEXTSPLIT(E513,"-"),2)</f>
        <v>女装</v>
      </c>
      <c r="G513" s="2" t="str" cm="1">
        <f t="array" ref="G513">INDEX(_xlfn.TEXTSPLIT(E513,"-"),3)</f>
        <v>套装/学生校服/工作制服</v>
      </c>
      <c r="H513" s="5">
        <v>1177141</v>
      </c>
      <c r="I513" s="5">
        <v>160819890.43</v>
      </c>
      <c r="J513" s="6">
        <v>0.0448</v>
      </c>
      <c r="K513" s="6">
        <v>0.0921</v>
      </c>
    </row>
    <row r="514" ht="14.5" spans="1:11">
      <c r="A514" s="3" t="str">
        <f t="shared" si="24"/>
        <v>2026年</v>
      </c>
      <c r="B514" s="3" t="str">
        <f t="shared" si="25"/>
        <v>1月</v>
      </c>
      <c r="C514" s="4" t="str">
        <f t="shared" si="26"/>
        <v>W3</v>
      </c>
      <c r="D514" s="2" t="s">
        <v>752</v>
      </c>
      <c r="E514" s="2" t="s">
        <v>710</v>
      </c>
      <c r="F514" s="2" t="str" cm="1">
        <f t="array" ref="F514">INDEX(_xlfn.TEXTSPLIT(E514,"-"),2)</f>
        <v>女装</v>
      </c>
      <c r="G514" s="2" t="str" cm="1">
        <f t="array" ref="G514">INDEX(_xlfn.TEXTSPLIT(E514,"-"),3)</f>
        <v>婚纱/旗袍/礼服</v>
      </c>
      <c r="H514" s="5">
        <v>73656</v>
      </c>
      <c r="I514" s="5">
        <v>13272278.24</v>
      </c>
      <c r="J514" s="6">
        <v>0.0037</v>
      </c>
      <c r="K514" s="6">
        <v>0.1522</v>
      </c>
    </row>
    <row r="515" ht="14.5" spans="1:11">
      <c r="A515" s="3" t="str">
        <f t="shared" si="24"/>
        <v>2026年</v>
      </c>
      <c r="B515" s="3" t="str">
        <f t="shared" si="25"/>
        <v>1月</v>
      </c>
      <c r="C515" s="4" t="str">
        <f t="shared" si="26"/>
        <v>W3</v>
      </c>
      <c r="D515" s="2" t="s">
        <v>752</v>
      </c>
      <c r="E515" s="2" t="s">
        <v>711</v>
      </c>
      <c r="F515" s="2" t="str" cm="1">
        <f t="array" ref="F515">INDEX(_xlfn.TEXTSPLIT(E515,"-"),2)</f>
        <v>女装</v>
      </c>
      <c r="G515" s="2" t="str" cm="1">
        <f t="array" ref="G515">INDEX(_xlfn.TEXTSPLIT(E515,"-"),3)</f>
        <v>新中式女装</v>
      </c>
      <c r="H515" s="5">
        <v>117100</v>
      </c>
      <c r="I515" s="5">
        <v>16182723.41</v>
      </c>
      <c r="J515" s="6">
        <v>0.0045</v>
      </c>
      <c r="K515" s="6">
        <v>-0.4176</v>
      </c>
    </row>
    <row r="516" ht="14.5" spans="1:11">
      <c r="A516" s="3" t="str">
        <f t="shared" si="24"/>
        <v>2026年</v>
      </c>
      <c r="B516" s="3" t="str">
        <f t="shared" si="25"/>
        <v>1月</v>
      </c>
      <c r="C516" s="4" t="str">
        <f t="shared" si="26"/>
        <v>W3</v>
      </c>
      <c r="D516" s="2" t="s">
        <v>752</v>
      </c>
      <c r="E516" s="2" t="s">
        <v>712</v>
      </c>
      <c r="F516" s="2" t="str" cm="1">
        <f t="array" ref="F516">INDEX(_xlfn.TEXTSPLIT(E516,"-"),2)</f>
        <v>女装</v>
      </c>
      <c r="G516" s="2" t="str" cm="1">
        <f t="array" ref="G516">INDEX(_xlfn.TEXTSPLIT(E516,"-"),3)</f>
        <v>时尚防晒服</v>
      </c>
      <c r="H516" s="5">
        <v>806</v>
      </c>
      <c r="I516" s="5">
        <v>74981.45</v>
      </c>
      <c r="J516" s="2" t="s">
        <v>713</v>
      </c>
      <c r="K516" s="6">
        <v>0.5739</v>
      </c>
    </row>
    <row r="517" ht="14.5" spans="1:11">
      <c r="A517" s="3" t="str">
        <f t="shared" si="24"/>
        <v>2026年</v>
      </c>
      <c r="B517" s="3" t="str">
        <f t="shared" si="25"/>
        <v>1月</v>
      </c>
      <c r="C517" s="4" t="str">
        <f t="shared" si="26"/>
        <v>W3</v>
      </c>
      <c r="D517" s="2" t="s">
        <v>752</v>
      </c>
      <c r="E517" s="2" t="s">
        <v>714</v>
      </c>
      <c r="F517" s="2" t="str" cm="1">
        <f t="array" ref="F517">INDEX(_xlfn.TEXTSPLIT(E517,"-"),2)</f>
        <v>女装</v>
      </c>
      <c r="G517" s="2" t="str" cm="1">
        <f t="array" ref="G517">INDEX(_xlfn.TEXTSPLIT(E517,"-"),3)</f>
        <v>棉衣/棉服</v>
      </c>
      <c r="H517" s="5">
        <v>857988</v>
      </c>
      <c r="I517" s="5">
        <v>98079174.33</v>
      </c>
      <c r="J517" s="6">
        <v>0.0273</v>
      </c>
      <c r="K517" s="6">
        <v>-0.0881</v>
      </c>
    </row>
    <row r="518" ht="14.5" spans="1:11">
      <c r="A518" s="3" t="str">
        <f t="shared" si="24"/>
        <v>2026年</v>
      </c>
      <c r="B518" s="3" t="str">
        <f t="shared" si="25"/>
        <v>1月</v>
      </c>
      <c r="C518" s="4" t="str">
        <f t="shared" si="26"/>
        <v>W3</v>
      </c>
      <c r="D518" s="2" t="s">
        <v>752</v>
      </c>
      <c r="E518" s="2" t="s">
        <v>715</v>
      </c>
      <c r="F518" s="2" t="str" cm="1">
        <f t="array" ref="F518">INDEX(_xlfn.TEXTSPLIT(E518,"-"),2)</f>
        <v>女装</v>
      </c>
      <c r="G518" s="2" t="str" cm="1">
        <f t="array" ref="G518">INDEX(_xlfn.TEXTSPLIT(E518,"-"),3)</f>
        <v>毛呢外套</v>
      </c>
      <c r="H518" s="5">
        <v>878554</v>
      </c>
      <c r="I518" s="5">
        <v>305368055.79</v>
      </c>
      <c r="J518" s="6">
        <v>0.0851</v>
      </c>
      <c r="K518" s="6">
        <v>-0.0071</v>
      </c>
    </row>
    <row r="519" ht="14.5" spans="1:11">
      <c r="A519" s="3" t="str">
        <f t="shared" si="24"/>
        <v>2026年</v>
      </c>
      <c r="B519" s="3" t="str">
        <f t="shared" si="25"/>
        <v>1月</v>
      </c>
      <c r="C519" s="4" t="str">
        <f t="shared" si="26"/>
        <v>W3</v>
      </c>
      <c r="D519" s="2" t="s">
        <v>752</v>
      </c>
      <c r="E519" s="2" t="s">
        <v>716</v>
      </c>
      <c r="F519" s="2" t="str" cm="1">
        <f t="array" ref="F519">INDEX(_xlfn.TEXTSPLIT(E519,"-"),2)</f>
        <v>女装</v>
      </c>
      <c r="G519" s="2" t="str" cm="1">
        <f t="array" ref="G519">INDEX(_xlfn.TEXTSPLIT(E519,"-"),3)</f>
        <v>毛衣</v>
      </c>
      <c r="H519" s="5">
        <v>551656</v>
      </c>
      <c r="I519" s="5">
        <v>47553495.83</v>
      </c>
      <c r="J519" s="6">
        <v>0.0133</v>
      </c>
      <c r="K519" s="6">
        <v>-0.144</v>
      </c>
    </row>
    <row r="520" ht="14.5" spans="1:11">
      <c r="A520" s="3" t="str">
        <f t="shared" si="24"/>
        <v>2026年</v>
      </c>
      <c r="B520" s="3" t="str">
        <f t="shared" si="25"/>
        <v>1月</v>
      </c>
      <c r="C520" s="4" t="str">
        <f t="shared" si="26"/>
        <v>W3</v>
      </c>
      <c r="D520" s="2" t="s">
        <v>752</v>
      </c>
      <c r="E520" s="2" t="s">
        <v>717</v>
      </c>
      <c r="F520" s="2" t="str" cm="1">
        <f t="array" ref="F520">INDEX(_xlfn.TEXTSPLIT(E520,"-"),2)</f>
        <v>女装</v>
      </c>
      <c r="G520" s="2" t="str" cm="1">
        <f t="array" ref="G520">INDEX(_xlfn.TEXTSPLIT(E520,"-"),3)</f>
        <v>毛针织衫</v>
      </c>
      <c r="H520" s="5">
        <v>2547226</v>
      </c>
      <c r="I520" s="5">
        <v>205338457.45</v>
      </c>
      <c r="J520" s="6">
        <v>0.0572</v>
      </c>
      <c r="K520" s="6">
        <v>-0.0234</v>
      </c>
    </row>
    <row r="521" ht="14.5" spans="1:11">
      <c r="A521" s="3" t="str">
        <f t="shared" si="24"/>
        <v>2026年</v>
      </c>
      <c r="B521" s="3" t="str">
        <f t="shared" si="25"/>
        <v>1月</v>
      </c>
      <c r="C521" s="4" t="str">
        <f t="shared" si="26"/>
        <v>W3</v>
      </c>
      <c r="D521" s="2" t="s">
        <v>752</v>
      </c>
      <c r="E521" s="2" t="s">
        <v>718</v>
      </c>
      <c r="F521" s="2" t="str" cm="1">
        <f t="array" ref="F521">INDEX(_xlfn.TEXTSPLIT(E521,"-"),2)</f>
        <v>女装</v>
      </c>
      <c r="G521" s="2" t="str" cm="1">
        <f t="array" ref="G521">INDEX(_xlfn.TEXTSPLIT(E521,"-"),3)</f>
        <v>汉服</v>
      </c>
      <c r="H521" s="5">
        <v>115139</v>
      </c>
      <c r="I521" s="5">
        <v>56506339.95</v>
      </c>
      <c r="J521" s="6">
        <v>0.0157</v>
      </c>
      <c r="K521" s="6">
        <v>-0.1735</v>
      </c>
    </row>
    <row r="522" ht="14.5" spans="1:11">
      <c r="A522" s="3" t="str">
        <f t="shared" si="24"/>
        <v>2026年</v>
      </c>
      <c r="B522" s="3" t="str">
        <f t="shared" si="25"/>
        <v>1月</v>
      </c>
      <c r="C522" s="4" t="str">
        <f t="shared" si="26"/>
        <v>W3</v>
      </c>
      <c r="D522" s="2" t="s">
        <v>752</v>
      </c>
      <c r="E522" s="2" t="s">
        <v>719</v>
      </c>
      <c r="F522" s="2" t="str" cm="1">
        <f t="array" ref="F522">INDEX(_xlfn.TEXTSPLIT(E522,"-"),2)</f>
        <v>女装</v>
      </c>
      <c r="G522" s="2" t="str" cm="1">
        <f t="array" ref="G522">INDEX(_xlfn.TEXTSPLIT(E522,"-"),3)</f>
        <v>派克服</v>
      </c>
      <c r="H522" s="5">
        <v>69319</v>
      </c>
      <c r="I522" s="5">
        <v>14585986.11</v>
      </c>
      <c r="J522" s="6">
        <v>0.0041</v>
      </c>
      <c r="K522" s="6">
        <v>-0.0479</v>
      </c>
    </row>
    <row r="523" ht="14.5" spans="1:11">
      <c r="A523" s="3" t="str">
        <f t="shared" si="24"/>
        <v>2026年</v>
      </c>
      <c r="B523" s="3" t="str">
        <f t="shared" si="25"/>
        <v>1月</v>
      </c>
      <c r="C523" s="4" t="str">
        <f t="shared" si="26"/>
        <v>W3</v>
      </c>
      <c r="D523" s="2" t="s">
        <v>752</v>
      </c>
      <c r="E523" s="2" t="s">
        <v>720</v>
      </c>
      <c r="F523" s="2" t="str" cm="1">
        <f t="array" ref="F523">INDEX(_xlfn.TEXTSPLIT(E523,"-"),2)</f>
        <v>女装</v>
      </c>
      <c r="G523" s="2" t="str" cm="1">
        <f t="array" ref="G523">INDEX(_xlfn.TEXTSPLIT(E523,"-"),3)</f>
        <v>皮草</v>
      </c>
      <c r="H523" s="5">
        <v>212663</v>
      </c>
      <c r="I523" s="5">
        <v>341894112.47</v>
      </c>
      <c r="J523" s="6">
        <v>0.0953</v>
      </c>
      <c r="K523" s="6">
        <v>-0.1657</v>
      </c>
    </row>
    <row r="524" ht="14.5" spans="1:11">
      <c r="A524" s="3" t="str">
        <f t="shared" si="24"/>
        <v>2026年</v>
      </c>
      <c r="B524" s="3" t="str">
        <f t="shared" si="25"/>
        <v>1月</v>
      </c>
      <c r="C524" s="4" t="str">
        <f t="shared" si="26"/>
        <v>W3</v>
      </c>
      <c r="D524" s="2" t="s">
        <v>752</v>
      </c>
      <c r="E524" s="2" t="s">
        <v>721</v>
      </c>
      <c r="F524" s="2" t="str" cm="1">
        <f t="array" ref="F524">INDEX(_xlfn.TEXTSPLIT(E524,"-"),2)</f>
        <v>女装</v>
      </c>
      <c r="G524" s="2" t="str" cm="1">
        <f t="array" ref="G524">INDEX(_xlfn.TEXTSPLIT(E524,"-"),3)</f>
        <v>皮衣</v>
      </c>
      <c r="H524" s="5">
        <v>175067</v>
      </c>
      <c r="I524" s="5">
        <v>43861607.16</v>
      </c>
      <c r="J524" s="6">
        <v>0.0122</v>
      </c>
      <c r="K524" s="6">
        <v>-0.1362</v>
      </c>
    </row>
    <row r="525" ht="14.5" spans="1:11">
      <c r="A525" s="3" t="str">
        <f t="shared" si="24"/>
        <v>2026年</v>
      </c>
      <c r="B525" s="3" t="str">
        <f t="shared" si="25"/>
        <v>1月</v>
      </c>
      <c r="C525" s="4" t="str">
        <f t="shared" si="26"/>
        <v>W3</v>
      </c>
      <c r="D525" s="2" t="s">
        <v>752</v>
      </c>
      <c r="E525" s="2" t="s">
        <v>722</v>
      </c>
      <c r="F525" s="2" t="str" cm="1">
        <f t="array" ref="F525">INDEX(_xlfn.TEXTSPLIT(E525,"-"),2)</f>
        <v>女装</v>
      </c>
      <c r="G525" s="2" t="str" cm="1">
        <f t="array" ref="G525">INDEX(_xlfn.TEXTSPLIT(E525,"-"),3)</f>
        <v>短外套</v>
      </c>
      <c r="H525" s="5">
        <v>1552436</v>
      </c>
      <c r="I525" s="5">
        <v>279815735.55</v>
      </c>
      <c r="J525" s="6">
        <v>0.078</v>
      </c>
      <c r="K525" s="6">
        <v>-0.0561</v>
      </c>
    </row>
    <row r="526" ht="14.5" spans="1:11">
      <c r="A526" s="3" t="str">
        <f t="shared" si="24"/>
        <v>2026年</v>
      </c>
      <c r="B526" s="3" t="str">
        <f t="shared" si="25"/>
        <v>1月</v>
      </c>
      <c r="C526" s="4" t="str">
        <f t="shared" si="26"/>
        <v>W3</v>
      </c>
      <c r="D526" s="2" t="s">
        <v>752</v>
      </c>
      <c r="E526" s="2" t="s">
        <v>723</v>
      </c>
      <c r="F526" s="2" t="str" cm="1">
        <f t="array" ref="F526">INDEX(_xlfn.TEXTSPLIT(E526,"-"),2)</f>
        <v>女装</v>
      </c>
      <c r="G526" s="2" t="str" cm="1">
        <f t="array" ref="G526">INDEX(_xlfn.TEXTSPLIT(E526,"-"),3)</f>
        <v>短裤</v>
      </c>
      <c r="H526" s="5">
        <v>128425</v>
      </c>
      <c r="I526" s="5">
        <v>7507814.92</v>
      </c>
      <c r="J526" s="6">
        <v>0.0021</v>
      </c>
      <c r="K526" s="6">
        <v>0.0399</v>
      </c>
    </row>
    <row r="527" ht="14.5" spans="1:11">
      <c r="A527" s="3" t="str">
        <f t="shared" si="24"/>
        <v>2026年</v>
      </c>
      <c r="B527" s="3" t="str">
        <f t="shared" si="25"/>
        <v>1月</v>
      </c>
      <c r="C527" s="4" t="str">
        <f t="shared" si="26"/>
        <v>W3</v>
      </c>
      <c r="D527" s="2" t="s">
        <v>752</v>
      </c>
      <c r="E527" s="2" t="s">
        <v>724</v>
      </c>
      <c r="F527" s="2" t="str" cm="1">
        <f t="array" ref="F527">INDEX(_xlfn.TEXTSPLIT(E527,"-"),2)</f>
        <v>女装</v>
      </c>
      <c r="G527" s="2" t="str" cm="1">
        <f t="array" ref="G527">INDEX(_xlfn.TEXTSPLIT(E527,"-"),3)</f>
        <v>羊毛衫</v>
      </c>
      <c r="H527" s="5">
        <v>537058</v>
      </c>
      <c r="I527" s="5">
        <v>69686516.77</v>
      </c>
      <c r="J527" s="6">
        <v>0.0194</v>
      </c>
      <c r="K527" s="6">
        <v>-0.0808</v>
      </c>
    </row>
    <row r="528" ht="14.5" spans="1:11">
      <c r="A528" s="3" t="str">
        <f t="shared" si="24"/>
        <v>2026年</v>
      </c>
      <c r="B528" s="3" t="str">
        <f t="shared" si="25"/>
        <v>1月</v>
      </c>
      <c r="C528" s="4" t="str">
        <f t="shared" si="26"/>
        <v>W3</v>
      </c>
      <c r="D528" s="2" t="s">
        <v>752</v>
      </c>
      <c r="E528" s="2" t="s">
        <v>725</v>
      </c>
      <c r="F528" s="2" t="str" cm="1">
        <f t="array" ref="F528">INDEX(_xlfn.TEXTSPLIT(E528,"-"),2)</f>
        <v>女装</v>
      </c>
      <c r="G528" s="2" t="str" cm="1">
        <f t="array" ref="G528">INDEX(_xlfn.TEXTSPLIT(E528,"-"),3)</f>
        <v>羊绒大衣</v>
      </c>
      <c r="H528" s="5">
        <v>7610</v>
      </c>
      <c r="I528" s="5">
        <v>3566392.57</v>
      </c>
      <c r="J528" s="6">
        <v>0.001</v>
      </c>
      <c r="K528" s="7">
        <v>-0.08</v>
      </c>
    </row>
    <row r="529" ht="14.5" spans="1:11">
      <c r="A529" s="3" t="str">
        <f t="shared" si="24"/>
        <v>2026年</v>
      </c>
      <c r="B529" s="3" t="str">
        <f t="shared" si="25"/>
        <v>1月</v>
      </c>
      <c r="C529" s="4" t="str">
        <f t="shared" si="26"/>
        <v>W3</v>
      </c>
      <c r="D529" s="2" t="s">
        <v>752</v>
      </c>
      <c r="E529" s="2" t="s">
        <v>726</v>
      </c>
      <c r="F529" s="2" t="str" cm="1">
        <f t="array" ref="F529">INDEX(_xlfn.TEXTSPLIT(E529,"-"),2)</f>
        <v>女装</v>
      </c>
      <c r="G529" s="2" t="str" cm="1">
        <f t="array" ref="G529">INDEX(_xlfn.TEXTSPLIT(E529,"-"),3)</f>
        <v>羊绒衫</v>
      </c>
      <c r="H529" s="5">
        <v>153319</v>
      </c>
      <c r="I529" s="5">
        <v>41843864.87</v>
      </c>
      <c r="J529" s="6">
        <v>0.0117</v>
      </c>
      <c r="K529" s="6">
        <v>-0.0534</v>
      </c>
    </row>
    <row r="530" ht="14.5" spans="1:11">
      <c r="A530" s="3" t="str">
        <f t="shared" si="24"/>
        <v>2026年</v>
      </c>
      <c r="B530" s="3" t="str">
        <f t="shared" si="25"/>
        <v>1月</v>
      </c>
      <c r="C530" s="4" t="str">
        <f t="shared" si="26"/>
        <v>W3</v>
      </c>
      <c r="D530" s="2" t="s">
        <v>752</v>
      </c>
      <c r="E530" s="2" t="s">
        <v>727</v>
      </c>
      <c r="F530" s="2" t="str" cm="1">
        <f t="array" ref="F530">INDEX(_xlfn.TEXTSPLIT(E530,"-"),2)</f>
        <v>女装</v>
      </c>
      <c r="G530" s="2" t="str" cm="1">
        <f t="array" ref="G530">INDEX(_xlfn.TEXTSPLIT(E530,"-"),3)</f>
        <v>羽绒服</v>
      </c>
      <c r="H530" s="5">
        <v>1776929</v>
      </c>
      <c r="I530" s="5">
        <v>697129923.46</v>
      </c>
      <c r="J530" s="6">
        <v>0.1943</v>
      </c>
      <c r="K530" s="6">
        <v>-0.0302</v>
      </c>
    </row>
    <row r="531" ht="14.5" spans="1:11">
      <c r="A531" s="3" t="str">
        <f t="shared" si="24"/>
        <v>2026年</v>
      </c>
      <c r="B531" s="3" t="str">
        <f t="shared" si="25"/>
        <v>1月</v>
      </c>
      <c r="C531" s="4" t="str">
        <f t="shared" si="26"/>
        <v>W3</v>
      </c>
      <c r="D531" s="2" t="s">
        <v>752</v>
      </c>
      <c r="E531" s="2" t="s">
        <v>728</v>
      </c>
      <c r="F531" s="2" t="str" cm="1">
        <f t="array" ref="F531">INDEX(_xlfn.TEXTSPLIT(E531,"-"),2)</f>
        <v>女装</v>
      </c>
      <c r="G531" s="2" t="str" cm="1">
        <f t="array" ref="G531">INDEX(_xlfn.TEXTSPLIT(E531,"-"),3)</f>
        <v>肌底衣/肌肤衣</v>
      </c>
      <c r="H531" s="5">
        <v>5920</v>
      </c>
      <c r="I531" s="5">
        <v>302458.44</v>
      </c>
      <c r="J531" s="6">
        <v>0.0001</v>
      </c>
      <c r="K531" s="6">
        <v>-0.0031</v>
      </c>
    </row>
    <row r="532" ht="14.5" spans="1:11">
      <c r="A532" s="3" t="str">
        <f t="shared" si="24"/>
        <v>2026年</v>
      </c>
      <c r="B532" s="3" t="str">
        <f t="shared" si="25"/>
        <v>1月</v>
      </c>
      <c r="C532" s="4" t="str">
        <f t="shared" si="26"/>
        <v>W3</v>
      </c>
      <c r="D532" s="2" t="s">
        <v>752</v>
      </c>
      <c r="E532" s="2" t="s">
        <v>729</v>
      </c>
      <c r="F532" s="2" t="str" cm="1">
        <f t="array" ref="F532">INDEX(_xlfn.TEXTSPLIT(E532,"-"),2)</f>
        <v>女装</v>
      </c>
      <c r="G532" s="2" t="str" cm="1">
        <f t="array" ref="G532">INDEX(_xlfn.TEXTSPLIT(E532,"-"),3)</f>
        <v>背心吊带</v>
      </c>
      <c r="H532" s="5">
        <v>233197</v>
      </c>
      <c r="I532" s="5">
        <v>12703164.47</v>
      </c>
      <c r="J532" s="6">
        <v>0.0035</v>
      </c>
      <c r="K532" s="6">
        <v>0.0716</v>
      </c>
    </row>
    <row r="533" ht="14.5" spans="1:11">
      <c r="A533" s="3" t="str">
        <f t="shared" si="24"/>
        <v>2026年</v>
      </c>
      <c r="B533" s="3" t="str">
        <f t="shared" si="25"/>
        <v>1月</v>
      </c>
      <c r="C533" s="4" t="str">
        <f t="shared" si="26"/>
        <v>W3</v>
      </c>
      <c r="D533" s="2" t="s">
        <v>752</v>
      </c>
      <c r="E533" s="2" t="s">
        <v>730</v>
      </c>
      <c r="F533" s="2" t="str" cm="1">
        <f t="array" ref="F533">INDEX(_xlfn.TEXTSPLIT(E533,"-"),2)</f>
        <v>女装</v>
      </c>
      <c r="G533" s="2" t="str" cm="1">
        <f t="array" ref="G533">INDEX(_xlfn.TEXTSPLIT(E533,"-"),3)</f>
        <v>蕾丝衫/雪纺衫</v>
      </c>
      <c r="H533" s="5">
        <v>219976</v>
      </c>
      <c r="I533" s="5">
        <v>15931943.76</v>
      </c>
      <c r="J533" s="6">
        <v>0.0044</v>
      </c>
      <c r="K533" s="6">
        <v>0.1086</v>
      </c>
    </row>
    <row r="534" ht="14.5" spans="1:11">
      <c r="A534" s="3" t="str">
        <f t="shared" si="24"/>
        <v>2026年</v>
      </c>
      <c r="B534" s="3" t="str">
        <f t="shared" si="25"/>
        <v>1月</v>
      </c>
      <c r="C534" s="4" t="str">
        <f t="shared" si="26"/>
        <v>W3</v>
      </c>
      <c r="D534" s="2" t="s">
        <v>752</v>
      </c>
      <c r="E534" s="2" t="s">
        <v>731</v>
      </c>
      <c r="F534" s="2" t="str" cm="1">
        <f t="array" ref="F534">INDEX(_xlfn.TEXTSPLIT(E534,"-"),2)</f>
        <v>女装</v>
      </c>
      <c r="G534" s="2" t="str" cm="1">
        <f t="array" ref="G534">INDEX(_xlfn.TEXTSPLIT(E534,"-"),3)</f>
        <v>衬衫</v>
      </c>
      <c r="H534" s="5">
        <v>534924</v>
      </c>
      <c r="I534" s="5">
        <v>61095545.42</v>
      </c>
      <c r="J534" s="6">
        <v>0.017</v>
      </c>
      <c r="K534" s="7">
        <v>0.09</v>
      </c>
    </row>
    <row r="535" ht="14.5" spans="1:11">
      <c r="A535" s="3" t="str">
        <f t="shared" si="24"/>
        <v>2026年</v>
      </c>
      <c r="B535" s="3" t="str">
        <f t="shared" si="25"/>
        <v>1月</v>
      </c>
      <c r="C535" s="4" t="str">
        <f t="shared" si="26"/>
        <v>W3</v>
      </c>
      <c r="D535" s="2" t="s">
        <v>752</v>
      </c>
      <c r="E535" s="2" t="s">
        <v>732</v>
      </c>
      <c r="F535" s="2" t="str" cm="1">
        <f t="array" ref="F535">INDEX(_xlfn.TEXTSPLIT(E535,"-"),2)</f>
        <v>女装</v>
      </c>
      <c r="G535" s="2" t="str" cm="1">
        <f t="array" ref="G535">INDEX(_xlfn.TEXTSPLIT(E535,"-"),3)</f>
        <v>裤子</v>
      </c>
      <c r="H535" s="5">
        <v>4836858</v>
      </c>
      <c r="I535" s="5">
        <v>463384288.24</v>
      </c>
      <c r="J535" s="6">
        <v>0.1292</v>
      </c>
      <c r="K535" s="6">
        <v>-0.0202</v>
      </c>
    </row>
    <row r="536" ht="14.5" spans="1:11">
      <c r="A536" s="3" t="str">
        <f t="shared" si="24"/>
        <v>2026年</v>
      </c>
      <c r="B536" s="3" t="str">
        <f t="shared" si="25"/>
        <v>1月</v>
      </c>
      <c r="C536" s="4" t="str">
        <f t="shared" si="26"/>
        <v>W3</v>
      </c>
      <c r="D536" s="2" t="s">
        <v>752</v>
      </c>
      <c r="E536" s="2" t="s">
        <v>733</v>
      </c>
      <c r="F536" s="2" t="str" cm="1">
        <f t="array" ref="F536">INDEX(_xlfn.TEXTSPLIT(E536,"-"),2)</f>
        <v>女装</v>
      </c>
      <c r="G536" s="2" t="str" cm="1">
        <f t="array" ref="G536">INDEX(_xlfn.TEXTSPLIT(E536,"-"),3)</f>
        <v>西装</v>
      </c>
      <c r="H536" s="5">
        <v>52899</v>
      </c>
      <c r="I536" s="5">
        <v>13082886.3</v>
      </c>
      <c r="J536" s="6">
        <v>0.0036</v>
      </c>
      <c r="K536" s="6">
        <v>-0.0121</v>
      </c>
    </row>
    <row r="537" ht="14.5" spans="1:11">
      <c r="A537" s="3" t="str">
        <f t="shared" si="24"/>
        <v>2026年</v>
      </c>
      <c r="B537" s="3" t="str">
        <f t="shared" si="25"/>
        <v>1月</v>
      </c>
      <c r="C537" s="4" t="str">
        <f t="shared" si="26"/>
        <v>W3</v>
      </c>
      <c r="D537" s="2" t="s">
        <v>752</v>
      </c>
      <c r="E537" s="2" t="s">
        <v>734</v>
      </c>
      <c r="F537" s="2" t="str" cm="1">
        <f t="array" ref="F537">INDEX(_xlfn.TEXTSPLIT(E537,"-"),2)</f>
        <v>女装</v>
      </c>
      <c r="G537" s="2" t="str" cm="1">
        <f t="array" ref="G537">INDEX(_xlfn.TEXTSPLIT(E537,"-"),3)</f>
        <v>设计师/潮牌女装</v>
      </c>
      <c r="H537" s="5">
        <v>616159</v>
      </c>
      <c r="I537" s="5">
        <v>69486920.56</v>
      </c>
      <c r="J537" s="6">
        <v>0.0194</v>
      </c>
      <c r="K537" s="6">
        <v>-0.0039</v>
      </c>
    </row>
    <row r="538" ht="14.5" spans="1:11">
      <c r="A538" s="3" t="str">
        <f t="shared" si="24"/>
        <v>2026年</v>
      </c>
      <c r="B538" s="3" t="str">
        <f t="shared" si="25"/>
        <v>1月</v>
      </c>
      <c r="C538" s="4" t="str">
        <f t="shared" si="26"/>
        <v>W3</v>
      </c>
      <c r="D538" s="2" t="s">
        <v>752</v>
      </c>
      <c r="E538" s="2" t="s">
        <v>735</v>
      </c>
      <c r="F538" s="2" t="str" cm="1">
        <f t="array" ref="F538">INDEX(_xlfn.TEXTSPLIT(E538,"-"),2)</f>
        <v>女装</v>
      </c>
      <c r="G538" s="2" t="str" cm="1">
        <f t="array" ref="G538">INDEX(_xlfn.TEXTSPLIT(E538,"-"),3)</f>
        <v>连体衣/裤</v>
      </c>
      <c r="H538" s="5">
        <v>12101</v>
      </c>
      <c r="I538" s="5">
        <v>1654711.24</v>
      </c>
      <c r="J538" s="6">
        <v>0.0005</v>
      </c>
      <c r="K538" s="6">
        <v>-0.0421</v>
      </c>
    </row>
    <row r="539" ht="14.5" spans="1:11">
      <c r="A539" s="3" t="str">
        <f t="shared" ref="A539:A602" si="27">TEXT(YEAR(D539),"0")&amp;"年"</f>
        <v>2026年</v>
      </c>
      <c r="B539" s="3" t="str">
        <f t="shared" ref="B539:B602" si="28">TEXT(MONTH(D539),"0")&amp;"月"</f>
        <v>1月</v>
      </c>
      <c r="C539" s="4" t="str">
        <f t="shared" ref="C539:C602" si="29">"W"&amp;TEXT(WEEKNUM(D539,2),"0")</f>
        <v>W3</v>
      </c>
      <c r="D539" s="2" t="s">
        <v>752</v>
      </c>
      <c r="E539" s="2" t="s">
        <v>736</v>
      </c>
      <c r="F539" s="2" t="str" cm="1">
        <f t="array" ref="F539">INDEX(_xlfn.TEXTSPLIT(E539,"-"),2)</f>
        <v>女装</v>
      </c>
      <c r="G539" s="2" t="str" cm="1">
        <f t="array" ref="G539">INDEX(_xlfn.TEXTSPLIT(E539,"-"),3)</f>
        <v>连衣裙</v>
      </c>
      <c r="H539" s="5">
        <v>860174</v>
      </c>
      <c r="I539" s="5">
        <v>117572431.88</v>
      </c>
      <c r="J539" s="6">
        <v>0.0328</v>
      </c>
      <c r="K539" s="6">
        <v>0.0535</v>
      </c>
    </row>
    <row r="540" ht="14.5" spans="1:11">
      <c r="A540" s="3" t="str">
        <f t="shared" si="27"/>
        <v>2026年</v>
      </c>
      <c r="B540" s="3" t="str">
        <f t="shared" si="28"/>
        <v>1月</v>
      </c>
      <c r="C540" s="4" t="str">
        <f t="shared" si="29"/>
        <v>W3</v>
      </c>
      <c r="D540" s="2" t="s">
        <v>752</v>
      </c>
      <c r="E540" s="2" t="s">
        <v>737</v>
      </c>
      <c r="F540" s="2" t="str" cm="1">
        <f t="array" ref="F540">INDEX(_xlfn.TEXTSPLIT(E540,"-"),2)</f>
        <v>女装</v>
      </c>
      <c r="G540" s="2" t="str" cm="1">
        <f t="array" ref="G540">INDEX(_xlfn.TEXTSPLIT(E540,"-"),3)</f>
        <v>风衣</v>
      </c>
      <c r="H540" s="5">
        <v>104010</v>
      </c>
      <c r="I540" s="5">
        <v>14410229.54</v>
      </c>
      <c r="J540" s="6">
        <v>0.004</v>
      </c>
      <c r="K540" s="6">
        <v>0.0475</v>
      </c>
    </row>
    <row r="541" ht="14.5" spans="1:11">
      <c r="A541" s="3" t="str">
        <f t="shared" si="27"/>
        <v>2026年</v>
      </c>
      <c r="B541" s="3" t="str">
        <f t="shared" si="28"/>
        <v>1月</v>
      </c>
      <c r="C541" s="4" t="str">
        <f t="shared" si="29"/>
        <v>W3</v>
      </c>
      <c r="D541" s="2" t="s">
        <v>752</v>
      </c>
      <c r="E541" s="2" t="s">
        <v>738</v>
      </c>
      <c r="F541" s="2" t="str" cm="1">
        <f t="array" ref="F541">INDEX(_xlfn.TEXTSPLIT(E541,"-"),2)</f>
        <v>女装</v>
      </c>
      <c r="G541" s="2" t="str" cm="1">
        <f t="array" ref="G541">INDEX(_xlfn.TEXTSPLIT(E541,"-"),3)</f>
        <v>马夹</v>
      </c>
      <c r="H541" s="5">
        <v>431723</v>
      </c>
      <c r="I541" s="5">
        <v>47771219.4</v>
      </c>
      <c r="J541" s="6">
        <v>0.0133</v>
      </c>
      <c r="K541" s="6">
        <v>0.0071</v>
      </c>
    </row>
    <row r="542" ht="14.5" spans="1:11">
      <c r="A542" s="3" t="str">
        <f t="shared" si="27"/>
        <v>2026年</v>
      </c>
      <c r="B542" s="3" t="str">
        <f t="shared" si="28"/>
        <v>1月</v>
      </c>
      <c r="C542" s="4" t="str">
        <f t="shared" si="29"/>
        <v>W3</v>
      </c>
      <c r="D542" s="2" t="s">
        <v>753</v>
      </c>
      <c r="E542" s="2" t="s">
        <v>702</v>
      </c>
      <c r="F542" s="2" t="str" cm="1">
        <f t="array" ref="F542">INDEX(_xlfn.TEXTSPLIT(E542,"-"),2)</f>
        <v>女装</v>
      </c>
      <c r="G542" s="2" t="str" cm="1">
        <f t="array" ref="G542">INDEX(_xlfn.TEXTSPLIT(E542,"-"),3)</f>
        <v>POLO衫</v>
      </c>
      <c r="H542" s="5">
        <v>15669</v>
      </c>
      <c r="I542" s="5">
        <v>1414720.63</v>
      </c>
      <c r="J542" s="6">
        <v>0.0003</v>
      </c>
      <c r="K542" s="6">
        <v>0.2193</v>
      </c>
    </row>
    <row r="543" ht="14.5" spans="1:11">
      <c r="A543" s="3" t="str">
        <f t="shared" si="27"/>
        <v>2026年</v>
      </c>
      <c r="B543" s="3" t="str">
        <f t="shared" si="28"/>
        <v>1月</v>
      </c>
      <c r="C543" s="4" t="str">
        <f t="shared" si="29"/>
        <v>W3</v>
      </c>
      <c r="D543" s="2" t="s">
        <v>753</v>
      </c>
      <c r="E543" s="2" t="s">
        <v>703</v>
      </c>
      <c r="F543" s="2" t="str" cm="1">
        <f t="array" ref="F543">INDEX(_xlfn.TEXTSPLIT(E543,"-"),2)</f>
        <v>女装</v>
      </c>
      <c r="G543" s="2" t="str" cm="1">
        <f t="array" ref="G543">INDEX(_xlfn.TEXTSPLIT(E543,"-"),3)</f>
        <v>T恤</v>
      </c>
      <c r="H543" s="5">
        <v>1667066</v>
      </c>
      <c r="I543" s="5">
        <v>101781009.56</v>
      </c>
      <c r="J543" s="6">
        <v>0.0205</v>
      </c>
      <c r="K543" s="6">
        <v>0.1134</v>
      </c>
    </row>
    <row r="544" ht="14.5" spans="1:11">
      <c r="A544" s="3" t="str">
        <f t="shared" si="27"/>
        <v>2026年</v>
      </c>
      <c r="B544" s="3" t="str">
        <f t="shared" si="28"/>
        <v>1月</v>
      </c>
      <c r="C544" s="4" t="str">
        <f t="shared" si="29"/>
        <v>W3</v>
      </c>
      <c r="D544" s="2" t="s">
        <v>753</v>
      </c>
      <c r="E544" s="2" t="s">
        <v>704</v>
      </c>
      <c r="F544" s="2" t="str" cm="1">
        <f t="array" ref="F544">INDEX(_xlfn.TEXTSPLIT(E544,"-"),2)</f>
        <v>女装</v>
      </c>
      <c r="G544" s="2" t="str" cm="1">
        <f t="array" ref="G544">INDEX(_xlfn.TEXTSPLIT(E544,"-"),3)</f>
        <v>中老年女装</v>
      </c>
      <c r="H544" s="5">
        <v>447109</v>
      </c>
      <c r="I544" s="5">
        <v>54492416.41</v>
      </c>
      <c r="J544" s="6">
        <v>0.011</v>
      </c>
      <c r="K544" s="6">
        <v>0.0951</v>
      </c>
    </row>
    <row r="545" ht="14.5" spans="1:11">
      <c r="A545" s="3" t="str">
        <f t="shared" si="27"/>
        <v>2026年</v>
      </c>
      <c r="B545" s="3" t="str">
        <f t="shared" si="28"/>
        <v>1月</v>
      </c>
      <c r="C545" s="4" t="str">
        <f t="shared" si="29"/>
        <v>W3</v>
      </c>
      <c r="D545" s="2" t="s">
        <v>753</v>
      </c>
      <c r="E545" s="2" t="s">
        <v>705</v>
      </c>
      <c r="F545" s="2" t="str" cm="1">
        <f t="array" ref="F545">INDEX(_xlfn.TEXTSPLIT(E545,"-"),2)</f>
        <v>女装</v>
      </c>
      <c r="G545" s="2" t="str" cm="1">
        <f t="array" ref="G545">INDEX(_xlfn.TEXTSPLIT(E545,"-"),3)</f>
        <v>半身裙</v>
      </c>
      <c r="H545" s="5">
        <v>860872</v>
      </c>
      <c r="I545" s="5">
        <v>92115753.57</v>
      </c>
      <c r="J545" s="6">
        <v>0.0186</v>
      </c>
      <c r="K545" s="6">
        <v>0.256</v>
      </c>
    </row>
    <row r="546" ht="14.5" spans="1:11">
      <c r="A546" s="3" t="str">
        <f t="shared" si="27"/>
        <v>2026年</v>
      </c>
      <c r="B546" s="3" t="str">
        <f t="shared" si="28"/>
        <v>1月</v>
      </c>
      <c r="C546" s="4" t="str">
        <f t="shared" si="29"/>
        <v>W3</v>
      </c>
      <c r="D546" s="2" t="s">
        <v>753</v>
      </c>
      <c r="E546" s="2" t="s">
        <v>706</v>
      </c>
      <c r="F546" s="2" t="str" cm="1">
        <f t="array" ref="F546">INDEX(_xlfn.TEXTSPLIT(E546,"-"),2)</f>
        <v>女装</v>
      </c>
      <c r="G546" s="2" t="str" cm="1">
        <f t="array" ref="G546">INDEX(_xlfn.TEXTSPLIT(E546,"-"),3)</f>
        <v>卫衣/绒衫</v>
      </c>
      <c r="H546" s="5">
        <v>527124</v>
      </c>
      <c r="I546" s="5">
        <v>46825726.78</v>
      </c>
      <c r="J546" s="6">
        <v>0.0094</v>
      </c>
      <c r="K546" s="6">
        <v>0.2011</v>
      </c>
    </row>
    <row r="547" ht="14.5" spans="1:11">
      <c r="A547" s="3" t="str">
        <f t="shared" si="27"/>
        <v>2026年</v>
      </c>
      <c r="B547" s="3" t="str">
        <f t="shared" si="28"/>
        <v>1月</v>
      </c>
      <c r="C547" s="4" t="str">
        <f t="shared" si="29"/>
        <v>W3</v>
      </c>
      <c r="D547" s="2" t="s">
        <v>753</v>
      </c>
      <c r="E547" s="2" t="s">
        <v>707</v>
      </c>
      <c r="F547" s="2" t="str" cm="1">
        <f t="array" ref="F547">INDEX(_xlfn.TEXTSPLIT(E547,"-"),2)</f>
        <v>女装</v>
      </c>
      <c r="G547" s="2" t="str" cm="1">
        <f t="array" ref="G547">INDEX(_xlfn.TEXTSPLIT(E547,"-"),3)</f>
        <v>唐装/民族服装/舞台服装</v>
      </c>
      <c r="H547" s="5">
        <v>283502</v>
      </c>
      <c r="I547" s="5">
        <v>64584750.32</v>
      </c>
      <c r="J547" s="6">
        <v>0.013</v>
      </c>
      <c r="K547" s="6">
        <v>0.4171</v>
      </c>
    </row>
    <row r="548" ht="14.5" spans="1:11">
      <c r="A548" s="3" t="str">
        <f t="shared" si="27"/>
        <v>2026年</v>
      </c>
      <c r="B548" s="3" t="str">
        <f t="shared" si="28"/>
        <v>1月</v>
      </c>
      <c r="C548" s="4" t="str">
        <f t="shared" si="29"/>
        <v>W3</v>
      </c>
      <c r="D548" s="2" t="s">
        <v>753</v>
      </c>
      <c r="E548" s="2" t="s">
        <v>708</v>
      </c>
      <c r="F548" s="2" t="str" cm="1">
        <f t="array" ref="F548">INDEX(_xlfn.TEXTSPLIT(E548,"-"),2)</f>
        <v>女装</v>
      </c>
      <c r="G548" s="2" t="str" cm="1">
        <f t="array" ref="G548">INDEX(_xlfn.TEXTSPLIT(E548,"-"),3)</f>
        <v>大码女装</v>
      </c>
      <c r="H548" s="5">
        <v>671296</v>
      </c>
      <c r="I548" s="5">
        <v>61397645.73</v>
      </c>
      <c r="J548" s="6">
        <v>0.0124</v>
      </c>
      <c r="K548" s="6">
        <v>-0.0834</v>
      </c>
    </row>
    <row r="549" ht="14.5" spans="1:11">
      <c r="A549" s="3" t="str">
        <f t="shared" si="27"/>
        <v>2026年</v>
      </c>
      <c r="B549" s="3" t="str">
        <f t="shared" si="28"/>
        <v>1月</v>
      </c>
      <c r="C549" s="4" t="str">
        <f t="shared" si="29"/>
        <v>W3</v>
      </c>
      <c r="D549" s="2" t="s">
        <v>753</v>
      </c>
      <c r="E549" s="2" t="s">
        <v>709</v>
      </c>
      <c r="F549" s="2" t="str" cm="1">
        <f t="array" ref="F549">INDEX(_xlfn.TEXTSPLIT(E549,"-"),2)</f>
        <v>女装</v>
      </c>
      <c r="G549" s="2" t="str" cm="1">
        <f t="array" ref="G549">INDEX(_xlfn.TEXTSPLIT(E549,"-"),3)</f>
        <v>套装/学生校服/工作制服</v>
      </c>
      <c r="H549" s="5">
        <v>1131437</v>
      </c>
      <c r="I549" s="5">
        <v>163932654.58</v>
      </c>
      <c r="J549" s="6">
        <v>0.0331</v>
      </c>
      <c r="K549" s="6">
        <v>0.0194</v>
      </c>
    </row>
    <row r="550" ht="14.5" spans="1:11">
      <c r="A550" s="3" t="str">
        <f t="shared" si="27"/>
        <v>2026年</v>
      </c>
      <c r="B550" s="3" t="str">
        <f t="shared" si="28"/>
        <v>1月</v>
      </c>
      <c r="C550" s="4" t="str">
        <f t="shared" si="29"/>
        <v>W3</v>
      </c>
      <c r="D550" s="2" t="s">
        <v>753</v>
      </c>
      <c r="E550" s="2" t="s">
        <v>710</v>
      </c>
      <c r="F550" s="2" t="str" cm="1">
        <f t="array" ref="F550">INDEX(_xlfn.TEXTSPLIT(E550,"-"),2)</f>
        <v>女装</v>
      </c>
      <c r="G550" s="2" t="str" cm="1">
        <f t="array" ref="G550">INDEX(_xlfn.TEXTSPLIT(E550,"-"),3)</f>
        <v>婚纱/旗袍/礼服</v>
      </c>
      <c r="H550" s="5">
        <v>65458</v>
      </c>
      <c r="I550" s="5">
        <v>13105941.43</v>
      </c>
      <c r="J550" s="6">
        <v>0.0026</v>
      </c>
      <c r="K550" s="6">
        <v>-0.0125</v>
      </c>
    </row>
    <row r="551" ht="14.5" spans="1:11">
      <c r="A551" s="3" t="str">
        <f t="shared" si="27"/>
        <v>2026年</v>
      </c>
      <c r="B551" s="3" t="str">
        <f t="shared" si="28"/>
        <v>1月</v>
      </c>
      <c r="C551" s="4" t="str">
        <f t="shared" si="29"/>
        <v>W3</v>
      </c>
      <c r="D551" s="2" t="s">
        <v>753</v>
      </c>
      <c r="E551" s="2" t="s">
        <v>711</v>
      </c>
      <c r="F551" s="2" t="str" cm="1">
        <f t="array" ref="F551">INDEX(_xlfn.TEXTSPLIT(E551,"-"),2)</f>
        <v>女装</v>
      </c>
      <c r="G551" s="2" t="str" cm="1">
        <f t="array" ref="G551">INDEX(_xlfn.TEXTSPLIT(E551,"-"),3)</f>
        <v>新中式女装</v>
      </c>
      <c r="H551" s="5">
        <v>109611</v>
      </c>
      <c r="I551" s="5">
        <v>16175370.26</v>
      </c>
      <c r="J551" s="6">
        <v>0.0033</v>
      </c>
      <c r="K551" s="6">
        <v>-0.0005</v>
      </c>
    </row>
    <row r="552" ht="14.5" spans="1:11">
      <c r="A552" s="3" t="str">
        <f t="shared" si="27"/>
        <v>2026年</v>
      </c>
      <c r="B552" s="3" t="str">
        <f t="shared" si="28"/>
        <v>1月</v>
      </c>
      <c r="C552" s="4" t="str">
        <f t="shared" si="29"/>
        <v>W3</v>
      </c>
      <c r="D552" s="2" t="s">
        <v>753</v>
      </c>
      <c r="E552" s="2" t="s">
        <v>712</v>
      </c>
      <c r="F552" s="2" t="str" cm="1">
        <f t="array" ref="F552">INDEX(_xlfn.TEXTSPLIT(E552,"-"),2)</f>
        <v>女装</v>
      </c>
      <c r="G552" s="2" t="str" cm="1">
        <f t="array" ref="G552">INDEX(_xlfn.TEXTSPLIT(E552,"-"),3)</f>
        <v>时尚防晒服</v>
      </c>
      <c r="H552" s="5">
        <v>341</v>
      </c>
      <c r="I552" s="5">
        <v>57752.93</v>
      </c>
      <c r="J552" s="2" t="s">
        <v>713</v>
      </c>
      <c r="K552" s="6">
        <v>-0.2298</v>
      </c>
    </row>
    <row r="553" ht="14.5" spans="1:11">
      <c r="A553" s="3" t="str">
        <f t="shared" si="27"/>
        <v>2026年</v>
      </c>
      <c r="B553" s="3" t="str">
        <f t="shared" si="28"/>
        <v>1月</v>
      </c>
      <c r="C553" s="4" t="str">
        <f t="shared" si="29"/>
        <v>W3</v>
      </c>
      <c r="D553" s="2" t="s">
        <v>753</v>
      </c>
      <c r="E553" s="2" t="s">
        <v>714</v>
      </c>
      <c r="F553" s="2" t="str" cm="1">
        <f t="array" ref="F553">INDEX(_xlfn.TEXTSPLIT(E553,"-"),2)</f>
        <v>女装</v>
      </c>
      <c r="G553" s="2" t="str" cm="1">
        <f t="array" ref="G553">INDEX(_xlfn.TEXTSPLIT(E553,"-"),3)</f>
        <v>棉衣/棉服</v>
      </c>
      <c r="H553" s="5">
        <v>817292</v>
      </c>
      <c r="I553" s="5">
        <v>104943390.38</v>
      </c>
      <c r="J553" s="6">
        <v>0.0212</v>
      </c>
      <c r="K553" s="7">
        <v>0.07</v>
      </c>
    </row>
    <row r="554" ht="14.5" spans="1:11">
      <c r="A554" s="3" t="str">
        <f t="shared" si="27"/>
        <v>2026年</v>
      </c>
      <c r="B554" s="3" t="str">
        <f t="shared" si="28"/>
        <v>1月</v>
      </c>
      <c r="C554" s="4" t="str">
        <f t="shared" si="29"/>
        <v>W3</v>
      </c>
      <c r="D554" s="2" t="s">
        <v>753</v>
      </c>
      <c r="E554" s="2" t="s">
        <v>715</v>
      </c>
      <c r="F554" s="2" t="str" cm="1">
        <f t="array" ref="F554">INDEX(_xlfn.TEXTSPLIT(E554,"-"),2)</f>
        <v>女装</v>
      </c>
      <c r="G554" s="2" t="str" cm="1">
        <f t="array" ref="G554">INDEX(_xlfn.TEXTSPLIT(E554,"-"),3)</f>
        <v>毛呢外套</v>
      </c>
      <c r="H554" s="5">
        <v>1039090</v>
      </c>
      <c r="I554" s="5">
        <v>454987098.37</v>
      </c>
      <c r="J554" s="6">
        <v>0.0918</v>
      </c>
      <c r="K554" s="7">
        <v>0.49</v>
      </c>
    </row>
    <row r="555" ht="14.5" spans="1:11">
      <c r="A555" s="3" t="str">
        <f t="shared" si="27"/>
        <v>2026年</v>
      </c>
      <c r="B555" s="3" t="str">
        <f t="shared" si="28"/>
        <v>1月</v>
      </c>
      <c r="C555" s="4" t="str">
        <f t="shared" si="29"/>
        <v>W3</v>
      </c>
      <c r="D555" s="2" t="s">
        <v>753</v>
      </c>
      <c r="E555" s="2" t="s">
        <v>716</v>
      </c>
      <c r="F555" s="2" t="str" cm="1">
        <f t="array" ref="F555">INDEX(_xlfn.TEXTSPLIT(E555,"-"),2)</f>
        <v>女装</v>
      </c>
      <c r="G555" s="2" t="str" cm="1">
        <f t="array" ref="G555">INDEX(_xlfn.TEXTSPLIT(E555,"-"),3)</f>
        <v>毛衣</v>
      </c>
      <c r="H555" s="5">
        <v>617208</v>
      </c>
      <c r="I555" s="5">
        <v>62686105.07</v>
      </c>
      <c r="J555" s="6">
        <v>0.0126</v>
      </c>
      <c r="K555" s="6">
        <v>0.3182</v>
      </c>
    </row>
    <row r="556" ht="14.5" spans="1:11">
      <c r="A556" s="3" t="str">
        <f t="shared" si="27"/>
        <v>2026年</v>
      </c>
      <c r="B556" s="3" t="str">
        <f t="shared" si="28"/>
        <v>1月</v>
      </c>
      <c r="C556" s="4" t="str">
        <f t="shared" si="29"/>
        <v>W3</v>
      </c>
      <c r="D556" s="2" t="s">
        <v>753</v>
      </c>
      <c r="E556" s="2" t="s">
        <v>717</v>
      </c>
      <c r="F556" s="2" t="str" cm="1">
        <f t="array" ref="F556">INDEX(_xlfn.TEXTSPLIT(E556,"-"),2)</f>
        <v>女装</v>
      </c>
      <c r="G556" s="2" t="str" cm="1">
        <f t="array" ref="G556">INDEX(_xlfn.TEXTSPLIT(E556,"-"),3)</f>
        <v>毛针织衫</v>
      </c>
      <c r="H556" s="5">
        <v>2418903</v>
      </c>
      <c r="I556" s="5">
        <v>227086411.25</v>
      </c>
      <c r="J556" s="6">
        <v>0.0458</v>
      </c>
      <c r="K556" s="6">
        <v>0.1059</v>
      </c>
    </row>
    <row r="557" ht="14.5" spans="1:11">
      <c r="A557" s="3" t="str">
        <f t="shared" si="27"/>
        <v>2026年</v>
      </c>
      <c r="B557" s="3" t="str">
        <f t="shared" si="28"/>
        <v>1月</v>
      </c>
      <c r="C557" s="4" t="str">
        <f t="shared" si="29"/>
        <v>W3</v>
      </c>
      <c r="D557" s="2" t="s">
        <v>753</v>
      </c>
      <c r="E557" s="2" t="s">
        <v>718</v>
      </c>
      <c r="F557" s="2" t="str" cm="1">
        <f t="array" ref="F557">INDEX(_xlfn.TEXTSPLIT(E557,"-"),2)</f>
        <v>女装</v>
      </c>
      <c r="G557" s="2" t="str" cm="1">
        <f t="array" ref="G557">INDEX(_xlfn.TEXTSPLIT(E557,"-"),3)</f>
        <v>汉服</v>
      </c>
      <c r="H557" s="5">
        <v>226993</v>
      </c>
      <c r="I557" s="5">
        <v>163940928.58</v>
      </c>
      <c r="J557" s="6">
        <v>0.0331</v>
      </c>
      <c r="K557" s="6">
        <v>1.9013</v>
      </c>
    </row>
    <row r="558" ht="14.5" spans="1:11">
      <c r="A558" s="3" t="str">
        <f t="shared" si="27"/>
        <v>2026年</v>
      </c>
      <c r="B558" s="3" t="str">
        <f t="shared" si="28"/>
        <v>1月</v>
      </c>
      <c r="C558" s="4" t="str">
        <f t="shared" si="29"/>
        <v>W3</v>
      </c>
      <c r="D558" s="2" t="s">
        <v>753</v>
      </c>
      <c r="E558" s="2" t="s">
        <v>719</v>
      </c>
      <c r="F558" s="2" t="str" cm="1">
        <f t="array" ref="F558">INDEX(_xlfn.TEXTSPLIT(E558,"-"),2)</f>
        <v>女装</v>
      </c>
      <c r="G558" s="2" t="str" cm="1">
        <f t="array" ref="G558">INDEX(_xlfn.TEXTSPLIT(E558,"-"),3)</f>
        <v>派克服</v>
      </c>
      <c r="H558" s="5">
        <v>68786</v>
      </c>
      <c r="I558" s="5">
        <v>25993559.58</v>
      </c>
      <c r="J558" s="6">
        <v>0.0052</v>
      </c>
      <c r="K558" s="6">
        <v>0.7821</v>
      </c>
    </row>
    <row r="559" ht="14.5" spans="1:11">
      <c r="A559" s="3" t="str">
        <f t="shared" si="27"/>
        <v>2026年</v>
      </c>
      <c r="B559" s="3" t="str">
        <f t="shared" si="28"/>
        <v>1月</v>
      </c>
      <c r="C559" s="4" t="str">
        <f t="shared" si="29"/>
        <v>W3</v>
      </c>
      <c r="D559" s="2" t="s">
        <v>753</v>
      </c>
      <c r="E559" s="2" t="s">
        <v>720</v>
      </c>
      <c r="F559" s="2" t="str" cm="1">
        <f t="array" ref="F559">INDEX(_xlfn.TEXTSPLIT(E559,"-"),2)</f>
        <v>女装</v>
      </c>
      <c r="G559" s="2" t="str" cm="1">
        <f t="array" ref="G559">INDEX(_xlfn.TEXTSPLIT(E559,"-"),3)</f>
        <v>皮草</v>
      </c>
      <c r="H559" s="5">
        <v>313989</v>
      </c>
      <c r="I559" s="5">
        <v>682151070.54</v>
      </c>
      <c r="J559" s="6">
        <v>0.1376</v>
      </c>
      <c r="K559" s="6">
        <v>0.9952</v>
      </c>
    </row>
    <row r="560" ht="14.5" spans="1:11">
      <c r="A560" s="3" t="str">
        <f t="shared" si="27"/>
        <v>2026年</v>
      </c>
      <c r="B560" s="3" t="str">
        <f t="shared" si="28"/>
        <v>1月</v>
      </c>
      <c r="C560" s="4" t="str">
        <f t="shared" si="29"/>
        <v>W3</v>
      </c>
      <c r="D560" s="2" t="s">
        <v>753</v>
      </c>
      <c r="E560" s="2" t="s">
        <v>721</v>
      </c>
      <c r="F560" s="2" t="str" cm="1">
        <f t="array" ref="F560">INDEX(_xlfn.TEXTSPLIT(E560,"-"),2)</f>
        <v>女装</v>
      </c>
      <c r="G560" s="2" t="str" cm="1">
        <f t="array" ref="G560">INDEX(_xlfn.TEXTSPLIT(E560,"-"),3)</f>
        <v>皮衣</v>
      </c>
      <c r="H560" s="5">
        <v>170660</v>
      </c>
      <c r="I560" s="5">
        <v>78432699.62</v>
      </c>
      <c r="J560" s="6">
        <v>0.0158</v>
      </c>
      <c r="K560" s="6">
        <v>0.7882</v>
      </c>
    </row>
    <row r="561" ht="14.5" spans="1:11">
      <c r="A561" s="3" t="str">
        <f t="shared" si="27"/>
        <v>2026年</v>
      </c>
      <c r="B561" s="3" t="str">
        <f t="shared" si="28"/>
        <v>1月</v>
      </c>
      <c r="C561" s="4" t="str">
        <f t="shared" si="29"/>
        <v>W3</v>
      </c>
      <c r="D561" s="2" t="s">
        <v>753</v>
      </c>
      <c r="E561" s="2" t="s">
        <v>722</v>
      </c>
      <c r="F561" s="2" t="str" cm="1">
        <f t="array" ref="F561">INDEX(_xlfn.TEXTSPLIT(E561,"-"),2)</f>
        <v>女装</v>
      </c>
      <c r="G561" s="2" t="str" cm="1">
        <f t="array" ref="G561">INDEX(_xlfn.TEXTSPLIT(E561,"-"),3)</f>
        <v>短外套</v>
      </c>
      <c r="H561" s="5">
        <v>1762310</v>
      </c>
      <c r="I561" s="5">
        <v>400008547.17</v>
      </c>
      <c r="J561" s="6">
        <v>0.0807</v>
      </c>
      <c r="K561" s="6">
        <v>0.4295</v>
      </c>
    </row>
    <row r="562" ht="14.5" spans="1:11">
      <c r="A562" s="3" t="str">
        <f t="shared" si="27"/>
        <v>2026年</v>
      </c>
      <c r="B562" s="3" t="str">
        <f t="shared" si="28"/>
        <v>1月</v>
      </c>
      <c r="C562" s="4" t="str">
        <f t="shared" si="29"/>
        <v>W3</v>
      </c>
      <c r="D562" s="2" t="s">
        <v>753</v>
      </c>
      <c r="E562" s="2" t="s">
        <v>723</v>
      </c>
      <c r="F562" s="2" t="str" cm="1">
        <f t="array" ref="F562">INDEX(_xlfn.TEXTSPLIT(E562,"-"),2)</f>
        <v>女装</v>
      </c>
      <c r="G562" s="2" t="str" cm="1">
        <f t="array" ref="G562">INDEX(_xlfn.TEXTSPLIT(E562,"-"),3)</f>
        <v>短裤</v>
      </c>
      <c r="H562" s="5">
        <v>129191</v>
      </c>
      <c r="I562" s="5">
        <v>8781224.82</v>
      </c>
      <c r="J562" s="6">
        <v>0.0018</v>
      </c>
      <c r="K562" s="6">
        <v>0.1696</v>
      </c>
    </row>
    <row r="563" ht="14.5" spans="1:11">
      <c r="A563" s="3" t="str">
        <f t="shared" si="27"/>
        <v>2026年</v>
      </c>
      <c r="B563" s="3" t="str">
        <f t="shared" si="28"/>
        <v>1月</v>
      </c>
      <c r="C563" s="4" t="str">
        <f t="shared" si="29"/>
        <v>W3</v>
      </c>
      <c r="D563" s="2" t="s">
        <v>753</v>
      </c>
      <c r="E563" s="2" t="s">
        <v>724</v>
      </c>
      <c r="F563" s="2" t="str" cm="1">
        <f t="array" ref="F563">INDEX(_xlfn.TEXTSPLIT(E563,"-"),2)</f>
        <v>女装</v>
      </c>
      <c r="G563" s="2" t="str" cm="1">
        <f t="array" ref="G563">INDEX(_xlfn.TEXTSPLIT(E563,"-"),3)</f>
        <v>羊毛衫</v>
      </c>
      <c r="H563" s="5">
        <v>534837</v>
      </c>
      <c r="I563" s="5">
        <v>81458762.65</v>
      </c>
      <c r="J563" s="6">
        <v>0.0164</v>
      </c>
      <c r="K563" s="6">
        <v>0.1689</v>
      </c>
    </row>
    <row r="564" ht="14.5" spans="1:11">
      <c r="A564" s="3" t="str">
        <f t="shared" si="27"/>
        <v>2026年</v>
      </c>
      <c r="B564" s="3" t="str">
        <f t="shared" si="28"/>
        <v>1月</v>
      </c>
      <c r="C564" s="4" t="str">
        <f t="shared" si="29"/>
        <v>W3</v>
      </c>
      <c r="D564" s="2" t="s">
        <v>753</v>
      </c>
      <c r="E564" s="2" t="s">
        <v>725</v>
      </c>
      <c r="F564" s="2" t="str" cm="1">
        <f t="array" ref="F564">INDEX(_xlfn.TEXTSPLIT(E564,"-"),2)</f>
        <v>女装</v>
      </c>
      <c r="G564" s="2" t="str" cm="1">
        <f t="array" ref="G564">INDEX(_xlfn.TEXTSPLIT(E564,"-"),3)</f>
        <v>羊绒大衣</v>
      </c>
      <c r="H564" s="5">
        <v>10474</v>
      </c>
      <c r="I564" s="5">
        <v>5277385.16</v>
      </c>
      <c r="J564" s="6">
        <v>0.0011</v>
      </c>
      <c r="K564" s="6">
        <v>0.4798</v>
      </c>
    </row>
    <row r="565" ht="14.5" spans="1:11">
      <c r="A565" s="3" t="str">
        <f t="shared" si="27"/>
        <v>2026年</v>
      </c>
      <c r="B565" s="3" t="str">
        <f t="shared" si="28"/>
        <v>1月</v>
      </c>
      <c r="C565" s="4" t="str">
        <f t="shared" si="29"/>
        <v>W3</v>
      </c>
      <c r="D565" s="2" t="s">
        <v>753</v>
      </c>
      <c r="E565" s="2" t="s">
        <v>726</v>
      </c>
      <c r="F565" s="2" t="str" cm="1">
        <f t="array" ref="F565">INDEX(_xlfn.TEXTSPLIT(E565,"-"),2)</f>
        <v>女装</v>
      </c>
      <c r="G565" s="2" t="str" cm="1">
        <f t="array" ref="G565">INDEX(_xlfn.TEXTSPLIT(E565,"-"),3)</f>
        <v>羊绒衫</v>
      </c>
      <c r="H565" s="5">
        <v>178466</v>
      </c>
      <c r="I565" s="5">
        <v>73069547.16</v>
      </c>
      <c r="J565" s="6">
        <v>0.0147</v>
      </c>
      <c r="K565" s="6">
        <v>0.7462</v>
      </c>
    </row>
    <row r="566" ht="14.5" spans="1:11">
      <c r="A566" s="3" t="str">
        <f t="shared" si="27"/>
        <v>2026年</v>
      </c>
      <c r="B566" s="3" t="str">
        <f t="shared" si="28"/>
        <v>1月</v>
      </c>
      <c r="C566" s="4" t="str">
        <f t="shared" si="29"/>
        <v>W3</v>
      </c>
      <c r="D566" s="2" t="s">
        <v>753</v>
      </c>
      <c r="E566" s="2" t="s">
        <v>727</v>
      </c>
      <c r="F566" s="2" t="str" cm="1">
        <f t="array" ref="F566">INDEX(_xlfn.TEXTSPLIT(E566,"-"),2)</f>
        <v>女装</v>
      </c>
      <c r="G566" s="2" t="str" cm="1">
        <f t="array" ref="G566">INDEX(_xlfn.TEXTSPLIT(E566,"-"),3)</f>
        <v>羽绒服</v>
      </c>
      <c r="H566" s="5">
        <v>2366644</v>
      </c>
      <c r="I566" s="5">
        <v>1033662077.97</v>
      </c>
      <c r="J566" s="6">
        <v>0.2085</v>
      </c>
      <c r="K566" s="6">
        <v>0.4827</v>
      </c>
    </row>
    <row r="567" ht="14.5" spans="1:11">
      <c r="A567" s="3" t="str">
        <f t="shared" si="27"/>
        <v>2026年</v>
      </c>
      <c r="B567" s="3" t="str">
        <f t="shared" si="28"/>
        <v>1月</v>
      </c>
      <c r="C567" s="4" t="str">
        <f t="shared" si="29"/>
        <v>W3</v>
      </c>
      <c r="D567" s="2" t="s">
        <v>753</v>
      </c>
      <c r="E567" s="2" t="s">
        <v>728</v>
      </c>
      <c r="F567" s="2" t="str" cm="1">
        <f t="array" ref="F567">INDEX(_xlfn.TEXTSPLIT(E567,"-"),2)</f>
        <v>女装</v>
      </c>
      <c r="G567" s="2" t="str" cm="1">
        <f t="array" ref="G567">INDEX(_xlfn.TEXTSPLIT(E567,"-"),3)</f>
        <v>肌底衣/肌肤衣</v>
      </c>
      <c r="H567" s="5">
        <v>4136</v>
      </c>
      <c r="I567" s="5">
        <v>298542.72</v>
      </c>
      <c r="J567" s="6">
        <v>0.0001</v>
      </c>
      <c r="K567" s="6">
        <v>-0.0129</v>
      </c>
    </row>
    <row r="568" ht="14.5" spans="1:11">
      <c r="A568" s="3" t="str">
        <f t="shared" si="27"/>
        <v>2026年</v>
      </c>
      <c r="B568" s="3" t="str">
        <f t="shared" si="28"/>
        <v>1月</v>
      </c>
      <c r="C568" s="4" t="str">
        <f t="shared" si="29"/>
        <v>W3</v>
      </c>
      <c r="D568" s="2" t="s">
        <v>753</v>
      </c>
      <c r="E568" s="2" t="s">
        <v>729</v>
      </c>
      <c r="F568" s="2" t="str" cm="1">
        <f t="array" ref="F568">INDEX(_xlfn.TEXTSPLIT(E568,"-"),2)</f>
        <v>女装</v>
      </c>
      <c r="G568" s="2" t="str" cm="1">
        <f t="array" ref="G568">INDEX(_xlfn.TEXTSPLIT(E568,"-"),3)</f>
        <v>背心吊带</v>
      </c>
      <c r="H568" s="5">
        <v>233049</v>
      </c>
      <c r="I568" s="5">
        <v>14534555.4</v>
      </c>
      <c r="J568" s="6">
        <v>0.0029</v>
      </c>
      <c r="K568" s="6">
        <v>0.1442</v>
      </c>
    </row>
    <row r="569" ht="14.5" spans="1:11">
      <c r="A569" s="3" t="str">
        <f t="shared" si="27"/>
        <v>2026年</v>
      </c>
      <c r="B569" s="3" t="str">
        <f t="shared" si="28"/>
        <v>1月</v>
      </c>
      <c r="C569" s="4" t="str">
        <f t="shared" si="29"/>
        <v>W3</v>
      </c>
      <c r="D569" s="2" t="s">
        <v>753</v>
      </c>
      <c r="E569" s="2" t="s">
        <v>730</v>
      </c>
      <c r="F569" s="2" t="str" cm="1">
        <f t="array" ref="F569">INDEX(_xlfn.TEXTSPLIT(E569,"-"),2)</f>
        <v>女装</v>
      </c>
      <c r="G569" s="2" t="str" cm="1">
        <f t="array" ref="G569">INDEX(_xlfn.TEXTSPLIT(E569,"-"),3)</f>
        <v>蕾丝衫/雪纺衫</v>
      </c>
      <c r="H569" s="5">
        <v>207172</v>
      </c>
      <c r="I569" s="5">
        <v>16318291.13</v>
      </c>
      <c r="J569" s="6">
        <v>0.0033</v>
      </c>
      <c r="K569" s="6">
        <v>0.0242</v>
      </c>
    </row>
    <row r="570" ht="14.5" spans="1:11">
      <c r="A570" s="3" t="str">
        <f t="shared" si="27"/>
        <v>2026年</v>
      </c>
      <c r="B570" s="3" t="str">
        <f t="shared" si="28"/>
        <v>1月</v>
      </c>
      <c r="C570" s="4" t="str">
        <f t="shared" si="29"/>
        <v>W3</v>
      </c>
      <c r="D570" s="2" t="s">
        <v>753</v>
      </c>
      <c r="E570" s="2" t="s">
        <v>731</v>
      </c>
      <c r="F570" s="2" t="str" cm="1">
        <f t="array" ref="F570">INDEX(_xlfn.TEXTSPLIT(E570,"-"),2)</f>
        <v>女装</v>
      </c>
      <c r="G570" s="2" t="str" cm="1">
        <f t="array" ref="G570">INDEX(_xlfn.TEXTSPLIT(E570,"-"),3)</f>
        <v>衬衫</v>
      </c>
      <c r="H570" s="5">
        <v>580683</v>
      </c>
      <c r="I570" s="5">
        <v>74475286.77</v>
      </c>
      <c r="J570" s="6">
        <v>0.015</v>
      </c>
      <c r="K570" s="6">
        <v>0.219</v>
      </c>
    </row>
    <row r="571" ht="14.5" spans="1:11">
      <c r="A571" s="3" t="str">
        <f t="shared" si="27"/>
        <v>2026年</v>
      </c>
      <c r="B571" s="3" t="str">
        <f t="shared" si="28"/>
        <v>1月</v>
      </c>
      <c r="C571" s="4" t="str">
        <f t="shared" si="29"/>
        <v>W3</v>
      </c>
      <c r="D571" s="2" t="s">
        <v>753</v>
      </c>
      <c r="E571" s="2" t="s">
        <v>732</v>
      </c>
      <c r="F571" s="2" t="str" cm="1">
        <f t="array" ref="F571">INDEX(_xlfn.TEXTSPLIT(E571,"-"),2)</f>
        <v>女装</v>
      </c>
      <c r="G571" s="2" t="str" cm="1">
        <f t="array" ref="G571">INDEX(_xlfn.TEXTSPLIT(E571,"-"),3)</f>
        <v>裤子</v>
      </c>
      <c r="H571" s="5">
        <v>4859124</v>
      </c>
      <c r="I571" s="5">
        <v>525216371.32</v>
      </c>
      <c r="J571" s="6">
        <v>0.1059</v>
      </c>
      <c r="K571" s="6">
        <v>0.1334</v>
      </c>
    </row>
    <row r="572" ht="14.5" spans="1:11">
      <c r="A572" s="3" t="str">
        <f t="shared" si="27"/>
        <v>2026年</v>
      </c>
      <c r="B572" s="3" t="str">
        <f t="shared" si="28"/>
        <v>1月</v>
      </c>
      <c r="C572" s="4" t="str">
        <f t="shared" si="29"/>
        <v>W3</v>
      </c>
      <c r="D572" s="2" t="s">
        <v>753</v>
      </c>
      <c r="E572" s="2" t="s">
        <v>733</v>
      </c>
      <c r="F572" s="2" t="str" cm="1">
        <f t="array" ref="F572">INDEX(_xlfn.TEXTSPLIT(E572,"-"),2)</f>
        <v>女装</v>
      </c>
      <c r="G572" s="2" t="str" cm="1">
        <f t="array" ref="G572">INDEX(_xlfn.TEXTSPLIT(E572,"-"),3)</f>
        <v>西装</v>
      </c>
      <c r="H572" s="5">
        <v>59374</v>
      </c>
      <c r="I572" s="5">
        <v>18574388.21</v>
      </c>
      <c r="J572" s="6">
        <v>0.0037</v>
      </c>
      <c r="K572" s="6">
        <v>0.4197</v>
      </c>
    </row>
    <row r="573" ht="14.5" spans="1:11">
      <c r="A573" s="3" t="str">
        <f t="shared" si="27"/>
        <v>2026年</v>
      </c>
      <c r="B573" s="3" t="str">
        <f t="shared" si="28"/>
        <v>1月</v>
      </c>
      <c r="C573" s="4" t="str">
        <f t="shared" si="29"/>
        <v>W3</v>
      </c>
      <c r="D573" s="2" t="s">
        <v>753</v>
      </c>
      <c r="E573" s="2" t="s">
        <v>734</v>
      </c>
      <c r="F573" s="2" t="str" cm="1">
        <f t="array" ref="F573">INDEX(_xlfn.TEXTSPLIT(E573,"-"),2)</f>
        <v>女装</v>
      </c>
      <c r="G573" s="2" t="str" cm="1">
        <f t="array" ref="G573">INDEX(_xlfn.TEXTSPLIT(E573,"-"),3)</f>
        <v>设计师/潮牌女装</v>
      </c>
      <c r="H573" s="5">
        <v>535946</v>
      </c>
      <c r="I573" s="5">
        <v>75064679.86</v>
      </c>
      <c r="J573" s="6">
        <v>0.0151</v>
      </c>
      <c r="K573" s="6">
        <v>0.0803</v>
      </c>
    </row>
    <row r="574" ht="14.5" spans="1:11">
      <c r="A574" s="3" t="str">
        <f t="shared" si="27"/>
        <v>2026年</v>
      </c>
      <c r="B574" s="3" t="str">
        <f t="shared" si="28"/>
        <v>1月</v>
      </c>
      <c r="C574" s="4" t="str">
        <f t="shared" si="29"/>
        <v>W3</v>
      </c>
      <c r="D574" s="2" t="s">
        <v>753</v>
      </c>
      <c r="E574" s="2" t="s">
        <v>735</v>
      </c>
      <c r="F574" s="2" t="str" cm="1">
        <f t="array" ref="F574">INDEX(_xlfn.TEXTSPLIT(E574,"-"),2)</f>
        <v>女装</v>
      </c>
      <c r="G574" s="2" t="str" cm="1">
        <f t="array" ref="G574">INDEX(_xlfn.TEXTSPLIT(E574,"-"),3)</f>
        <v>连体衣/裤</v>
      </c>
      <c r="H574" s="5">
        <v>11899</v>
      </c>
      <c r="I574" s="5">
        <v>1919809.94</v>
      </c>
      <c r="J574" s="6">
        <v>0.0004</v>
      </c>
      <c r="K574" s="6">
        <v>0.1602</v>
      </c>
    </row>
    <row r="575" ht="14.5" spans="1:11">
      <c r="A575" s="3" t="str">
        <f t="shared" si="27"/>
        <v>2026年</v>
      </c>
      <c r="B575" s="3" t="str">
        <f t="shared" si="28"/>
        <v>1月</v>
      </c>
      <c r="C575" s="4" t="str">
        <f t="shared" si="29"/>
        <v>W3</v>
      </c>
      <c r="D575" s="2" t="s">
        <v>753</v>
      </c>
      <c r="E575" s="2" t="s">
        <v>736</v>
      </c>
      <c r="F575" s="2" t="str" cm="1">
        <f t="array" ref="F575">INDEX(_xlfn.TEXTSPLIT(E575,"-"),2)</f>
        <v>女装</v>
      </c>
      <c r="G575" s="2" t="str" cm="1">
        <f t="array" ref="G575">INDEX(_xlfn.TEXTSPLIT(E575,"-"),3)</f>
        <v>连衣裙</v>
      </c>
      <c r="H575" s="5">
        <v>870067</v>
      </c>
      <c r="I575" s="5">
        <v>133483636.53</v>
      </c>
      <c r="J575" s="6">
        <v>0.0269</v>
      </c>
      <c r="K575" s="6">
        <v>0.1353</v>
      </c>
    </row>
    <row r="576" ht="14.5" spans="1:11">
      <c r="A576" s="3" t="str">
        <f t="shared" si="27"/>
        <v>2026年</v>
      </c>
      <c r="B576" s="3" t="str">
        <f t="shared" si="28"/>
        <v>1月</v>
      </c>
      <c r="C576" s="4" t="str">
        <f t="shared" si="29"/>
        <v>W3</v>
      </c>
      <c r="D576" s="2" t="s">
        <v>753</v>
      </c>
      <c r="E576" s="2" t="s">
        <v>737</v>
      </c>
      <c r="F576" s="2" t="str" cm="1">
        <f t="array" ref="F576">INDEX(_xlfn.TEXTSPLIT(E576,"-"),2)</f>
        <v>女装</v>
      </c>
      <c r="G576" s="2" t="str" cm="1">
        <f t="array" ref="G576">INDEX(_xlfn.TEXTSPLIT(E576,"-"),3)</f>
        <v>风衣</v>
      </c>
      <c r="H576" s="5">
        <v>116990</v>
      </c>
      <c r="I576" s="5">
        <v>18624807.41</v>
      </c>
      <c r="J576" s="6">
        <v>0.0038</v>
      </c>
      <c r="K576" s="6">
        <v>0.2925</v>
      </c>
    </row>
    <row r="577" ht="14.5" spans="1:11">
      <c r="A577" s="3" t="str">
        <f t="shared" si="27"/>
        <v>2026年</v>
      </c>
      <c r="B577" s="3" t="str">
        <f t="shared" si="28"/>
        <v>1月</v>
      </c>
      <c r="C577" s="4" t="str">
        <f t="shared" si="29"/>
        <v>W3</v>
      </c>
      <c r="D577" s="2" t="s">
        <v>753</v>
      </c>
      <c r="E577" s="2" t="s">
        <v>738</v>
      </c>
      <c r="F577" s="2" t="str" cm="1">
        <f t="array" ref="F577">INDEX(_xlfn.TEXTSPLIT(E577,"-"),2)</f>
        <v>女装</v>
      </c>
      <c r="G577" s="2" t="str" cm="1">
        <f t="array" ref="G577">INDEX(_xlfn.TEXTSPLIT(E577,"-"),3)</f>
        <v>马夹</v>
      </c>
      <c r="H577" s="5">
        <v>448795</v>
      </c>
      <c r="I577" s="5">
        <v>60913274.21</v>
      </c>
      <c r="J577" s="6">
        <v>0.0123</v>
      </c>
      <c r="K577" s="6">
        <v>0.2751</v>
      </c>
    </row>
    <row r="578" ht="14.5" spans="1:11">
      <c r="A578" s="3" t="str">
        <f t="shared" si="27"/>
        <v>2026年</v>
      </c>
      <c r="B578" s="3" t="str">
        <f t="shared" si="28"/>
        <v>1月</v>
      </c>
      <c r="C578" s="4" t="str">
        <f t="shared" si="29"/>
        <v>W3</v>
      </c>
      <c r="D578" s="2" t="s">
        <v>754</v>
      </c>
      <c r="E578" s="2" t="s">
        <v>702</v>
      </c>
      <c r="F578" s="2" t="str" cm="1">
        <f t="array" ref="F578">INDEX(_xlfn.TEXTSPLIT(E578,"-"),2)</f>
        <v>女装</v>
      </c>
      <c r="G578" s="2" t="str" cm="1">
        <f t="array" ref="G578">INDEX(_xlfn.TEXTSPLIT(E578,"-"),3)</f>
        <v>POLO衫</v>
      </c>
      <c r="H578" s="5">
        <v>19662</v>
      </c>
      <c r="I578" s="5">
        <v>1985438.65</v>
      </c>
      <c r="J578" s="6">
        <v>0.0005</v>
      </c>
      <c r="K578" s="6">
        <v>0.4034</v>
      </c>
    </row>
    <row r="579" ht="14.5" spans="1:11">
      <c r="A579" s="3" t="str">
        <f t="shared" si="27"/>
        <v>2026年</v>
      </c>
      <c r="B579" s="3" t="str">
        <f t="shared" si="28"/>
        <v>1月</v>
      </c>
      <c r="C579" s="4" t="str">
        <f t="shared" si="29"/>
        <v>W3</v>
      </c>
      <c r="D579" s="2" t="s">
        <v>754</v>
      </c>
      <c r="E579" s="2" t="s">
        <v>703</v>
      </c>
      <c r="F579" s="2" t="str" cm="1">
        <f t="array" ref="F579">INDEX(_xlfn.TEXTSPLIT(E579,"-"),2)</f>
        <v>女装</v>
      </c>
      <c r="G579" s="2" t="str" cm="1">
        <f t="array" ref="G579">INDEX(_xlfn.TEXTSPLIT(E579,"-"),3)</f>
        <v>T恤</v>
      </c>
      <c r="H579" s="5">
        <v>1542740</v>
      </c>
      <c r="I579" s="5">
        <v>92556155.68</v>
      </c>
      <c r="J579" s="6">
        <v>0.022</v>
      </c>
      <c r="K579" s="6">
        <v>-0.0906</v>
      </c>
    </row>
    <row r="580" ht="14.5" spans="1:11">
      <c r="A580" s="3" t="str">
        <f t="shared" si="27"/>
        <v>2026年</v>
      </c>
      <c r="B580" s="3" t="str">
        <f t="shared" si="28"/>
        <v>1月</v>
      </c>
      <c r="C580" s="4" t="str">
        <f t="shared" si="29"/>
        <v>W3</v>
      </c>
      <c r="D580" s="2" t="s">
        <v>754</v>
      </c>
      <c r="E580" s="2" t="s">
        <v>704</v>
      </c>
      <c r="F580" s="2" t="str" cm="1">
        <f t="array" ref="F580">INDEX(_xlfn.TEXTSPLIT(E580,"-"),2)</f>
        <v>女装</v>
      </c>
      <c r="G580" s="2" t="str" cm="1">
        <f t="array" ref="G580">INDEX(_xlfn.TEXTSPLIT(E580,"-"),3)</f>
        <v>中老年女装</v>
      </c>
      <c r="H580" s="5">
        <v>436577</v>
      </c>
      <c r="I580" s="5">
        <v>52659493.79</v>
      </c>
      <c r="J580" s="6">
        <v>0.0125</v>
      </c>
      <c r="K580" s="6">
        <v>-0.0336</v>
      </c>
    </row>
    <row r="581" ht="14.5" spans="1:11">
      <c r="A581" s="3" t="str">
        <f t="shared" si="27"/>
        <v>2026年</v>
      </c>
      <c r="B581" s="3" t="str">
        <f t="shared" si="28"/>
        <v>1月</v>
      </c>
      <c r="C581" s="4" t="str">
        <f t="shared" si="29"/>
        <v>W3</v>
      </c>
      <c r="D581" s="2" t="s">
        <v>754</v>
      </c>
      <c r="E581" s="2" t="s">
        <v>705</v>
      </c>
      <c r="F581" s="2" t="str" cm="1">
        <f t="array" ref="F581">INDEX(_xlfn.TEXTSPLIT(E581,"-"),2)</f>
        <v>女装</v>
      </c>
      <c r="G581" s="2" t="str" cm="1">
        <f t="array" ref="G581">INDEX(_xlfn.TEXTSPLIT(E581,"-"),3)</f>
        <v>半身裙</v>
      </c>
      <c r="H581" s="5">
        <v>847614</v>
      </c>
      <c r="I581" s="5">
        <v>85604502.55</v>
      </c>
      <c r="J581" s="6">
        <v>0.0204</v>
      </c>
      <c r="K581" s="6">
        <v>-0.0707</v>
      </c>
    </row>
    <row r="582" ht="14.5" spans="1:11">
      <c r="A582" s="3" t="str">
        <f t="shared" si="27"/>
        <v>2026年</v>
      </c>
      <c r="B582" s="3" t="str">
        <f t="shared" si="28"/>
        <v>1月</v>
      </c>
      <c r="C582" s="4" t="str">
        <f t="shared" si="29"/>
        <v>W3</v>
      </c>
      <c r="D582" s="2" t="s">
        <v>754</v>
      </c>
      <c r="E582" s="2" t="s">
        <v>706</v>
      </c>
      <c r="F582" s="2" t="str" cm="1">
        <f t="array" ref="F582">INDEX(_xlfn.TEXTSPLIT(E582,"-"),2)</f>
        <v>女装</v>
      </c>
      <c r="G582" s="2" t="str" cm="1">
        <f t="array" ref="G582">INDEX(_xlfn.TEXTSPLIT(E582,"-"),3)</f>
        <v>卫衣/绒衫</v>
      </c>
      <c r="H582" s="5">
        <v>481253</v>
      </c>
      <c r="I582" s="5">
        <v>41120380.68</v>
      </c>
      <c r="J582" s="6">
        <v>0.0098</v>
      </c>
      <c r="K582" s="6">
        <v>-0.1218</v>
      </c>
    </row>
    <row r="583" ht="14.5" spans="1:11">
      <c r="A583" s="3" t="str">
        <f t="shared" si="27"/>
        <v>2026年</v>
      </c>
      <c r="B583" s="3" t="str">
        <f t="shared" si="28"/>
        <v>1月</v>
      </c>
      <c r="C583" s="4" t="str">
        <f t="shared" si="29"/>
        <v>W3</v>
      </c>
      <c r="D583" s="2" t="s">
        <v>754</v>
      </c>
      <c r="E583" s="2" t="s">
        <v>707</v>
      </c>
      <c r="F583" s="2" t="str" cm="1">
        <f t="array" ref="F583">INDEX(_xlfn.TEXTSPLIT(E583,"-"),2)</f>
        <v>女装</v>
      </c>
      <c r="G583" s="2" t="str" cm="1">
        <f t="array" ref="G583">INDEX(_xlfn.TEXTSPLIT(E583,"-"),3)</f>
        <v>唐装/民族服装/舞台服装</v>
      </c>
      <c r="H583" s="5">
        <v>248910</v>
      </c>
      <c r="I583" s="5">
        <v>51659947.08</v>
      </c>
      <c r="J583" s="6">
        <v>0.0123</v>
      </c>
      <c r="K583" s="6">
        <v>-0.2001</v>
      </c>
    </row>
    <row r="584" ht="14.5" spans="1:11">
      <c r="A584" s="3" t="str">
        <f t="shared" si="27"/>
        <v>2026年</v>
      </c>
      <c r="B584" s="3" t="str">
        <f t="shared" si="28"/>
        <v>1月</v>
      </c>
      <c r="C584" s="4" t="str">
        <f t="shared" si="29"/>
        <v>W3</v>
      </c>
      <c r="D584" s="2" t="s">
        <v>754</v>
      </c>
      <c r="E584" s="2" t="s">
        <v>708</v>
      </c>
      <c r="F584" s="2" t="str" cm="1">
        <f t="array" ref="F584">INDEX(_xlfn.TEXTSPLIT(E584,"-"),2)</f>
        <v>女装</v>
      </c>
      <c r="G584" s="2" t="str" cm="1">
        <f t="array" ref="G584">INDEX(_xlfn.TEXTSPLIT(E584,"-"),3)</f>
        <v>大码女装</v>
      </c>
      <c r="H584" s="5">
        <v>765391</v>
      </c>
      <c r="I584" s="5">
        <v>63057520.22</v>
      </c>
      <c r="J584" s="6">
        <v>0.015</v>
      </c>
      <c r="K584" s="6">
        <v>0.027</v>
      </c>
    </row>
    <row r="585" ht="14.5" spans="1:11">
      <c r="A585" s="3" t="str">
        <f t="shared" si="27"/>
        <v>2026年</v>
      </c>
      <c r="B585" s="3" t="str">
        <f t="shared" si="28"/>
        <v>1月</v>
      </c>
      <c r="C585" s="4" t="str">
        <f t="shared" si="29"/>
        <v>W3</v>
      </c>
      <c r="D585" s="2" t="s">
        <v>754</v>
      </c>
      <c r="E585" s="2" t="s">
        <v>709</v>
      </c>
      <c r="F585" s="2" t="str" cm="1">
        <f t="array" ref="F585">INDEX(_xlfn.TEXTSPLIT(E585,"-"),2)</f>
        <v>女装</v>
      </c>
      <c r="G585" s="2" t="str" cm="1">
        <f t="array" ref="G585">INDEX(_xlfn.TEXTSPLIT(E585,"-"),3)</f>
        <v>套装/学生校服/工作制服</v>
      </c>
      <c r="H585" s="5">
        <v>1120416</v>
      </c>
      <c r="I585" s="5">
        <v>150789699.85</v>
      </c>
      <c r="J585" s="6">
        <v>0.0359</v>
      </c>
      <c r="K585" s="6">
        <v>-0.0802</v>
      </c>
    </row>
    <row r="586" ht="14.5" spans="1:11">
      <c r="A586" s="3" t="str">
        <f t="shared" si="27"/>
        <v>2026年</v>
      </c>
      <c r="B586" s="3" t="str">
        <f t="shared" si="28"/>
        <v>1月</v>
      </c>
      <c r="C586" s="4" t="str">
        <f t="shared" si="29"/>
        <v>W3</v>
      </c>
      <c r="D586" s="2" t="s">
        <v>754</v>
      </c>
      <c r="E586" s="2" t="s">
        <v>710</v>
      </c>
      <c r="F586" s="2" t="str" cm="1">
        <f t="array" ref="F586">INDEX(_xlfn.TEXTSPLIT(E586,"-"),2)</f>
        <v>女装</v>
      </c>
      <c r="G586" s="2" t="str" cm="1">
        <f t="array" ref="G586">INDEX(_xlfn.TEXTSPLIT(E586,"-"),3)</f>
        <v>婚纱/旗袍/礼服</v>
      </c>
      <c r="H586" s="5">
        <v>63494</v>
      </c>
      <c r="I586" s="5">
        <v>11273749.69</v>
      </c>
      <c r="J586" s="6">
        <v>0.0027</v>
      </c>
      <c r="K586" s="6">
        <v>-0.1398</v>
      </c>
    </row>
    <row r="587" ht="14.5" spans="1:11">
      <c r="A587" s="3" t="str">
        <f t="shared" si="27"/>
        <v>2026年</v>
      </c>
      <c r="B587" s="3" t="str">
        <f t="shared" si="28"/>
        <v>1月</v>
      </c>
      <c r="C587" s="4" t="str">
        <f t="shared" si="29"/>
        <v>W3</v>
      </c>
      <c r="D587" s="2" t="s">
        <v>754</v>
      </c>
      <c r="E587" s="2" t="s">
        <v>711</v>
      </c>
      <c r="F587" s="2" t="str" cm="1">
        <f t="array" ref="F587">INDEX(_xlfn.TEXTSPLIT(E587,"-"),2)</f>
        <v>女装</v>
      </c>
      <c r="G587" s="2" t="str" cm="1">
        <f t="array" ref="G587">INDEX(_xlfn.TEXTSPLIT(E587,"-"),3)</f>
        <v>新中式女装</v>
      </c>
      <c r="H587" s="5">
        <v>114032</v>
      </c>
      <c r="I587" s="5">
        <v>26530186.57</v>
      </c>
      <c r="J587" s="6">
        <v>0.0063</v>
      </c>
      <c r="K587" s="6">
        <v>0.6402</v>
      </c>
    </row>
    <row r="588" ht="14.5" spans="1:11">
      <c r="A588" s="3" t="str">
        <f t="shared" si="27"/>
        <v>2026年</v>
      </c>
      <c r="B588" s="3" t="str">
        <f t="shared" si="28"/>
        <v>1月</v>
      </c>
      <c r="C588" s="4" t="str">
        <f t="shared" si="29"/>
        <v>W3</v>
      </c>
      <c r="D588" s="2" t="s">
        <v>754</v>
      </c>
      <c r="E588" s="2" t="s">
        <v>712</v>
      </c>
      <c r="F588" s="2" t="str" cm="1">
        <f t="array" ref="F588">INDEX(_xlfn.TEXTSPLIT(E588,"-"),2)</f>
        <v>女装</v>
      </c>
      <c r="G588" s="2" t="str" cm="1">
        <f t="array" ref="G588">INDEX(_xlfn.TEXTSPLIT(E588,"-"),3)</f>
        <v>时尚防晒服</v>
      </c>
      <c r="H588" s="5">
        <v>520</v>
      </c>
      <c r="I588" s="5">
        <v>58856.91</v>
      </c>
      <c r="J588" s="2" t="s">
        <v>713</v>
      </c>
      <c r="K588" s="6">
        <v>0.0191</v>
      </c>
    </row>
    <row r="589" ht="14.5" spans="1:11">
      <c r="A589" s="3" t="str">
        <f t="shared" si="27"/>
        <v>2026年</v>
      </c>
      <c r="B589" s="3" t="str">
        <f t="shared" si="28"/>
        <v>1月</v>
      </c>
      <c r="C589" s="4" t="str">
        <f t="shared" si="29"/>
        <v>W3</v>
      </c>
      <c r="D589" s="2" t="s">
        <v>754</v>
      </c>
      <c r="E589" s="2" t="s">
        <v>714</v>
      </c>
      <c r="F589" s="2" t="str" cm="1">
        <f t="array" ref="F589">INDEX(_xlfn.TEXTSPLIT(E589,"-"),2)</f>
        <v>女装</v>
      </c>
      <c r="G589" s="2" t="str" cm="1">
        <f t="array" ref="G589">INDEX(_xlfn.TEXTSPLIT(E589,"-"),3)</f>
        <v>棉衣/棉服</v>
      </c>
      <c r="H589" s="5">
        <v>781048</v>
      </c>
      <c r="I589" s="5">
        <v>91873764.05</v>
      </c>
      <c r="J589" s="6">
        <v>0.0219</v>
      </c>
      <c r="K589" s="6">
        <v>-0.1245</v>
      </c>
    </row>
    <row r="590" ht="14.5" spans="1:11">
      <c r="A590" s="3" t="str">
        <f t="shared" si="27"/>
        <v>2026年</v>
      </c>
      <c r="B590" s="3" t="str">
        <f t="shared" si="28"/>
        <v>1月</v>
      </c>
      <c r="C590" s="4" t="str">
        <f t="shared" si="29"/>
        <v>W3</v>
      </c>
      <c r="D590" s="2" t="s">
        <v>754</v>
      </c>
      <c r="E590" s="2" t="s">
        <v>715</v>
      </c>
      <c r="F590" s="2" t="str" cm="1">
        <f t="array" ref="F590">INDEX(_xlfn.TEXTSPLIT(E590,"-"),2)</f>
        <v>女装</v>
      </c>
      <c r="G590" s="2" t="str" cm="1">
        <f t="array" ref="G590">INDEX(_xlfn.TEXTSPLIT(E590,"-"),3)</f>
        <v>毛呢外套</v>
      </c>
      <c r="H590" s="5">
        <v>924030</v>
      </c>
      <c r="I590" s="5">
        <v>367512394.51</v>
      </c>
      <c r="J590" s="6">
        <v>0.0875</v>
      </c>
      <c r="K590" s="6">
        <v>-0.1923</v>
      </c>
    </row>
    <row r="591" ht="14.5" spans="1:11">
      <c r="A591" s="3" t="str">
        <f t="shared" si="27"/>
        <v>2026年</v>
      </c>
      <c r="B591" s="3" t="str">
        <f t="shared" si="28"/>
        <v>1月</v>
      </c>
      <c r="C591" s="4" t="str">
        <f t="shared" si="29"/>
        <v>W3</v>
      </c>
      <c r="D591" s="2" t="s">
        <v>754</v>
      </c>
      <c r="E591" s="2" t="s">
        <v>716</v>
      </c>
      <c r="F591" s="2" t="str" cm="1">
        <f t="array" ref="F591">INDEX(_xlfn.TEXTSPLIT(E591,"-"),2)</f>
        <v>女装</v>
      </c>
      <c r="G591" s="2" t="str" cm="1">
        <f t="array" ref="G591">INDEX(_xlfn.TEXTSPLIT(E591,"-"),3)</f>
        <v>毛衣</v>
      </c>
      <c r="H591" s="5">
        <v>544803</v>
      </c>
      <c r="I591" s="5">
        <v>51479942.61</v>
      </c>
      <c r="J591" s="6">
        <v>0.0123</v>
      </c>
      <c r="K591" s="6">
        <v>-0.1788</v>
      </c>
    </row>
    <row r="592" ht="14.5" spans="1:11">
      <c r="A592" s="3" t="str">
        <f t="shared" si="27"/>
        <v>2026年</v>
      </c>
      <c r="B592" s="3" t="str">
        <f t="shared" si="28"/>
        <v>1月</v>
      </c>
      <c r="C592" s="4" t="str">
        <f t="shared" si="29"/>
        <v>W3</v>
      </c>
      <c r="D592" s="2" t="s">
        <v>754</v>
      </c>
      <c r="E592" s="2" t="s">
        <v>717</v>
      </c>
      <c r="F592" s="2" t="str" cm="1">
        <f t="array" ref="F592">INDEX(_xlfn.TEXTSPLIT(E592,"-"),2)</f>
        <v>女装</v>
      </c>
      <c r="G592" s="2" t="str" cm="1">
        <f t="array" ref="G592">INDEX(_xlfn.TEXTSPLIT(E592,"-"),3)</f>
        <v>毛针织衫</v>
      </c>
      <c r="H592" s="5">
        <v>2533125</v>
      </c>
      <c r="I592" s="5">
        <v>218436487.63</v>
      </c>
      <c r="J592" s="6">
        <v>0.052</v>
      </c>
      <c r="K592" s="6">
        <v>-0.0381</v>
      </c>
    </row>
    <row r="593" ht="14.5" spans="1:11">
      <c r="A593" s="3" t="str">
        <f t="shared" si="27"/>
        <v>2026年</v>
      </c>
      <c r="B593" s="3" t="str">
        <f t="shared" si="28"/>
        <v>1月</v>
      </c>
      <c r="C593" s="4" t="str">
        <f t="shared" si="29"/>
        <v>W3</v>
      </c>
      <c r="D593" s="2" t="s">
        <v>754</v>
      </c>
      <c r="E593" s="2" t="s">
        <v>718</v>
      </c>
      <c r="F593" s="2" t="str" cm="1">
        <f t="array" ref="F593">INDEX(_xlfn.TEXTSPLIT(E593,"-"),2)</f>
        <v>女装</v>
      </c>
      <c r="G593" s="2" t="str" cm="1">
        <f t="array" ref="G593">INDEX(_xlfn.TEXTSPLIT(E593,"-"),3)</f>
        <v>汉服</v>
      </c>
      <c r="H593" s="5">
        <v>239782</v>
      </c>
      <c r="I593" s="5">
        <v>146531133.71</v>
      </c>
      <c r="J593" s="6">
        <v>0.0349</v>
      </c>
      <c r="K593" s="6">
        <v>-0.1062</v>
      </c>
    </row>
    <row r="594" ht="14.5" spans="1:11">
      <c r="A594" s="3" t="str">
        <f t="shared" si="27"/>
        <v>2026年</v>
      </c>
      <c r="B594" s="3" t="str">
        <f t="shared" si="28"/>
        <v>1月</v>
      </c>
      <c r="C594" s="4" t="str">
        <f t="shared" si="29"/>
        <v>W3</v>
      </c>
      <c r="D594" s="2" t="s">
        <v>754</v>
      </c>
      <c r="E594" s="2" t="s">
        <v>719</v>
      </c>
      <c r="F594" s="2" t="str" cm="1">
        <f t="array" ref="F594">INDEX(_xlfn.TEXTSPLIT(E594,"-"),2)</f>
        <v>女装</v>
      </c>
      <c r="G594" s="2" t="str" cm="1">
        <f t="array" ref="G594">INDEX(_xlfn.TEXTSPLIT(E594,"-"),3)</f>
        <v>派克服</v>
      </c>
      <c r="H594" s="5">
        <v>77351</v>
      </c>
      <c r="I594" s="5">
        <v>21529829.93</v>
      </c>
      <c r="J594" s="6">
        <v>0.0051</v>
      </c>
      <c r="K594" s="6">
        <v>-0.1717</v>
      </c>
    </row>
    <row r="595" ht="14.5" spans="1:11">
      <c r="A595" s="3" t="str">
        <f t="shared" si="27"/>
        <v>2026年</v>
      </c>
      <c r="B595" s="3" t="str">
        <f t="shared" si="28"/>
        <v>1月</v>
      </c>
      <c r="C595" s="4" t="str">
        <f t="shared" si="29"/>
        <v>W3</v>
      </c>
      <c r="D595" s="2" t="s">
        <v>754</v>
      </c>
      <c r="E595" s="2" t="s">
        <v>720</v>
      </c>
      <c r="F595" s="2" t="str" cm="1">
        <f t="array" ref="F595">INDEX(_xlfn.TEXTSPLIT(E595,"-"),2)</f>
        <v>女装</v>
      </c>
      <c r="G595" s="2" t="str" cm="1">
        <f t="array" ref="G595">INDEX(_xlfn.TEXTSPLIT(E595,"-"),3)</f>
        <v>皮草</v>
      </c>
      <c r="H595" s="5">
        <v>249223</v>
      </c>
      <c r="I595" s="5">
        <v>506278434.47</v>
      </c>
      <c r="J595" s="6">
        <v>0.1205</v>
      </c>
      <c r="K595" s="6">
        <v>-0.2578</v>
      </c>
    </row>
    <row r="596" ht="14.5" spans="1:11">
      <c r="A596" s="3" t="str">
        <f t="shared" si="27"/>
        <v>2026年</v>
      </c>
      <c r="B596" s="3" t="str">
        <f t="shared" si="28"/>
        <v>1月</v>
      </c>
      <c r="C596" s="4" t="str">
        <f t="shared" si="29"/>
        <v>W3</v>
      </c>
      <c r="D596" s="2" t="s">
        <v>754</v>
      </c>
      <c r="E596" s="2" t="s">
        <v>721</v>
      </c>
      <c r="F596" s="2" t="str" cm="1">
        <f t="array" ref="F596">INDEX(_xlfn.TEXTSPLIT(E596,"-"),2)</f>
        <v>女装</v>
      </c>
      <c r="G596" s="2" t="str" cm="1">
        <f t="array" ref="G596">INDEX(_xlfn.TEXTSPLIT(E596,"-"),3)</f>
        <v>皮衣</v>
      </c>
      <c r="H596" s="5">
        <v>156041</v>
      </c>
      <c r="I596" s="5">
        <v>79234497.99</v>
      </c>
      <c r="J596" s="6">
        <v>0.0189</v>
      </c>
      <c r="K596" s="6">
        <v>0.0102</v>
      </c>
    </row>
    <row r="597" ht="14.5" spans="1:11">
      <c r="A597" s="3" t="str">
        <f t="shared" si="27"/>
        <v>2026年</v>
      </c>
      <c r="B597" s="3" t="str">
        <f t="shared" si="28"/>
        <v>1月</v>
      </c>
      <c r="C597" s="4" t="str">
        <f t="shared" si="29"/>
        <v>W3</v>
      </c>
      <c r="D597" s="2" t="s">
        <v>754</v>
      </c>
      <c r="E597" s="2" t="s">
        <v>722</v>
      </c>
      <c r="F597" s="2" t="str" cm="1">
        <f t="array" ref="F597">INDEX(_xlfn.TEXTSPLIT(E597,"-"),2)</f>
        <v>女装</v>
      </c>
      <c r="G597" s="2" t="str" cm="1">
        <f t="array" ref="G597">INDEX(_xlfn.TEXTSPLIT(E597,"-"),3)</f>
        <v>短外套</v>
      </c>
      <c r="H597" s="5">
        <v>1657932</v>
      </c>
      <c r="I597" s="5">
        <v>322543311.27</v>
      </c>
      <c r="J597" s="6">
        <v>0.0768</v>
      </c>
      <c r="K597" s="6">
        <v>-0.1937</v>
      </c>
    </row>
    <row r="598" ht="14.5" spans="1:11">
      <c r="A598" s="3" t="str">
        <f t="shared" si="27"/>
        <v>2026年</v>
      </c>
      <c r="B598" s="3" t="str">
        <f t="shared" si="28"/>
        <v>1月</v>
      </c>
      <c r="C598" s="4" t="str">
        <f t="shared" si="29"/>
        <v>W3</v>
      </c>
      <c r="D598" s="2" t="s">
        <v>754</v>
      </c>
      <c r="E598" s="2" t="s">
        <v>723</v>
      </c>
      <c r="F598" s="2" t="str" cm="1">
        <f t="array" ref="F598">INDEX(_xlfn.TEXTSPLIT(E598,"-"),2)</f>
        <v>女装</v>
      </c>
      <c r="G598" s="2" t="str" cm="1">
        <f t="array" ref="G598">INDEX(_xlfn.TEXTSPLIT(E598,"-"),3)</f>
        <v>短裤</v>
      </c>
      <c r="H598" s="5">
        <v>132336</v>
      </c>
      <c r="I598" s="5">
        <v>7257219.31</v>
      </c>
      <c r="J598" s="6">
        <v>0.0017</v>
      </c>
      <c r="K598" s="6">
        <v>-0.1736</v>
      </c>
    </row>
    <row r="599" ht="14.5" spans="1:11">
      <c r="A599" s="3" t="str">
        <f t="shared" si="27"/>
        <v>2026年</v>
      </c>
      <c r="B599" s="3" t="str">
        <f t="shared" si="28"/>
        <v>1月</v>
      </c>
      <c r="C599" s="4" t="str">
        <f t="shared" si="29"/>
        <v>W3</v>
      </c>
      <c r="D599" s="2" t="s">
        <v>754</v>
      </c>
      <c r="E599" s="2" t="s">
        <v>724</v>
      </c>
      <c r="F599" s="2" t="str" cm="1">
        <f t="array" ref="F599">INDEX(_xlfn.TEXTSPLIT(E599,"-"),2)</f>
        <v>女装</v>
      </c>
      <c r="G599" s="2" t="str" cm="1">
        <f t="array" ref="G599">INDEX(_xlfn.TEXTSPLIT(E599,"-"),3)</f>
        <v>羊毛衫</v>
      </c>
      <c r="H599" s="5">
        <v>575684</v>
      </c>
      <c r="I599" s="5">
        <v>79501869.44</v>
      </c>
      <c r="J599" s="6">
        <v>0.0189</v>
      </c>
      <c r="K599" s="6">
        <v>-0.024</v>
      </c>
    </row>
    <row r="600" ht="14.5" spans="1:11">
      <c r="A600" s="3" t="str">
        <f t="shared" si="27"/>
        <v>2026年</v>
      </c>
      <c r="B600" s="3" t="str">
        <f t="shared" si="28"/>
        <v>1月</v>
      </c>
      <c r="C600" s="4" t="str">
        <f t="shared" si="29"/>
        <v>W3</v>
      </c>
      <c r="D600" s="2" t="s">
        <v>754</v>
      </c>
      <c r="E600" s="2" t="s">
        <v>725</v>
      </c>
      <c r="F600" s="2" t="str" cm="1">
        <f t="array" ref="F600">INDEX(_xlfn.TEXTSPLIT(E600,"-"),2)</f>
        <v>女装</v>
      </c>
      <c r="G600" s="2" t="str" cm="1">
        <f t="array" ref="G600">INDEX(_xlfn.TEXTSPLIT(E600,"-"),3)</f>
        <v>羊绒大衣</v>
      </c>
      <c r="H600" s="5">
        <v>9429</v>
      </c>
      <c r="I600" s="5">
        <v>5400215.97</v>
      </c>
      <c r="J600" s="6">
        <v>0.0013</v>
      </c>
      <c r="K600" s="6">
        <v>0.0233</v>
      </c>
    </row>
    <row r="601" ht="14.5" spans="1:11">
      <c r="A601" s="3" t="str">
        <f t="shared" si="27"/>
        <v>2026年</v>
      </c>
      <c r="B601" s="3" t="str">
        <f t="shared" si="28"/>
        <v>1月</v>
      </c>
      <c r="C601" s="4" t="str">
        <f t="shared" si="29"/>
        <v>W3</v>
      </c>
      <c r="D601" s="2" t="s">
        <v>754</v>
      </c>
      <c r="E601" s="2" t="s">
        <v>726</v>
      </c>
      <c r="F601" s="2" t="str" cm="1">
        <f t="array" ref="F601">INDEX(_xlfn.TEXTSPLIT(E601,"-"),2)</f>
        <v>女装</v>
      </c>
      <c r="G601" s="2" t="str" cm="1">
        <f t="array" ref="G601">INDEX(_xlfn.TEXTSPLIT(E601,"-"),3)</f>
        <v>羊绒衫</v>
      </c>
      <c r="H601" s="5">
        <v>177328</v>
      </c>
      <c r="I601" s="5">
        <v>58783027.73</v>
      </c>
      <c r="J601" s="6">
        <v>0.014</v>
      </c>
      <c r="K601" s="6">
        <v>-0.1955</v>
      </c>
    </row>
    <row r="602" ht="14.5" spans="1:11">
      <c r="A602" s="3" t="str">
        <f t="shared" si="27"/>
        <v>2026年</v>
      </c>
      <c r="B602" s="3" t="str">
        <f t="shared" si="28"/>
        <v>1月</v>
      </c>
      <c r="C602" s="4" t="str">
        <f t="shared" si="29"/>
        <v>W3</v>
      </c>
      <c r="D602" s="2" t="s">
        <v>754</v>
      </c>
      <c r="E602" s="2" t="s">
        <v>727</v>
      </c>
      <c r="F602" s="2" t="str" cm="1">
        <f t="array" ref="F602">INDEX(_xlfn.TEXTSPLIT(E602,"-"),2)</f>
        <v>女装</v>
      </c>
      <c r="G602" s="2" t="str" cm="1">
        <f t="array" ref="G602">INDEX(_xlfn.TEXTSPLIT(E602,"-"),3)</f>
        <v>羽绒服</v>
      </c>
      <c r="H602" s="5">
        <v>1979473</v>
      </c>
      <c r="I602" s="5">
        <v>803261750.18</v>
      </c>
      <c r="J602" s="6">
        <v>0.1912</v>
      </c>
      <c r="K602" s="6">
        <v>-0.2229</v>
      </c>
    </row>
    <row r="603" ht="14.5" spans="1:11">
      <c r="A603" s="3" t="str">
        <f t="shared" ref="A603:A666" si="30">TEXT(YEAR(D603),"0")&amp;"年"</f>
        <v>2026年</v>
      </c>
      <c r="B603" s="3" t="str">
        <f t="shared" ref="B603:B666" si="31">TEXT(MONTH(D603),"0")&amp;"月"</f>
        <v>1月</v>
      </c>
      <c r="C603" s="4" t="str">
        <f t="shared" ref="C603:C666" si="32">"W"&amp;TEXT(WEEKNUM(D603,2),"0")</f>
        <v>W3</v>
      </c>
      <c r="D603" s="2" t="s">
        <v>754</v>
      </c>
      <c r="E603" s="2" t="s">
        <v>728</v>
      </c>
      <c r="F603" s="2" t="str" cm="1">
        <f t="array" ref="F603">INDEX(_xlfn.TEXTSPLIT(E603,"-"),2)</f>
        <v>女装</v>
      </c>
      <c r="G603" s="2" t="str" cm="1">
        <f t="array" ref="G603">INDEX(_xlfn.TEXTSPLIT(E603,"-"),3)</f>
        <v>肌底衣/肌肤衣</v>
      </c>
      <c r="H603" s="5">
        <v>3930</v>
      </c>
      <c r="I603" s="5">
        <v>238526.41</v>
      </c>
      <c r="J603" s="6">
        <v>0.0001</v>
      </c>
      <c r="K603" s="6">
        <v>-0.201</v>
      </c>
    </row>
    <row r="604" ht="14.5" spans="1:11">
      <c r="A604" s="3" t="str">
        <f t="shared" si="30"/>
        <v>2026年</v>
      </c>
      <c r="B604" s="3" t="str">
        <f t="shared" si="31"/>
        <v>1月</v>
      </c>
      <c r="C604" s="4" t="str">
        <f t="shared" si="32"/>
        <v>W3</v>
      </c>
      <c r="D604" s="2" t="s">
        <v>754</v>
      </c>
      <c r="E604" s="2" t="s">
        <v>729</v>
      </c>
      <c r="F604" s="2" t="str" cm="1">
        <f t="array" ref="F604">INDEX(_xlfn.TEXTSPLIT(E604,"-"),2)</f>
        <v>女装</v>
      </c>
      <c r="G604" s="2" t="str" cm="1">
        <f t="array" ref="G604">INDEX(_xlfn.TEXTSPLIT(E604,"-"),3)</f>
        <v>背心吊带</v>
      </c>
      <c r="H604" s="5">
        <v>241068</v>
      </c>
      <c r="I604" s="5">
        <v>15830988.39</v>
      </c>
      <c r="J604" s="6">
        <v>0.0038</v>
      </c>
      <c r="K604" s="6">
        <v>0.0892</v>
      </c>
    </row>
    <row r="605" ht="14.5" spans="1:11">
      <c r="A605" s="3" t="str">
        <f t="shared" si="30"/>
        <v>2026年</v>
      </c>
      <c r="B605" s="3" t="str">
        <f t="shared" si="31"/>
        <v>1月</v>
      </c>
      <c r="C605" s="4" t="str">
        <f t="shared" si="32"/>
        <v>W3</v>
      </c>
      <c r="D605" s="2" t="s">
        <v>754</v>
      </c>
      <c r="E605" s="2" t="s">
        <v>730</v>
      </c>
      <c r="F605" s="2" t="str" cm="1">
        <f t="array" ref="F605">INDEX(_xlfn.TEXTSPLIT(E605,"-"),2)</f>
        <v>女装</v>
      </c>
      <c r="G605" s="2" t="str" cm="1">
        <f t="array" ref="G605">INDEX(_xlfn.TEXTSPLIT(E605,"-"),3)</f>
        <v>蕾丝衫/雪纺衫</v>
      </c>
      <c r="H605" s="5">
        <v>207434</v>
      </c>
      <c r="I605" s="5">
        <v>17013913.76</v>
      </c>
      <c r="J605" s="6">
        <v>0.0041</v>
      </c>
      <c r="K605" s="6">
        <v>0.0426</v>
      </c>
    </row>
    <row r="606" ht="14.5" spans="1:11">
      <c r="A606" s="3" t="str">
        <f t="shared" si="30"/>
        <v>2026年</v>
      </c>
      <c r="B606" s="3" t="str">
        <f t="shared" si="31"/>
        <v>1月</v>
      </c>
      <c r="C606" s="4" t="str">
        <f t="shared" si="32"/>
        <v>W3</v>
      </c>
      <c r="D606" s="2" t="s">
        <v>754</v>
      </c>
      <c r="E606" s="2" t="s">
        <v>731</v>
      </c>
      <c r="F606" s="2" t="str" cm="1">
        <f t="array" ref="F606">INDEX(_xlfn.TEXTSPLIT(E606,"-"),2)</f>
        <v>女装</v>
      </c>
      <c r="G606" s="2" t="str" cm="1">
        <f t="array" ref="G606">INDEX(_xlfn.TEXTSPLIT(E606,"-"),3)</f>
        <v>衬衫</v>
      </c>
      <c r="H606" s="5">
        <v>556396</v>
      </c>
      <c r="I606" s="5">
        <v>69104283.38</v>
      </c>
      <c r="J606" s="6">
        <v>0.0165</v>
      </c>
      <c r="K606" s="6">
        <v>-0.0721</v>
      </c>
    </row>
    <row r="607" ht="14.5" spans="1:11">
      <c r="A607" s="3" t="str">
        <f t="shared" si="30"/>
        <v>2026年</v>
      </c>
      <c r="B607" s="3" t="str">
        <f t="shared" si="31"/>
        <v>1月</v>
      </c>
      <c r="C607" s="4" t="str">
        <f t="shared" si="32"/>
        <v>W3</v>
      </c>
      <c r="D607" s="2" t="s">
        <v>754</v>
      </c>
      <c r="E607" s="2" t="s">
        <v>732</v>
      </c>
      <c r="F607" s="2" t="str" cm="1">
        <f t="array" ref="F607">INDEX(_xlfn.TEXTSPLIT(E607,"-"),2)</f>
        <v>女装</v>
      </c>
      <c r="G607" s="2" t="str" cm="1">
        <f t="array" ref="G607">INDEX(_xlfn.TEXTSPLIT(E607,"-"),3)</f>
        <v>裤子</v>
      </c>
      <c r="H607" s="5">
        <v>4616191</v>
      </c>
      <c r="I607" s="5">
        <v>471642490.4</v>
      </c>
      <c r="J607" s="6">
        <v>0.1123</v>
      </c>
      <c r="K607" s="6">
        <v>-0.102</v>
      </c>
    </row>
    <row r="608" ht="14.5" spans="1:11">
      <c r="A608" s="3" t="str">
        <f t="shared" si="30"/>
        <v>2026年</v>
      </c>
      <c r="B608" s="3" t="str">
        <f t="shared" si="31"/>
        <v>1月</v>
      </c>
      <c r="C608" s="4" t="str">
        <f t="shared" si="32"/>
        <v>W3</v>
      </c>
      <c r="D608" s="2" t="s">
        <v>754</v>
      </c>
      <c r="E608" s="2" t="s">
        <v>733</v>
      </c>
      <c r="F608" s="2" t="str" cm="1">
        <f t="array" ref="F608">INDEX(_xlfn.TEXTSPLIT(E608,"-"),2)</f>
        <v>女装</v>
      </c>
      <c r="G608" s="2" t="str" cm="1">
        <f t="array" ref="G608">INDEX(_xlfn.TEXTSPLIT(E608,"-"),3)</f>
        <v>西装</v>
      </c>
      <c r="H608" s="5">
        <v>64803</v>
      </c>
      <c r="I608" s="5">
        <v>19012168.84</v>
      </c>
      <c r="J608" s="6">
        <v>0.0045</v>
      </c>
      <c r="K608" s="6">
        <v>0.0236</v>
      </c>
    </row>
    <row r="609" ht="14.5" spans="1:11">
      <c r="A609" s="3" t="str">
        <f t="shared" si="30"/>
        <v>2026年</v>
      </c>
      <c r="B609" s="3" t="str">
        <f t="shared" si="31"/>
        <v>1月</v>
      </c>
      <c r="C609" s="4" t="str">
        <f t="shared" si="32"/>
        <v>W3</v>
      </c>
      <c r="D609" s="2" t="s">
        <v>754</v>
      </c>
      <c r="E609" s="2" t="s">
        <v>734</v>
      </c>
      <c r="F609" s="2" t="str" cm="1">
        <f t="array" ref="F609">INDEX(_xlfn.TEXTSPLIT(E609,"-"),2)</f>
        <v>女装</v>
      </c>
      <c r="G609" s="2" t="str" cm="1">
        <f t="array" ref="G609">INDEX(_xlfn.TEXTSPLIT(E609,"-"),3)</f>
        <v>设计师/潮牌女装</v>
      </c>
      <c r="H609" s="5">
        <v>719461</v>
      </c>
      <c r="I609" s="5">
        <v>76464340.03</v>
      </c>
      <c r="J609" s="6">
        <v>0.0182</v>
      </c>
      <c r="K609" s="6">
        <v>0.0186</v>
      </c>
    </row>
    <row r="610" ht="14.5" spans="1:11">
      <c r="A610" s="3" t="str">
        <f t="shared" si="30"/>
        <v>2026年</v>
      </c>
      <c r="B610" s="3" t="str">
        <f t="shared" si="31"/>
        <v>1月</v>
      </c>
      <c r="C610" s="4" t="str">
        <f t="shared" si="32"/>
        <v>W3</v>
      </c>
      <c r="D610" s="2" t="s">
        <v>754</v>
      </c>
      <c r="E610" s="2" t="s">
        <v>735</v>
      </c>
      <c r="F610" s="2" t="str" cm="1">
        <f t="array" ref="F610">INDEX(_xlfn.TEXTSPLIT(E610,"-"),2)</f>
        <v>女装</v>
      </c>
      <c r="G610" s="2" t="str" cm="1">
        <f t="array" ref="G610">INDEX(_xlfn.TEXTSPLIT(E610,"-"),3)</f>
        <v>连体衣/裤</v>
      </c>
      <c r="H610" s="5">
        <v>12914</v>
      </c>
      <c r="I610" s="5">
        <v>3001905.21</v>
      </c>
      <c r="J610" s="6">
        <v>0.0007</v>
      </c>
      <c r="K610" s="6">
        <v>0.5636</v>
      </c>
    </row>
    <row r="611" ht="14.5" spans="1:11">
      <c r="A611" s="3" t="str">
        <f t="shared" si="30"/>
        <v>2026年</v>
      </c>
      <c r="B611" s="3" t="str">
        <f t="shared" si="31"/>
        <v>1月</v>
      </c>
      <c r="C611" s="4" t="str">
        <f t="shared" si="32"/>
        <v>W3</v>
      </c>
      <c r="D611" s="2" t="s">
        <v>754</v>
      </c>
      <c r="E611" s="2" t="s">
        <v>736</v>
      </c>
      <c r="F611" s="2" t="str" cm="1">
        <f t="array" ref="F611">INDEX(_xlfn.TEXTSPLIT(E611,"-"),2)</f>
        <v>女装</v>
      </c>
      <c r="G611" s="2" t="str" cm="1">
        <f t="array" ref="G611">INDEX(_xlfn.TEXTSPLIT(E611,"-"),3)</f>
        <v>连衣裙</v>
      </c>
      <c r="H611" s="5">
        <v>833603</v>
      </c>
      <c r="I611" s="5">
        <v>112129187.97</v>
      </c>
      <c r="J611" s="6">
        <v>0.0267</v>
      </c>
      <c r="K611" s="7">
        <v>-0.16</v>
      </c>
    </row>
    <row r="612" ht="14.5" spans="1:11">
      <c r="A612" s="3" t="str">
        <f t="shared" si="30"/>
        <v>2026年</v>
      </c>
      <c r="B612" s="3" t="str">
        <f t="shared" si="31"/>
        <v>1月</v>
      </c>
      <c r="C612" s="4" t="str">
        <f t="shared" si="32"/>
        <v>W3</v>
      </c>
      <c r="D612" s="2" t="s">
        <v>754</v>
      </c>
      <c r="E612" s="2" t="s">
        <v>737</v>
      </c>
      <c r="F612" s="2" t="str" cm="1">
        <f t="array" ref="F612">INDEX(_xlfn.TEXTSPLIT(E612,"-"),2)</f>
        <v>女装</v>
      </c>
      <c r="G612" s="2" t="str" cm="1">
        <f t="array" ref="G612">INDEX(_xlfn.TEXTSPLIT(E612,"-"),3)</f>
        <v>风衣</v>
      </c>
      <c r="H612" s="5">
        <v>118733</v>
      </c>
      <c r="I612" s="5">
        <v>23898237.58</v>
      </c>
      <c r="J612" s="6">
        <v>0.0057</v>
      </c>
      <c r="K612" s="6">
        <v>0.2831</v>
      </c>
    </row>
    <row r="613" ht="14.5" spans="1:11">
      <c r="A613" s="3" t="str">
        <f t="shared" si="30"/>
        <v>2026年</v>
      </c>
      <c r="B613" s="3" t="str">
        <f t="shared" si="31"/>
        <v>1月</v>
      </c>
      <c r="C613" s="4" t="str">
        <f t="shared" si="32"/>
        <v>W3</v>
      </c>
      <c r="D613" s="2" t="s">
        <v>754</v>
      </c>
      <c r="E613" s="2" t="s">
        <v>738</v>
      </c>
      <c r="F613" s="2" t="str" cm="1">
        <f t="array" ref="F613">INDEX(_xlfn.TEXTSPLIT(E613,"-"),2)</f>
        <v>女装</v>
      </c>
      <c r="G613" s="2" t="str" cm="1">
        <f t="array" ref="G613">INDEX(_xlfn.TEXTSPLIT(E613,"-"),3)</f>
        <v>马夹</v>
      </c>
      <c r="H613" s="5">
        <v>444800</v>
      </c>
      <c r="I613" s="5">
        <v>55324803.6</v>
      </c>
      <c r="J613" s="6">
        <v>0.0132</v>
      </c>
      <c r="K613" s="6">
        <v>-0.0917</v>
      </c>
    </row>
    <row r="614" ht="14.5" spans="1:11">
      <c r="A614" s="3" t="str">
        <f t="shared" si="30"/>
        <v>2026年</v>
      </c>
      <c r="B614" s="3" t="str">
        <f t="shared" si="31"/>
        <v>1月</v>
      </c>
      <c r="C614" s="4" t="str">
        <f t="shared" si="32"/>
        <v>W3</v>
      </c>
      <c r="D614" s="2" t="s">
        <v>755</v>
      </c>
      <c r="E614" s="2" t="s">
        <v>702</v>
      </c>
      <c r="F614" s="2" t="str" cm="1">
        <f t="array" ref="F614">INDEX(_xlfn.TEXTSPLIT(E614,"-"),2)</f>
        <v>女装</v>
      </c>
      <c r="G614" s="2" t="str" cm="1">
        <f t="array" ref="G614">INDEX(_xlfn.TEXTSPLIT(E614,"-"),3)</f>
        <v>POLO衫</v>
      </c>
      <c r="H614" s="5">
        <v>17845</v>
      </c>
      <c r="I614" s="5">
        <v>1231723.09</v>
      </c>
      <c r="J614" s="6">
        <v>0.0003</v>
      </c>
      <c r="K614" s="6">
        <v>-0.3796</v>
      </c>
    </row>
    <row r="615" ht="14.5" spans="1:11">
      <c r="A615" s="3" t="str">
        <f t="shared" si="30"/>
        <v>2026年</v>
      </c>
      <c r="B615" s="3" t="str">
        <f t="shared" si="31"/>
        <v>1月</v>
      </c>
      <c r="C615" s="4" t="str">
        <f t="shared" si="32"/>
        <v>W3</v>
      </c>
      <c r="D615" s="2" t="s">
        <v>755</v>
      </c>
      <c r="E615" s="2" t="s">
        <v>703</v>
      </c>
      <c r="F615" s="2" t="str" cm="1">
        <f t="array" ref="F615">INDEX(_xlfn.TEXTSPLIT(E615,"-"),2)</f>
        <v>女装</v>
      </c>
      <c r="G615" s="2" t="str" cm="1">
        <f t="array" ref="G615">INDEX(_xlfn.TEXTSPLIT(E615,"-"),3)</f>
        <v>T恤</v>
      </c>
      <c r="H615" s="5">
        <v>1701391</v>
      </c>
      <c r="I615" s="5">
        <v>94684185.7</v>
      </c>
      <c r="J615" s="6">
        <v>0.0225</v>
      </c>
      <c r="K615" s="6">
        <v>0.023</v>
      </c>
    </row>
    <row r="616" ht="14.5" spans="1:11">
      <c r="A616" s="3" t="str">
        <f t="shared" si="30"/>
        <v>2026年</v>
      </c>
      <c r="B616" s="3" t="str">
        <f t="shared" si="31"/>
        <v>1月</v>
      </c>
      <c r="C616" s="4" t="str">
        <f t="shared" si="32"/>
        <v>W3</v>
      </c>
      <c r="D616" s="2" t="s">
        <v>755</v>
      </c>
      <c r="E616" s="2" t="s">
        <v>704</v>
      </c>
      <c r="F616" s="2" t="str" cm="1">
        <f t="array" ref="F616">INDEX(_xlfn.TEXTSPLIT(E616,"-"),2)</f>
        <v>女装</v>
      </c>
      <c r="G616" s="2" t="str" cm="1">
        <f t="array" ref="G616">INDEX(_xlfn.TEXTSPLIT(E616,"-"),3)</f>
        <v>中老年女装</v>
      </c>
      <c r="H616" s="5">
        <v>482943</v>
      </c>
      <c r="I616" s="5">
        <v>57385186.97</v>
      </c>
      <c r="J616" s="6">
        <v>0.0136</v>
      </c>
      <c r="K616" s="6">
        <v>0.0897</v>
      </c>
    </row>
    <row r="617" ht="14.5" spans="1:11">
      <c r="A617" s="3" t="str">
        <f t="shared" si="30"/>
        <v>2026年</v>
      </c>
      <c r="B617" s="3" t="str">
        <f t="shared" si="31"/>
        <v>1月</v>
      </c>
      <c r="C617" s="4" t="str">
        <f t="shared" si="32"/>
        <v>W3</v>
      </c>
      <c r="D617" s="2" t="s">
        <v>755</v>
      </c>
      <c r="E617" s="2" t="s">
        <v>705</v>
      </c>
      <c r="F617" s="2" t="str" cm="1">
        <f t="array" ref="F617">INDEX(_xlfn.TEXTSPLIT(E617,"-"),2)</f>
        <v>女装</v>
      </c>
      <c r="G617" s="2" t="str" cm="1">
        <f t="array" ref="G617">INDEX(_xlfn.TEXTSPLIT(E617,"-"),3)</f>
        <v>半身裙</v>
      </c>
      <c r="H617" s="5">
        <v>924449</v>
      </c>
      <c r="I617" s="5">
        <v>81756719.7</v>
      </c>
      <c r="J617" s="6">
        <v>0.0194</v>
      </c>
      <c r="K617" s="6">
        <v>-0.0449</v>
      </c>
    </row>
    <row r="618" ht="14.5" spans="1:11">
      <c r="A618" s="3" t="str">
        <f t="shared" si="30"/>
        <v>2026年</v>
      </c>
      <c r="B618" s="3" t="str">
        <f t="shared" si="31"/>
        <v>1月</v>
      </c>
      <c r="C618" s="4" t="str">
        <f t="shared" si="32"/>
        <v>W3</v>
      </c>
      <c r="D618" s="2" t="s">
        <v>755</v>
      </c>
      <c r="E618" s="2" t="s">
        <v>706</v>
      </c>
      <c r="F618" s="2" t="str" cm="1">
        <f t="array" ref="F618">INDEX(_xlfn.TEXTSPLIT(E618,"-"),2)</f>
        <v>女装</v>
      </c>
      <c r="G618" s="2" t="str" cm="1">
        <f t="array" ref="G618">INDEX(_xlfn.TEXTSPLIT(E618,"-"),3)</f>
        <v>卫衣/绒衫</v>
      </c>
      <c r="H618" s="5">
        <v>489338</v>
      </c>
      <c r="I618" s="5">
        <v>38716044.29</v>
      </c>
      <c r="J618" s="6">
        <v>0.0092</v>
      </c>
      <c r="K618" s="6">
        <v>-0.0585</v>
      </c>
    </row>
    <row r="619" ht="14.5" spans="1:11">
      <c r="A619" s="3" t="str">
        <f t="shared" si="30"/>
        <v>2026年</v>
      </c>
      <c r="B619" s="3" t="str">
        <f t="shared" si="31"/>
        <v>1月</v>
      </c>
      <c r="C619" s="4" t="str">
        <f t="shared" si="32"/>
        <v>W3</v>
      </c>
      <c r="D619" s="2" t="s">
        <v>755</v>
      </c>
      <c r="E619" s="2" t="s">
        <v>707</v>
      </c>
      <c r="F619" s="2" t="str" cm="1">
        <f t="array" ref="F619">INDEX(_xlfn.TEXTSPLIT(E619,"-"),2)</f>
        <v>女装</v>
      </c>
      <c r="G619" s="2" t="str" cm="1">
        <f t="array" ref="G619">INDEX(_xlfn.TEXTSPLIT(E619,"-"),3)</f>
        <v>唐装/民族服装/舞台服装</v>
      </c>
      <c r="H619" s="5">
        <v>278133</v>
      </c>
      <c r="I619" s="5">
        <v>54060590.76</v>
      </c>
      <c r="J619" s="6">
        <v>0.0128</v>
      </c>
      <c r="K619" s="6">
        <v>0.0465</v>
      </c>
    </row>
    <row r="620" ht="14.5" spans="1:11">
      <c r="A620" s="3" t="str">
        <f t="shared" si="30"/>
        <v>2026年</v>
      </c>
      <c r="B620" s="3" t="str">
        <f t="shared" si="31"/>
        <v>1月</v>
      </c>
      <c r="C620" s="4" t="str">
        <f t="shared" si="32"/>
        <v>W3</v>
      </c>
      <c r="D620" s="2" t="s">
        <v>755</v>
      </c>
      <c r="E620" s="2" t="s">
        <v>708</v>
      </c>
      <c r="F620" s="2" t="str" cm="1">
        <f t="array" ref="F620">INDEX(_xlfn.TEXTSPLIT(E620,"-"),2)</f>
        <v>女装</v>
      </c>
      <c r="G620" s="2" t="str" cm="1">
        <f t="array" ref="G620">INDEX(_xlfn.TEXTSPLIT(E620,"-"),3)</f>
        <v>大码女装</v>
      </c>
      <c r="H620" s="5">
        <v>864081</v>
      </c>
      <c r="I620" s="5">
        <v>72259723.04</v>
      </c>
      <c r="J620" s="6">
        <v>0.0172</v>
      </c>
      <c r="K620" s="6">
        <v>0.1459</v>
      </c>
    </row>
    <row r="621" ht="14.5" spans="1:11">
      <c r="A621" s="3" t="str">
        <f t="shared" si="30"/>
        <v>2026年</v>
      </c>
      <c r="B621" s="3" t="str">
        <f t="shared" si="31"/>
        <v>1月</v>
      </c>
      <c r="C621" s="4" t="str">
        <f t="shared" si="32"/>
        <v>W3</v>
      </c>
      <c r="D621" s="2" t="s">
        <v>755</v>
      </c>
      <c r="E621" s="2" t="s">
        <v>709</v>
      </c>
      <c r="F621" s="2" t="str" cm="1">
        <f t="array" ref="F621">INDEX(_xlfn.TEXTSPLIT(E621,"-"),2)</f>
        <v>女装</v>
      </c>
      <c r="G621" s="2" t="str" cm="1">
        <f t="array" ref="G621">INDEX(_xlfn.TEXTSPLIT(E621,"-"),3)</f>
        <v>套装/学生校服/工作制服</v>
      </c>
      <c r="H621" s="5">
        <v>1185827</v>
      </c>
      <c r="I621" s="5">
        <v>154083104.17</v>
      </c>
      <c r="J621" s="6">
        <v>0.0366</v>
      </c>
      <c r="K621" s="6">
        <v>0.0218</v>
      </c>
    </row>
    <row r="622" ht="14.5" spans="1:11">
      <c r="A622" s="3" t="str">
        <f t="shared" si="30"/>
        <v>2026年</v>
      </c>
      <c r="B622" s="3" t="str">
        <f t="shared" si="31"/>
        <v>1月</v>
      </c>
      <c r="C622" s="4" t="str">
        <f t="shared" si="32"/>
        <v>W3</v>
      </c>
      <c r="D622" s="2" t="s">
        <v>755</v>
      </c>
      <c r="E622" s="2" t="s">
        <v>710</v>
      </c>
      <c r="F622" s="2" t="str" cm="1">
        <f t="array" ref="F622">INDEX(_xlfn.TEXTSPLIT(E622,"-"),2)</f>
        <v>女装</v>
      </c>
      <c r="G622" s="2" t="str" cm="1">
        <f t="array" ref="G622">INDEX(_xlfn.TEXTSPLIT(E622,"-"),3)</f>
        <v>婚纱/旗袍/礼服</v>
      </c>
      <c r="H622" s="5">
        <v>65311</v>
      </c>
      <c r="I622" s="5">
        <v>11298797.27</v>
      </c>
      <c r="J622" s="6">
        <v>0.0027</v>
      </c>
      <c r="K622" s="6">
        <v>0.0022</v>
      </c>
    </row>
    <row r="623" ht="14.5" spans="1:11">
      <c r="A623" s="3" t="str">
        <f t="shared" si="30"/>
        <v>2026年</v>
      </c>
      <c r="B623" s="3" t="str">
        <f t="shared" si="31"/>
        <v>1月</v>
      </c>
      <c r="C623" s="4" t="str">
        <f t="shared" si="32"/>
        <v>W3</v>
      </c>
      <c r="D623" s="2" t="s">
        <v>755</v>
      </c>
      <c r="E623" s="2" t="s">
        <v>711</v>
      </c>
      <c r="F623" s="2" t="str" cm="1">
        <f t="array" ref="F623">INDEX(_xlfn.TEXTSPLIT(E623,"-"),2)</f>
        <v>女装</v>
      </c>
      <c r="G623" s="2" t="str" cm="1">
        <f t="array" ref="G623">INDEX(_xlfn.TEXTSPLIT(E623,"-"),3)</f>
        <v>新中式女装</v>
      </c>
      <c r="H623" s="5">
        <v>107276</v>
      </c>
      <c r="I623" s="5">
        <v>13283379.64</v>
      </c>
      <c r="J623" s="6">
        <v>0.0032</v>
      </c>
      <c r="K623" s="6">
        <v>-0.4993</v>
      </c>
    </row>
    <row r="624" ht="14.5" spans="1:11">
      <c r="A624" s="3" t="str">
        <f t="shared" si="30"/>
        <v>2026年</v>
      </c>
      <c r="B624" s="3" t="str">
        <f t="shared" si="31"/>
        <v>1月</v>
      </c>
      <c r="C624" s="4" t="str">
        <f t="shared" si="32"/>
        <v>W3</v>
      </c>
      <c r="D624" s="2" t="s">
        <v>755</v>
      </c>
      <c r="E624" s="2" t="s">
        <v>712</v>
      </c>
      <c r="F624" s="2" t="str" cm="1">
        <f t="array" ref="F624">INDEX(_xlfn.TEXTSPLIT(E624,"-"),2)</f>
        <v>女装</v>
      </c>
      <c r="G624" s="2" t="str" cm="1">
        <f t="array" ref="G624">INDEX(_xlfn.TEXTSPLIT(E624,"-"),3)</f>
        <v>时尚防晒服</v>
      </c>
      <c r="H624" s="5">
        <v>531</v>
      </c>
      <c r="I624" s="5">
        <v>55385.65</v>
      </c>
      <c r="J624" s="2" t="s">
        <v>713</v>
      </c>
      <c r="K624" s="6">
        <v>-0.059</v>
      </c>
    </row>
    <row r="625" ht="14.5" spans="1:11">
      <c r="A625" s="3" t="str">
        <f t="shared" si="30"/>
        <v>2026年</v>
      </c>
      <c r="B625" s="3" t="str">
        <f t="shared" si="31"/>
        <v>1月</v>
      </c>
      <c r="C625" s="4" t="str">
        <f t="shared" si="32"/>
        <v>W3</v>
      </c>
      <c r="D625" s="2" t="s">
        <v>755</v>
      </c>
      <c r="E625" s="2" t="s">
        <v>714</v>
      </c>
      <c r="F625" s="2" t="str" cm="1">
        <f t="array" ref="F625">INDEX(_xlfn.TEXTSPLIT(E625,"-"),2)</f>
        <v>女装</v>
      </c>
      <c r="G625" s="2" t="str" cm="1">
        <f t="array" ref="G625">INDEX(_xlfn.TEXTSPLIT(E625,"-"),3)</f>
        <v>棉衣/棉服</v>
      </c>
      <c r="H625" s="5">
        <v>874194</v>
      </c>
      <c r="I625" s="5">
        <v>100535724.92</v>
      </c>
      <c r="J625" s="6">
        <v>0.0239</v>
      </c>
      <c r="K625" s="6">
        <v>0.0943</v>
      </c>
    </row>
    <row r="626" ht="14.5" spans="1:11">
      <c r="A626" s="3" t="str">
        <f t="shared" si="30"/>
        <v>2026年</v>
      </c>
      <c r="B626" s="3" t="str">
        <f t="shared" si="31"/>
        <v>1月</v>
      </c>
      <c r="C626" s="4" t="str">
        <f t="shared" si="32"/>
        <v>W3</v>
      </c>
      <c r="D626" s="2" t="s">
        <v>755</v>
      </c>
      <c r="E626" s="2" t="s">
        <v>715</v>
      </c>
      <c r="F626" s="2" t="str" cm="1">
        <f t="array" ref="F626">INDEX(_xlfn.TEXTSPLIT(E626,"-"),2)</f>
        <v>女装</v>
      </c>
      <c r="G626" s="2" t="str" cm="1">
        <f t="array" ref="G626">INDEX(_xlfn.TEXTSPLIT(E626,"-"),3)</f>
        <v>毛呢外套</v>
      </c>
      <c r="H626" s="5">
        <v>999249</v>
      </c>
      <c r="I626" s="5">
        <v>376825212.37</v>
      </c>
      <c r="J626" s="6">
        <v>0.0895</v>
      </c>
      <c r="K626" s="6">
        <v>0.0253</v>
      </c>
    </row>
    <row r="627" ht="14.5" spans="1:11">
      <c r="A627" s="3" t="str">
        <f t="shared" si="30"/>
        <v>2026年</v>
      </c>
      <c r="B627" s="3" t="str">
        <f t="shared" si="31"/>
        <v>1月</v>
      </c>
      <c r="C627" s="4" t="str">
        <f t="shared" si="32"/>
        <v>W3</v>
      </c>
      <c r="D627" s="2" t="s">
        <v>755</v>
      </c>
      <c r="E627" s="2" t="s">
        <v>716</v>
      </c>
      <c r="F627" s="2" t="str" cm="1">
        <f t="array" ref="F627">INDEX(_xlfn.TEXTSPLIT(E627,"-"),2)</f>
        <v>女装</v>
      </c>
      <c r="G627" s="2" t="str" cm="1">
        <f t="array" ref="G627">INDEX(_xlfn.TEXTSPLIT(E627,"-"),3)</f>
        <v>毛衣</v>
      </c>
      <c r="H627" s="5">
        <v>639625</v>
      </c>
      <c r="I627" s="5">
        <v>61311631.22</v>
      </c>
      <c r="J627" s="6">
        <v>0.0146</v>
      </c>
      <c r="K627" s="6">
        <v>0.191</v>
      </c>
    </row>
    <row r="628" ht="14.5" spans="1:11">
      <c r="A628" s="3" t="str">
        <f t="shared" si="30"/>
        <v>2026年</v>
      </c>
      <c r="B628" s="3" t="str">
        <f t="shared" si="31"/>
        <v>1月</v>
      </c>
      <c r="C628" s="4" t="str">
        <f t="shared" si="32"/>
        <v>W3</v>
      </c>
      <c r="D628" s="2" t="s">
        <v>755</v>
      </c>
      <c r="E628" s="2" t="s">
        <v>717</v>
      </c>
      <c r="F628" s="2" t="str" cm="1">
        <f t="array" ref="F628">INDEX(_xlfn.TEXTSPLIT(E628,"-"),2)</f>
        <v>女装</v>
      </c>
      <c r="G628" s="2" t="str" cm="1">
        <f t="array" ref="G628">INDEX(_xlfn.TEXTSPLIT(E628,"-"),3)</f>
        <v>毛针织衫</v>
      </c>
      <c r="H628" s="5">
        <v>2643976</v>
      </c>
      <c r="I628" s="5">
        <v>222096266.91</v>
      </c>
      <c r="J628" s="6">
        <v>0.0527</v>
      </c>
      <c r="K628" s="6">
        <v>0.0168</v>
      </c>
    </row>
    <row r="629" ht="14.5" spans="1:11">
      <c r="A629" s="3" t="str">
        <f t="shared" si="30"/>
        <v>2026年</v>
      </c>
      <c r="B629" s="3" t="str">
        <f t="shared" si="31"/>
        <v>1月</v>
      </c>
      <c r="C629" s="4" t="str">
        <f t="shared" si="32"/>
        <v>W3</v>
      </c>
      <c r="D629" s="2" t="s">
        <v>755</v>
      </c>
      <c r="E629" s="2" t="s">
        <v>718</v>
      </c>
      <c r="F629" s="2" t="str" cm="1">
        <f t="array" ref="F629">INDEX(_xlfn.TEXTSPLIT(E629,"-"),2)</f>
        <v>女装</v>
      </c>
      <c r="G629" s="2" t="str" cm="1">
        <f t="array" ref="G629">INDEX(_xlfn.TEXTSPLIT(E629,"-"),3)</f>
        <v>汉服</v>
      </c>
      <c r="H629" s="5">
        <v>162376</v>
      </c>
      <c r="I629" s="5">
        <v>88443738.24</v>
      </c>
      <c r="J629" s="6">
        <v>0.021</v>
      </c>
      <c r="K629" s="6">
        <v>-0.3964</v>
      </c>
    </row>
    <row r="630" ht="14.5" spans="1:11">
      <c r="A630" s="3" t="str">
        <f t="shared" si="30"/>
        <v>2026年</v>
      </c>
      <c r="B630" s="3" t="str">
        <f t="shared" si="31"/>
        <v>1月</v>
      </c>
      <c r="C630" s="4" t="str">
        <f t="shared" si="32"/>
        <v>W3</v>
      </c>
      <c r="D630" s="2" t="s">
        <v>755</v>
      </c>
      <c r="E630" s="2" t="s">
        <v>719</v>
      </c>
      <c r="F630" s="2" t="str" cm="1">
        <f t="array" ref="F630">INDEX(_xlfn.TEXTSPLIT(E630,"-"),2)</f>
        <v>女装</v>
      </c>
      <c r="G630" s="2" t="str" cm="1">
        <f t="array" ref="G630">INDEX(_xlfn.TEXTSPLIT(E630,"-"),3)</f>
        <v>派克服</v>
      </c>
      <c r="H630" s="5">
        <v>79030</v>
      </c>
      <c r="I630" s="5">
        <v>19867808.68</v>
      </c>
      <c r="J630" s="6">
        <v>0.0047</v>
      </c>
      <c r="K630" s="6">
        <v>-0.0772</v>
      </c>
    </row>
    <row r="631" ht="14.5" spans="1:11">
      <c r="A631" s="3" t="str">
        <f t="shared" si="30"/>
        <v>2026年</v>
      </c>
      <c r="B631" s="3" t="str">
        <f t="shared" si="31"/>
        <v>1月</v>
      </c>
      <c r="C631" s="4" t="str">
        <f t="shared" si="32"/>
        <v>W3</v>
      </c>
      <c r="D631" s="2" t="s">
        <v>755</v>
      </c>
      <c r="E631" s="2" t="s">
        <v>720</v>
      </c>
      <c r="F631" s="2" t="str" cm="1">
        <f t="array" ref="F631">INDEX(_xlfn.TEXTSPLIT(E631,"-"),2)</f>
        <v>女装</v>
      </c>
      <c r="G631" s="2" t="str" cm="1">
        <f t="array" ref="G631">INDEX(_xlfn.TEXTSPLIT(E631,"-"),3)</f>
        <v>皮草</v>
      </c>
      <c r="H631" s="5">
        <v>270412</v>
      </c>
      <c r="I631" s="5">
        <v>485013119.52</v>
      </c>
      <c r="J631" s="6">
        <v>0.1151</v>
      </c>
      <c r="K631" s="6">
        <v>-0.042</v>
      </c>
    </row>
    <row r="632" ht="14.5" spans="1:11">
      <c r="A632" s="3" t="str">
        <f t="shared" si="30"/>
        <v>2026年</v>
      </c>
      <c r="B632" s="3" t="str">
        <f t="shared" si="31"/>
        <v>1月</v>
      </c>
      <c r="C632" s="4" t="str">
        <f t="shared" si="32"/>
        <v>W3</v>
      </c>
      <c r="D632" s="2" t="s">
        <v>755</v>
      </c>
      <c r="E632" s="2" t="s">
        <v>721</v>
      </c>
      <c r="F632" s="2" t="str" cm="1">
        <f t="array" ref="F632">INDEX(_xlfn.TEXTSPLIT(E632,"-"),2)</f>
        <v>女装</v>
      </c>
      <c r="G632" s="2" t="str" cm="1">
        <f t="array" ref="G632">INDEX(_xlfn.TEXTSPLIT(E632,"-"),3)</f>
        <v>皮衣</v>
      </c>
      <c r="H632" s="5">
        <v>155608</v>
      </c>
      <c r="I632" s="5">
        <v>60612338.14</v>
      </c>
      <c r="J632" s="6">
        <v>0.0144</v>
      </c>
      <c r="K632" s="6">
        <v>-0.235</v>
      </c>
    </row>
    <row r="633" ht="14.5" spans="1:11">
      <c r="A633" s="3" t="str">
        <f t="shared" si="30"/>
        <v>2026年</v>
      </c>
      <c r="B633" s="3" t="str">
        <f t="shared" si="31"/>
        <v>1月</v>
      </c>
      <c r="C633" s="4" t="str">
        <f t="shared" si="32"/>
        <v>W3</v>
      </c>
      <c r="D633" s="2" t="s">
        <v>755</v>
      </c>
      <c r="E633" s="2" t="s">
        <v>722</v>
      </c>
      <c r="F633" s="2" t="str" cm="1">
        <f t="array" ref="F633">INDEX(_xlfn.TEXTSPLIT(E633,"-"),2)</f>
        <v>女装</v>
      </c>
      <c r="G633" s="2" t="str" cm="1">
        <f t="array" ref="G633">INDEX(_xlfn.TEXTSPLIT(E633,"-"),3)</f>
        <v>短外套</v>
      </c>
      <c r="H633" s="5">
        <v>1908876</v>
      </c>
      <c r="I633" s="5">
        <v>334862551.1</v>
      </c>
      <c r="J633" s="6">
        <v>0.0795</v>
      </c>
      <c r="K633" s="6">
        <v>0.0382</v>
      </c>
    </row>
    <row r="634" ht="14.5" spans="1:11">
      <c r="A634" s="3" t="str">
        <f t="shared" si="30"/>
        <v>2026年</v>
      </c>
      <c r="B634" s="3" t="str">
        <f t="shared" si="31"/>
        <v>1月</v>
      </c>
      <c r="C634" s="4" t="str">
        <f t="shared" si="32"/>
        <v>W3</v>
      </c>
      <c r="D634" s="2" t="s">
        <v>755</v>
      </c>
      <c r="E634" s="2" t="s">
        <v>723</v>
      </c>
      <c r="F634" s="2" t="str" cm="1">
        <f t="array" ref="F634">INDEX(_xlfn.TEXTSPLIT(E634,"-"),2)</f>
        <v>女装</v>
      </c>
      <c r="G634" s="2" t="str" cm="1">
        <f t="array" ref="G634">INDEX(_xlfn.TEXTSPLIT(E634,"-"),3)</f>
        <v>短裤</v>
      </c>
      <c r="H634" s="5">
        <v>164758</v>
      </c>
      <c r="I634" s="5">
        <v>8167525.74</v>
      </c>
      <c r="J634" s="6">
        <v>0.0019</v>
      </c>
      <c r="K634" s="6">
        <v>0.1254</v>
      </c>
    </row>
    <row r="635" ht="14.5" spans="1:11">
      <c r="A635" s="3" t="str">
        <f t="shared" si="30"/>
        <v>2026年</v>
      </c>
      <c r="B635" s="3" t="str">
        <f t="shared" si="31"/>
        <v>1月</v>
      </c>
      <c r="C635" s="4" t="str">
        <f t="shared" si="32"/>
        <v>W3</v>
      </c>
      <c r="D635" s="2" t="s">
        <v>755</v>
      </c>
      <c r="E635" s="2" t="s">
        <v>724</v>
      </c>
      <c r="F635" s="2" t="str" cm="1">
        <f t="array" ref="F635">INDEX(_xlfn.TEXTSPLIT(E635,"-"),2)</f>
        <v>女装</v>
      </c>
      <c r="G635" s="2" t="str" cm="1">
        <f t="array" ref="G635">INDEX(_xlfn.TEXTSPLIT(E635,"-"),3)</f>
        <v>羊毛衫</v>
      </c>
      <c r="H635" s="5">
        <v>595366</v>
      </c>
      <c r="I635" s="5">
        <v>77720926.91</v>
      </c>
      <c r="J635" s="6">
        <v>0.0185</v>
      </c>
      <c r="K635" s="6">
        <v>-0.0224</v>
      </c>
    </row>
    <row r="636" ht="14.5" spans="1:11">
      <c r="A636" s="3" t="str">
        <f t="shared" si="30"/>
        <v>2026年</v>
      </c>
      <c r="B636" s="3" t="str">
        <f t="shared" si="31"/>
        <v>1月</v>
      </c>
      <c r="C636" s="4" t="str">
        <f t="shared" si="32"/>
        <v>W3</v>
      </c>
      <c r="D636" s="2" t="s">
        <v>755</v>
      </c>
      <c r="E636" s="2" t="s">
        <v>725</v>
      </c>
      <c r="F636" s="2" t="str" cm="1">
        <f t="array" ref="F636">INDEX(_xlfn.TEXTSPLIT(E636,"-"),2)</f>
        <v>女装</v>
      </c>
      <c r="G636" s="2" t="str" cm="1">
        <f t="array" ref="G636">INDEX(_xlfn.TEXTSPLIT(E636,"-"),3)</f>
        <v>羊绒大衣</v>
      </c>
      <c r="H636" s="5">
        <v>6442</v>
      </c>
      <c r="I636" s="5">
        <v>3804554.32</v>
      </c>
      <c r="J636" s="6">
        <v>0.0009</v>
      </c>
      <c r="K636" s="6">
        <v>-0.2955</v>
      </c>
    </row>
    <row r="637" ht="14.5" spans="1:11">
      <c r="A637" s="3" t="str">
        <f t="shared" si="30"/>
        <v>2026年</v>
      </c>
      <c r="B637" s="3" t="str">
        <f t="shared" si="31"/>
        <v>1月</v>
      </c>
      <c r="C637" s="4" t="str">
        <f t="shared" si="32"/>
        <v>W3</v>
      </c>
      <c r="D637" s="2" t="s">
        <v>755</v>
      </c>
      <c r="E637" s="2" t="s">
        <v>726</v>
      </c>
      <c r="F637" s="2" t="str" cm="1">
        <f t="array" ref="F637">INDEX(_xlfn.TEXTSPLIT(E637,"-"),2)</f>
        <v>女装</v>
      </c>
      <c r="G637" s="2" t="str" cm="1">
        <f t="array" ref="G637">INDEX(_xlfn.TEXTSPLIT(E637,"-"),3)</f>
        <v>羊绒衫</v>
      </c>
      <c r="H637" s="5">
        <v>156827</v>
      </c>
      <c r="I637" s="5">
        <v>54369829.48</v>
      </c>
      <c r="J637" s="6">
        <v>0.0129</v>
      </c>
      <c r="K637" s="6">
        <v>-0.0751</v>
      </c>
    </row>
    <row r="638" ht="14.5" spans="1:11">
      <c r="A638" s="3" t="str">
        <f t="shared" si="30"/>
        <v>2026年</v>
      </c>
      <c r="B638" s="3" t="str">
        <f t="shared" si="31"/>
        <v>1月</v>
      </c>
      <c r="C638" s="4" t="str">
        <f t="shared" si="32"/>
        <v>W3</v>
      </c>
      <c r="D638" s="2" t="s">
        <v>755</v>
      </c>
      <c r="E638" s="2" t="s">
        <v>727</v>
      </c>
      <c r="F638" s="2" t="str" cm="1">
        <f t="array" ref="F638">INDEX(_xlfn.TEXTSPLIT(E638,"-"),2)</f>
        <v>女装</v>
      </c>
      <c r="G638" s="2" t="str" cm="1">
        <f t="array" ref="G638">INDEX(_xlfn.TEXTSPLIT(E638,"-"),3)</f>
        <v>羽绒服</v>
      </c>
      <c r="H638" s="5">
        <v>2080420</v>
      </c>
      <c r="I638" s="5">
        <v>884223302.12</v>
      </c>
      <c r="J638" s="6">
        <v>0.2099</v>
      </c>
      <c r="K638" s="6">
        <v>0.1008</v>
      </c>
    </row>
    <row r="639" ht="14.5" spans="1:11">
      <c r="A639" s="3" t="str">
        <f t="shared" si="30"/>
        <v>2026年</v>
      </c>
      <c r="B639" s="3" t="str">
        <f t="shared" si="31"/>
        <v>1月</v>
      </c>
      <c r="C639" s="4" t="str">
        <f t="shared" si="32"/>
        <v>W3</v>
      </c>
      <c r="D639" s="2" t="s">
        <v>755</v>
      </c>
      <c r="E639" s="2" t="s">
        <v>728</v>
      </c>
      <c r="F639" s="2" t="str" cm="1">
        <f t="array" ref="F639">INDEX(_xlfn.TEXTSPLIT(E639,"-"),2)</f>
        <v>女装</v>
      </c>
      <c r="G639" s="2" t="str" cm="1">
        <f t="array" ref="G639">INDEX(_xlfn.TEXTSPLIT(E639,"-"),3)</f>
        <v>肌底衣/肌肤衣</v>
      </c>
      <c r="H639" s="5">
        <v>5895</v>
      </c>
      <c r="I639" s="5">
        <v>244056.76</v>
      </c>
      <c r="J639" s="6">
        <v>0.0001</v>
      </c>
      <c r="K639" s="6">
        <v>0.0232</v>
      </c>
    </row>
    <row r="640" ht="14.5" spans="1:11">
      <c r="A640" s="3" t="str">
        <f t="shared" si="30"/>
        <v>2026年</v>
      </c>
      <c r="B640" s="3" t="str">
        <f t="shared" si="31"/>
        <v>1月</v>
      </c>
      <c r="C640" s="4" t="str">
        <f t="shared" si="32"/>
        <v>W3</v>
      </c>
      <c r="D640" s="2" t="s">
        <v>755</v>
      </c>
      <c r="E640" s="2" t="s">
        <v>729</v>
      </c>
      <c r="F640" s="2" t="str" cm="1">
        <f t="array" ref="F640">INDEX(_xlfn.TEXTSPLIT(E640,"-"),2)</f>
        <v>女装</v>
      </c>
      <c r="G640" s="2" t="str" cm="1">
        <f t="array" ref="G640">INDEX(_xlfn.TEXTSPLIT(E640,"-"),3)</f>
        <v>背心吊带</v>
      </c>
      <c r="H640" s="5">
        <v>251346</v>
      </c>
      <c r="I640" s="5">
        <v>14180940.15</v>
      </c>
      <c r="J640" s="6">
        <v>0.0034</v>
      </c>
      <c r="K640" s="6">
        <v>-0.1042</v>
      </c>
    </row>
    <row r="641" ht="14.5" spans="1:11">
      <c r="A641" s="3" t="str">
        <f t="shared" si="30"/>
        <v>2026年</v>
      </c>
      <c r="B641" s="3" t="str">
        <f t="shared" si="31"/>
        <v>1月</v>
      </c>
      <c r="C641" s="4" t="str">
        <f t="shared" si="32"/>
        <v>W3</v>
      </c>
      <c r="D641" s="2" t="s">
        <v>755</v>
      </c>
      <c r="E641" s="2" t="s">
        <v>730</v>
      </c>
      <c r="F641" s="2" t="str" cm="1">
        <f t="array" ref="F641">INDEX(_xlfn.TEXTSPLIT(E641,"-"),2)</f>
        <v>女装</v>
      </c>
      <c r="G641" s="2" t="str" cm="1">
        <f t="array" ref="G641">INDEX(_xlfn.TEXTSPLIT(E641,"-"),3)</f>
        <v>蕾丝衫/雪纺衫</v>
      </c>
      <c r="H641" s="5">
        <v>213904</v>
      </c>
      <c r="I641" s="5">
        <v>15129699.79</v>
      </c>
      <c r="J641" s="6">
        <v>0.0036</v>
      </c>
      <c r="K641" s="6">
        <v>-0.1107</v>
      </c>
    </row>
    <row r="642" ht="14.5" spans="1:11">
      <c r="A642" s="3" t="str">
        <f t="shared" si="30"/>
        <v>2026年</v>
      </c>
      <c r="B642" s="3" t="str">
        <f t="shared" si="31"/>
        <v>1月</v>
      </c>
      <c r="C642" s="4" t="str">
        <f t="shared" si="32"/>
        <v>W3</v>
      </c>
      <c r="D642" s="2" t="s">
        <v>755</v>
      </c>
      <c r="E642" s="2" t="s">
        <v>731</v>
      </c>
      <c r="F642" s="2" t="str" cm="1">
        <f t="array" ref="F642">INDEX(_xlfn.TEXTSPLIT(E642,"-"),2)</f>
        <v>女装</v>
      </c>
      <c r="G642" s="2" t="str" cm="1">
        <f t="array" ref="G642">INDEX(_xlfn.TEXTSPLIT(E642,"-"),3)</f>
        <v>衬衫</v>
      </c>
      <c r="H642" s="5">
        <v>509153</v>
      </c>
      <c r="I642" s="5">
        <v>58497810.24</v>
      </c>
      <c r="J642" s="6">
        <v>0.0139</v>
      </c>
      <c r="K642" s="6">
        <v>-0.1535</v>
      </c>
    </row>
    <row r="643" ht="14.5" spans="1:11">
      <c r="A643" s="3" t="str">
        <f t="shared" si="30"/>
        <v>2026年</v>
      </c>
      <c r="B643" s="3" t="str">
        <f t="shared" si="31"/>
        <v>1月</v>
      </c>
      <c r="C643" s="4" t="str">
        <f t="shared" si="32"/>
        <v>W3</v>
      </c>
      <c r="D643" s="2" t="s">
        <v>755</v>
      </c>
      <c r="E643" s="2" t="s">
        <v>732</v>
      </c>
      <c r="F643" s="2" t="str" cm="1">
        <f t="array" ref="F643">INDEX(_xlfn.TEXTSPLIT(E643,"-"),2)</f>
        <v>女装</v>
      </c>
      <c r="G643" s="2" t="str" cm="1">
        <f t="array" ref="G643">INDEX(_xlfn.TEXTSPLIT(E643,"-"),3)</f>
        <v>裤子</v>
      </c>
      <c r="H643" s="5">
        <v>5165157</v>
      </c>
      <c r="I643" s="5">
        <v>495220355.62</v>
      </c>
      <c r="J643" s="6">
        <v>0.1176</v>
      </c>
      <c r="K643" s="7">
        <v>0.05</v>
      </c>
    </row>
    <row r="644" ht="14.5" spans="1:11">
      <c r="A644" s="3" t="str">
        <f t="shared" si="30"/>
        <v>2026年</v>
      </c>
      <c r="B644" s="3" t="str">
        <f t="shared" si="31"/>
        <v>1月</v>
      </c>
      <c r="C644" s="4" t="str">
        <f t="shared" si="32"/>
        <v>W3</v>
      </c>
      <c r="D644" s="2" t="s">
        <v>755</v>
      </c>
      <c r="E644" s="2" t="s">
        <v>733</v>
      </c>
      <c r="F644" s="2" t="str" cm="1">
        <f t="array" ref="F644">INDEX(_xlfn.TEXTSPLIT(E644,"-"),2)</f>
        <v>女装</v>
      </c>
      <c r="G644" s="2" t="str" cm="1">
        <f t="array" ref="G644">INDEX(_xlfn.TEXTSPLIT(E644,"-"),3)</f>
        <v>西装</v>
      </c>
      <c r="H644" s="5">
        <v>53132</v>
      </c>
      <c r="I644" s="5">
        <v>14917100.51</v>
      </c>
      <c r="J644" s="6">
        <v>0.0035</v>
      </c>
      <c r="K644" s="6">
        <v>-0.2154</v>
      </c>
    </row>
    <row r="645" ht="14.5" spans="1:11">
      <c r="A645" s="3" t="str">
        <f t="shared" si="30"/>
        <v>2026年</v>
      </c>
      <c r="B645" s="3" t="str">
        <f t="shared" si="31"/>
        <v>1月</v>
      </c>
      <c r="C645" s="4" t="str">
        <f t="shared" si="32"/>
        <v>W3</v>
      </c>
      <c r="D645" s="2" t="s">
        <v>755</v>
      </c>
      <c r="E645" s="2" t="s">
        <v>734</v>
      </c>
      <c r="F645" s="2" t="str" cm="1">
        <f t="array" ref="F645">INDEX(_xlfn.TEXTSPLIT(E645,"-"),2)</f>
        <v>女装</v>
      </c>
      <c r="G645" s="2" t="str" cm="1">
        <f t="array" ref="G645">INDEX(_xlfn.TEXTSPLIT(E645,"-"),3)</f>
        <v>设计师/潮牌女装</v>
      </c>
      <c r="H645" s="5">
        <v>501747</v>
      </c>
      <c r="I645" s="5">
        <v>66707679.23</v>
      </c>
      <c r="J645" s="6">
        <v>0.0158</v>
      </c>
      <c r="K645" s="6">
        <v>-0.1276</v>
      </c>
    </row>
    <row r="646" ht="14.5" spans="1:11">
      <c r="A646" s="3" t="str">
        <f t="shared" si="30"/>
        <v>2026年</v>
      </c>
      <c r="B646" s="3" t="str">
        <f t="shared" si="31"/>
        <v>1月</v>
      </c>
      <c r="C646" s="4" t="str">
        <f t="shared" si="32"/>
        <v>W3</v>
      </c>
      <c r="D646" s="2" t="s">
        <v>755</v>
      </c>
      <c r="E646" s="2" t="s">
        <v>735</v>
      </c>
      <c r="F646" s="2" t="str" cm="1">
        <f t="array" ref="F646">INDEX(_xlfn.TEXTSPLIT(E646,"-"),2)</f>
        <v>女装</v>
      </c>
      <c r="G646" s="2" t="str" cm="1">
        <f t="array" ref="G646">INDEX(_xlfn.TEXTSPLIT(E646,"-"),3)</f>
        <v>连体衣/裤</v>
      </c>
      <c r="H646" s="5">
        <v>14345</v>
      </c>
      <c r="I646" s="5">
        <v>2477312.23</v>
      </c>
      <c r="J646" s="6">
        <v>0.0006</v>
      </c>
      <c r="K646" s="6">
        <v>-0.1748</v>
      </c>
    </row>
    <row r="647" ht="14.5" spans="1:11">
      <c r="A647" s="3" t="str">
        <f t="shared" si="30"/>
        <v>2026年</v>
      </c>
      <c r="B647" s="3" t="str">
        <f t="shared" si="31"/>
        <v>1月</v>
      </c>
      <c r="C647" s="4" t="str">
        <f t="shared" si="32"/>
        <v>W3</v>
      </c>
      <c r="D647" s="2" t="s">
        <v>755</v>
      </c>
      <c r="E647" s="2" t="s">
        <v>736</v>
      </c>
      <c r="F647" s="2" t="str" cm="1">
        <f t="array" ref="F647">INDEX(_xlfn.TEXTSPLIT(E647,"-"),2)</f>
        <v>女装</v>
      </c>
      <c r="G647" s="2" t="str" cm="1">
        <f t="array" ref="G647">INDEX(_xlfn.TEXTSPLIT(E647,"-"),3)</f>
        <v>连衣裙</v>
      </c>
      <c r="H647" s="5">
        <v>852807</v>
      </c>
      <c r="I647" s="5">
        <v>116464024.05</v>
      </c>
      <c r="J647" s="6">
        <v>0.0276</v>
      </c>
      <c r="K647" s="6">
        <v>0.0387</v>
      </c>
    </row>
    <row r="648" ht="14.5" spans="1:11">
      <c r="A648" s="3" t="str">
        <f t="shared" si="30"/>
        <v>2026年</v>
      </c>
      <c r="B648" s="3" t="str">
        <f t="shared" si="31"/>
        <v>1月</v>
      </c>
      <c r="C648" s="4" t="str">
        <f t="shared" si="32"/>
        <v>W3</v>
      </c>
      <c r="D648" s="2" t="s">
        <v>755</v>
      </c>
      <c r="E648" s="2" t="s">
        <v>737</v>
      </c>
      <c r="F648" s="2" t="str" cm="1">
        <f t="array" ref="F648">INDEX(_xlfn.TEXTSPLIT(E648,"-"),2)</f>
        <v>女装</v>
      </c>
      <c r="G648" s="2" t="str" cm="1">
        <f t="array" ref="G648">INDEX(_xlfn.TEXTSPLIT(E648,"-"),3)</f>
        <v>风衣</v>
      </c>
      <c r="H648" s="5">
        <v>105863</v>
      </c>
      <c r="I648" s="5">
        <v>18191436.27</v>
      </c>
      <c r="J648" s="6">
        <v>0.0043</v>
      </c>
      <c r="K648" s="6">
        <v>-0.2388</v>
      </c>
    </row>
    <row r="649" ht="14.5" spans="1:11">
      <c r="A649" s="3" t="str">
        <f t="shared" si="30"/>
        <v>2026年</v>
      </c>
      <c r="B649" s="3" t="str">
        <f t="shared" si="31"/>
        <v>1月</v>
      </c>
      <c r="C649" s="4" t="str">
        <f t="shared" si="32"/>
        <v>W3</v>
      </c>
      <c r="D649" s="2" t="s">
        <v>755</v>
      </c>
      <c r="E649" s="2" t="s">
        <v>738</v>
      </c>
      <c r="F649" s="2" t="str" cm="1">
        <f t="array" ref="F649">INDEX(_xlfn.TEXTSPLIT(E649,"-"),2)</f>
        <v>女装</v>
      </c>
      <c r="G649" s="2" t="str" cm="1">
        <f t="array" ref="G649">INDEX(_xlfn.TEXTSPLIT(E649,"-"),3)</f>
        <v>马夹</v>
      </c>
      <c r="H649" s="5">
        <v>494797</v>
      </c>
      <c r="I649" s="5">
        <v>53735987.82</v>
      </c>
      <c r="J649" s="6">
        <v>0.0128</v>
      </c>
      <c r="K649" s="6">
        <v>-0.0287</v>
      </c>
    </row>
    <row r="650" ht="14.5" spans="1:11">
      <c r="A650" s="3" t="str">
        <f t="shared" si="30"/>
        <v>2026年</v>
      </c>
      <c r="B650" s="3" t="str">
        <f t="shared" si="31"/>
        <v>1月</v>
      </c>
      <c r="C650" s="4" t="str">
        <f t="shared" si="32"/>
        <v>W4</v>
      </c>
      <c r="D650" s="2" t="s">
        <v>756</v>
      </c>
      <c r="E650" s="2" t="s">
        <v>702</v>
      </c>
      <c r="F650" s="2" t="str" cm="1">
        <f t="array" ref="F650">INDEX(_xlfn.TEXTSPLIT(E650,"-"),2)</f>
        <v>女装</v>
      </c>
      <c r="G650" s="2" t="str" cm="1">
        <f t="array" ref="G650">INDEX(_xlfn.TEXTSPLIT(E650,"-"),3)</f>
        <v>POLO衫</v>
      </c>
      <c r="H650" s="5">
        <v>27765</v>
      </c>
      <c r="I650" s="5">
        <v>1337931.8</v>
      </c>
      <c r="J650" s="6">
        <v>0.0004</v>
      </c>
      <c r="K650" s="6">
        <v>0.0862</v>
      </c>
    </row>
    <row r="651" ht="14.5" spans="1:11">
      <c r="A651" s="3" t="str">
        <f t="shared" si="30"/>
        <v>2026年</v>
      </c>
      <c r="B651" s="3" t="str">
        <f t="shared" si="31"/>
        <v>1月</v>
      </c>
      <c r="C651" s="4" t="str">
        <f t="shared" si="32"/>
        <v>W4</v>
      </c>
      <c r="D651" s="2" t="s">
        <v>756</v>
      </c>
      <c r="E651" s="2" t="s">
        <v>703</v>
      </c>
      <c r="F651" s="2" t="str" cm="1">
        <f t="array" ref="F651">INDEX(_xlfn.TEXTSPLIT(E651,"-"),2)</f>
        <v>女装</v>
      </c>
      <c r="G651" s="2" t="str" cm="1">
        <f t="array" ref="G651">INDEX(_xlfn.TEXTSPLIT(E651,"-"),3)</f>
        <v>T恤</v>
      </c>
      <c r="H651" s="5">
        <v>1434095</v>
      </c>
      <c r="I651" s="5">
        <v>79646431.34</v>
      </c>
      <c r="J651" s="6">
        <v>0.0216</v>
      </c>
      <c r="K651" s="6">
        <v>-0.1588</v>
      </c>
    </row>
    <row r="652" ht="14.5" spans="1:11">
      <c r="A652" s="3" t="str">
        <f t="shared" si="30"/>
        <v>2026年</v>
      </c>
      <c r="B652" s="3" t="str">
        <f t="shared" si="31"/>
        <v>1月</v>
      </c>
      <c r="C652" s="4" t="str">
        <f t="shared" si="32"/>
        <v>W4</v>
      </c>
      <c r="D652" s="2" t="s">
        <v>756</v>
      </c>
      <c r="E652" s="2" t="s">
        <v>704</v>
      </c>
      <c r="F652" s="2" t="str" cm="1">
        <f t="array" ref="F652">INDEX(_xlfn.TEXTSPLIT(E652,"-"),2)</f>
        <v>女装</v>
      </c>
      <c r="G652" s="2" t="str" cm="1">
        <f t="array" ref="G652">INDEX(_xlfn.TEXTSPLIT(E652,"-"),3)</f>
        <v>中老年女装</v>
      </c>
      <c r="H652" s="5">
        <v>526779</v>
      </c>
      <c r="I652" s="5">
        <v>61042647.97</v>
      </c>
      <c r="J652" s="6">
        <v>0.0166</v>
      </c>
      <c r="K652" s="6">
        <v>0.0637</v>
      </c>
    </row>
    <row r="653" ht="14.5" spans="1:11">
      <c r="A653" s="3" t="str">
        <f t="shared" si="30"/>
        <v>2026年</v>
      </c>
      <c r="B653" s="3" t="str">
        <f t="shared" si="31"/>
        <v>1月</v>
      </c>
      <c r="C653" s="4" t="str">
        <f t="shared" si="32"/>
        <v>W4</v>
      </c>
      <c r="D653" s="2" t="s">
        <v>756</v>
      </c>
      <c r="E653" s="2" t="s">
        <v>705</v>
      </c>
      <c r="F653" s="2" t="str" cm="1">
        <f t="array" ref="F653">INDEX(_xlfn.TEXTSPLIT(E653,"-"),2)</f>
        <v>女装</v>
      </c>
      <c r="G653" s="2" t="str" cm="1">
        <f t="array" ref="G653">INDEX(_xlfn.TEXTSPLIT(E653,"-"),3)</f>
        <v>半身裙</v>
      </c>
      <c r="H653" s="5">
        <v>733382</v>
      </c>
      <c r="I653" s="5">
        <v>61754506.24</v>
      </c>
      <c r="J653" s="6">
        <v>0.0168</v>
      </c>
      <c r="K653" s="6">
        <v>-0.2447</v>
      </c>
    </row>
    <row r="654" ht="14.5" spans="1:11">
      <c r="A654" s="3" t="str">
        <f t="shared" si="30"/>
        <v>2026年</v>
      </c>
      <c r="B654" s="3" t="str">
        <f t="shared" si="31"/>
        <v>1月</v>
      </c>
      <c r="C654" s="4" t="str">
        <f t="shared" si="32"/>
        <v>W4</v>
      </c>
      <c r="D654" s="2" t="s">
        <v>756</v>
      </c>
      <c r="E654" s="2" t="s">
        <v>706</v>
      </c>
      <c r="F654" s="2" t="str" cm="1">
        <f t="array" ref="F654">INDEX(_xlfn.TEXTSPLIT(E654,"-"),2)</f>
        <v>女装</v>
      </c>
      <c r="G654" s="2" t="str" cm="1">
        <f t="array" ref="G654">INDEX(_xlfn.TEXTSPLIT(E654,"-"),3)</f>
        <v>卫衣/绒衫</v>
      </c>
      <c r="H654" s="5">
        <v>435663</v>
      </c>
      <c r="I654" s="5">
        <v>33499950.56</v>
      </c>
      <c r="J654" s="6">
        <v>0.0091</v>
      </c>
      <c r="K654" s="6">
        <v>-0.1347</v>
      </c>
    </row>
    <row r="655" ht="14.5" spans="1:11">
      <c r="A655" s="3" t="str">
        <f t="shared" si="30"/>
        <v>2026年</v>
      </c>
      <c r="B655" s="3" t="str">
        <f t="shared" si="31"/>
        <v>1月</v>
      </c>
      <c r="C655" s="4" t="str">
        <f t="shared" si="32"/>
        <v>W4</v>
      </c>
      <c r="D655" s="2" t="s">
        <v>756</v>
      </c>
      <c r="E655" s="2" t="s">
        <v>707</v>
      </c>
      <c r="F655" s="2" t="str" cm="1">
        <f t="array" ref="F655">INDEX(_xlfn.TEXTSPLIT(E655,"-"),2)</f>
        <v>女装</v>
      </c>
      <c r="G655" s="2" t="str" cm="1">
        <f t="array" ref="G655">INDEX(_xlfn.TEXTSPLIT(E655,"-"),3)</f>
        <v>唐装/民族服装/舞台服装</v>
      </c>
      <c r="H655" s="5">
        <v>226729</v>
      </c>
      <c r="I655" s="5">
        <v>43284272.85</v>
      </c>
      <c r="J655" s="6">
        <v>0.0118</v>
      </c>
      <c r="K655" s="6">
        <v>-0.1993</v>
      </c>
    </row>
    <row r="656" ht="14.5" spans="1:11">
      <c r="A656" s="3" t="str">
        <f t="shared" si="30"/>
        <v>2026年</v>
      </c>
      <c r="B656" s="3" t="str">
        <f t="shared" si="31"/>
        <v>1月</v>
      </c>
      <c r="C656" s="4" t="str">
        <f t="shared" si="32"/>
        <v>W4</v>
      </c>
      <c r="D656" s="2" t="s">
        <v>756</v>
      </c>
      <c r="E656" s="2" t="s">
        <v>708</v>
      </c>
      <c r="F656" s="2" t="str" cm="1">
        <f t="array" ref="F656">INDEX(_xlfn.TEXTSPLIT(E656,"-"),2)</f>
        <v>女装</v>
      </c>
      <c r="G656" s="2" t="str" cm="1">
        <f t="array" ref="G656">INDEX(_xlfn.TEXTSPLIT(E656,"-"),3)</f>
        <v>大码女装</v>
      </c>
      <c r="H656" s="5">
        <v>694837</v>
      </c>
      <c r="I656" s="5">
        <v>63593962.13</v>
      </c>
      <c r="J656" s="6">
        <v>0.0173</v>
      </c>
      <c r="K656" s="6">
        <v>-0.1199</v>
      </c>
    </row>
    <row r="657" ht="14.5" spans="1:11">
      <c r="A657" s="3" t="str">
        <f t="shared" si="30"/>
        <v>2026年</v>
      </c>
      <c r="B657" s="3" t="str">
        <f t="shared" si="31"/>
        <v>1月</v>
      </c>
      <c r="C657" s="4" t="str">
        <f t="shared" si="32"/>
        <v>W4</v>
      </c>
      <c r="D657" s="2" t="s">
        <v>756</v>
      </c>
      <c r="E657" s="2" t="s">
        <v>709</v>
      </c>
      <c r="F657" s="2" t="str" cm="1">
        <f t="array" ref="F657">INDEX(_xlfn.TEXTSPLIT(E657,"-"),2)</f>
        <v>女装</v>
      </c>
      <c r="G657" s="2" t="str" cm="1">
        <f t="array" ref="G657">INDEX(_xlfn.TEXTSPLIT(E657,"-"),3)</f>
        <v>套装/学生校服/工作制服</v>
      </c>
      <c r="H657" s="5">
        <v>926195</v>
      </c>
      <c r="I657" s="5">
        <v>123164084</v>
      </c>
      <c r="J657" s="6">
        <v>0.0335</v>
      </c>
      <c r="K657" s="6">
        <v>-0.2007</v>
      </c>
    </row>
    <row r="658" ht="14.5" spans="1:11">
      <c r="A658" s="3" t="str">
        <f t="shared" si="30"/>
        <v>2026年</v>
      </c>
      <c r="B658" s="3" t="str">
        <f t="shared" si="31"/>
        <v>1月</v>
      </c>
      <c r="C658" s="4" t="str">
        <f t="shared" si="32"/>
        <v>W4</v>
      </c>
      <c r="D658" s="2" t="s">
        <v>756</v>
      </c>
      <c r="E658" s="2" t="s">
        <v>710</v>
      </c>
      <c r="F658" s="2" t="str" cm="1">
        <f t="array" ref="F658">INDEX(_xlfn.TEXTSPLIT(E658,"-"),2)</f>
        <v>女装</v>
      </c>
      <c r="G658" s="2" t="str" cm="1">
        <f t="array" ref="G658">INDEX(_xlfn.TEXTSPLIT(E658,"-"),3)</f>
        <v>婚纱/旗袍/礼服</v>
      </c>
      <c r="H658" s="5">
        <v>48666</v>
      </c>
      <c r="I658" s="5">
        <v>9587436.12</v>
      </c>
      <c r="J658" s="6">
        <v>0.0026</v>
      </c>
      <c r="K658" s="6">
        <v>-0.1515</v>
      </c>
    </row>
    <row r="659" ht="14.5" spans="1:11">
      <c r="A659" s="3" t="str">
        <f t="shared" si="30"/>
        <v>2026年</v>
      </c>
      <c r="B659" s="3" t="str">
        <f t="shared" si="31"/>
        <v>1月</v>
      </c>
      <c r="C659" s="4" t="str">
        <f t="shared" si="32"/>
        <v>W4</v>
      </c>
      <c r="D659" s="2" t="s">
        <v>756</v>
      </c>
      <c r="E659" s="2" t="s">
        <v>711</v>
      </c>
      <c r="F659" s="2" t="str" cm="1">
        <f t="array" ref="F659">INDEX(_xlfn.TEXTSPLIT(E659,"-"),2)</f>
        <v>女装</v>
      </c>
      <c r="G659" s="2" t="str" cm="1">
        <f t="array" ref="G659">INDEX(_xlfn.TEXTSPLIT(E659,"-"),3)</f>
        <v>新中式女装</v>
      </c>
      <c r="H659" s="5">
        <v>86257</v>
      </c>
      <c r="I659" s="5">
        <v>11363946.75</v>
      </c>
      <c r="J659" s="6">
        <v>0.0031</v>
      </c>
      <c r="K659" s="6">
        <v>-0.1445</v>
      </c>
    </row>
    <row r="660" ht="14.5" spans="1:11">
      <c r="A660" s="3" t="str">
        <f t="shared" si="30"/>
        <v>2026年</v>
      </c>
      <c r="B660" s="3" t="str">
        <f t="shared" si="31"/>
        <v>1月</v>
      </c>
      <c r="C660" s="4" t="str">
        <f t="shared" si="32"/>
        <v>W4</v>
      </c>
      <c r="D660" s="2" t="s">
        <v>756</v>
      </c>
      <c r="E660" s="2" t="s">
        <v>712</v>
      </c>
      <c r="F660" s="2" t="str" cm="1">
        <f t="array" ref="F660">INDEX(_xlfn.TEXTSPLIT(E660,"-"),2)</f>
        <v>女装</v>
      </c>
      <c r="G660" s="2" t="str" cm="1">
        <f t="array" ref="G660">INDEX(_xlfn.TEXTSPLIT(E660,"-"),3)</f>
        <v>时尚防晒服</v>
      </c>
      <c r="H660" s="5">
        <v>269</v>
      </c>
      <c r="I660" s="5">
        <v>17684.51</v>
      </c>
      <c r="J660" s="2" t="s">
        <v>713</v>
      </c>
      <c r="K660" s="6">
        <v>-0.6807</v>
      </c>
    </row>
    <row r="661" ht="14.5" spans="1:11">
      <c r="A661" s="3" t="str">
        <f t="shared" si="30"/>
        <v>2026年</v>
      </c>
      <c r="B661" s="3" t="str">
        <f t="shared" si="31"/>
        <v>1月</v>
      </c>
      <c r="C661" s="4" t="str">
        <f t="shared" si="32"/>
        <v>W4</v>
      </c>
      <c r="D661" s="2" t="s">
        <v>756</v>
      </c>
      <c r="E661" s="2" t="s">
        <v>714</v>
      </c>
      <c r="F661" s="2" t="str" cm="1">
        <f t="array" ref="F661">INDEX(_xlfn.TEXTSPLIT(E661,"-"),2)</f>
        <v>女装</v>
      </c>
      <c r="G661" s="2" t="str" cm="1">
        <f t="array" ref="G661">INDEX(_xlfn.TEXTSPLIT(E661,"-"),3)</f>
        <v>棉衣/棉服</v>
      </c>
      <c r="H661" s="5">
        <v>797049</v>
      </c>
      <c r="I661" s="5">
        <v>89494728</v>
      </c>
      <c r="J661" s="6">
        <v>0.0243</v>
      </c>
      <c r="K661" s="6">
        <v>-0.1098</v>
      </c>
    </row>
    <row r="662" ht="14.5" spans="1:11">
      <c r="A662" s="3" t="str">
        <f t="shared" si="30"/>
        <v>2026年</v>
      </c>
      <c r="B662" s="3" t="str">
        <f t="shared" si="31"/>
        <v>1月</v>
      </c>
      <c r="C662" s="4" t="str">
        <f t="shared" si="32"/>
        <v>W4</v>
      </c>
      <c r="D662" s="2" t="s">
        <v>756</v>
      </c>
      <c r="E662" s="2" t="s">
        <v>715</v>
      </c>
      <c r="F662" s="2" t="str" cm="1">
        <f t="array" ref="F662">INDEX(_xlfn.TEXTSPLIT(E662,"-"),2)</f>
        <v>女装</v>
      </c>
      <c r="G662" s="2" t="str" cm="1">
        <f t="array" ref="G662">INDEX(_xlfn.TEXTSPLIT(E662,"-"),3)</f>
        <v>毛呢外套</v>
      </c>
      <c r="H662" s="5">
        <v>765537</v>
      </c>
      <c r="I662" s="5">
        <v>290076874.85</v>
      </c>
      <c r="J662" s="6">
        <v>0.0788</v>
      </c>
      <c r="K662" s="6">
        <v>-0.2302</v>
      </c>
    </row>
    <row r="663" ht="14.5" spans="1:11">
      <c r="A663" s="3" t="str">
        <f t="shared" si="30"/>
        <v>2026年</v>
      </c>
      <c r="B663" s="3" t="str">
        <f t="shared" si="31"/>
        <v>1月</v>
      </c>
      <c r="C663" s="4" t="str">
        <f t="shared" si="32"/>
        <v>W4</v>
      </c>
      <c r="D663" s="2" t="s">
        <v>756</v>
      </c>
      <c r="E663" s="2" t="s">
        <v>716</v>
      </c>
      <c r="F663" s="2" t="str" cm="1">
        <f t="array" ref="F663">INDEX(_xlfn.TEXTSPLIT(E663,"-"),2)</f>
        <v>女装</v>
      </c>
      <c r="G663" s="2" t="str" cm="1">
        <f t="array" ref="G663">INDEX(_xlfn.TEXTSPLIT(E663,"-"),3)</f>
        <v>毛衣</v>
      </c>
      <c r="H663" s="5">
        <v>447862</v>
      </c>
      <c r="I663" s="5">
        <v>40295945.83</v>
      </c>
      <c r="J663" s="6">
        <v>0.0109</v>
      </c>
      <c r="K663" s="6">
        <v>-0.3428</v>
      </c>
    </row>
    <row r="664" ht="14.5" spans="1:11">
      <c r="A664" s="3" t="str">
        <f t="shared" si="30"/>
        <v>2026年</v>
      </c>
      <c r="B664" s="3" t="str">
        <f t="shared" si="31"/>
        <v>1月</v>
      </c>
      <c r="C664" s="4" t="str">
        <f t="shared" si="32"/>
        <v>W4</v>
      </c>
      <c r="D664" s="2" t="s">
        <v>756</v>
      </c>
      <c r="E664" s="2" t="s">
        <v>717</v>
      </c>
      <c r="F664" s="2" t="str" cm="1">
        <f t="array" ref="F664">INDEX(_xlfn.TEXTSPLIT(E664,"-"),2)</f>
        <v>女装</v>
      </c>
      <c r="G664" s="2" t="str" cm="1">
        <f t="array" ref="G664">INDEX(_xlfn.TEXTSPLIT(E664,"-"),3)</f>
        <v>毛针织衫</v>
      </c>
      <c r="H664" s="5">
        <v>2234781</v>
      </c>
      <c r="I664" s="5">
        <v>170983699.81</v>
      </c>
      <c r="J664" s="6">
        <v>0.0464</v>
      </c>
      <c r="K664" s="6">
        <v>-0.2301</v>
      </c>
    </row>
    <row r="665" ht="14.5" spans="1:11">
      <c r="A665" s="3" t="str">
        <f t="shared" si="30"/>
        <v>2026年</v>
      </c>
      <c r="B665" s="3" t="str">
        <f t="shared" si="31"/>
        <v>1月</v>
      </c>
      <c r="C665" s="4" t="str">
        <f t="shared" si="32"/>
        <v>W4</v>
      </c>
      <c r="D665" s="2" t="s">
        <v>756</v>
      </c>
      <c r="E665" s="2" t="s">
        <v>718</v>
      </c>
      <c r="F665" s="2" t="str" cm="1">
        <f t="array" ref="F665">INDEX(_xlfn.TEXTSPLIT(E665,"-"),2)</f>
        <v>女装</v>
      </c>
      <c r="G665" s="2" t="str" cm="1">
        <f t="array" ref="G665">INDEX(_xlfn.TEXTSPLIT(E665,"-"),3)</f>
        <v>汉服</v>
      </c>
      <c r="H665" s="5">
        <v>90879</v>
      </c>
      <c r="I665" s="5">
        <v>76135207.62</v>
      </c>
      <c r="J665" s="6">
        <v>0.0207</v>
      </c>
      <c r="K665" s="6">
        <v>-0.1392</v>
      </c>
    </row>
    <row r="666" ht="14.5" spans="1:11">
      <c r="A666" s="3" t="str">
        <f t="shared" si="30"/>
        <v>2026年</v>
      </c>
      <c r="B666" s="3" t="str">
        <f t="shared" si="31"/>
        <v>1月</v>
      </c>
      <c r="C666" s="4" t="str">
        <f t="shared" si="32"/>
        <v>W4</v>
      </c>
      <c r="D666" s="2" t="s">
        <v>756</v>
      </c>
      <c r="E666" s="2" t="s">
        <v>719</v>
      </c>
      <c r="F666" s="2" t="str" cm="1">
        <f t="array" ref="F666">INDEX(_xlfn.TEXTSPLIT(E666,"-"),2)</f>
        <v>女装</v>
      </c>
      <c r="G666" s="2" t="str" cm="1">
        <f t="array" ref="G666">INDEX(_xlfn.TEXTSPLIT(E666,"-"),3)</f>
        <v>派克服</v>
      </c>
      <c r="H666" s="5">
        <v>80775</v>
      </c>
      <c r="I666" s="5">
        <v>25395665.09</v>
      </c>
      <c r="J666" s="6">
        <v>0.0069</v>
      </c>
      <c r="K666" s="6">
        <v>0.2782</v>
      </c>
    </row>
    <row r="667" ht="14.5" spans="1:11">
      <c r="A667" s="3" t="str">
        <f t="shared" ref="A667:A730" si="33">TEXT(YEAR(D667),"0")&amp;"年"</f>
        <v>2026年</v>
      </c>
      <c r="B667" s="3" t="str">
        <f t="shared" ref="B667:B730" si="34">TEXT(MONTH(D667),"0")&amp;"月"</f>
        <v>1月</v>
      </c>
      <c r="C667" s="4" t="str">
        <f t="shared" ref="C667:C730" si="35">"W"&amp;TEXT(WEEKNUM(D667,2),"0")</f>
        <v>W4</v>
      </c>
      <c r="D667" s="2" t="s">
        <v>756</v>
      </c>
      <c r="E667" s="2" t="s">
        <v>720</v>
      </c>
      <c r="F667" s="2" t="str" cm="1">
        <f t="array" ref="F667">INDEX(_xlfn.TEXTSPLIT(E667,"-"),2)</f>
        <v>女装</v>
      </c>
      <c r="G667" s="2" t="str" cm="1">
        <f t="array" ref="G667">INDEX(_xlfn.TEXTSPLIT(E667,"-"),3)</f>
        <v>皮草</v>
      </c>
      <c r="H667" s="5">
        <v>248149</v>
      </c>
      <c r="I667" s="5">
        <v>440865888.16</v>
      </c>
      <c r="J667" s="6">
        <v>0.1198</v>
      </c>
      <c r="K667" s="6">
        <v>-0.091</v>
      </c>
    </row>
    <row r="668" ht="14.5" spans="1:11">
      <c r="A668" s="3" t="str">
        <f t="shared" si="33"/>
        <v>2026年</v>
      </c>
      <c r="B668" s="3" t="str">
        <f t="shared" si="34"/>
        <v>1月</v>
      </c>
      <c r="C668" s="4" t="str">
        <f t="shared" si="35"/>
        <v>W4</v>
      </c>
      <c r="D668" s="2" t="s">
        <v>756</v>
      </c>
      <c r="E668" s="2" t="s">
        <v>721</v>
      </c>
      <c r="F668" s="2" t="str" cm="1">
        <f t="array" ref="F668">INDEX(_xlfn.TEXTSPLIT(E668,"-"),2)</f>
        <v>女装</v>
      </c>
      <c r="G668" s="2" t="str" cm="1">
        <f t="array" ref="G668">INDEX(_xlfn.TEXTSPLIT(E668,"-"),3)</f>
        <v>皮衣</v>
      </c>
      <c r="H668" s="5">
        <v>123758</v>
      </c>
      <c r="I668" s="5">
        <v>49606492.17</v>
      </c>
      <c r="J668" s="6">
        <v>0.0135</v>
      </c>
      <c r="K668" s="6">
        <v>-0.1816</v>
      </c>
    </row>
    <row r="669" ht="14.5" spans="1:11">
      <c r="A669" s="3" t="str">
        <f t="shared" si="33"/>
        <v>2026年</v>
      </c>
      <c r="B669" s="3" t="str">
        <f t="shared" si="34"/>
        <v>1月</v>
      </c>
      <c r="C669" s="4" t="str">
        <f t="shared" si="35"/>
        <v>W4</v>
      </c>
      <c r="D669" s="2" t="s">
        <v>756</v>
      </c>
      <c r="E669" s="2" t="s">
        <v>722</v>
      </c>
      <c r="F669" s="2" t="str" cm="1">
        <f t="array" ref="F669">INDEX(_xlfn.TEXTSPLIT(E669,"-"),2)</f>
        <v>女装</v>
      </c>
      <c r="G669" s="2" t="str" cm="1">
        <f t="array" ref="G669">INDEX(_xlfn.TEXTSPLIT(E669,"-"),3)</f>
        <v>短外套</v>
      </c>
      <c r="H669" s="5">
        <v>1747139</v>
      </c>
      <c r="I669" s="5">
        <v>281462789.6</v>
      </c>
      <c r="J669" s="6">
        <v>0.0765</v>
      </c>
      <c r="K669" s="6">
        <v>-0.1595</v>
      </c>
    </row>
    <row r="670" ht="14.5" spans="1:11">
      <c r="A670" s="3" t="str">
        <f t="shared" si="33"/>
        <v>2026年</v>
      </c>
      <c r="B670" s="3" t="str">
        <f t="shared" si="34"/>
        <v>1月</v>
      </c>
      <c r="C670" s="4" t="str">
        <f t="shared" si="35"/>
        <v>W4</v>
      </c>
      <c r="D670" s="2" t="s">
        <v>756</v>
      </c>
      <c r="E670" s="2" t="s">
        <v>723</v>
      </c>
      <c r="F670" s="2" t="str" cm="1">
        <f t="array" ref="F670">INDEX(_xlfn.TEXTSPLIT(E670,"-"),2)</f>
        <v>女装</v>
      </c>
      <c r="G670" s="2" t="str" cm="1">
        <f t="array" ref="G670">INDEX(_xlfn.TEXTSPLIT(E670,"-"),3)</f>
        <v>短裤</v>
      </c>
      <c r="H670" s="5">
        <v>116468</v>
      </c>
      <c r="I670" s="5">
        <v>6428369.66</v>
      </c>
      <c r="J670" s="6">
        <v>0.0017</v>
      </c>
      <c r="K670" s="6">
        <v>-0.2129</v>
      </c>
    </row>
    <row r="671" ht="14.5" spans="1:11">
      <c r="A671" s="3" t="str">
        <f t="shared" si="33"/>
        <v>2026年</v>
      </c>
      <c r="B671" s="3" t="str">
        <f t="shared" si="34"/>
        <v>1月</v>
      </c>
      <c r="C671" s="4" t="str">
        <f t="shared" si="35"/>
        <v>W4</v>
      </c>
      <c r="D671" s="2" t="s">
        <v>756</v>
      </c>
      <c r="E671" s="2" t="s">
        <v>724</v>
      </c>
      <c r="F671" s="2" t="str" cm="1">
        <f t="array" ref="F671">INDEX(_xlfn.TEXTSPLIT(E671,"-"),2)</f>
        <v>女装</v>
      </c>
      <c r="G671" s="2" t="str" cm="1">
        <f t="array" ref="G671">INDEX(_xlfn.TEXTSPLIT(E671,"-"),3)</f>
        <v>羊毛衫</v>
      </c>
      <c r="H671" s="5">
        <v>533480</v>
      </c>
      <c r="I671" s="5">
        <v>65138123.8</v>
      </c>
      <c r="J671" s="6">
        <v>0.0177</v>
      </c>
      <c r="K671" s="6">
        <v>-0.1619</v>
      </c>
    </row>
    <row r="672" ht="14.5" spans="1:11">
      <c r="A672" s="3" t="str">
        <f t="shared" si="33"/>
        <v>2026年</v>
      </c>
      <c r="B672" s="3" t="str">
        <f t="shared" si="34"/>
        <v>1月</v>
      </c>
      <c r="C672" s="4" t="str">
        <f t="shared" si="35"/>
        <v>W4</v>
      </c>
      <c r="D672" s="2" t="s">
        <v>756</v>
      </c>
      <c r="E672" s="2" t="s">
        <v>725</v>
      </c>
      <c r="F672" s="2" t="str" cm="1">
        <f t="array" ref="F672">INDEX(_xlfn.TEXTSPLIT(E672,"-"),2)</f>
        <v>女装</v>
      </c>
      <c r="G672" s="2" t="str" cm="1">
        <f t="array" ref="G672">INDEX(_xlfn.TEXTSPLIT(E672,"-"),3)</f>
        <v>羊绒大衣</v>
      </c>
      <c r="H672" s="5">
        <v>5860</v>
      </c>
      <c r="I672" s="5">
        <v>3331927.07</v>
      </c>
      <c r="J672" s="6">
        <v>0.0009</v>
      </c>
      <c r="K672" s="6">
        <v>-0.1242</v>
      </c>
    </row>
    <row r="673" ht="14.5" spans="1:11">
      <c r="A673" s="3" t="str">
        <f t="shared" si="33"/>
        <v>2026年</v>
      </c>
      <c r="B673" s="3" t="str">
        <f t="shared" si="34"/>
        <v>1月</v>
      </c>
      <c r="C673" s="4" t="str">
        <f t="shared" si="35"/>
        <v>W4</v>
      </c>
      <c r="D673" s="2" t="s">
        <v>756</v>
      </c>
      <c r="E673" s="2" t="s">
        <v>726</v>
      </c>
      <c r="F673" s="2" t="str" cm="1">
        <f t="array" ref="F673">INDEX(_xlfn.TEXTSPLIT(E673,"-"),2)</f>
        <v>女装</v>
      </c>
      <c r="G673" s="2" t="str" cm="1">
        <f t="array" ref="G673">INDEX(_xlfn.TEXTSPLIT(E673,"-"),3)</f>
        <v>羊绒衫</v>
      </c>
      <c r="H673" s="5">
        <v>160305</v>
      </c>
      <c r="I673" s="5">
        <v>44113968.86</v>
      </c>
      <c r="J673" s="6">
        <v>0.012</v>
      </c>
      <c r="K673" s="6">
        <v>-0.1886</v>
      </c>
    </row>
    <row r="674" ht="14.5" spans="1:11">
      <c r="A674" s="3" t="str">
        <f t="shared" si="33"/>
        <v>2026年</v>
      </c>
      <c r="B674" s="3" t="str">
        <f t="shared" si="34"/>
        <v>1月</v>
      </c>
      <c r="C674" s="4" t="str">
        <f t="shared" si="35"/>
        <v>W4</v>
      </c>
      <c r="D674" s="2" t="s">
        <v>756</v>
      </c>
      <c r="E674" s="2" t="s">
        <v>727</v>
      </c>
      <c r="F674" s="2" t="str" cm="1">
        <f t="array" ref="F674">INDEX(_xlfn.TEXTSPLIT(E674,"-"),2)</f>
        <v>女装</v>
      </c>
      <c r="G674" s="2" t="str" cm="1">
        <f t="array" ref="G674">INDEX(_xlfn.TEXTSPLIT(E674,"-"),3)</f>
        <v>羽绒服</v>
      </c>
      <c r="H674" s="5">
        <v>2191542</v>
      </c>
      <c r="I674" s="5">
        <v>896111302.61</v>
      </c>
      <c r="J674" s="6">
        <v>0.2434</v>
      </c>
      <c r="K674" s="6">
        <v>0.0134</v>
      </c>
    </row>
    <row r="675" ht="14.5" spans="1:11">
      <c r="A675" s="3" t="str">
        <f t="shared" si="33"/>
        <v>2026年</v>
      </c>
      <c r="B675" s="3" t="str">
        <f t="shared" si="34"/>
        <v>1月</v>
      </c>
      <c r="C675" s="4" t="str">
        <f t="shared" si="35"/>
        <v>W4</v>
      </c>
      <c r="D675" s="2" t="s">
        <v>756</v>
      </c>
      <c r="E675" s="2" t="s">
        <v>728</v>
      </c>
      <c r="F675" s="2" t="str" cm="1">
        <f t="array" ref="F675">INDEX(_xlfn.TEXTSPLIT(E675,"-"),2)</f>
        <v>女装</v>
      </c>
      <c r="G675" s="2" t="str" cm="1">
        <f t="array" ref="G675">INDEX(_xlfn.TEXTSPLIT(E675,"-"),3)</f>
        <v>肌底衣/肌肤衣</v>
      </c>
      <c r="H675" s="5">
        <v>4592</v>
      </c>
      <c r="I675" s="5">
        <v>233827.51</v>
      </c>
      <c r="J675" s="6">
        <v>0.0001</v>
      </c>
      <c r="K675" s="6">
        <v>-0.0419</v>
      </c>
    </row>
    <row r="676" ht="14.5" spans="1:11">
      <c r="A676" s="3" t="str">
        <f t="shared" si="33"/>
        <v>2026年</v>
      </c>
      <c r="B676" s="3" t="str">
        <f t="shared" si="34"/>
        <v>1月</v>
      </c>
      <c r="C676" s="4" t="str">
        <f t="shared" si="35"/>
        <v>W4</v>
      </c>
      <c r="D676" s="2" t="s">
        <v>756</v>
      </c>
      <c r="E676" s="2" t="s">
        <v>729</v>
      </c>
      <c r="F676" s="2" t="str" cm="1">
        <f t="array" ref="F676">INDEX(_xlfn.TEXTSPLIT(E676,"-"),2)</f>
        <v>女装</v>
      </c>
      <c r="G676" s="2" t="str" cm="1">
        <f t="array" ref="G676">INDEX(_xlfn.TEXTSPLIT(E676,"-"),3)</f>
        <v>背心吊带</v>
      </c>
      <c r="H676" s="5">
        <v>187012</v>
      </c>
      <c r="I676" s="5">
        <v>10579901.84</v>
      </c>
      <c r="J676" s="6">
        <v>0.0029</v>
      </c>
      <c r="K676" s="6">
        <v>-0.2539</v>
      </c>
    </row>
    <row r="677" ht="14.5" spans="1:11">
      <c r="A677" s="3" t="str">
        <f t="shared" si="33"/>
        <v>2026年</v>
      </c>
      <c r="B677" s="3" t="str">
        <f t="shared" si="34"/>
        <v>1月</v>
      </c>
      <c r="C677" s="4" t="str">
        <f t="shared" si="35"/>
        <v>W4</v>
      </c>
      <c r="D677" s="2" t="s">
        <v>756</v>
      </c>
      <c r="E677" s="2" t="s">
        <v>730</v>
      </c>
      <c r="F677" s="2" t="str" cm="1">
        <f t="array" ref="F677">INDEX(_xlfn.TEXTSPLIT(E677,"-"),2)</f>
        <v>女装</v>
      </c>
      <c r="G677" s="2" t="str" cm="1">
        <f t="array" ref="G677">INDEX(_xlfn.TEXTSPLIT(E677,"-"),3)</f>
        <v>蕾丝衫/雪纺衫</v>
      </c>
      <c r="H677" s="5">
        <v>175894</v>
      </c>
      <c r="I677" s="5">
        <v>11964171.83</v>
      </c>
      <c r="J677" s="6">
        <v>0.0032</v>
      </c>
      <c r="K677" s="6">
        <v>-0.2092</v>
      </c>
    </row>
    <row r="678" ht="14.5" spans="1:11">
      <c r="A678" s="3" t="str">
        <f t="shared" si="33"/>
        <v>2026年</v>
      </c>
      <c r="B678" s="3" t="str">
        <f t="shared" si="34"/>
        <v>1月</v>
      </c>
      <c r="C678" s="4" t="str">
        <f t="shared" si="35"/>
        <v>W4</v>
      </c>
      <c r="D678" s="2" t="s">
        <v>756</v>
      </c>
      <c r="E678" s="2" t="s">
        <v>731</v>
      </c>
      <c r="F678" s="2" t="str" cm="1">
        <f t="array" ref="F678">INDEX(_xlfn.TEXTSPLIT(E678,"-"),2)</f>
        <v>女装</v>
      </c>
      <c r="G678" s="2" t="str" cm="1">
        <f t="array" ref="G678">INDEX(_xlfn.TEXTSPLIT(E678,"-"),3)</f>
        <v>衬衫</v>
      </c>
      <c r="H678" s="5">
        <v>419055</v>
      </c>
      <c r="I678" s="5">
        <v>46038704.05</v>
      </c>
      <c r="J678" s="6">
        <v>0.0125</v>
      </c>
      <c r="K678" s="6">
        <v>-0.213</v>
      </c>
    </row>
    <row r="679" ht="14.5" spans="1:11">
      <c r="A679" s="3" t="str">
        <f t="shared" si="33"/>
        <v>2026年</v>
      </c>
      <c r="B679" s="3" t="str">
        <f t="shared" si="34"/>
        <v>1月</v>
      </c>
      <c r="C679" s="4" t="str">
        <f t="shared" si="35"/>
        <v>W4</v>
      </c>
      <c r="D679" s="2" t="s">
        <v>756</v>
      </c>
      <c r="E679" s="2" t="s">
        <v>732</v>
      </c>
      <c r="F679" s="2" t="str" cm="1">
        <f t="array" ref="F679">INDEX(_xlfn.TEXTSPLIT(E679,"-"),2)</f>
        <v>女装</v>
      </c>
      <c r="G679" s="2" t="str" cm="1">
        <f t="array" ref="G679">INDEX(_xlfn.TEXTSPLIT(E679,"-"),3)</f>
        <v>裤子</v>
      </c>
      <c r="H679" s="5">
        <v>4621937</v>
      </c>
      <c r="I679" s="5">
        <v>427280449.3</v>
      </c>
      <c r="J679" s="6">
        <v>0.1161</v>
      </c>
      <c r="K679" s="6">
        <v>-0.1372</v>
      </c>
    </row>
    <row r="680" ht="14.5" spans="1:11">
      <c r="A680" s="3" t="str">
        <f t="shared" si="33"/>
        <v>2026年</v>
      </c>
      <c r="B680" s="3" t="str">
        <f t="shared" si="34"/>
        <v>1月</v>
      </c>
      <c r="C680" s="4" t="str">
        <f t="shared" si="35"/>
        <v>W4</v>
      </c>
      <c r="D680" s="2" t="s">
        <v>756</v>
      </c>
      <c r="E680" s="2" t="s">
        <v>733</v>
      </c>
      <c r="F680" s="2" t="str" cm="1">
        <f t="array" ref="F680">INDEX(_xlfn.TEXTSPLIT(E680,"-"),2)</f>
        <v>女装</v>
      </c>
      <c r="G680" s="2" t="str" cm="1">
        <f t="array" ref="G680">INDEX(_xlfn.TEXTSPLIT(E680,"-"),3)</f>
        <v>西装</v>
      </c>
      <c r="H680" s="5">
        <v>39988</v>
      </c>
      <c r="I680" s="5">
        <v>11345954.53</v>
      </c>
      <c r="J680" s="6">
        <v>0.0031</v>
      </c>
      <c r="K680" s="6">
        <v>-0.2394</v>
      </c>
    </row>
    <row r="681" ht="14.5" spans="1:11">
      <c r="A681" s="3" t="str">
        <f t="shared" si="33"/>
        <v>2026年</v>
      </c>
      <c r="B681" s="3" t="str">
        <f t="shared" si="34"/>
        <v>1月</v>
      </c>
      <c r="C681" s="4" t="str">
        <f t="shared" si="35"/>
        <v>W4</v>
      </c>
      <c r="D681" s="2" t="s">
        <v>756</v>
      </c>
      <c r="E681" s="2" t="s">
        <v>734</v>
      </c>
      <c r="F681" s="2" t="str" cm="1">
        <f t="array" ref="F681">INDEX(_xlfn.TEXTSPLIT(E681,"-"),2)</f>
        <v>女装</v>
      </c>
      <c r="G681" s="2" t="str" cm="1">
        <f t="array" ref="G681">INDEX(_xlfn.TEXTSPLIT(E681,"-"),3)</f>
        <v>设计师/潮牌女装</v>
      </c>
      <c r="H681" s="5">
        <v>435866</v>
      </c>
      <c r="I681" s="5">
        <v>57334086.56</v>
      </c>
      <c r="J681" s="6">
        <v>0.0156</v>
      </c>
      <c r="K681" s="6">
        <v>-0.1405</v>
      </c>
    </row>
    <row r="682" ht="14.5" spans="1:11">
      <c r="A682" s="3" t="str">
        <f t="shared" si="33"/>
        <v>2026年</v>
      </c>
      <c r="B682" s="3" t="str">
        <f t="shared" si="34"/>
        <v>1月</v>
      </c>
      <c r="C682" s="4" t="str">
        <f t="shared" si="35"/>
        <v>W4</v>
      </c>
      <c r="D682" s="2" t="s">
        <v>756</v>
      </c>
      <c r="E682" s="2" t="s">
        <v>735</v>
      </c>
      <c r="F682" s="2" t="str" cm="1">
        <f t="array" ref="F682">INDEX(_xlfn.TEXTSPLIT(E682,"-"),2)</f>
        <v>女装</v>
      </c>
      <c r="G682" s="2" t="str" cm="1">
        <f t="array" ref="G682">INDEX(_xlfn.TEXTSPLIT(E682,"-"),3)</f>
        <v>连体衣/裤</v>
      </c>
      <c r="H682" s="5">
        <v>10879</v>
      </c>
      <c r="I682" s="5">
        <v>2020625.72</v>
      </c>
      <c r="J682" s="6">
        <v>0.0005</v>
      </c>
      <c r="K682" s="6">
        <v>-0.1843</v>
      </c>
    </row>
    <row r="683" ht="14.5" spans="1:11">
      <c r="A683" s="3" t="str">
        <f t="shared" si="33"/>
        <v>2026年</v>
      </c>
      <c r="B683" s="3" t="str">
        <f t="shared" si="34"/>
        <v>1月</v>
      </c>
      <c r="C683" s="4" t="str">
        <f t="shared" si="35"/>
        <v>W4</v>
      </c>
      <c r="D683" s="2" t="s">
        <v>756</v>
      </c>
      <c r="E683" s="2" t="s">
        <v>736</v>
      </c>
      <c r="F683" s="2" t="str" cm="1">
        <f t="array" ref="F683">INDEX(_xlfn.TEXTSPLIT(E683,"-"),2)</f>
        <v>女装</v>
      </c>
      <c r="G683" s="2" t="str" cm="1">
        <f t="array" ref="G683">INDEX(_xlfn.TEXTSPLIT(E683,"-"),3)</f>
        <v>连衣裙</v>
      </c>
      <c r="H683" s="5">
        <v>667216</v>
      </c>
      <c r="I683" s="5">
        <v>90415732.76</v>
      </c>
      <c r="J683" s="6">
        <v>0.0246</v>
      </c>
      <c r="K683" s="6">
        <v>-0.2237</v>
      </c>
    </row>
    <row r="684" ht="14.5" spans="1:11">
      <c r="A684" s="3" t="str">
        <f t="shared" si="33"/>
        <v>2026年</v>
      </c>
      <c r="B684" s="3" t="str">
        <f t="shared" si="34"/>
        <v>1月</v>
      </c>
      <c r="C684" s="4" t="str">
        <f t="shared" si="35"/>
        <v>W4</v>
      </c>
      <c r="D684" s="2" t="s">
        <v>756</v>
      </c>
      <c r="E684" s="2" t="s">
        <v>737</v>
      </c>
      <c r="F684" s="2" t="str" cm="1">
        <f t="array" ref="F684">INDEX(_xlfn.TEXTSPLIT(E684,"-"),2)</f>
        <v>女装</v>
      </c>
      <c r="G684" s="2" t="str" cm="1">
        <f t="array" ref="G684">INDEX(_xlfn.TEXTSPLIT(E684,"-"),3)</f>
        <v>风衣</v>
      </c>
      <c r="H684" s="5">
        <v>84390</v>
      </c>
      <c r="I684" s="5">
        <v>14008484.55</v>
      </c>
      <c r="J684" s="6">
        <v>0.0038</v>
      </c>
      <c r="K684" s="6">
        <v>-0.2299</v>
      </c>
    </row>
    <row r="685" ht="14.5" spans="1:11">
      <c r="A685" s="3" t="str">
        <f t="shared" si="33"/>
        <v>2026年</v>
      </c>
      <c r="B685" s="3" t="str">
        <f t="shared" si="34"/>
        <v>1月</v>
      </c>
      <c r="C685" s="4" t="str">
        <f t="shared" si="35"/>
        <v>W4</v>
      </c>
      <c r="D685" s="2" t="s">
        <v>756</v>
      </c>
      <c r="E685" s="2" t="s">
        <v>738</v>
      </c>
      <c r="F685" s="2" t="str" cm="1">
        <f t="array" ref="F685">INDEX(_xlfn.TEXTSPLIT(E685,"-"),2)</f>
        <v>女装</v>
      </c>
      <c r="G685" s="2" t="str" cm="1">
        <f t="array" ref="G685">INDEX(_xlfn.TEXTSPLIT(E685,"-"),3)</f>
        <v>马夹</v>
      </c>
      <c r="H685" s="5">
        <v>420797</v>
      </c>
      <c r="I685" s="5">
        <v>42332284.02</v>
      </c>
      <c r="J685" s="6">
        <v>0.0115</v>
      </c>
      <c r="K685" s="6">
        <v>-0.2122</v>
      </c>
    </row>
    <row r="686" ht="14.5" spans="1:11">
      <c r="A686" s="3" t="str">
        <f t="shared" si="33"/>
        <v>2026年</v>
      </c>
      <c r="B686" s="3" t="str">
        <f t="shared" si="34"/>
        <v>1月</v>
      </c>
      <c r="C686" s="4" t="str">
        <f t="shared" si="35"/>
        <v>W4</v>
      </c>
      <c r="D686" s="2" t="s">
        <v>757</v>
      </c>
      <c r="E686" s="2" t="s">
        <v>702</v>
      </c>
      <c r="F686" s="2" t="str" cm="1">
        <f t="array" ref="F686">INDEX(_xlfn.TEXTSPLIT(E686,"-"),2)</f>
        <v>女装</v>
      </c>
      <c r="G686" s="2" t="str" cm="1">
        <f t="array" ref="G686">INDEX(_xlfn.TEXTSPLIT(E686,"-"),3)</f>
        <v>POLO衫</v>
      </c>
      <c r="H686" s="5">
        <v>7334</v>
      </c>
      <c r="I686" s="5">
        <v>408470.43</v>
      </c>
      <c r="J686" s="6">
        <v>0.0002</v>
      </c>
      <c r="K686" s="6">
        <v>-0.6947</v>
      </c>
    </row>
    <row r="687" ht="14.5" spans="1:11">
      <c r="A687" s="3" t="str">
        <f t="shared" si="33"/>
        <v>2026年</v>
      </c>
      <c r="B687" s="3" t="str">
        <f t="shared" si="34"/>
        <v>1月</v>
      </c>
      <c r="C687" s="4" t="str">
        <f t="shared" si="35"/>
        <v>W4</v>
      </c>
      <c r="D687" s="2" t="s">
        <v>757</v>
      </c>
      <c r="E687" s="2" t="s">
        <v>703</v>
      </c>
      <c r="F687" s="2" t="str" cm="1">
        <f t="array" ref="F687">INDEX(_xlfn.TEXTSPLIT(E687,"-"),2)</f>
        <v>女装</v>
      </c>
      <c r="G687" s="2" t="str" cm="1">
        <f t="array" ref="G687">INDEX(_xlfn.TEXTSPLIT(E687,"-"),3)</f>
        <v>T恤</v>
      </c>
      <c r="H687" s="5">
        <v>922618</v>
      </c>
      <c r="I687" s="5">
        <v>50583503.77</v>
      </c>
      <c r="J687" s="6">
        <v>0.0197</v>
      </c>
      <c r="K687" s="6">
        <v>-0.3649</v>
      </c>
    </row>
    <row r="688" ht="14.5" spans="1:11">
      <c r="A688" s="3" t="str">
        <f t="shared" si="33"/>
        <v>2026年</v>
      </c>
      <c r="B688" s="3" t="str">
        <f t="shared" si="34"/>
        <v>1月</v>
      </c>
      <c r="C688" s="4" t="str">
        <f t="shared" si="35"/>
        <v>W4</v>
      </c>
      <c r="D688" s="2" t="s">
        <v>757</v>
      </c>
      <c r="E688" s="2" t="s">
        <v>704</v>
      </c>
      <c r="F688" s="2" t="str" cm="1">
        <f t="array" ref="F688">INDEX(_xlfn.TEXTSPLIT(E688,"-"),2)</f>
        <v>女装</v>
      </c>
      <c r="G688" s="2" t="str" cm="1">
        <f t="array" ref="G688">INDEX(_xlfn.TEXTSPLIT(E688,"-"),3)</f>
        <v>中老年女装</v>
      </c>
      <c r="H688" s="5">
        <v>413163</v>
      </c>
      <c r="I688" s="5">
        <v>48390649.57</v>
      </c>
      <c r="J688" s="6">
        <v>0.0189</v>
      </c>
      <c r="K688" s="6">
        <v>-0.2073</v>
      </c>
    </row>
    <row r="689" ht="14.5" spans="1:11">
      <c r="A689" s="3" t="str">
        <f t="shared" si="33"/>
        <v>2026年</v>
      </c>
      <c r="B689" s="3" t="str">
        <f t="shared" si="34"/>
        <v>1月</v>
      </c>
      <c r="C689" s="4" t="str">
        <f t="shared" si="35"/>
        <v>W4</v>
      </c>
      <c r="D689" s="2" t="s">
        <v>757</v>
      </c>
      <c r="E689" s="2" t="s">
        <v>705</v>
      </c>
      <c r="F689" s="2" t="str" cm="1">
        <f t="array" ref="F689">INDEX(_xlfn.TEXTSPLIT(E689,"-"),2)</f>
        <v>女装</v>
      </c>
      <c r="G689" s="2" t="str" cm="1">
        <f t="array" ref="G689">INDEX(_xlfn.TEXTSPLIT(E689,"-"),3)</f>
        <v>半身裙</v>
      </c>
      <c r="H689" s="5">
        <v>491535</v>
      </c>
      <c r="I689" s="5">
        <v>41912512.17</v>
      </c>
      <c r="J689" s="6">
        <v>0.0163</v>
      </c>
      <c r="K689" s="6">
        <v>-0.3213</v>
      </c>
    </row>
    <row r="690" ht="14.5" spans="1:11">
      <c r="A690" s="3" t="str">
        <f t="shared" si="33"/>
        <v>2026年</v>
      </c>
      <c r="B690" s="3" t="str">
        <f t="shared" si="34"/>
        <v>1月</v>
      </c>
      <c r="C690" s="4" t="str">
        <f t="shared" si="35"/>
        <v>W4</v>
      </c>
      <c r="D690" s="2" t="s">
        <v>757</v>
      </c>
      <c r="E690" s="2" t="s">
        <v>706</v>
      </c>
      <c r="F690" s="2" t="str" cm="1">
        <f t="array" ref="F690">INDEX(_xlfn.TEXTSPLIT(E690,"-"),2)</f>
        <v>女装</v>
      </c>
      <c r="G690" s="2" t="str" cm="1">
        <f t="array" ref="G690">INDEX(_xlfn.TEXTSPLIT(E690,"-"),3)</f>
        <v>卫衣/绒衫</v>
      </c>
      <c r="H690" s="5">
        <v>284714</v>
      </c>
      <c r="I690" s="5">
        <v>23366515.23</v>
      </c>
      <c r="J690" s="6">
        <v>0.0091</v>
      </c>
      <c r="K690" s="6">
        <v>-0.3025</v>
      </c>
    </row>
    <row r="691" ht="14.5" spans="1:11">
      <c r="A691" s="3" t="str">
        <f t="shared" si="33"/>
        <v>2026年</v>
      </c>
      <c r="B691" s="3" t="str">
        <f t="shared" si="34"/>
        <v>1月</v>
      </c>
      <c r="C691" s="4" t="str">
        <f t="shared" si="35"/>
        <v>W4</v>
      </c>
      <c r="D691" s="2" t="s">
        <v>757</v>
      </c>
      <c r="E691" s="2" t="s">
        <v>707</v>
      </c>
      <c r="F691" s="2" t="str" cm="1">
        <f t="array" ref="F691">INDEX(_xlfn.TEXTSPLIT(E691,"-"),2)</f>
        <v>女装</v>
      </c>
      <c r="G691" s="2" t="str" cm="1">
        <f t="array" ref="G691">INDEX(_xlfn.TEXTSPLIT(E691,"-"),3)</f>
        <v>唐装/民族服装/舞台服装</v>
      </c>
      <c r="H691" s="5">
        <v>128206</v>
      </c>
      <c r="I691" s="5">
        <v>27202589.94</v>
      </c>
      <c r="J691" s="6">
        <v>0.0106</v>
      </c>
      <c r="K691" s="6">
        <v>-0.3715</v>
      </c>
    </row>
    <row r="692" ht="14.5" spans="1:11">
      <c r="A692" s="3" t="str">
        <f t="shared" si="33"/>
        <v>2026年</v>
      </c>
      <c r="B692" s="3" t="str">
        <f t="shared" si="34"/>
        <v>1月</v>
      </c>
      <c r="C692" s="4" t="str">
        <f t="shared" si="35"/>
        <v>W4</v>
      </c>
      <c r="D692" s="2" t="s">
        <v>757</v>
      </c>
      <c r="E692" s="2" t="s">
        <v>708</v>
      </c>
      <c r="F692" s="2" t="str" cm="1">
        <f t="array" ref="F692">INDEX(_xlfn.TEXTSPLIT(E692,"-"),2)</f>
        <v>女装</v>
      </c>
      <c r="G692" s="2" t="str" cm="1">
        <f t="array" ref="G692">INDEX(_xlfn.TEXTSPLIT(E692,"-"),3)</f>
        <v>大码女装</v>
      </c>
      <c r="H692" s="5">
        <v>422116</v>
      </c>
      <c r="I692" s="5">
        <v>39217815.91</v>
      </c>
      <c r="J692" s="6">
        <v>0.0153</v>
      </c>
      <c r="K692" s="6">
        <v>-0.3833</v>
      </c>
    </row>
    <row r="693" ht="14.5" spans="1:11">
      <c r="A693" s="3" t="str">
        <f t="shared" si="33"/>
        <v>2026年</v>
      </c>
      <c r="B693" s="3" t="str">
        <f t="shared" si="34"/>
        <v>1月</v>
      </c>
      <c r="C693" s="4" t="str">
        <f t="shared" si="35"/>
        <v>W4</v>
      </c>
      <c r="D693" s="2" t="s">
        <v>757</v>
      </c>
      <c r="E693" s="2" t="s">
        <v>709</v>
      </c>
      <c r="F693" s="2" t="str" cm="1">
        <f t="array" ref="F693">INDEX(_xlfn.TEXTSPLIT(E693,"-"),2)</f>
        <v>女装</v>
      </c>
      <c r="G693" s="2" t="str" cm="1">
        <f t="array" ref="G693">INDEX(_xlfn.TEXTSPLIT(E693,"-"),3)</f>
        <v>套装/学生校服/工作制服</v>
      </c>
      <c r="H693" s="5">
        <v>520870</v>
      </c>
      <c r="I693" s="5">
        <v>73558260.75</v>
      </c>
      <c r="J693" s="6">
        <v>0.0287</v>
      </c>
      <c r="K693" s="6">
        <v>-0.4028</v>
      </c>
    </row>
    <row r="694" ht="14.5" spans="1:11">
      <c r="A694" s="3" t="str">
        <f t="shared" si="33"/>
        <v>2026年</v>
      </c>
      <c r="B694" s="3" t="str">
        <f t="shared" si="34"/>
        <v>1月</v>
      </c>
      <c r="C694" s="4" t="str">
        <f t="shared" si="35"/>
        <v>W4</v>
      </c>
      <c r="D694" s="2" t="s">
        <v>757</v>
      </c>
      <c r="E694" s="2" t="s">
        <v>710</v>
      </c>
      <c r="F694" s="2" t="str" cm="1">
        <f t="array" ref="F694">INDEX(_xlfn.TEXTSPLIT(E694,"-"),2)</f>
        <v>女装</v>
      </c>
      <c r="G694" s="2" t="str" cm="1">
        <f t="array" ref="G694">INDEX(_xlfn.TEXTSPLIT(E694,"-"),3)</f>
        <v>婚纱/旗袍/礼服</v>
      </c>
      <c r="H694" s="5">
        <v>29616</v>
      </c>
      <c r="I694" s="5">
        <v>5753272.47</v>
      </c>
      <c r="J694" s="6">
        <v>0.0022</v>
      </c>
      <c r="K694" s="6">
        <v>-0.3999</v>
      </c>
    </row>
    <row r="695" ht="14.5" spans="1:11">
      <c r="A695" s="3" t="str">
        <f t="shared" si="33"/>
        <v>2026年</v>
      </c>
      <c r="B695" s="3" t="str">
        <f t="shared" si="34"/>
        <v>1月</v>
      </c>
      <c r="C695" s="4" t="str">
        <f t="shared" si="35"/>
        <v>W4</v>
      </c>
      <c r="D695" s="2" t="s">
        <v>757</v>
      </c>
      <c r="E695" s="2" t="s">
        <v>711</v>
      </c>
      <c r="F695" s="2" t="str" cm="1">
        <f t="array" ref="F695">INDEX(_xlfn.TEXTSPLIT(E695,"-"),2)</f>
        <v>女装</v>
      </c>
      <c r="G695" s="2" t="str" cm="1">
        <f t="array" ref="G695">INDEX(_xlfn.TEXTSPLIT(E695,"-"),3)</f>
        <v>新中式女装</v>
      </c>
      <c r="H695" s="5">
        <v>95487</v>
      </c>
      <c r="I695" s="5">
        <v>11662802.57</v>
      </c>
      <c r="J695" s="6">
        <v>0.0045</v>
      </c>
      <c r="K695" s="6">
        <v>0.0263</v>
      </c>
    </row>
    <row r="696" ht="14.5" spans="1:11">
      <c r="A696" s="3" t="str">
        <f t="shared" si="33"/>
        <v>2026年</v>
      </c>
      <c r="B696" s="3" t="str">
        <f t="shared" si="34"/>
        <v>1月</v>
      </c>
      <c r="C696" s="4" t="str">
        <f t="shared" si="35"/>
        <v>W4</v>
      </c>
      <c r="D696" s="2" t="s">
        <v>757</v>
      </c>
      <c r="E696" s="2" t="s">
        <v>712</v>
      </c>
      <c r="F696" s="2" t="str" cm="1">
        <f t="array" ref="F696">INDEX(_xlfn.TEXTSPLIT(E696,"-"),2)</f>
        <v>女装</v>
      </c>
      <c r="G696" s="2" t="str" cm="1">
        <f t="array" ref="G696">INDEX(_xlfn.TEXTSPLIT(E696,"-"),3)</f>
        <v>时尚防晒服</v>
      </c>
      <c r="H696" s="5">
        <v>140</v>
      </c>
      <c r="I696" s="5">
        <v>12413.63</v>
      </c>
      <c r="J696" s="2" t="s">
        <v>713</v>
      </c>
      <c r="K696" s="6">
        <v>-0.2981</v>
      </c>
    </row>
    <row r="697" ht="14.5" spans="1:11">
      <c r="A697" s="3" t="str">
        <f t="shared" si="33"/>
        <v>2026年</v>
      </c>
      <c r="B697" s="3" t="str">
        <f t="shared" si="34"/>
        <v>1月</v>
      </c>
      <c r="C697" s="4" t="str">
        <f t="shared" si="35"/>
        <v>W4</v>
      </c>
      <c r="D697" s="2" t="s">
        <v>757</v>
      </c>
      <c r="E697" s="2" t="s">
        <v>714</v>
      </c>
      <c r="F697" s="2" t="str" cm="1">
        <f t="array" ref="F697">INDEX(_xlfn.TEXTSPLIT(E697,"-"),2)</f>
        <v>女装</v>
      </c>
      <c r="G697" s="2" t="str" cm="1">
        <f t="array" ref="G697">INDEX(_xlfn.TEXTSPLIT(E697,"-"),3)</f>
        <v>棉衣/棉服</v>
      </c>
      <c r="H697" s="5">
        <v>624540</v>
      </c>
      <c r="I697" s="5">
        <v>65860987.06</v>
      </c>
      <c r="J697" s="6">
        <v>0.0257</v>
      </c>
      <c r="K697" s="6">
        <v>-0.2641</v>
      </c>
    </row>
    <row r="698" ht="14.5" spans="1:11">
      <c r="A698" s="3" t="str">
        <f t="shared" si="33"/>
        <v>2026年</v>
      </c>
      <c r="B698" s="3" t="str">
        <f t="shared" si="34"/>
        <v>1月</v>
      </c>
      <c r="C698" s="4" t="str">
        <f t="shared" si="35"/>
        <v>W4</v>
      </c>
      <c r="D698" s="2" t="s">
        <v>757</v>
      </c>
      <c r="E698" s="2" t="s">
        <v>715</v>
      </c>
      <c r="F698" s="2" t="str" cm="1">
        <f t="array" ref="F698">INDEX(_xlfn.TEXTSPLIT(E698,"-"),2)</f>
        <v>女装</v>
      </c>
      <c r="G698" s="2" t="str" cm="1">
        <f t="array" ref="G698">INDEX(_xlfn.TEXTSPLIT(E698,"-"),3)</f>
        <v>毛呢外套</v>
      </c>
      <c r="H698" s="5">
        <v>545009</v>
      </c>
      <c r="I698" s="5">
        <v>219552029.03</v>
      </c>
      <c r="J698" s="6">
        <v>0.0856</v>
      </c>
      <c r="K698" s="6">
        <v>-0.2431</v>
      </c>
    </row>
    <row r="699" ht="14.5" spans="1:11">
      <c r="A699" s="3" t="str">
        <f t="shared" si="33"/>
        <v>2026年</v>
      </c>
      <c r="B699" s="3" t="str">
        <f t="shared" si="34"/>
        <v>1月</v>
      </c>
      <c r="C699" s="4" t="str">
        <f t="shared" si="35"/>
        <v>W4</v>
      </c>
      <c r="D699" s="2" t="s">
        <v>757</v>
      </c>
      <c r="E699" s="2" t="s">
        <v>716</v>
      </c>
      <c r="F699" s="2" t="str" cm="1">
        <f t="array" ref="F699">INDEX(_xlfn.TEXTSPLIT(E699,"-"),2)</f>
        <v>女装</v>
      </c>
      <c r="G699" s="2" t="str" cm="1">
        <f t="array" ref="G699">INDEX(_xlfn.TEXTSPLIT(E699,"-"),3)</f>
        <v>毛衣</v>
      </c>
      <c r="H699" s="5">
        <v>260161</v>
      </c>
      <c r="I699" s="5">
        <v>25044405.83</v>
      </c>
      <c r="J699" s="6">
        <v>0.0098</v>
      </c>
      <c r="K699" s="6">
        <v>-0.3785</v>
      </c>
    </row>
    <row r="700" ht="14.5" spans="1:11">
      <c r="A700" s="3" t="str">
        <f t="shared" si="33"/>
        <v>2026年</v>
      </c>
      <c r="B700" s="3" t="str">
        <f t="shared" si="34"/>
        <v>1月</v>
      </c>
      <c r="C700" s="4" t="str">
        <f t="shared" si="35"/>
        <v>W4</v>
      </c>
      <c r="D700" s="2" t="s">
        <v>757</v>
      </c>
      <c r="E700" s="2" t="s">
        <v>717</v>
      </c>
      <c r="F700" s="2" t="str" cm="1">
        <f t="array" ref="F700">INDEX(_xlfn.TEXTSPLIT(E700,"-"),2)</f>
        <v>女装</v>
      </c>
      <c r="G700" s="2" t="str" cm="1">
        <f t="array" ref="G700">INDEX(_xlfn.TEXTSPLIT(E700,"-"),3)</f>
        <v>毛针织衫</v>
      </c>
      <c r="H700" s="5">
        <v>1370733</v>
      </c>
      <c r="I700" s="5">
        <v>110843851.04</v>
      </c>
      <c r="J700" s="6">
        <v>0.0432</v>
      </c>
      <c r="K700" s="6">
        <v>-0.3517</v>
      </c>
    </row>
    <row r="701" ht="14.5" spans="1:11">
      <c r="A701" s="3" t="str">
        <f t="shared" si="33"/>
        <v>2026年</v>
      </c>
      <c r="B701" s="3" t="str">
        <f t="shared" si="34"/>
        <v>1月</v>
      </c>
      <c r="C701" s="4" t="str">
        <f t="shared" si="35"/>
        <v>W4</v>
      </c>
      <c r="D701" s="2" t="s">
        <v>757</v>
      </c>
      <c r="E701" s="2" t="s">
        <v>718</v>
      </c>
      <c r="F701" s="2" t="str" cm="1">
        <f t="array" ref="F701">INDEX(_xlfn.TEXTSPLIT(E701,"-"),2)</f>
        <v>女装</v>
      </c>
      <c r="G701" s="2" t="str" cm="1">
        <f t="array" ref="G701">INDEX(_xlfn.TEXTSPLIT(E701,"-"),3)</f>
        <v>汉服</v>
      </c>
      <c r="H701" s="5">
        <v>56881</v>
      </c>
      <c r="I701" s="5">
        <v>50998582.81</v>
      </c>
      <c r="J701" s="6">
        <v>0.0199</v>
      </c>
      <c r="K701" s="6">
        <v>-0.3302</v>
      </c>
    </row>
    <row r="702" ht="14.5" spans="1:11">
      <c r="A702" s="3" t="str">
        <f t="shared" si="33"/>
        <v>2026年</v>
      </c>
      <c r="B702" s="3" t="str">
        <f t="shared" si="34"/>
        <v>1月</v>
      </c>
      <c r="C702" s="4" t="str">
        <f t="shared" si="35"/>
        <v>W4</v>
      </c>
      <c r="D702" s="2" t="s">
        <v>757</v>
      </c>
      <c r="E702" s="2" t="s">
        <v>719</v>
      </c>
      <c r="F702" s="2" t="str" cm="1">
        <f t="array" ref="F702">INDEX(_xlfn.TEXTSPLIT(E702,"-"),2)</f>
        <v>女装</v>
      </c>
      <c r="G702" s="2" t="str" cm="1">
        <f t="array" ref="G702">INDEX(_xlfn.TEXTSPLIT(E702,"-"),3)</f>
        <v>派克服</v>
      </c>
      <c r="H702" s="5">
        <v>67663</v>
      </c>
      <c r="I702" s="5">
        <v>19746847.51</v>
      </c>
      <c r="J702" s="6">
        <v>0.0077</v>
      </c>
      <c r="K702" s="6">
        <v>-0.2224</v>
      </c>
    </row>
    <row r="703" ht="14.5" spans="1:11">
      <c r="A703" s="3" t="str">
        <f t="shared" si="33"/>
        <v>2026年</v>
      </c>
      <c r="B703" s="3" t="str">
        <f t="shared" si="34"/>
        <v>1月</v>
      </c>
      <c r="C703" s="4" t="str">
        <f t="shared" si="35"/>
        <v>W4</v>
      </c>
      <c r="D703" s="2" t="s">
        <v>757</v>
      </c>
      <c r="E703" s="2" t="s">
        <v>720</v>
      </c>
      <c r="F703" s="2" t="str" cm="1">
        <f t="array" ref="F703">INDEX(_xlfn.TEXTSPLIT(E703,"-"),2)</f>
        <v>女装</v>
      </c>
      <c r="G703" s="2" t="str" cm="1">
        <f t="array" ref="G703">INDEX(_xlfn.TEXTSPLIT(E703,"-"),3)</f>
        <v>皮草</v>
      </c>
      <c r="H703" s="5">
        <v>168901</v>
      </c>
      <c r="I703" s="5">
        <v>337208346.14</v>
      </c>
      <c r="J703" s="6">
        <v>0.1315</v>
      </c>
      <c r="K703" s="6">
        <v>-0.2351</v>
      </c>
    </row>
    <row r="704" ht="14.5" spans="1:11">
      <c r="A704" s="3" t="str">
        <f t="shared" si="33"/>
        <v>2026年</v>
      </c>
      <c r="B704" s="3" t="str">
        <f t="shared" si="34"/>
        <v>1月</v>
      </c>
      <c r="C704" s="4" t="str">
        <f t="shared" si="35"/>
        <v>W4</v>
      </c>
      <c r="D704" s="2" t="s">
        <v>757</v>
      </c>
      <c r="E704" s="2" t="s">
        <v>721</v>
      </c>
      <c r="F704" s="2" t="str" cm="1">
        <f t="array" ref="F704">INDEX(_xlfn.TEXTSPLIT(E704,"-"),2)</f>
        <v>女装</v>
      </c>
      <c r="G704" s="2" t="str" cm="1">
        <f t="array" ref="G704">INDEX(_xlfn.TEXTSPLIT(E704,"-"),3)</f>
        <v>皮衣</v>
      </c>
      <c r="H704" s="5">
        <v>82918</v>
      </c>
      <c r="I704" s="5">
        <v>33447183.78</v>
      </c>
      <c r="J704" s="6">
        <v>0.013</v>
      </c>
      <c r="K704" s="6">
        <v>-0.3257</v>
      </c>
    </row>
    <row r="705" ht="14.5" spans="1:11">
      <c r="A705" s="3" t="str">
        <f t="shared" si="33"/>
        <v>2026年</v>
      </c>
      <c r="B705" s="3" t="str">
        <f t="shared" si="34"/>
        <v>1月</v>
      </c>
      <c r="C705" s="4" t="str">
        <f t="shared" si="35"/>
        <v>W4</v>
      </c>
      <c r="D705" s="2" t="s">
        <v>757</v>
      </c>
      <c r="E705" s="2" t="s">
        <v>722</v>
      </c>
      <c r="F705" s="2" t="str" cm="1">
        <f t="array" ref="F705">INDEX(_xlfn.TEXTSPLIT(E705,"-"),2)</f>
        <v>女装</v>
      </c>
      <c r="G705" s="2" t="str" cm="1">
        <f t="array" ref="G705">INDEX(_xlfn.TEXTSPLIT(E705,"-"),3)</f>
        <v>短外套</v>
      </c>
      <c r="H705" s="5">
        <v>1342088</v>
      </c>
      <c r="I705" s="5">
        <v>196909574.36</v>
      </c>
      <c r="J705" s="6">
        <v>0.0768</v>
      </c>
      <c r="K705" s="6">
        <v>-0.3004</v>
      </c>
    </row>
    <row r="706" ht="14.5" spans="1:11">
      <c r="A706" s="3" t="str">
        <f t="shared" si="33"/>
        <v>2026年</v>
      </c>
      <c r="B706" s="3" t="str">
        <f t="shared" si="34"/>
        <v>1月</v>
      </c>
      <c r="C706" s="4" t="str">
        <f t="shared" si="35"/>
        <v>W4</v>
      </c>
      <c r="D706" s="2" t="s">
        <v>757</v>
      </c>
      <c r="E706" s="2" t="s">
        <v>723</v>
      </c>
      <c r="F706" s="2" t="str" cm="1">
        <f t="array" ref="F706">INDEX(_xlfn.TEXTSPLIT(E706,"-"),2)</f>
        <v>女装</v>
      </c>
      <c r="G706" s="2" t="str" cm="1">
        <f t="array" ref="G706">INDEX(_xlfn.TEXTSPLIT(E706,"-"),3)</f>
        <v>短裤</v>
      </c>
      <c r="H706" s="5">
        <v>78546</v>
      </c>
      <c r="I706" s="5">
        <v>4172507.06</v>
      </c>
      <c r="J706" s="6">
        <v>0.0016</v>
      </c>
      <c r="K706" s="6">
        <v>-0.3509</v>
      </c>
    </row>
    <row r="707" ht="14.5" spans="1:11">
      <c r="A707" s="3" t="str">
        <f t="shared" si="33"/>
        <v>2026年</v>
      </c>
      <c r="B707" s="3" t="str">
        <f t="shared" si="34"/>
        <v>1月</v>
      </c>
      <c r="C707" s="4" t="str">
        <f t="shared" si="35"/>
        <v>W4</v>
      </c>
      <c r="D707" s="2" t="s">
        <v>757</v>
      </c>
      <c r="E707" s="2" t="s">
        <v>724</v>
      </c>
      <c r="F707" s="2" t="str" cm="1">
        <f t="array" ref="F707">INDEX(_xlfn.TEXTSPLIT(E707,"-"),2)</f>
        <v>女装</v>
      </c>
      <c r="G707" s="2" t="str" cm="1">
        <f t="array" ref="G707">INDEX(_xlfn.TEXTSPLIT(E707,"-"),3)</f>
        <v>羊毛衫</v>
      </c>
      <c r="H707" s="5">
        <v>390305</v>
      </c>
      <c r="I707" s="5">
        <v>49592903.56</v>
      </c>
      <c r="J707" s="6">
        <v>0.0193</v>
      </c>
      <c r="K707" s="6">
        <v>-0.2387</v>
      </c>
    </row>
    <row r="708" ht="14.5" spans="1:11">
      <c r="A708" s="3" t="str">
        <f t="shared" si="33"/>
        <v>2026年</v>
      </c>
      <c r="B708" s="3" t="str">
        <f t="shared" si="34"/>
        <v>1月</v>
      </c>
      <c r="C708" s="4" t="str">
        <f t="shared" si="35"/>
        <v>W4</v>
      </c>
      <c r="D708" s="2" t="s">
        <v>757</v>
      </c>
      <c r="E708" s="2" t="s">
        <v>725</v>
      </c>
      <c r="F708" s="2" t="str" cm="1">
        <f t="array" ref="F708">INDEX(_xlfn.TEXTSPLIT(E708,"-"),2)</f>
        <v>女装</v>
      </c>
      <c r="G708" s="2" t="str" cm="1">
        <f t="array" ref="G708">INDEX(_xlfn.TEXTSPLIT(E708,"-"),3)</f>
        <v>羊绒大衣</v>
      </c>
      <c r="H708" s="5">
        <v>3777</v>
      </c>
      <c r="I708" s="5">
        <v>2624416.98</v>
      </c>
      <c r="J708" s="6">
        <v>0.001</v>
      </c>
      <c r="K708" s="6">
        <v>-0.2123</v>
      </c>
    </row>
    <row r="709" ht="14.5" spans="1:11">
      <c r="A709" s="3" t="str">
        <f t="shared" si="33"/>
        <v>2026年</v>
      </c>
      <c r="B709" s="3" t="str">
        <f t="shared" si="34"/>
        <v>1月</v>
      </c>
      <c r="C709" s="4" t="str">
        <f t="shared" si="35"/>
        <v>W4</v>
      </c>
      <c r="D709" s="2" t="s">
        <v>757</v>
      </c>
      <c r="E709" s="2" t="s">
        <v>726</v>
      </c>
      <c r="F709" s="2" t="str" cm="1">
        <f t="array" ref="F709">INDEX(_xlfn.TEXTSPLIT(E709,"-"),2)</f>
        <v>女装</v>
      </c>
      <c r="G709" s="2" t="str" cm="1">
        <f t="array" ref="G709">INDEX(_xlfn.TEXTSPLIT(E709,"-"),3)</f>
        <v>羊绒衫</v>
      </c>
      <c r="H709" s="5">
        <v>86079</v>
      </c>
      <c r="I709" s="5">
        <v>29836367.01</v>
      </c>
      <c r="J709" s="6">
        <v>0.0116</v>
      </c>
      <c r="K709" s="6">
        <v>-0.3237</v>
      </c>
    </row>
    <row r="710" ht="14.5" spans="1:11">
      <c r="A710" s="3" t="str">
        <f t="shared" si="33"/>
        <v>2026年</v>
      </c>
      <c r="B710" s="3" t="str">
        <f t="shared" si="34"/>
        <v>1月</v>
      </c>
      <c r="C710" s="4" t="str">
        <f t="shared" si="35"/>
        <v>W4</v>
      </c>
      <c r="D710" s="2" t="s">
        <v>757</v>
      </c>
      <c r="E710" s="2" t="s">
        <v>727</v>
      </c>
      <c r="F710" s="2" t="str" cm="1">
        <f t="array" ref="F710">INDEX(_xlfn.TEXTSPLIT(E710,"-"),2)</f>
        <v>女装</v>
      </c>
      <c r="G710" s="2" t="str" cm="1">
        <f t="array" ref="G710">INDEX(_xlfn.TEXTSPLIT(E710,"-"),3)</f>
        <v>羽绒服</v>
      </c>
      <c r="H710" s="5">
        <v>1476830</v>
      </c>
      <c r="I710" s="5">
        <v>631909716.09</v>
      </c>
      <c r="J710" s="6">
        <v>0.2465</v>
      </c>
      <c r="K710" s="6">
        <v>-0.2948</v>
      </c>
    </row>
    <row r="711" ht="14.5" spans="1:11">
      <c r="A711" s="3" t="str">
        <f t="shared" si="33"/>
        <v>2026年</v>
      </c>
      <c r="B711" s="3" t="str">
        <f t="shared" si="34"/>
        <v>1月</v>
      </c>
      <c r="C711" s="4" t="str">
        <f t="shared" si="35"/>
        <v>W4</v>
      </c>
      <c r="D711" s="2" t="s">
        <v>757</v>
      </c>
      <c r="E711" s="2" t="s">
        <v>728</v>
      </c>
      <c r="F711" s="2" t="str" cm="1">
        <f t="array" ref="F711">INDEX(_xlfn.TEXTSPLIT(E711,"-"),2)</f>
        <v>女装</v>
      </c>
      <c r="G711" s="2" t="str" cm="1">
        <f t="array" ref="G711">INDEX(_xlfn.TEXTSPLIT(E711,"-"),3)</f>
        <v>肌底衣/肌肤衣</v>
      </c>
      <c r="H711" s="5">
        <v>3182</v>
      </c>
      <c r="I711" s="5">
        <v>200178</v>
      </c>
      <c r="J711" s="6">
        <v>0.0001</v>
      </c>
      <c r="K711" s="6">
        <v>-0.1439</v>
      </c>
    </row>
    <row r="712" ht="14.5" spans="1:11">
      <c r="A712" s="3" t="str">
        <f t="shared" si="33"/>
        <v>2026年</v>
      </c>
      <c r="B712" s="3" t="str">
        <f t="shared" si="34"/>
        <v>1月</v>
      </c>
      <c r="C712" s="4" t="str">
        <f t="shared" si="35"/>
        <v>W4</v>
      </c>
      <c r="D712" s="2" t="s">
        <v>757</v>
      </c>
      <c r="E712" s="2" t="s">
        <v>729</v>
      </c>
      <c r="F712" s="2" t="str" cm="1">
        <f t="array" ref="F712">INDEX(_xlfn.TEXTSPLIT(E712,"-"),2)</f>
        <v>女装</v>
      </c>
      <c r="G712" s="2" t="str" cm="1">
        <f t="array" ref="G712">INDEX(_xlfn.TEXTSPLIT(E712,"-"),3)</f>
        <v>背心吊带</v>
      </c>
      <c r="H712" s="5">
        <v>141443</v>
      </c>
      <c r="I712" s="5">
        <v>7906689.73</v>
      </c>
      <c r="J712" s="6">
        <v>0.0031</v>
      </c>
      <c r="K712" s="6">
        <v>-0.2527</v>
      </c>
    </row>
    <row r="713" ht="14.5" spans="1:11">
      <c r="A713" s="3" t="str">
        <f t="shared" si="33"/>
        <v>2026年</v>
      </c>
      <c r="B713" s="3" t="str">
        <f t="shared" si="34"/>
        <v>1月</v>
      </c>
      <c r="C713" s="4" t="str">
        <f t="shared" si="35"/>
        <v>W4</v>
      </c>
      <c r="D713" s="2" t="s">
        <v>757</v>
      </c>
      <c r="E713" s="2" t="s">
        <v>730</v>
      </c>
      <c r="F713" s="2" t="str" cm="1">
        <f t="array" ref="F713">INDEX(_xlfn.TEXTSPLIT(E713,"-"),2)</f>
        <v>女装</v>
      </c>
      <c r="G713" s="2" t="str" cm="1">
        <f t="array" ref="G713">INDEX(_xlfn.TEXTSPLIT(E713,"-"),3)</f>
        <v>蕾丝衫/雪纺衫</v>
      </c>
      <c r="H713" s="5">
        <v>112150</v>
      </c>
      <c r="I713" s="5">
        <v>6549173.77</v>
      </c>
      <c r="J713" s="6">
        <v>0.0026</v>
      </c>
      <c r="K713" s="6">
        <v>-0.4526</v>
      </c>
    </row>
    <row r="714" ht="14.5" spans="1:11">
      <c r="A714" s="3" t="str">
        <f t="shared" si="33"/>
        <v>2026年</v>
      </c>
      <c r="B714" s="3" t="str">
        <f t="shared" si="34"/>
        <v>1月</v>
      </c>
      <c r="C714" s="4" t="str">
        <f t="shared" si="35"/>
        <v>W4</v>
      </c>
      <c r="D714" s="2" t="s">
        <v>757</v>
      </c>
      <c r="E714" s="2" t="s">
        <v>731</v>
      </c>
      <c r="F714" s="2" t="str" cm="1">
        <f t="array" ref="F714">INDEX(_xlfn.TEXTSPLIT(E714,"-"),2)</f>
        <v>女装</v>
      </c>
      <c r="G714" s="2" t="str" cm="1">
        <f t="array" ref="G714">INDEX(_xlfn.TEXTSPLIT(E714,"-"),3)</f>
        <v>衬衫</v>
      </c>
      <c r="H714" s="5">
        <v>229605</v>
      </c>
      <c r="I714" s="5">
        <v>27535288.54</v>
      </c>
      <c r="J714" s="6">
        <v>0.0107</v>
      </c>
      <c r="K714" s="6">
        <v>-0.4019</v>
      </c>
    </row>
    <row r="715" ht="14.5" spans="1:11">
      <c r="A715" s="3" t="str">
        <f t="shared" si="33"/>
        <v>2026年</v>
      </c>
      <c r="B715" s="3" t="str">
        <f t="shared" si="34"/>
        <v>1月</v>
      </c>
      <c r="C715" s="4" t="str">
        <f t="shared" si="35"/>
        <v>W4</v>
      </c>
      <c r="D715" s="2" t="s">
        <v>757</v>
      </c>
      <c r="E715" s="2" t="s">
        <v>732</v>
      </c>
      <c r="F715" s="2" t="str" cm="1">
        <f t="array" ref="F715">INDEX(_xlfn.TEXTSPLIT(E715,"-"),2)</f>
        <v>女装</v>
      </c>
      <c r="G715" s="2" t="str" cm="1">
        <f t="array" ref="G715">INDEX(_xlfn.TEXTSPLIT(E715,"-"),3)</f>
        <v>裤子</v>
      </c>
      <c r="H715" s="5">
        <v>3207242</v>
      </c>
      <c r="I715" s="5">
        <v>289253170.95</v>
      </c>
      <c r="J715" s="6">
        <v>0.1128</v>
      </c>
      <c r="K715" s="6">
        <v>-0.323</v>
      </c>
    </row>
    <row r="716" ht="14.5" spans="1:11">
      <c r="A716" s="3" t="str">
        <f t="shared" si="33"/>
        <v>2026年</v>
      </c>
      <c r="B716" s="3" t="str">
        <f t="shared" si="34"/>
        <v>1月</v>
      </c>
      <c r="C716" s="4" t="str">
        <f t="shared" si="35"/>
        <v>W4</v>
      </c>
      <c r="D716" s="2" t="s">
        <v>757</v>
      </c>
      <c r="E716" s="2" t="s">
        <v>733</v>
      </c>
      <c r="F716" s="2" t="str" cm="1">
        <f t="array" ref="F716">INDEX(_xlfn.TEXTSPLIT(E716,"-"),2)</f>
        <v>女装</v>
      </c>
      <c r="G716" s="2" t="str" cm="1">
        <f t="array" ref="G716">INDEX(_xlfn.TEXTSPLIT(E716,"-"),3)</f>
        <v>西装</v>
      </c>
      <c r="H716" s="5">
        <v>21859</v>
      </c>
      <c r="I716" s="5">
        <v>5702125.67</v>
      </c>
      <c r="J716" s="6">
        <v>0.0022</v>
      </c>
      <c r="K716" s="6">
        <v>-0.4974</v>
      </c>
    </row>
    <row r="717" ht="14.5" spans="1:11">
      <c r="A717" s="3" t="str">
        <f t="shared" si="33"/>
        <v>2026年</v>
      </c>
      <c r="B717" s="3" t="str">
        <f t="shared" si="34"/>
        <v>1月</v>
      </c>
      <c r="C717" s="4" t="str">
        <f t="shared" si="35"/>
        <v>W4</v>
      </c>
      <c r="D717" s="2" t="s">
        <v>757</v>
      </c>
      <c r="E717" s="2" t="s">
        <v>734</v>
      </c>
      <c r="F717" s="2" t="str" cm="1">
        <f t="array" ref="F717">INDEX(_xlfn.TEXTSPLIT(E717,"-"),2)</f>
        <v>女装</v>
      </c>
      <c r="G717" s="2" t="str" cm="1">
        <f t="array" ref="G717">INDEX(_xlfn.TEXTSPLIT(E717,"-"),3)</f>
        <v>设计师/潮牌女装</v>
      </c>
      <c r="H717" s="5">
        <v>259624</v>
      </c>
      <c r="I717" s="5">
        <v>35280700.82</v>
      </c>
      <c r="J717" s="6">
        <v>0.0138</v>
      </c>
      <c r="K717" s="6">
        <v>-0.3846</v>
      </c>
    </row>
    <row r="718" ht="14.5" spans="1:11">
      <c r="A718" s="3" t="str">
        <f t="shared" si="33"/>
        <v>2026年</v>
      </c>
      <c r="B718" s="3" t="str">
        <f t="shared" si="34"/>
        <v>1月</v>
      </c>
      <c r="C718" s="4" t="str">
        <f t="shared" si="35"/>
        <v>W4</v>
      </c>
      <c r="D718" s="2" t="s">
        <v>757</v>
      </c>
      <c r="E718" s="2" t="s">
        <v>735</v>
      </c>
      <c r="F718" s="2" t="str" cm="1">
        <f t="array" ref="F718">INDEX(_xlfn.TEXTSPLIT(E718,"-"),2)</f>
        <v>女装</v>
      </c>
      <c r="G718" s="2" t="str" cm="1">
        <f t="array" ref="G718">INDEX(_xlfn.TEXTSPLIT(E718,"-"),3)</f>
        <v>连体衣/裤</v>
      </c>
      <c r="H718" s="5">
        <v>5333</v>
      </c>
      <c r="I718" s="5">
        <v>1199668.13</v>
      </c>
      <c r="J718" s="6">
        <v>0.0005</v>
      </c>
      <c r="K718" s="6">
        <v>-0.4063</v>
      </c>
    </row>
    <row r="719" ht="14.5" spans="1:11">
      <c r="A719" s="3" t="str">
        <f t="shared" si="33"/>
        <v>2026年</v>
      </c>
      <c r="B719" s="3" t="str">
        <f t="shared" si="34"/>
        <v>1月</v>
      </c>
      <c r="C719" s="4" t="str">
        <f t="shared" si="35"/>
        <v>W4</v>
      </c>
      <c r="D719" s="2" t="s">
        <v>757</v>
      </c>
      <c r="E719" s="2" t="s">
        <v>736</v>
      </c>
      <c r="F719" s="2" t="str" cm="1">
        <f t="array" ref="F719">INDEX(_xlfn.TEXTSPLIT(E719,"-"),2)</f>
        <v>女装</v>
      </c>
      <c r="G719" s="2" t="str" cm="1">
        <f t="array" ref="G719">INDEX(_xlfn.TEXTSPLIT(E719,"-"),3)</f>
        <v>连衣裙</v>
      </c>
      <c r="H719" s="5">
        <v>394104</v>
      </c>
      <c r="I719" s="5">
        <v>55544933.44</v>
      </c>
      <c r="J719" s="6">
        <v>0.0217</v>
      </c>
      <c r="K719" s="6">
        <v>-0.3857</v>
      </c>
    </row>
    <row r="720" ht="14.5" spans="1:11">
      <c r="A720" s="3" t="str">
        <f t="shared" si="33"/>
        <v>2026年</v>
      </c>
      <c r="B720" s="3" t="str">
        <f t="shared" si="34"/>
        <v>1月</v>
      </c>
      <c r="C720" s="4" t="str">
        <f t="shared" si="35"/>
        <v>W4</v>
      </c>
      <c r="D720" s="2" t="s">
        <v>757</v>
      </c>
      <c r="E720" s="2" t="s">
        <v>737</v>
      </c>
      <c r="F720" s="2" t="str" cm="1">
        <f t="array" ref="F720">INDEX(_xlfn.TEXTSPLIT(E720,"-"),2)</f>
        <v>女装</v>
      </c>
      <c r="G720" s="2" t="str" cm="1">
        <f t="array" ref="G720">INDEX(_xlfn.TEXTSPLIT(E720,"-"),3)</f>
        <v>风衣</v>
      </c>
      <c r="H720" s="5">
        <v>39660</v>
      </c>
      <c r="I720" s="5">
        <v>7192277.82</v>
      </c>
      <c r="J720" s="6">
        <v>0.0028</v>
      </c>
      <c r="K720" s="6">
        <v>-0.4866</v>
      </c>
    </row>
    <row r="721" ht="14.5" spans="1:11">
      <c r="A721" s="3" t="str">
        <f t="shared" si="33"/>
        <v>2026年</v>
      </c>
      <c r="B721" s="3" t="str">
        <f t="shared" si="34"/>
        <v>1月</v>
      </c>
      <c r="C721" s="4" t="str">
        <f t="shared" si="35"/>
        <v>W4</v>
      </c>
      <c r="D721" s="2" t="s">
        <v>757</v>
      </c>
      <c r="E721" s="2" t="s">
        <v>738</v>
      </c>
      <c r="F721" s="2" t="str" cm="1">
        <f t="array" ref="F721">INDEX(_xlfn.TEXTSPLIT(E721,"-"),2)</f>
        <v>女装</v>
      </c>
      <c r="G721" s="2" t="str" cm="1">
        <f t="array" ref="G721">INDEX(_xlfn.TEXTSPLIT(E721,"-"),3)</f>
        <v>马夹</v>
      </c>
      <c r="H721" s="5">
        <v>277822</v>
      </c>
      <c r="I721" s="5">
        <v>27536359.19</v>
      </c>
      <c r="J721" s="6">
        <v>0.0107</v>
      </c>
      <c r="K721" s="6">
        <v>-0.3495</v>
      </c>
    </row>
    <row r="722" ht="14.5" spans="1:11">
      <c r="A722" s="3" t="str">
        <f t="shared" ref="A722:A753" si="36">TEXT(YEAR(D722),"0")&amp;"年"</f>
        <v>2026年</v>
      </c>
      <c r="B722" s="3" t="str">
        <f t="shared" ref="B722:B753" si="37">TEXT(MONTH(D722),"0")&amp;"月"</f>
        <v>1月</v>
      </c>
      <c r="C722" s="4" t="str">
        <f t="shared" ref="C722:C753" si="38">"W"&amp;TEXT(WEEKNUM(D722,2),"0")</f>
        <v>W4</v>
      </c>
      <c r="D722" s="2" t="s">
        <v>758</v>
      </c>
      <c r="E722" s="2" t="s">
        <v>702</v>
      </c>
      <c r="F722" s="2" t="str" cm="1">
        <f t="array" ref="F722">INDEX(_xlfn.TEXTSPLIT(E722,"-"),2)</f>
        <v>女装</v>
      </c>
      <c r="G722" s="2" t="str" cm="1">
        <f t="array" ref="G722">INDEX(_xlfn.TEXTSPLIT(E722,"-"),3)</f>
        <v>POLO衫</v>
      </c>
      <c r="H722" s="5">
        <v>17522</v>
      </c>
      <c r="I722" s="5">
        <v>1481868.33</v>
      </c>
      <c r="J722" s="6">
        <v>0.0003</v>
      </c>
      <c r="K722" s="6">
        <v>0.7043</v>
      </c>
    </row>
    <row r="723" ht="14.5" spans="1:11">
      <c r="A723" s="3" t="str">
        <f t="shared" si="36"/>
        <v>2026年</v>
      </c>
      <c r="B723" s="3" t="str">
        <f t="shared" si="37"/>
        <v>1月</v>
      </c>
      <c r="C723" s="4" t="str">
        <f t="shared" si="38"/>
        <v>W4</v>
      </c>
      <c r="D723" s="2" t="s">
        <v>758</v>
      </c>
      <c r="E723" s="2" t="s">
        <v>703</v>
      </c>
      <c r="F723" s="2" t="str" cm="1">
        <f t="array" ref="F723">INDEX(_xlfn.TEXTSPLIT(E723,"-"),2)</f>
        <v>女装</v>
      </c>
      <c r="G723" s="2" t="str" cm="1">
        <f t="array" ref="G723">INDEX(_xlfn.TEXTSPLIT(E723,"-"),3)</f>
        <v>T恤</v>
      </c>
      <c r="H723" s="5">
        <v>1578426</v>
      </c>
      <c r="I723" s="5">
        <v>89425820.76</v>
      </c>
      <c r="J723" s="6">
        <v>0.0202</v>
      </c>
      <c r="K723" s="6">
        <v>-0.0692</v>
      </c>
    </row>
    <row r="724" ht="14.5" spans="1:11">
      <c r="A724" s="3" t="str">
        <f t="shared" si="36"/>
        <v>2026年</v>
      </c>
      <c r="B724" s="3" t="str">
        <f t="shared" si="37"/>
        <v>1月</v>
      </c>
      <c r="C724" s="4" t="str">
        <f t="shared" si="38"/>
        <v>W4</v>
      </c>
      <c r="D724" s="2" t="s">
        <v>758</v>
      </c>
      <c r="E724" s="2" t="s">
        <v>704</v>
      </c>
      <c r="F724" s="2" t="str" cm="1">
        <f t="array" ref="F724">INDEX(_xlfn.TEXTSPLIT(E724,"-"),2)</f>
        <v>女装</v>
      </c>
      <c r="G724" s="2" t="str" cm="1">
        <f t="array" ref="G724">INDEX(_xlfn.TEXTSPLIT(E724,"-"),3)</f>
        <v>中老年女装</v>
      </c>
      <c r="H724" s="5">
        <v>624108</v>
      </c>
      <c r="I724" s="5">
        <v>75676612.7</v>
      </c>
      <c r="J724" s="6">
        <v>0.0171</v>
      </c>
      <c r="K724" s="6">
        <v>0.0135</v>
      </c>
    </row>
    <row r="725" ht="14.5" spans="1:11">
      <c r="A725" s="3" t="str">
        <f t="shared" si="36"/>
        <v>2026年</v>
      </c>
      <c r="B725" s="3" t="str">
        <f t="shared" si="37"/>
        <v>1月</v>
      </c>
      <c r="C725" s="4" t="str">
        <f t="shared" si="38"/>
        <v>W4</v>
      </c>
      <c r="D725" s="2" t="s">
        <v>758</v>
      </c>
      <c r="E725" s="2" t="s">
        <v>705</v>
      </c>
      <c r="F725" s="2" t="str" cm="1">
        <f t="array" ref="F725">INDEX(_xlfn.TEXTSPLIT(E725,"-"),2)</f>
        <v>女装</v>
      </c>
      <c r="G725" s="2" t="str" cm="1">
        <f t="array" ref="G725">INDEX(_xlfn.TEXTSPLIT(E725,"-"),3)</f>
        <v>半身裙</v>
      </c>
      <c r="H725" s="5">
        <v>766556</v>
      </c>
      <c r="I725" s="5">
        <v>72189695.41</v>
      </c>
      <c r="J725" s="6">
        <v>0.0163</v>
      </c>
      <c r="K725" s="6">
        <v>-0.0996</v>
      </c>
    </row>
    <row r="726" ht="14.5" spans="1:11">
      <c r="A726" s="3" t="str">
        <f t="shared" si="36"/>
        <v>2026年</v>
      </c>
      <c r="B726" s="3" t="str">
        <f t="shared" si="37"/>
        <v>1月</v>
      </c>
      <c r="C726" s="4" t="str">
        <f t="shared" si="38"/>
        <v>W4</v>
      </c>
      <c r="D726" s="2" t="s">
        <v>758</v>
      </c>
      <c r="E726" s="2" t="s">
        <v>706</v>
      </c>
      <c r="F726" s="2" t="str" cm="1">
        <f t="array" ref="F726">INDEX(_xlfn.TEXTSPLIT(E726,"-"),2)</f>
        <v>女装</v>
      </c>
      <c r="G726" s="2" t="str" cm="1">
        <f t="array" ref="G726">INDEX(_xlfn.TEXTSPLIT(E726,"-"),3)</f>
        <v>卫衣/绒衫</v>
      </c>
      <c r="H726" s="5">
        <v>510289</v>
      </c>
      <c r="I726" s="5">
        <v>43553711.4</v>
      </c>
      <c r="J726" s="6">
        <v>0.0099</v>
      </c>
      <c r="K726" s="6">
        <v>0.0797</v>
      </c>
    </row>
    <row r="727" ht="14.5" spans="1:11">
      <c r="A727" s="3" t="str">
        <f t="shared" si="36"/>
        <v>2026年</v>
      </c>
      <c r="B727" s="3" t="str">
        <f t="shared" si="37"/>
        <v>1月</v>
      </c>
      <c r="C727" s="4" t="str">
        <f t="shared" si="38"/>
        <v>W4</v>
      </c>
      <c r="D727" s="2" t="s">
        <v>758</v>
      </c>
      <c r="E727" s="2" t="s">
        <v>707</v>
      </c>
      <c r="F727" s="2" t="str" cm="1">
        <f t="array" ref="F727">INDEX(_xlfn.TEXTSPLIT(E727,"-"),2)</f>
        <v>女装</v>
      </c>
      <c r="G727" s="2" t="str" cm="1">
        <f t="array" ref="G727">INDEX(_xlfn.TEXTSPLIT(E727,"-"),3)</f>
        <v>唐装/民族服装/舞台服装</v>
      </c>
      <c r="H727" s="5">
        <v>207998</v>
      </c>
      <c r="I727" s="5">
        <v>46023743.11</v>
      </c>
      <c r="J727" s="6">
        <v>0.0104</v>
      </c>
      <c r="K727" s="6">
        <v>-0.0816</v>
      </c>
    </row>
    <row r="728" ht="14.5" spans="1:11">
      <c r="A728" s="3" t="str">
        <f t="shared" si="36"/>
        <v>2026年</v>
      </c>
      <c r="B728" s="3" t="str">
        <f t="shared" si="37"/>
        <v>1月</v>
      </c>
      <c r="C728" s="4" t="str">
        <f t="shared" si="38"/>
        <v>W4</v>
      </c>
      <c r="D728" s="2" t="s">
        <v>758</v>
      </c>
      <c r="E728" s="2" t="s">
        <v>708</v>
      </c>
      <c r="F728" s="2" t="str" cm="1">
        <f t="array" ref="F728">INDEX(_xlfn.TEXTSPLIT(E728,"-"),2)</f>
        <v>女装</v>
      </c>
      <c r="G728" s="2" t="str" cm="1">
        <f t="array" ref="G728">INDEX(_xlfn.TEXTSPLIT(E728,"-"),3)</f>
        <v>大码女装</v>
      </c>
      <c r="H728" s="5">
        <v>679138</v>
      </c>
      <c r="I728" s="5">
        <v>64517494.79</v>
      </c>
      <c r="J728" s="6">
        <v>0.0146</v>
      </c>
      <c r="K728" s="6">
        <v>-0.0739</v>
      </c>
    </row>
    <row r="729" ht="14.5" spans="1:11">
      <c r="A729" s="3" t="str">
        <f t="shared" si="36"/>
        <v>2026年</v>
      </c>
      <c r="B729" s="3" t="str">
        <f t="shared" si="37"/>
        <v>1月</v>
      </c>
      <c r="C729" s="4" t="str">
        <f t="shared" si="38"/>
        <v>W4</v>
      </c>
      <c r="D729" s="2" t="s">
        <v>758</v>
      </c>
      <c r="E729" s="2" t="s">
        <v>709</v>
      </c>
      <c r="F729" s="2" t="str" cm="1">
        <f t="array" ref="F729">INDEX(_xlfn.TEXTSPLIT(E729,"-"),2)</f>
        <v>女装</v>
      </c>
      <c r="G729" s="2" t="str" cm="1">
        <f t="array" ref="G729">INDEX(_xlfn.TEXTSPLIT(E729,"-"),3)</f>
        <v>套装/学生校服/工作制服</v>
      </c>
      <c r="H729" s="5">
        <v>956779</v>
      </c>
      <c r="I729" s="5">
        <v>137763154.83</v>
      </c>
      <c r="J729" s="6">
        <v>0.0312</v>
      </c>
      <c r="K729" s="6">
        <v>-0.0982</v>
      </c>
    </row>
    <row r="730" ht="14.5" spans="1:11">
      <c r="A730" s="3" t="str">
        <f t="shared" si="36"/>
        <v>2026年</v>
      </c>
      <c r="B730" s="3" t="str">
        <f t="shared" si="37"/>
        <v>1月</v>
      </c>
      <c r="C730" s="4" t="str">
        <f t="shared" si="38"/>
        <v>W4</v>
      </c>
      <c r="D730" s="2" t="s">
        <v>758</v>
      </c>
      <c r="E730" s="2" t="s">
        <v>710</v>
      </c>
      <c r="F730" s="2" t="str" cm="1">
        <f t="array" ref="F730">INDEX(_xlfn.TEXTSPLIT(E730,"-"),2)</f>
        <v>女装</v>
      </c>
      <c r="G730" s="2" t="str" cm="1">
        <f t="array" ref="G730">INDEX(_xlfn.TEXTSPLIT(E730,"-"),3)</f>
        <v>婚纱/旗袍/礼服</v>
      </c>
      <c r="H730" s="5">
        <v>62102</v>
      </c>
      <c r="I730" s="5">
        <v>11896665.46</v>
      </c>
      <c r="J730" s="6">
        <v>0.0027</v>
      </c>
      <c r="K730" s="6">
        <v>-0.0077</v>
      </c>
    </row>
    <row r="731" ht="14.5" spans="1:11">
      <c r="A731" s="3" t="str">
        <f t="shared" si="36"/>
        <v>2026年</v>
      </c>
      <c r="B731" s="3" t="str">
        <f t="shared" si="37"/>
        <v>1月</v>
      </c>
      <c r="C731" s="4" t="str">
        <f t="shared" si="38"/>
        <v>W4</v>
      </c>
      <c r="D731" s="2" t="s">
        <v>758</v>
      </c>
      <c r="E731" s="2" t="s">
        <v>711</v>
      </c>
      <c r="F731" s="2" t="str" cm="1">
        <f t="array" ref="F731">INDEX(_xlfn.TEXTSPLIT(E731,"-"),2)</f>
        <v>女装</v>
      </c>
      <c r="G731" s="2" t="str" cm="1">
        <f t="array" ref="G731">INDEX(_xlfn.TEXTSPLIT(E731,"-"),3)</f>
        <v>新中式女装</v>
      </c>
      <c r="H731" s="5">
        <v>123548</v>
      </c>
      <c r="I731" s="5">
        <v>23144674.35</v>
      </c>
      <c r="J731" s="6">
        <v>0.0052</v>
      </c>
      <c r="K731" s="6">
        <v>0.175</v>
      </c>
    </row>
    <row r="732" ht="14.5" spans="1:11">
      <c r="A732" s="3" t="str">
        <f t="shared" si="36"/>
        <v>2026年</v>
      </c>
      <c r="B732" s="3" t="str">
        <f t="shared" si="37"/>
        <v>1月</v>
      </c>
      <c r="C732" s="4" t="str">
        <f t="shared" si="38"/>
        <v>W4</v>
      </c>
      <c r="D732" s="2" t="s">
        <v>758</v>
      </c>
      <c r="E732" s="2" t="s">
        <v>712</v>
      </c>
      <c r="F732" s="2" t="str" cm="1">
        <f t="array" ref="F732">INDEX(_xlfn.TEXTSPLIT(E732,"-"),2)</f>
        <v>女装</v>
      </c>
      <c r="G732" s="2" t="str" cm="1">
        <f t="array" ref="G732">INDEX(_xlfn.TEXTSPLIT(E732,"-"),3)</f>
        <v>时尚防晒服</v>
      </c>
      <c r="H732" s="5">
        <v>783</v>
      </c>
      <c r="I732" s="5">
        <v>60188.5</v>
      </c>
      <c r="J732" s="2" t="s">
        <v>713</v>
      </c>
      <c r="K732" s="6">
        <v>2.5446</v>
      </c>
    </row>
    <row r="733" ht="14.5" spans="1:11">
      <c r="A733" s="3" t="str">
        <f t="shared" si="36"/>
        <v>2026年</v>
      </c>
      <c r="B733" s="3" t="str">
        <f t="shared" si="37"/>
        <v>1月</v>
      </c>
      <c r="C733" s="4" t="str">
        <f t="shared" si="38"/>
        <v>W4</v>
      </c>
      <c r="D733" s="2" t="s">
        <v>758</v>
      </c>
      <c r="E733" s="2" t="s">
        <v>714</v>
      </c>
      <c r="F733" s="2" t="str" cm="1">
        <f t="array" ref="F733">INDEX(_xlfn.TEXTSPLIT(E733,"-"),2)</f>
        <v>女装</v>
      </c>
      <c r="G733" s="2" t="str" cm="1">
        <f t="array" ref="G733">INDEX(_xlfn.TEXTSPLIT(E733,"-"),3)</f>
        <v>棉衣/棉服</v>
      </c>
      <c r="H733" s="5">
        <v>927140</v>
      </c>
      <c r="I733" s="5">
        <v>110625834.15</v>
      </c>
      <c r="J733" s="6">
        <v>0.025</v>
      </c>
      <c r="K733" s="6">
        <v>0.0518</v>
      </c>
    </row>
    <row r="734" ht="14.5" spans="1:11">
      <c r="A734" s="3" t="str">
        <f t="shared" si="36"/>
        <v>2026年</v>
      </c>
      <c r="B734" s="3" t="str">
        <f t="shared" si="37"/>
        <v>1月</v>
      </c>
      <c r="C734" s="4" t="str">
        <f t="shared" si="38"/>
        <v>W4</v>
      </c>
      <c r="D734" s="2" t="s">
        <v>758</v>
      </c>
      <c r="E734" s="2" t="s">
        <v>715</v>
      </c>
      <c r="F734" s="2" t="str" cm="1">
        <f t="array" ref="F734">INDEX(_xlfn.TEXTSPLIT(E734,"-"),2)</f>
        <v>女装</v>
      </c>
      <c r="G734" s="2" t="str" cm="1">
        <f t="array" ref="G734">INDEX(_xlfn.TEXTSPLIT(E734,"-"),3)</f>
        <v>毛呢外套</v>
      </c>
      <c r="H734" s="5">
        <v>876244</v>
      </c>
      <c r="I734" s="5">
        <v>359747376.66</v>
      </c>
      <c r="J734" s="6">
        <v>0.0814</v>
      </c>
      <c r="K734" s="6">
        <v>-0.0428</v>
      </c>
    </row>
    <row r="735" ht="14.5" spans="1:11">
      <c r="A735" s="3" t="str">
        <f t="shared" si="36"/>
        <v>2026年</v>
      </c>
      <c r="B735" s="3" t="str">
        <f t="shared" si="37"/>
        <v>1月</v>
      </c>
      <c r="C735" s="4" t="str">
        <f t="shared" si="38"/>
        <v>W4</v>
      </c>
      <c r="D735" s="2" t="s">
        <v>758</v>
      </c>
      <c r="E735" s="2" t="s">
        <v>716</v>
      </c>
      <c r="F735" s="2" t="str" cm="1">
        <f t="array" ref="F735">INDEX(_xlfn.TEXTSPLIT(E735,"-"),2)</f>
        <v>女装</v>
      </c>
      <c r="G735" s="2" t="str" cm="1">
        <f t="array" ref="G735">INDEX(_xlfn.TEXTSPLIT(E735,"-"),3)</f>
        <v>毛衣</v>
      </c>
      <c r="H735" s="5">
        <v>609922</v>
      </c>
      <c r="I735" s="5">
        <v>57056581.69</v>
      </c>
      <c r="J735" s="6">
        <v>0.0129</v>
      </c>
      <c r="K735" s="6">
        <v>0.102</v>
      </c>
    </row>
    <row r="736" ht="14.5" spans="1:11">
      <c r="A736" s="3" t="str">
        <f t="shared" si="36"/>
        <v>2026年</v>
      </c>
      <c r="B736" s="3" t="str">
        <f t="shared" si="37"/>
        <v>1月</v>
      </c>
      <c r="C736" s="4" t="str">
        <f t="shared" si="38"/>
        <v>W4</v>
      </c>
      <c r="D736" s="2" t="s">
        <v>758</v>
      </c>
      <c r="E736" s="2" t="s">
        <v>717</v>
      </c>
      <c r="F736" s="2" t="str" cm="1">
        <f t="array" ref="F736">INDEX(_xlfn.TEXTSPLIT(E736,"-"),2)</f>
        <v>女装</v>
      </c>
      <c r="G736" s="2" t="str" cm="1">
        <f t="array" ref="G736">INDEX(_xlfn.TEXTSPLIT(E736,"-"),3)</f>
        <v>毛针织衫</v>
      </c>
      <c r="H736" s="5">
        <v>2427917</v>
      </c>
      <c r="I736" s="5">
        <v>209645829.09</v>
      </c>
      <c r="J736" s="6">
        <v>0.0474</v>
      </c>
      <c r="K736" s="6">
        <v>0.019</v>
      </c>
    </row>
    <row r="737" ht="14.5" spans="1:11">
      <c r="A737" s="3" t="str">
        <f t="shared" si="36"/>
        <v>2026年</v>
      </c>
      <c r="B737" s="3" t="str">
        <f t="shared" si="37"/>
        <v>1月</v>
      </c>
      <c r="C737" s="4" t="str">
        <f t="shared" si="38"/>
        <v>W4</v>
      </c>
      <c r="D737" s="2" t="s">
        <v>758</v>
      </c>
      <c r="E737" s="2" t="s">
        <v>718</v>
      </c>
      <c r="F737" s="2" t="str" cm="1">
        <f t="array" ref="F737">INDEX(_xlfn.TEXTSPLIT(E737,"-"),2)</f>
        <v>女装</v>
      </c>
      <c r="G737" s="2" t="str" cm="1">
        <f t="array" ref="G737">INDEX(_xlfn.TEXTSPLIT(E737,"-"),3)</f>
        <v>汉服</v>
      </c>
      <c r="H737" s="5">
        <v>181975</v>
      </c>
      <c r="I737" s="5">
        <v>125367443.13</v>
      </c>
      <c r="J737" s="6">
        <v>0.0284</v>
      </c>
      <c r="K737" s="6">
        <v>0.1796</v>
      </c>
    </row>
    <row r="738" ht="14.5" spans="1:11">
      <c r="A738" s="3" t="str">
        <f t="shared" si="36"/>
        <v>2026年</v>
      </c>
      <c r="B738" s="3" t="str">
        <f t="shared" si="37"/>
        <v>1月</v>
      </c>
      <c r="C738" s="4" t="str">
        <f t="shared" si="38"/>
        <v>W4</v>
      </c>
      <c r="D738" s="2" t="s">
        <v>758</v>
      </c>
      <c r="E738" s="2" t="s">
        <v>719</v>
      </c>
      <c r="F738" s="2" t="str" cm="1">
        <f t="array" ref="F738">INDEX(_xlfn.TEXTSPLIT(E738,"-"),2)</f>
        <v>女装</v>
      </c>
      <c r="G738" s="2" t="str" cm="1">
        <f t="array" ref="G738">INDEX(_xlfn.TEXTSPLIT(E738,"-"),3)</f>
        <v>派克服</v>
      </c>
      <c r="H738" s="5">
        <v>95117</v>
      </c>
      <c r="I738" s="5">
        <v>25675829.86</v>
      </c>
      <c r="J738" s="6">
        <v>0.0058</v>
      </c>
      <c r="K738" s="6">
        <v>-0.1815</v>
      </c>
    </row>
    <row r="739" ht="14.5" spans="1:11">
      <c r="A739" s="3" t="str">
        <f t="shared" si="36"/>
        <v>2026年</v>
      </c>
      <c r="B739" s="3" t="str">
        <f t="shared" si="37"/>
        <v>1月</v>
      </c>
      <c r="C739" s="4" t="str">
        <f t="shared" si="38"/>
        <v>W4</v>
      </c>
      <c r="D739" s="2" t="s">
        <v>758</v>
      </c>
      <c r="E739" s="2" t="s">
        <v>720</v>
      </c>
      <c r="F739" s="2" t="str" cm="1">
        <f t="array" ref="F739">INDEX(_xlfn.TEXTSPLIT(E739,"-"),2)</f>
        <v>女装</v>
      </c>
      <c r="G739" s="2" t="str" cm="1">
        <f t="array" ref="G739">INDEX(_xlfn.TEXTSPLIT(E739,"-"),3)</f>
        <v>皮草</v>
      </c>
      <c r="H739" s="5">
        <v>291394</v>
      </c>
      <c r="I739" s="5">
        <v>557947704.12</v>
      </c>
      <c r="J739" s="6">
        <v>0.1263</v>
      </c>
      <c r="K739" s="6">
        <v>-0.0997</v>
      </c>
    </row>
    <row r="740" ht="14.5" spans="1:11">
      <c r="A740" s="3" t="str">
        <f t="shared" si="36"/>
        <v>2026年</v>
      </c>
      <c r="B740" s="3" t="str">
        <f t="shared" si="37"/>
        <v>1月</v>
      </c>
      <c r="C740" s="4" t="str">
        <f t="shared" si="38"/>
        <v>W4</v>
      </c>
      <c r="D740" s="2" t="s">
        <v>758</v>
      </c>
      <c r="E740" s="2" t="s">
        <v>721</v>
      </c>
      <c r="F740" s="2" t="str" cm="1">
        <f t="array" ref="F740">INDEX(_xlfn.TEXTSPLIT(E740,"-"),2)</f>
        <v>女装</v>
      </c>
      <c r="G740" s="2" t="str" cm="1">
        <f t="array" ref="G740">INDEX(_xlfn.TEXTSPLIT(E740,"-"),3)</f>
        <v>皮衣</v>
      </c>
      <c r="H740" s="5">
        <v>131728</v>
      </c>
      <c r="I740" s="5">
        <v>58807465.05</v>
      </c>
      <c r="J740" s="6">
        <v>0.0133</v>
      </c>
      <c r="K740" s="6">
        <v>0.0194</v>
      </c>
    </row>
    <row r="741" ht="14.5" spans="1:11">
      <c r="A741" s="3" t="str">
        <f t="shared" si="36"/>
        <v>2026年</v>
      </c>
      <c r="B741" s="3" t="str">
        <f t="shared" si="37"/>
        <v>1月</v>
      </c>
      <c r="C741" s="4" t="str">
        <f t="shared" si="38"/>
        <v>W4</v>
      </c>
      <c r="D741" s="2" t="s">
        <v>758</v>
      </c>
      <c r="E741" s="2" t="s">
        <v>722</v>
      </c>
      <c r="F741" s="2" t="str" cm="1">
        <f t="array" ref="F741">INDEX(_xlfn.TEXTSPLIT(E741,"-"),2)</f>
        <v>女装</v>
      </c>
      <c r="G741" s="2" t="str" cm="1">
        <f t="array" ref="G741">INDEX(_xlfn.TEXTSPLIT(E741,"-"),3)</f>
        <v>短外套</v>
      </c>
      <c r="H741" s="5">
        <v>1547415</v>
      </c>
      <c r="I741" s="5">
        <v>334438136.45</v>
      </c>
      <c r="J741" s="6">
        <v>0.0757</v>
      </c>
      <c r="K741" s="6">
        <v>-0.0281</v>
      </c>
    </row>
    <row r="742" ht="14.5" spans="1:11">
      <c r="A742" s="3" t="str">
        <f t="shared" si="36"/>
        <v>2026年</v>
      </c>
      <c r="B742" s="3" t="str">
        <f t="shared" si="37"/>
        <v>1月</v>
      </c>
      <c r="C742" s="4" t="str">
        <f t="shared" si="38"/>
        <v>W4</v>
      </c>
      <c r="D742" s="2" t="s">
        <v>758</v>
      </c>
      <c r="E742" s="2" t="s">
        <v>723</v>
      </c>
      <c r="F742" s="2" t="str" cm="1">
        <f t="array" ref="F742">INDEX(_xlfn.TEXTSPLIT(E742,"-"),2)</f>
        <v>女装</v>
      </c>
      <c r="G742" s="2" t="str" cm="1">
        <f t="array" ref="G742">INDEX(_xlfn.TEXTSPLIT(E742,"-"),3)</f>
        <v>短裤</v>
      </c>
      <c r="H742" s="5">
        <v>145632</v>
      </c>
      <c r="I742" s="5">
        <v>8713157.32</v>
      </c>
      <c r="J742" s="6">
        <v>0.002</v>
      </c>
      <c r="K742" s="6">
        <v>0.1222</v>
      </c>
    </row>
    <row r="743" ht="14.5" spans="1:11">
      <c r="A743" s="3" t="str">
        <f t="shared" si="36"/>
        <v>2026年</v>
      </c>
      <c r="B743" s="3" t="str">
        <f t="shared" si="37"/>
        <v>1月</v>
      </c>
      <c r="C743" s="4" t="str">
        <f t="shared" si="38"/>
        <v>W4</v>
      </c>
      <c r="D743" s="2" t="s">
        <v>758</v>
      </c>
      <c r="E743" s="2" t="s">
        <v>724</v>
      </c>
      <c r="F743" s="2" t="str" cm="1">
        <f t="array" ref="F743">INDEX(_xlfn.TEXTSPLIT(E743,"-"),2)</f>
        <v>女装</v>
      </c>
      <c r="G743" s="2" t="str" cm="1">
        <f t="array" ref="G743">INDEX(_xlfn.TEXTSPLIT(E743,"-"),3)</f>
        <v>羊毛衫</v>
      </c>
      <c r="H743" s="5">
        <v>572934</v>
      </c>
      <c r="I743" s="5">
        <v>75597431</v>
      </c>
      <c r="J743" s="6">
        <v>0.0171</v>
      </c>
      <c r="K743" s="6">
        <v>-0.0818</v>
      </c>
    </row>
    <row r="744" ht="14.5" spans="1:11">
      <c r="A744" s="3" t="str">
        <f t="shared" si="36"/>
        <v>2026年</v>
      </c>
      <c r="B744" s="3" t="str">
        <f t="shared" si="37"/>
        <v>1月</v>
      </c>
      <c r="C744" s="4" t="str">
        <f t="shared" si="38"/>
        <v>W4</v>
      </c>
      <c r="D744" s="2" t="s">
        <v>758</v>
      </c>
      <c r="E744" s="2" t="s">
        <v>725</v>
      </c>
      <c r="F744" s="2" t="str" cm="1">
        <f t="array" ref="F744">INDEX(_xlfn.TEXTSPLIT(E744,"-"),2)</f>
        <v>女装</v>
      </c>
      <c r="G744" s="2" t="str" cm="1">
        <f t="array" ref="G744">INDEX(_xlfn.TEXTSPLIT(E744,"-"),3)</f>
        <v>羊绒大衣</v>
      </c>
      <c r="H744" s="5">
        <v>7455</v>
      </c>
      <c r="I744" s="5">
        <v>3557453.99</v>
      </c>
      <c r="J744" s="6">
        <v>0.0008</v>
      </c>
      <c r="K744" s="6">
        <v>-0.193</v>
      </c>
    </row>
    <row r="745" ht="14.5" spans="1:11">
      <c r="A745" s="3" t="str">
        <f t="shared" si="36"/>
        <v>2026年</v>
      </c>
      <c r="B745" s="3" t="str">
        <f t="shared" si="37"/>
        <v>1月</v>
      </c>
      <c r="C745" s="4" t="str">
        <f t="shared" si="38"/>
        <v>W4</v>
      </c>
      <c r="D745" s="2" t="s">
        <v>758</v>
      </c>
      <c r="E745" s="2" t="s">
        <v>726</v>
      </c>
      <c r="F745" s="2" t="str" cm="1">
        <f t="array" ref="F745">INDEX(_xlfn.TEXTSPLIT(E745,"-"),2)</f>
        <v>女装</v>
      </c>
      <c r="G745" s="2" t="str" cm="1">
        <f t="array" ref="G745">INDEX(_xlfn.TEXTSPLIT(E745,"-"),3)</f>
        <v>羊绒衫</v>
      </c>
      <c r="H745" s="5">
        <v>170943</v>
      </c>
      <c r="I745" s="5">
        <v>59714687.3</v>
      </c>
      <c r="J745" s="6">
        <v>0.0135</v>
      </c>
      <c r="K745" s="6">
        <v>0.0245</v>
      </c>
    </row>
    <row r="746" ht="14.5" spans="1:11">
      <c r="A746" s="3" t="str">
        <f t="shared" si="36"/>
        <v>2026年</v>
      </c>
      <c r="B746" s="3" t="str">
        <f t="shared" si="37"/>
        <v>1月</v>
      </c>
      <c r="C746" s="4" t="str">
        <f t="shared" si="38"/>
        <v>W4</v>
      </c>
      <c r="D746" s="2" t="s">
        <v>758</v>
      </c>
      <c r="E746" s="2" t="s">
        <v>727</v>
      </c>
      <c r="F746" s="2" t="str" cm="1">
        <f t="array" ref="F746">INDEX(_xlfn.TEXTSPLIT(E746,"-"),2)</f>
        <v>女装</v>
      </c>
      <c r="G746" s="2" t="str" cm="1">
        <f t="array" ref="G746">INDEX(_xlfn.TEXTSPLIT(E746,"-"),3)</f>
        <v>羽绒服</v>
      </c>
      <c r="H746" s="5">
        <v>2447161</v>
      </c>
      <c r="I746" s="5">
        <v>1026143501.89</v>
      </c>
      <c r="J746" s="6">
        <v>0.2323</v>
      </c>
      <c r="K746" s="6">
        <v>-0.073</v>
      </c>
    </row>
    <row r="747" ht="14.5" spans="1:11">
      <c r="A747" s="3" t="str">
        <f t="shared" si="36"/>
        <v>2026年</v>
      </c>
      <c r="B747" s="3" t="str">
        <f t="shared" si="37"/>
        <v>1月</v>
      </c>
      <c r="C747" s="4" t="str">
        <f t="shared" si="38"/>
        <v>W4</v>
      </c>
      <c r="D747" s="2" t="s">
        <v>758</v>
      </c>
      <c r="E747" s="2" t="s">
        <v>728</v>
      </c>
      <c r="F747" s="2" t="str" cm="1">
        <f t="array" ref="F747">INDEX(_xlfn.TEXTSPLIT(E747,"-"),2)</f>
        <v>女装</v>
      </c>
      <c r="G747" s="2" t="str" cm="1">
        <f t="array" ref="G747">INDEX(_xlfn.TEXTSPLIT(E747,"-"),3)</f>
        <v>肌底衣/肌肤衣</v>
      </c>
      <c r="H747" s="5">
        <v>4389</v>
      </c>
      <c r="I747" s="5">
        <v>260683.71</v>
      </c>
      <c r="J747" s="6">
        <v>0.0001</v>
      </c>
      <c r="K747" s="6">
        <v>-0.1672</v>
      </c>
    </row>
    <row r="748" ht="14.5" spans="1:11">
      <c r="A748" s="3" t="str">
        <f t="shared" si="36"/>
        <v>2026年</v>
      </c>
      <c r="B748" s="3" t="str">
        <f t="shared" si="37"/>
        <v>1月</v>
      </c>
      <c r="C748" s="4" t="str">
        <f t="shared" si="38"/>
        <v>W4</v>
      </c>
      <c r="D748" s="2" t="s">
        <v>758</v>
      </c>
      <c r="E748" s="2" t="s">
        <v>729</v>
      </c>
      <c r="F748" s="2" t="str" cm="1">
        <f t="array" ref="F748">INDEX(_xlfn.TEXTSPLIT(E748,"-"),2)</f>
        <v>女装</v>
      </c>
      <c r="G748" s="2" t="str" cm="1">
        <f t="array" ref="G748">INDEX(_xlfn.TEXTSPLIT(E748,"-"),3)</f>
        <v>背心吊带</v>
      </c>
      <c r="H748" s="5">
        <v>228784</v>
      </c>
      <c r="I748" s="5">
        <v>13082036.6</v>
      </c>
      <c r="J748" s="6">
        <v>0.003</v>
      </c>
      <c r="K748" s="6">
        <v>-0.039</v>
      </c>
    </row>
    <row r="749" ht="14.5" spans="1:11">
      <c r="A749" s="3" t="str">
        <f t="shared" si="36"/>
        <v>2026年</v>
      </c>
      <c r="B749" s="3" t="str">
        <f t="shared" si="37"/>
        <v>1月</v>
      </c>
      <c r="C749" s="4" t="str">
        <f t="shared" si="38"/>
        <v>W4</v>
      </c>
      <c r="D749" s="2" t="s">
        <v>758</v>
      </c>
      <c r="E749" s="2" t="s">
        <v>730</v>
      </c>
      <c r="F749" s="2" t="str" cm="1">
        <f t="array" ref="F749">INDEX(_xlfn.TEXTSPLIT(E749,"-"),2)</f>
        <v>女装</v>
      </c>
      <c r="G749" s="2" t="str" cm="1">
        <f t="array" ref="G749">INDEX(_xlfn.TEXTSPLIT(E749,"-"),3)</f>
        <v>蕾丝衫/雪纺衫</v>
      </c>
      <c r="H749" s="5">
        <v>172437</v>
      </c>
      <c r="I749" s="5">
        <v>12842381.51</v>
      </c>
      <c r="J749" s="6">
        <v>0.0029</v>
      </c>
      <c r="K749" s="6">
        <v>0.0278</v>
      </c>
    </row>
    <row r="750" ht="14.5" spans="1:11">
      <c r="A750" s="3" t="str">
        <f t="shared" si="36"/>
        <v>2026年</v>
      </c>
      <c r="B750" s="3" t="str">
        <f t="shared" si="37"/>
        <v>1月</v>
      </c>
      <c r="C750" s="4" t="str">
        <f t="shared" si="38"/>
        <v>W4</v>
      </c>
      <c r="D750" s="2" t="s">
        <v>758</v>
      </c>
      <c r="E750" s="2" t="s">
        <v>731</v>
      </c>
      <c r="F750" s="2" t="str" cm="1">
        <f t="array" ref="F750">INDEX(_xlfn.TEXTSPLIT(E750,"-"),2)</f>
        <v>女装</v>
      </c>
      <c r="G750" s="2" t="str" cm="1">
        <f t="array" ref="G750">INDEX(_xlfn.TEXTSPLIT(E750,"-"),3)</f>
        <v>衬衫</v>
      </c>
      <c r="H750" s="5">
        <v>472414</v>
      </c>
      <c r="I750" s="5">
        <v>53686009.01</v>
      </c>
      <c r="J750" s="6">
        <v>0.0122</v>
      </c>
      <c r="K750" s="6">
        <v>-0.0087</v>
      </c>
    </row>
    <row r="751" ht="14.5" spans="1:11">
      <c r="A751" s="3" t="str">
        <f t="shared" si="36"/>
        <v>2026年</v>
      </c>
      <c r="B751" s="3" t="str">
        <f t="shared" si="37"/>
        <v>1月</v>
      </c>
      <c r="C751" s="4" t="str">
        <f t="shared" si="38"/>
        <v>W4</v>
      </c>
      <c r="D751" s="2" t="s">
        <v>758</v>
      </c>
      <c r="E751" s="2" t="s">
        <v>732</v>
      </c>
      <c r="F751" s="2" t="str" cm="1">
        <f t="array" ref="F751">INDEX(_xlfn.TEXTSPLIT(E751,"-"),2)</f>
        <v>女装</v>
      </c>
      <c r="G751" s="2" t="str" cm="1">
        <f t="array" ref="G751">INDEX(_xlfn.TEXTSPLIT(E751,"-"),3)</f>
        <v>裤子</v>
      </c>
      <c r="H751" s="5">
        <v>5070418</v>
      </c>
      <c r="I751" s="5">
        <v>501218676.85</v>
      </c>
      <c r="J751" s="6">
        <v>0.1134</v>
      </c>
      <c r="K751" s="6">
        <v>0.0144</v>
      </c>
    </row>
    <row r="752" ht="14.5" spans="1:11">
      <c r="A752" s="3" t="str">
        <f t="shared" si="36"/>
        <v>2026年</v>
      </c>
      <c r="B752" s="3" t="str">
        <f t="shared" si="37"/>
        <v>1月</v>
      </c>
      <c r="C752" s="4" t="str">
        <f t="shared" si="38"/>
        <v>W4</v>
      </c>
      <c r="D752" s="2" t="s">
        <v>758</v>
      </c>
      <c r="E752" s="2" t="s">
        <v>733</v>
      </c>
      <c r="F752" s="2" t="str" cm="1">
        <f t="array" ref="F752">INDEX(_xlfn.TEXTSPLIT(E752,"-"),2)</f>
        <v>女装</v>
      </c>
      <c r="G752" s="2" t="str" cm="1">
        <f t="array" ref="G752">INDEX(_xlfn.TEXTSPLIT(E752,"-"),3)</f>
        <v>西装</v>
      </c>
      <c r="H752" s="5">
        <v>50358</v>
      </c>
      <c r="I752" s="5">
        <v>14329103.32</v>
      </c>
      <c r="J752" s="6">
        <v>0.0032</v>
      </c>
      <c r="K752" s="6">
        <v>0.1587</v>
      </c>
    </row>
    <row r="753" ht="14.5" spans="1:11">
      <c r="A753" s="3" t="str">
        <f t="shared" si="36"/>
        <v>2026年</v>
      </c>
      <c r="B753" s="3" t="str">
        <f t="shared" si="37"/>
        <v>1月</v>
      </c>
      <c r="C753" s="4" t="str">
        <f t="shared" si="38"/>
        <v>W4</v>
      </c>
      <c r="D753" s="2" t="s">
        <v>758</v>
      </c>
      <c r="E753" s="2" t="s">
        <v>734</v>
      </c>
      <c r="F753" s="2" t="str" cm="1">
        <f t="array" ref="F753">INDEX(_xlfn.TEXTSPLIT(E753,"-"),2)</f>
        <v>女装</v>
      </c>
      <c r="G753" s="2" t="str" cm="1">
        <f t="array" ref="G753">INDEX(_xlfn.TEXTSPLIT(E753,"-"),3)</f>
        <v>设计师/潮牌女装</v>
      </c>
      <c r="H753" s="5">
        <v>563388</v>
      </c>
      <c r="I753" s="5">
        <v>70270150.81</v>
      </c>
      <c r="J753" s="6">
        <v>0.0159</v>
      </c>
      <c r="K753" s="6">
        <v>0.0716</v>
      </c>
    </row>
    <row r="754" ht="14.5" spans="1:11">
      <c r="A754" s="3" t="str">
        <f t="shared" ref="A754:A785" si="39">TEXT(YEAR(D754),"0")&amp;"年"</f>
        <v>2026年</v>
      </c>
      <c r="B754" s="3" t="str">
        <f t="shared" ref="B754:B785" si="40">TEXT(MONTH(D754),"0")&amp;"月"</f>
        <v>1月</v>
      </c>
      <c r="C754" s="4" t="str">
        <f t="shared" ref="C754:C785" si="41">"W"&amp;TEXT(WEEKNUM(D754,2),"0")</f>
        <v>W4</v>
      </c>
      <c r="D754" s="2" t="s">
        <v>758</v>
      </c>
      <c r="E754" s="2" t="s">
        <v>735</v>
      </c>
      <c r="F754" s="2" t="str" cm="1">
        <f t="array" ref="F754">INDEX(_xlfn.TEXTSPLIT(E754,"-"),2)</f>
        <v>女装</v>
      </c>
      <c r="G754" s="2" t="str" cm="1">
        <f t="array" ref="G754">INDEX(_xlfn.TEXTSPLIT(E754,"-"),3)</f>
        <v>连体衣/裤</v>
      </c>
      <c r="H754" s="5">
        <v>12222</v>
      </c>
      <c r="I754" s="5">
        <v>1977190.23</v>
      </c>
      <c r="J754" s="6">
        <v>0.0004</v>
      </c>
      <c r="K754" s="6">
        <v>0.089</v>
      </c>
    </row>
    <row r="755" ht="14.5" spans="1:11">
      <c r="A755" s="3" t="str">
        <f t="shared" si="39"/>
        <v>2026年</v>
      </c>
      <c r="B755" s="3" t="str">
        <f t="shared" si="40"/>
        <v>1月</v>
      </c>
      <c r="C755" s="4" t="str">
        <f t="shared" si="41"/>
        <v>W4</v>
      </c>
      <c r="D755" s="2" t="s">
        <v>758</v>
      </c>
      <c r="E755" s="2" t="s">
        <v>736</v>
      </c>
      <c r="F755" s="2" t="str" cm="1">
        <f t="array" ref="F755">INDEX(_xlfn.TEXTSPLIT(E755,"-"),2)</f>
        <v>女装</v>
      </c>
      <c r="G755" s="2" t="str" cm="1">
        <f t="array" ref="G755">INDEX(_xlfn.TEXTSPLIT(E755,"-"),3)</f>
        <v>连衣裙</v>
      </c>
      <c r="H755" s="5">
        <v>777330</v>
      </c>
      <c r="I755" s="5">
        <v>105472300.01</v>
      </c>
      <c r="J755" s="6">
        <v>0.0239</v>
      </c>
      <c r="K755" s="6">
        <v>-0.001</v>
      </c>
    </row>
    <row r="756" ht="14.5" spans="1:11">
      <c r="A756" s="3" t="str">
        <f t="shared" si="39"/>
        <v>2026年</v>
      </c>
      <c r="B756" s="3" t="str">
        <f t="shared" si="40"/>
        <v>1月</v>
      </c>
      <c r="C756" s="4" t="str">
        <f t="shared" si="41"/>
        <v>W4</v>
      </c>
      <c r="D756" s="2" t="s">
        <v>758</v>
      </c>
      <c r="E756" s="2" t="s">
        <v>737</v>
      </c>
      <c r="F756" s="2" t="str" cm="1">
        <f t="array" ref="F756">INDEX(_xlfn.TEXTSPLIT(E756,"-"),2)</f>
        <v>女装</v>
      </c>
      <c r="G756" s="2" t="str" cm="1">
        <f t="array" ref="G756">INDEX(_xlfn.TEXTSPLIT(E756,"-"),3)</f>
        <v>风衣</v>
      </c>
      <c r="H756" s="5">
        <v>123571</v>
      </c>
      <c r="I756" s="5">
        <v>18472373.22</v>
      </c>
      <c r="J756" s="6">
        <v>0.0042</v>
      </c>
      <c r="K756" s="6">
        <v>0.1199</v>
      </c>
    </row>
    <row r="757" ht="14.5" spans="1:11">
      <c r="A757" s="3" t="str">
        <f t="shared" si="39"/>
        <v>2026年</v>
      </c>
      <c r="B757" s="3" t="str">
        <f t="shared" si="40"/>
        <v>1月</v>
      </c>
      <c r="C757" s="4" t="str">
        <f t="shared" si="41"/>
        <v>W4</v>
      </c>
      <c r="D757" s="2" t="s">
        <v>758</v>
      </c>
      <c r="E757" s="2" t="s">
        <v>738</v>
      </c>
      <c r="F757" s="2" t="str" cm="1">
        <f t="array" ref="F757">INDEX(_xlfn.TEXTSPLIT(E757,"-"),2)</f>
        <v>女装</v>
      </c>
      <c r="G757" s="2" t="str" cm="1">
        <f t="array" ref="G757">INDEX(_xlfn.TEXTSPLIT(E757,"-"),3)</f>
        <v>马夹</v>
      </c>
      <c r="H757" s="5">
        <v>431595</v>
      </c>
      <c r="I757" s="5">
        <v>47883261.24</v>
      </c>
      <c r="J757" s="6">
        <v>0.0108</v>
      </c>
      <c r="K757" s="6">
        <v>-0.0366</v>
      </c>
    </row>
    <row r="758" ht="14.5" spans="1:11">
      <c r="A758" s="3" t="str">
        <f t="shared" si="39"/>
        <v>2026年</v>
      </c>
      <c r="B758" s="3" t="str">
        <f t="shared" si="40"/>
        <v>1月</v>
      </c>
      <c r="C758" s="4" t="str">
        <f t="shared" si="41"/>
        <v>W4</v>
      </c>
      <c r="D758" s="2" t="s">
        <v>759</v>
      </c>
      <c r="E758" s="2" t="s">
        <v>702</v>
      </c>
      <c r="F758" s="2" t="str" cm="1">
        <f t="array" ref="F758">INDEX(_xlfn.TEXTSPLIT(E758,"-"),2)</f>
        <v>女装</v>
      </c>
      <c r="G758" s="2" t="str" cm="1">
        <f t="array" ref="G758">INDEX(_xlfn.TEXTSPLIT(E758,"-"),3)</f>
        <v>POLO衫</v>
      </c>
      <c r="H758" s="5">
        <v>15944</v>
      </c>
      <c r="I758" s="5">
        <v>1042880.64</v>
      </c>
      <c r="J758" s="6">
        <v>0.0003</v>
      </c>
      <c r="K758" s="6">
        <v>-0.2962</v>
      </c>
    </row>
    <row r="759" ht="14.5" spans="1:11">
      <c r="A759" s="3" t="str">
        <f t="shared" si="39"/>
        <v>2026年</v>
      </c>
      <c r="B759" s="3" t="str">
        <f t="shared" si="40"/>
        <v>1月</v>
      </c>
      <c r="C759" s="4" t="str">
        <f t="shared" si="41"/>
        <v>W4</v>
      </c>
      <c r="D759" s="2" t="s">
        <v>759</v>
      </c>
      <c r="E759" s="2" t="s">
        <v>703</v>
      </c>
      <c r="F759" s="2" t="str" cm="1">
        <f t="array" ref="F759">INDEX(_xlfn.TEXTSPLIT(E759,"-"),2)</f>
        <v>女装</v>
      </c>
      <c r="G759" s="2" t="str" cm="1">
        <f t="array" ref="G759">INDEX(_xlfn.TEXTSPLIT(E759,"-"),3)</f>
        <v>T恤</v>
      </c>
      <c r="H759" s="5">
        <v>1329352</v>
      </c>
      <c r="I759" s="5">
        <v>72869287.12</v>
      </c>
      <c r="J759" s="6">
        <v>0.0196</v>
      </c>
      <c r="K759" s="6">
        <v>-0.1851</v>
      </c>
    </row>
    <row r="760" ht="14.5" spans="1:11">
      <c r="A760" s="3" t="str">
        <f t="shared" si="39"/>
        <v>2026年</v>
      </c>
      <c r="B760" s="3" t="str">
        <f t="shared" si="40"/>
        <v>1月</v>
      </c>
      <c r="C760" s="4" t="str">
        <f t="shared" si="41"/>
        <v>W4</v>
      </c>
      <c r="D760" s="2" t="s">
        <v>759</v>
      </c>
      <c r="E760" s="2" t="s">
        <v>704</v>
      </c>
      <c r="F760" s="2" t="str" cm="1">
        <f t="array" ref="F760">INDEX(_xlfn.TEXTSPLIT(E760,"-"),2)</f>
        <v>女装</v>
      </c>
      <c r="G760" s="2" t="str" cm="1">
        <f t="array" ref="G760">INDEX(_xlfn.TEXTSPLIT(E760,"-"),3)</f>
        <v>中老年女装</v>
      </c>
      <c r="H760" s="5">
        <v>555969</v>
      </c>
      <c r="I760" s="5">
        <v>65380333.58</v>
      </c>
      <c r="J760" s="6">
        <v>0.0176</v>
      </c>
      <c r="K760" s="6">
        <v>-0.1361</v>
      </c>
    </row>
    <row r="761" ht="14.5" spans="1:11">
      <c r="A761" s="3" t="str">
        <f t="shared" si="39"/>
        <v>2026年</v>
      </c>
      <c r="B761" s="3" t="str">
        <f t="shared" si="40"/>
        <v>1月</v>
      </c>
      <c r="C761" s="4" t="str">
        <f t="shared" si="41"/>
        <v>W4</v>
      </c>
      <c r="D761" s="2" t="s">
        <v>759</v>
      </c>
      <c r="E761" s="2" t="s">
        <v>705</v>
      </c>
      <c r="F761" s="2" t="str" cm="1">
        <f t="array" ref="F761">INDEX(_xlfn.TEXTSPLIT(E761,"-"),2)</f>
        <v>女装</v>
      </c>
      <c r="G761" s="2" t="str" cm="1">
        <f t="array" ref="G761">INDEX(_xlfn.TEXTSPLIT(E761,"-"),3)</f>
        <v>半身裙</v>
      </c>
      <c r="H761" s="5">
        <v>696404</v>
      </c>
      <c r="I761" s="5">
        <v>60649659.79</v>
      </c>
      <c r="J761" s="6">
        <v>0.0163</v>
      </c>
      <c r="K761" s="6">
        <v>-0.1599</v>
      </c>
    </row>
    <row r="762" ht="14.5" spans="1:11">
      <c r="A762" s="3" t="str">
        <f t="shared" si="39"/>
        <v>2026年</v>
      </c>
      <c r="B762" s="3" t="str">
        <f t="shared" si="40"/>
        <v>1月</v>
      </c>
      <c r="C762" s="4" t="str">
        <f t="shared" si="41"/>
        <v>W4</v>
      </c>
      <c r="D762" s="2" t="s">
        <v>759</v>
      </c>
      <c r="E762" s="2" t="s">
        <v>706</v>
      </c>
      <c r="F762" s="2" t="str" cm="1">
        <f t="array" ref="F762">INDEX(_xlfn.TEXTSPLIT(E762,"-"),2)</f>
        <v>女装</v>
      </c>
      <c r="G762" s="2" t="str" cm="1">
        <f t="array" ref="G762">INDEX(_xlfn.TEXTSPLIT(E762,"-"),3)</f>
        <v>卫衣/绒衫</v>
      </c>
      <c r="H762" s="5">
        <v>469064</v>
      </c>
      <c r="I762" s="5">
        <v>36039681.38</v>
      </c>
      <c r="J762" s="6">
        <v>0.0097</v>
      </c>
      <c r="K762" s="6">
        <v>-0.1725</v>
      </c>
    </row>
    <row r="763" ht="14.5" spans="1:11">
      <c r="A763" s="3" t="str">
        <f t="shared" si="39"/>
        <v>2026年</v>
      </c>
      <c r="B763" s="3" t="str">
        <f t="shared" si="40"/>
        <v>1月</v>
      </c>
      <c r="C763" s="4" t="str">
        <f t="shared" si="41"/>
        <v>W4</v>
      </c>
      <c r="D763" s="2" t="s">
        <v>759</v>
      </c>
      <c r="E763" s="2" t="s">
        <v>707</v>
      </c>
      <c r="F763" s="2" t="str" cm="1">
        <f t="array" ref="F763">INDEX(_xlfn.TEXTSPLIT(E763,"-"),2)</f>
        <v>女装</v>
      </c>
      <c r="G763" s="2" t="str" cm="1">
        <f t="array" ref="G763">INDEX(_xlfn.TEXTSPLIT(E763,"-"),3)</f>
        <v>唐装/民族服装/舞台服装</v>
      </c>
      <c r="H763" s="5">
        <v>195048</v>
      </c>
      <c r="I763" s="5">
        <v>39716922.54</v>
      </c>
      <c r="J763" s="6">
        <v>0.0107</v>
      </c>
      <c r="K763" s="6">
        <v>-0.137</v>
      </c>
    </row>
    <row r="764" ht="14.5" spans="1:11">
      <c r="A764" s="3" t="str">
        <f t="shared" si="39"/>
        <v>2026年</v>
      </c>
      <c r="B764" s="3" t="str">
        <f t="shared" si="40"/>
        <v>1月</v>
      </c>
      <c r="C764" s="4" t="str">
        <f t="shared" si="41"/>
        <v>W4</v>
      </c>
      <c r="D764" s="2" t="s">
        <v>759</v>
      </c>
      <c r="E764" s="2" t="s">
        <v>708</v>
      </c>
      <c r="F764" s="2" t="str" cm="1">
        <f t="array" ref="F764">INDEX(_xlfn.TEXTSPLIT(E764,"-"),2)</f>
        <v>女装</v>
      </c>
      <c r="G764" s="2" t="str" cm="1">
        <f t="array" ref="G764">INDEX(_xlfn.TEXTSPLIT(E764,"-"),3)</f>
        <v>大码女装</v>
      </c>
      <c r="H764" s="5">
        <v>691067</v>
      </c>
      <c r="I764" s="5">
        <v>63408815.43</v>
      </c>
      <c r="J764" s="6">
        <v>0.0171</v>
      </c>
      <c r="K764" s="6">
        <v>-0.0172</v>
      </c>
    </row>
    <row r="765" ht="14.5" spans="1:11">
      <c r="A765" s="3" t="str">
        <f t="shared" si="39"/>
        <v>2026年</v>
      </c>
      <c r="B765" s="3" t="str">
        <f t="shared" si="40"/>
        <v>1月</v>
      </c>
      <c r="C765" s="4" t="str">
        <f t="shared" si="41"/>
        <v>W4</v>
      </c>
      <c r="D765" s="2" t="s">
        <v>759</v>
      </c>
      <c r="E765" s="2" t="s">
        <v>709</v>
      </c>
      <c r="F765" s="2" t="str" cm="1">
        <f t="array" ref="F765">INDEX(_xlfn.TEXTSPLIT(E765,"-"),2)</f>
        <v>女装</v>
      </c>
      <c r="G765" s="2" t="str" cm="1">
        <f t="array" ref="G765">INDEX(_xlfn.TEXTSPLIT(E765,"-"),3)</f>
        <v>套装/学生校服/工作制服</v>
      </c>
      <c r="H765" s="5">
        <v>883991</v>
      </c>
      <c r="I765" s="5">
        <v>122865884.47</v>
      </c>
      <c r="J765" s="6">
        <v>0.0331</v>
      </c>
      <c r="K765" s="6">
        <v>-0.1081</v>
      </c>
    </row>
    <row r="766" ht="14.5" spans="1:11">
      <c r="A766" s="3" t="str">
        <f t="shared" si="39"/>
        <v>2026年</v>
      </c>
      <c r="B766" s="3" t="str">
        <f t="shared" si="40"/>
        <v>1月</v>
      </c>
      <c r="C766" s="4" t="str">
        <f t="shared" si="41"/>
        <v>W4</v>
      </c>
      <c r="D766" s="2" t="s">
        <v>759</v>
      </c>
      <c r="E766" s="2" t="s">
        <v>710</v>
      </c>
      <c r="F766" s="2" t="str" cm="1">
        <f t="array" ref="F766">INDEX(_xlfn.TEXTSPLIT(E766,"-"),2)</f>
        <v>女装</v>
      </c>
      <c r="G766" s="2" t="str" cm="1">
        <f t="array" ref="G766">INDEX(_xlfn.TEXTSPLIT(E766,"-"),3)</f>
        <v>婚纱/旗袍/礼服</v>
      </c>
      <c r="H766" s="5">
        <v>57726</v>
      </c>
      <c r="I766" s="5">
        <v>9794138.59</v>
      </c>
      <c r="J766" s="6">
        <v>0.0026</v>
      </c>
      <c r="K766" s="6">
        <v>-0.1767</v>
      </c>
    </row>
    <row r="767" ht="14.5" spans="1:11">
      <c r="A767" s="3" t="str">
        <f t="shared" si="39"/>
        <v>2026年</v>
      </c>
      <c r="B767" s="3" t="str">
        <f t="shared" si="40"/>
        <v>1月</v>
      </c>
      <c r="C767" s="4" t="str">
        <f t="shared" si="41"/>
        <v>W4</v>
      </c>
      <c r="D767" s="2" t="s">
        <v>759</v>
      </c>
      <c r="E767" s="2" t="s">
        <v>711</v>
      </c>
      <c r="F767" s="2" t="str" cm="1">
        <f t="array" ref="F767">INDEX(_xlfn.TEXTSPLIT(E767,"-"),2)</f>
        <v>女装</v>
      </c>
      <c r="G767" s="2" t="str" cm="1">
        <f t="array" ref="G767">INDEX(_xlfn.TEXTSPLIT(E767,"-"),3)</f>
        <v>新中式女装</v>
      </c>
      <c r="H767" s="5">
        <v>82704</v>
      </c>
      <c r="I767" s="5">
        <v>9563853.55</v>
      </c>
      <c r="J767" s="6">
        <v>0.0026</v>
      </c>
      <c r="K767" s="6">
        <v>-0.5868</v>
      </c>
    </row>
    <row r="768" ht="14.5" spans="1:11">
      <c r="A768" s="3" t="str">
        <f t="shared" si="39"/>
        <v>2026年</v>
      </c>
      <c r="B768" s="3" t="str">
        <f t="shared" si="40"/>
        <v>1月</v>
      </c>
      <c r="C768" s="4" t="str">
        <f t="shared" si="41"/>
        <v>W4</v>
      </c>
      <c r="D768" s="2" t="s">
        <v>759</v>
      </c>
      <c r="E768" s="2" t="s">
        <v>712</v>
      </c>
      <c r="F768" s="2" t="str" cm="1">
        <f t="array" ref="F768">INDEX(_xlfn.TEXTSPLIT(E768,"-"),2)</f>
        <v>女装</v>
      </c>
      <c r="G768" s="2" t="str" cm="1">
        <f t="array" ref="G768">INDEX(_xlfn.TEXTSPLIT(E768,"-"),3)</f>
        <v>时尚防晒服</v>
      </c>
      <c r="H768" s="5">
        <v>166</v>
      </c>
      <c r="I768" s="5">
        <v>14610.6</v>
      </c>
      <c r="J768" s="2" t="s">
        <v>713</v>
      </c>
      <c r="K768" s="6">
        <v>-0.7573</v>
      </c>
    </row>
    <row r="769" ht="14.5" spans="1:11">
      <c r="A769" s="3" t="str">
        <f t="shared" si="39"/>
        <v>2026年</v>
      </c>
      <c r="B769" s="3" t="str">
        <f t="shared" si="40"/>
        <v>1月</v>
      </c>
      <c r="C769" s="4" t="str">
        <f t="shared" si="41"/>
        <v>W4</v>
      </c>
      <c r="D769" s="2" t="s">
        <v>759</v>
      </c>
      <c r="E769" s="2" t="s">
        <v>714</v>
      </c>
      <c r="F769" s="2" t="str" cm="1">
        <f t="array" ref="F769">INDEX(_xlfn.TEXTSPLIT(E769,"-"),2)</f>
        <v>女装</v>
      </c>
      <c r="G769" s="2" t="str" cm="1">
        <f t="array" ref="G769">INDEX(_xlfn.TEXTSPLIT(E769,"-"),3)</f>
        <v>棉衣/棉服</v>
      </c>
      <c r="H769" s="5">
        <v>887188</v>
      </c>
      <c r="I769" s="5">
        <v>97905825.74</v>
      </c>
      <c r="J769" s="6">
        <v>0.0264</v>
      </c>
      <c r="K769" s="6">
        <v>-0.115</v>
      </c>
    </row>
    <row r="770" ht="14.5" spans="1:11">
      <c r="A770" s="3" t="str">
        <f t="shared" si="39"/>
        <v>2026年</v>
      </c>
      <c r="B770" s="3" t="str">
        <f t="shared" si="40"/>
        <v>1月</v>
      </c>
      <c r="C770" s="4" t="str">
        <f t="shared" si="41"/>
        <v>W4</v>
      </c>
      <c r="D770" s="2" t="s">
        <v>759</v>
      </c>
      <c r="E770" s="2" t="s">
        <v>715</v>
      </c>
      <c r="F770" s="2" t="str" cm="1">
        <f t="array" ref="F770">INDEX(_xlfn.TEXTSPLIT(E770,"-"),2)</f>
        <v>女装</v>
      </c>
      <c r="G770" s="2" t="str" cm="1">
        <f t="array" ref="G770">INDEX(_xlfn.TEXTSPLIT(E770,"-"),3)</f>
        <v>毛呢外套</v>
      </c>
      <c r="H770" s="5">
        <v>837387</v>
      </c>
      <c r="I770" s="5">
        <v>310874723.84</v>
      </c>
      <c r="J770" s="6">
        <v>0.0837</v>
      </c>
      <c r="K770" s="6">
        <v>-0.1359</v>
      </c>
    </row>
    <row r="771" ht="14.5" spans="1:11">
      <c r="A771" s="3" t="str">
        <f t="shared" si="39"/>
        <v>2026年</v>
      </c>
      <c r="B771" s="3" t="str">
        <f t="shared" si="40"/>
        <v>1月</v>
      </c>
      <c r="C771" s="4" t="str">
        <f t="shared" si="41"/>
        <v>W4</v>
      </c>
      <c r="D771" s="2" t="s">
        <v>759</v>
      </c>
      <c r="E771" s="2" t="s">
        <v>716</v>
      </c>
      <c r="F771" s="2" t="str" cm="1">
        <f t="array" ref="F771">INDEX(_xlfn.TEXTSPLIT(E771,"-"),2)</f>
        <v>女装</v>
      </c>
      <c r="G771" s="2" t="str" cm="1">
        <f t="array" ref="G771">INDEX(_xlfn.TEXTSPLIT(E771,"-"),3)</f>
        <v>毛衣</v>
      </c>
      <c r="H771" s="5">
        <v>550522</v>
      </c>
      <c r="I771" s="5">
        <v>48991380.15</v>
      </c>
      <c r="J771" s="6">
        <v>0.0132</v>
      </c>
      <c r="K771" s="6">
        <v>-0.1414</v>
      </c>
    </row>
    <row r="772" ht="14.5" spans="1:11">
      <c r="A772" s="3" t="str">
        <f t="shared" si="39"/>
        <v>2026年</v>
      </c>
      <c r="B772" s="3" t="str">
        <f t="shared" si="40"/>
        <v>1月</v>
      </c>
      <c r="C772" s="4" t="str">
        <f t="shared" si="41"/>
        <v>W4</v>
      </c>
      <c r="D772" s="2" t="s">
        <v>759</v>
      </c>
      <c r="E772" s="2" t="s">
        <v>717</v>
      </c>
      <c r="F772" s="2" t="str" cm="1">
        <f t="array" ref="F772">INDEX(_xlfn.TEXTSPLIT(E772,"-"),2)</f>
        <v>女装</v>
      </c>
      <c r="G772" s="2" t="str" cm="1">
        <f t="array" ref="G772">INDEX(_xlfn.TEXTSPLIT(E772,"-"),3)</f>
        <v>毛针织衫</v>
      </c>
      <c r="H772" s="5">
        <v>2242914</v>
      </c>
      <c r="I772" s="5">
        <v>177017474.77</v>
      </c>
      <c r="J772" s="6">
        <v>0.0476</v>
      </c>
      <c r="K772" s="6">
        <v>-0.1556</v>
      </c>
    </row>
    <row r="773" ht="14.5" spans="1:11">
      <c r="A773" s="3" t="str">
        <f t="shared" si="39"/>
        <v>2026年</v>
      </c>
      <c r="B773" s="3" t="str">
        <f t="shared" si="40"/>
        <v>1月</v>
      </c>
      <c r="C773" s="4" t="str">
        <f t="shared" si="41"/>
        <v>W4</v>
      </c>
      <c r="D773" s="2" t="s">
        <v>759</v>
      </c>
      <c r="E773" s="2" t="s">
        <v>718</v>
      </c>
      <c r="F773" s="2" t="str" cm="1">
        <f t="array" ref="F773">INDEX(_xlfn.TEXTSPLIT(E773,"-"),2)</f>
        <v>女装</v>
      </c>
      <c r="G773" s="2" t="str" cm="1">
        <f t="array" ref="G773">INDEX(_xlfn.TEXTSPLIT(E773,"-"),3)</f>
        <v>汉服</v>
      </c>
      <c r="H773" s="5">
        <v>114069</v>
      </c>
      <c r="I773" s="5">
        <v>76348064.65</v>
      </c>
      <c r="J773" s="6">
        <v>0.0205</v>
      </c>
      <c r="K773" s="6">
        <v>-0.391</v>
      </c>
    </row>
    <row r="774" ht="14.5" spans="1:11">
      <c r="A774" s="3" t="str">
        <f t="shared" si="39"/>
        <v>2026年</v>
      </c>
      <c r="B774" s="3" t="str">
        <f t="shared" si="40"/>
        <v>1月</v>
      </c>
      <c r="C774" s="4" t="str">
        <f t="shared" si="41"/>
        <v>W4</v>
      </c>
      <c r="D774" s="2" t="s">
        <v>759</v>
      </c>
      <c r="E774" s="2" t="s">
        <v>719</v>
      </c>
      <c r="F774" s="2" t="str" cm="1">
        <f t="array" ref="F774">INDEX(_xlfn.TEXTSPLIT(E774,"-"),2)</f>
        <v>女装</v>
      </c>
      <c r="G774" s="2" t="str" cm="1">
        <f t="array" ref="G774">INDEX(_xlfn.TEXTSPLIT(E774,"-"),3)</f>
        <v>派克服</v>
      </c>
      <c r="H774" s="5">
        <v>98221</v>
      </c>
      <c r="I774" s="5">
        <v>26622396.4</v>
      </c>
      <c r="J774" s="6">
        <v>0.0072</v>
      </c>
      <c r="K774" s="6">
        <v>0.0369</v>
      </c>
    </row>
    <row r="775" ht="14.5" spans="1:11">
      <c r="A775" s="3" t="str">
        <f t="shared" si="39"/>
        <v>2026年</v>
      </c>
      <c r="B775" s="3" t="str">
        <f t="shared" si="40"/>
        <v>1月</v>
      </c>
      <c r="C775" s="4" t="str">
        <f t="shared" si="41"/>
        <v>W4</v>
      </c>
      <c r="D775" s="2" t="s">
        <v>759</v>
      </c>
      <c r="E775" s="2" t="s">
        <v>720</v>
      </c>
      <c r="F775" s="2" t="str" cm="1">
        <f t="array" ref="F775">INDEX(_xlfn.TEXTSPLIT(E775,"-"),2)</f>
        <v>女装</v>
      </c>
      <c r="G775" s="2" t="str" cm="1">
        <f t="array" ref="G775">INDEX(_xlfn.TEXTSPLIT(E775,"-"),3)</f>
        <v>皮草</v>
      </c>
      <c r="H775" s="5">
        <v>253469</v>
      </c>
      <c r="I775" s="5">
        <v>428228350.61</v>
      </c>
      <c r="J775" s="6">
        <v>0.1153</v>
      </c>
      <c r="K775" s="6">
        <v>-0.2325</v>
      </c>
    </row>
    <row r="776" ht="14.5" spans="1:11">
      <c r="A776" s="3" t="str">
        <f t="shared" si="39"/>
        <v>2026年</v>
      </c>
      <c r="B776" s="3" t="str">
        <f t="shared" si="40"/>
        <v>1月</v>
      </c>
      <c r="C776" s="4" t="str">
        <f t="shared" si="41"/>
        <v>W4</v>
      </c>
      <c r="D776" s="2" t="s">
        <v>759</v>
      </c>
      <c r="E776" s="2" t="s">
        <v>721</v>
      </c>
      <c r="F776" s="2" t="str" cm="1">
        <f t="array" ref="F776">INDEX(_xlfn.TEXTSPLIT(E776,"-"),2)</f>
        <v>女装</v>
      </c>
      <c r="G776" s="2" t="str" cm="1">
        <f t="array" ref="G776">INDEX(_xlfn.TEXTSPLIT(E776,"-"),3)</f>
        <v>皮衣</v>
      </c>
      <c r="H776" s="5">
        <v>119562</v>
      </c>
      <c r="I776" s="5">
        <v>41372631.34</v>
      </c>
      <c r="J776" s="6">
        <v>0.0111</v>
      </c>
      <c r="K776" s="6">
        <v>-0.2965</v>
      </c>
    </row>
    <row r="777" ht="14.5" spans="1:11">
      <c r="A777" s="3" t="str">
        <f t="shared" si="39"/>
        <v>2026年</v>
      </c>
      <c r="B777" s="3" t="str">
        <f t="shared" si="40"/>
        <v>1月</v>
      </c>
      <c r="C777" s="4" t="str">
        <f t="shared" si="41"/>
        <v>W4</v>
      </c>
      <c r="D777" s="2" t="s">
        <v>759</v>
      </c>
      <c r="E777" s="2" t="s">
        <v>722</v>
      </c>
      <c r="F777" s="2" t="str" cm="1">
        <f t="array" ref="F777">INDEX(_xlfn.TEXTSPLIT(E777,"-"),2)</f>
        <v>女装</v>
      </c>
      <c r="G777" s="2" t="str" cm="1">
        <f t="array" ref="G777">INDEX(_xlfn.TEXTSPLIT(E777,"-"),3)</f>
        <v>短外套</v>
      </c>
      <c r="H777" s="5">
        <v>1350349</v>
      </c>
      <c r="I777" s="5">
        <v>277025284.37</v>
      </c>
      <c r="J777" s="6">
        <v>0.0746</v>
      </c>
      <c r="K777" s="6">
        <v>-0.1717</v>
      </c>
    </row>
    <row r="778" ht="14.5" spans="1:11">
      <c r="A778" s="3" t="str">
        <f t="shared" si="39"/>
        <v>2026年</v>
      </c>
      <c r="B778" s="3" t="str">
        <f t="shared" si="40"/>
        <v>1月</v>
      </c>
      <c r="C778" s="4" t="str">
        <f t="shared" si="41"/>
        <v>W4</v>
      </c>
      <c r="D778" s="2" t="s">
        <v>759</v>
      </c>
      <c r="E778" s="2" t="s">
        <v>723</v>
      </c>
      <c r="F778" s="2" t="str" cm="1">
        <f t="array" ref="F778">INDEX(_xlfn.TEXTSPLIT(E778,"-"),2)</f>
        <v>女装</v>
      </c>
      <c r="G778" s="2" t="str" cm="1">
        <f t="array" ref="G778">INDEX(_xlfn.TEXTSPLIT(E778,"-"),3)</f>
        <v>短裤</v>
      </c>
      <c r="H778" s="5">
        <v>109983</v>
      </c>
      <c r="I778" s="5">
        <v>6124569.65</v>
      </c>
      <c r="J778" s="6">
        <v>0.0016</v>
      </c>
      <c r="K778" s="6">
        <v>-0.2971</v>
      </c>
    </row>
    <row r="779" ht="14.5" spans="1:11">
      <c r="A779" s="3" t="str">
        <f t="shared" si="39"/>
        <v>2026年</v>
      </c>
      <c r="B779" s="3" t="str">
        <f t="shared" si="40"/>
        <v>1月</v>
      </c>
      <c r="C779" s="4" t="str">
        <f t="shared" si="41"/>
        <v>W4</v>
      </c>
      <c r="D779" s="2" t="s">
        <v>759</v>
      </c>
      <c r="E779" s="2" t="s">
        <v>724</v>
      </c>
      <c r="F779" s="2" t="str" cm="1">
        <f t="array" ref="F779">INDEX(_xlfn.TEXTSPLIT(E779,"-"),2)</f>
        <v>女装</v>
      </c>
      <c r="G779" s="2" t="str" cm="1">
        <f t="array" ref="G779">INDEX(_xlfn.TEXTSPLIT(E779,"-"),3)</f>
        <v>羊毛衫</v>
      </c>
      <c r="H779" s="5">
        <v>503358</v>
      </c>
      <c r="I779" s="5">
        <v>62977660.41</v>
      </c>
      <c r="J779" s="6">
        <v>0.0169</v>
      </c>
      <c r="K779" s="6">
        <v>-0.1669</v>
      </c>
    </row>
    <row r="780" ht="14.5" spans="1:11">
      <c r="A780" s="3" t="str">
        <f t="shared" si="39"/>
        <v>2026年</v>
      </c>
      <c r="B780" s="3" t="str">
        <f t="shared" si="40"/>
        <v>1月</v>
      </c>
      <c r="C780" s="4" t="str">
        <f t="shared" si="41"/>
        <v>W4</v>
      </c>
      <c r="D780" s="2" t="s">
        <v>759</v>
      </c>
      <c r="E780" s="2" t="s">
        <v>725</v>
      </c>
      <c r="F780" s="2" t="str" cm="1">
        <f t="array" ref="F780">INDEX(_xlfn.TEXTSPLIT(E780,"-"),2)</f>
        <v>女装</v>
      </c>
      <c r="G780" s="2" t="str" cm="1">
        <f t="array" ref="G780">INDEX(_xlfn.TEXTSPLIT(E780,"-"),3)</f>
        <v>羊绒大衣</v>
      </c>
      <c r="H780" s="5">
        <v>6284</v>
      </c>
      <c r="I780" s="5">
        <v>3508154.45</v>
      </c>
      <c r="J780" s="6">
        <v>0.0009</v>
      </c>
      <c r="K780" s="6">
        <v>-0.0139</v>
      </c>
    </row>
    <row r="781" ht="14.5" spans="1:11">
      <c r="A781" s="3" t="str">
        <f t="shared" si="39"/>
        <v>2026年</v>
      </c>
      <c r="B781" s="3" t="str">
        <f t="shared" si="40"/>
        <v>1月</v>
      </c>
      <c r="C781" s="4" t="str">
        <f t="shared" si="41"/>
        <v>W4</v>
      </c>
      <c r="D781" s="2" t="s">
        <v>759</v>
      </c>
      <c r="E781" s="2" t="s">
        <v>726</v>
      </c>
      <c r="F781" s="2" t="str" cm="1">
        <f t="array" ref="F781">INDEX(_xlfn.TEXTSPLIT(E781,"-"),2)</f>
        <v>女装</v>
      </c>
      <c r="G781" s="2" t="str" cm="1">
        <f t="array" ref="G781">INDEX(_xlfn.TEXTSPLIT(E781,"-"),3)</f>
        <v>羊绒衫</v>
      </c>
      <c r="H781" s="5">
        <v>147716</v>
      </c>
      <c r="I781" s="5">
        <v>44440385.82</v>
      </c>
      <c r="J781" s="6">
        <v>0.012</v>
      </c>
      <c r="K781" s="6">
        <v>-0.2558</v>
      </c>
    </row>
    <row r="782" ht="14.5" spans="1:11">
      <c r="A782" s="3" t="str">
        <f t="shared" si="39"/>
        <v>2026年</v>
      </c>
      <c r="B782" s="3" t="str">
        <f t="shared" si="40"/>
        <v>1月</v>
      </c>
      <c r="C782" s="4" t="str">
        <f t="shared" si="41"/>
        <v>W4</v>
      </c>
      <c r="D782" s="2" t="s">
        <v>759</v>
      </c>
      <c r="E782" s="2" t="s">
        <v>727</v>
      </c>
      <c r="F782" s="2" t="str" cm="1">
        <f t="array" ref="F782">INDEX(_xlfn.TEXTSPLIT(E782,"-"),2)</f>
        <v>女装</v>
      </c>
      <c r="G782" s="2" t="str" cm="1">
        <f t="array" ref="G782">INDEX(_xlfn.TEXTSPLIT(E782,"-"),3)</f>
        <v>羽绒服</v>
      </c>
      <c r="H782" s="5">
        <v>2195491</v>
      </c>
      <c r="I782" s="5">
        <v>895662168.72</v>
      </c>
      <c r="J782" s="6">
        <v>0.2411</v>
      </c>
      <c r="K782" s="6">
        <v>-0.1272</v>
      </c>
    </row>
    <row r="783" ht="14.5" spans="1:11">
      <c r="A783" s="3" t="str">
        <f t="shared" si="39"/>
        <v>2026年</v>
      </c>
      <c r="B783" s="3" t="str">
        <f t="shared" si="40"/>
        <v>1月</v>
      </c>
      <c r="C783" s="4" t="str">
        <f t="shared" si="41"/>
        <v>W4</v>
      </c>
      <c r="D783" s="2" t="s">
        <v>759</v>
      </c>
      <c r="E783" s="2" t="s">
        <v>728</v>
      </c>
      <c r="F783" s="2" t="str" cm="1">
        <f t="array" ref="F783">INDEX(_xlfn.TEXTSPLIT(E783,"-"),2)</f>
        <v>女装</v>
      </c>
      <c r="G783" s="2" t="str" cm="1">
        <f t="array" ref="G783">INDEX(_xlfn.TEXTSPLIT(E783,"-"),3)</f>
        <v>肌底衣/肌肤衣</v>
      </c>
      <c r="H783" s="5">
        <v>5193</v>
      </c>
      <c r="I783" s="5">
        <v>315694.42</v>
      </c>
      <c r="J783" s="6">
        <v>0.0001</v>
      </c>
      <c r="K783" s="6">
        <v>0.211</v>
      </c>
    </row>
    <row r="784" ht="14.5" spans="1:11">
      <c r="A784" s="3" t="str">
        <f t="shared" si="39"/>
        <v>2026年</v>
      </c>
      <c r="B784" s="3" t="str">
        <f t="shared" si="40"/>
        <v>1月</v>
      </c>
      <c r="C784" s="4" t="str">
        <f t="shared" si="41"/>
        <v>W4</v>
      </c>
      <c r="D784" s="2" t="s">
        <v>759</v>
      </c>
      <c r="E784" s="2" t="s">
        <v>729</v>
      </c>
      <c r="F784" s="2" t="str" cm="1">
        <f t="array" ref="F784">INDEX(_xlfn.TEXTSPLIT(E784,"-"),2)</f>
        <v>女装</v>
      </c>
      <c r="G784" s="2" t="str" cm="1">
        <f t="array" ref="G784">INDEX(_xlfn.TEXTSPLIT(E784,"-"),3)</f>
        <v>背心吊带</v>
      </c>
      <c r="H784" s="5">
        <v>206009</v>
      </c>
      <c r="I784" s="5">
        <v>10724922.49</v>
      </c>
      <c r="J784" s="6">
        <v>0.0029</v>
      </c>
      <c r="K784" s="6">
        <v>-0.1802</v>
      </c>
    </row>
    <row r="785" ht="14.5" spans="1:11">
      <c r="A785" s="3" t="str">
        <f t="shared" si="39"/>
        <v>2026年</v>
      </c>
      <c r="B785" s="3" t="str">
        <f t="shared" si="40"/>
        <v>1月</v>
      </c>
      <c r="C785" s="4" t="str">
        <f t="shared" si="41"/>
        <v>W4</v>
      </c>
      <c r="D785" s="2" t="s">
        <v>759</v>
      </c>
      <c r="E785" s="2" t="s">
        <v>730</v>
      </c>
      <c r="F785" s="2" t="str" cm="1">
        <f t="array" ref="F785">INDEX(_xlfn.TEXTSPLIT(E785,"-"),2)</f>
        <v>女装</v>
      </c>
      <c r="G785" s="2" t="str" cm="1">
        <f t="array" ref="G785">INDEX(_xlfn.TEXTSPLIT(E785,"-"),3)</f>
        <v>蕾丝衫/雪纺衫</v>
      </c>
      <c r="H785" s="5">
        <v>161756</v>
      </c>
      <c r="I785" s="5">
        <v>10869865.28</v>
      </c>
      <c r="J785" s="6">
        <v>0.0029</v>
      </c>
      <c r="K785" s="6">
        <v>-0.1536</v>
      </c>
    </row>
    <row r="786" ht="14.5" spans="1:11">
      <c r="A786" s="3" t="str">
        <f t="shared" ref="A786:A817" si="42">TEXT(YEAR(D786),"0")&amp;"年"</f>
        <v>2026年</v>
      </c>
      <c r="B786" s="3" t="str">
        <f t="shared" ref="B786:B817" si="43">TEXT(MONTH(D786),"0")&amp;"月"</f>
        <v>1月</v>
      </c>
      <c r="C786" s="4" t="str">
        <f t="shared" ref="C786:C817" si="44">"W"&amp;TEXT(WEEKNUM(D786,2),"0")</f>
        <v>W4</v>
      </c>
      <c r="D786" s="2" t="s">
        <v>759</v>
      </c>
      <c r="E786" s="2" t="s">
        <v>731</v>
      </c>
      <c r="F786" s="2" t="str" cm="1">
        <f t="array" ref="F786">INDEX(_xlfn.TEXTSPLIT(E786,"-"),2)</f>
        <v>女装</v>
      </c>
      <c r="G786" s="2" t="str" cm="1">
        <f t="array" ref="G786">INDEX(_xlfn.TEXTSPLIT(E786,"-"),3)</f>
        <v>衬衫</v>
      </c>
      <c r="H786" s="5">
        <v>412918</v>
      </c>
      <c r="I786" s="5">
        <v>45806870.87</v>
      </c>
      <c r="J786" s="6">
        <v>0.0123</v>
      </c>
      <c r="K786" s="6">
        <v>-0.1468</v>
      </c>
    </row>
    <row r="787" ht="14.5" spans="1:11">
      <c r="A787" s="3" t="str">
        <f t="shared" si="42"/>
        <v>2026年</v>
      </c>
      <c r="B787" s="3" t="str">
        <f t="shared" si="43"/>
        <v>1月</v>
      </c>
      <c r="C787" s="4" t="str">
        <f t="shared" si="44"/>
        <v>W4</v>
      </c>
      <c r="D787" s="2" t="s">
        <v>759</v>
      </c>
      <c r="E787" s="2" t="s">
        <v>732</v>
      </c>
      <c r="F787" s="2" t="str" cm="1">
        <f t="array" ref="F787">INDEX(_xlfn.TEXTSPLIT(E787,"-"),2)</f>
        <v>女装</v>
      </c>
      <c r="G787" s="2" t="str" cm="1">
        <f t="array" ref="G787">INDEX(_xlfn.TEXTSPLIT(E787,"-"),3)</f>
        <v>裤子</v>
      </c>
      <c r="H787" s="5">
        <v>4801415</v>
      </c>
      <c r="I787" s="5">
        <v>431952889.97</v>
      </c>
      <c r="J787" s="6">
        <v>0.1163</v>
      </c>
      <c r="K787" s="6">
        <v>-0.1382</v>
      </c>
    </row>
    <row r="788" ht="14.5" spans="1:11">
      <c r="A788" s="3" t="str">
        <f t="shared" si="42"/>
        <v>2026年</v>
      </c>
      <c r="B788" s="3" t="str">
        <f t="shared" si="43"/>
        <v>1月</v>
      </c>
      <c r="C788" s="4" t="str">
        <f t="shared" si="44"/>
        <v>W4</v>
      </c>
      <c r="D788" s="2" t="s">
        <v>759</v>
      </c>
      <c r="E788" s="2" t="s">
        <v>733</v>
      </c>
      <c r="F788" s="2" t="str" cm="1">
        <f t="array" ref="F788">INDEX(_xlfn.TEXTSPLIT(E788,"-"),2)</f>
        <v>女装</v>
      </c>
      <c r="G788" s="2" t="str" cm="1">
        <f t="array" ref="G788">INDEX(_xlfn.TEXTSPLIT(E788,"-"),3)</f>
        <v>西装</v>
      </c>
      <c r="H788" s="5">
        <v>41306</v>
      </c>
      <c r="I788" s="5">
        <v>12497382.69</v>
      </c>
      <c r="J788" s="6">
        <v>0.0034</v>
      </c>
      <c r="K788" s="6">
        <v>-0.1278</v>
      </c>
    </row>
    <row r="789" ht="14.5" spans="1:11">
      <c r="A789" s="3" t="str">
        <f t="shared" si="42"/>
        <v>2026年</v>
      </c>
      <c r="B789" s="3" t="str">
        <f t="shared" si="43"/>
        <v>1月</v>
      </c>
      <c r="C789" s="4" t="str">
        <f t="shared" si="44"/>
        <v>W4</v>
      </c>
      <c r="D789" s="2" t="s">
        <v>759</v>
      </c>
      <c r="E789" s="2" t="s">
        <v>734</v>
      </c>
      <c r="F789" s="2" t="str" cm="1">
        <f t="array" ref="F789">INDEX(_xlfn.TEXTSPLIT(E789,"-"),2)</f>
        <v>女装</v>
      </c>
      <c r="G789" s="2" t="str" cm="1">
        <f t="array" ref="G789">INDEX(_xlfn.TEXTSPLIT(E789,"-"),3)</f>
        <v>设计师/潮牌女装</v>
      </c>
      <c r="H789" s="5">
        <v>569353</v>
      </c>
      <c r="I789" s="5">
        <v>65703152.06</v>
      </c>
      <c r="J789" s="6">
        <v>0.0177</v>
      </c>
      <c r="K789" s="6">
        <v>-0.065</v>
      </c>
    </row>
    <row r="790" ht="14.5" spans="1:11">
      <c r="A790" s="3" t="str">
        <f t="shared" si="42"/>
        <v>2026年</v>
      </c>
      <c r="B790" s="3" t="str">
        <f t="shared" si="43"/>
        <v>1月</v>
      </c>
      <c r="C790" s="4" t="str">
        <f t="shared" si="44"/>
        <v>W4</v>
      </c>
      <c r="D790" s="2" t="s">
        <v>759</v>
      </c>
      <c r="E790" s="2" t="s">
        <v>735</v>
      </c>
      <c r="F790" s="2" t="str" cm="1">
        <f t="array" ref="F790">INDEX(_xlfn.TEXTSPLIT(E790,"-"),2)</f>
        <v>女装</v>
      </c>
      <c r="G790" s="2" t="str" cm="1">
        <f t="array" ref="G790">INDEX(_xlfn.TEXTSPLIT(E790,"-"),3)</f>
        <v>连体衣/裤</v>
      </c>
      <c r="H790" s="5">
        <v>10525</v>
      </c>
      <c r="I790" s="5">
        <v>1655775.52</v>
      </c>
      <c r="J790" s="6">
        <v>0.0004</v>
      </c>
      <c r="K790" s="6">
        <v>-0.1626</v>
      </c>
    </row>
    <row r="791" ht="14.5" spans="1:11">
      <c r="A791" s="3" t="str">
        <f t="shared" si="42"/>
        <v>2026年</v>
      </c>
      <c r="B791" s="3" t="str">
        <f t="shared" si="43"/>
        <v>1月</v>
      </c>
      <c r="C791" s="4" t="str">
        <f t="shared" si="44"/>
        <v>W4</v>
      </c>
      <c r="D791" s="2" t="s">
        <v>759</v>
      </c>
      <c r="E791" s="2" t="s">
        <v>736</v>
      </c>
      <c r="F791" s="2" t="str" cm="1">
        <f t="array" ref="F791">INDEX(_xlfn.TEXTSPLIT(E791,"-"),2)</f>
        <v>女装</v>
      </c>
      <c r="G791" s="2" t="str" cm="1">
        <f t="array" ref="G791">INDEX(_xlfn.TEXTSPLIT(E791,"-"),3)</f>
        <v>连衣裙</v>
      </c>
      <c r="H791" s="5">
        <v>763748</v>
      </c>
      <c r="I791" s="5">
        <v>99248783.86</v>
      </c>
      <c r="J791" s="6">
        <v>0.0267</v>
      </c>
      <c r="K791" s="6">
        <v>-0.059</v>
      </c>
    </row>
    <row r="792" ht="14.5" spans="1:11">
      <c r="A792" s="3" t="str">
        <f t="shared" si="42"/>
        <v>2026年</v>
      </c>
      <c r="B792" s="3" t="str">
        <f t="shared" si="43"/>
        <v>1月</v>
      </c>
      <c r="C792" s="4" t="str">
        <f t="shared" si="44"/>
        <v>W4</v>
      </c>
      <c r="D792" s="2" t="s">
        <v>759</v>
      </c>
      <c r="E792" s="2" t="s">
        <v>737</v>
      </c>
      <c r="F792" s="2" t="str" cm="1">
        <f t="array" ref="F792">INDEX(_xlfn.TEXTSPLIT(E792,"-"),2)</f>
        <v>女装</v>
      </c>
      <c r="G792" s="2" t="str" cm="1">
        <f t="array" ref="G792">INDEX(_xlfn.TEXTSPLIT(E792,"-"),3)</f>
        <v>风衣</v>
      </c>
      <c r="H792" s="5">
        <v>113918</v>
      </c>
      <c r="I792" s="5">
        <v>15071269.72</v>
      </c>
      <c r="J792" s="6">
        <v>0.0041</v>
      </c>
      <c r="K792" s="6">
        <v>-0.1841</v>
      </c>
    </row>
    <row r="793" ht="14.5" spans="1:11">
      <c r="A793" s="3" t="str">
        <f t="shared" si="42"/>
        <v>2026年</v>
      </c>
      <c r="B793" s="3" t="str">
        <f t="shared" si="43"/>
        <v>1月</v>
      </c>
      <c r="C793" s="4" t="str">
        <f t="shared" si="44"/>
        <v>W4</v>
      </c>
      <c r="D793" s="2" t="s">
        <v>759</v>
      </c>
      <c r="E793" s="2" t="s">
        <v>738</v>
      </c>
      <c r="F793" s="2" t="str" cm="1">
        <f t="array" ref="F793">INDEX(_xlfn.TEXTSPLIT(E793,"-"),2)</f>
        <v>女装</v>
      </c>
      <c r="G793" s="2" t="str" cm="1">
        <f t="array" ref="G793">INDEX(_xlfn.TEXTSPLIT(E793,"-"),3)</f>
        <v>马夹</v>
      </c>
      <c r="H793" s="5">
        <v>392963</v>
      </c>
      <c r="I793" s="5">
        <v>43268601.14</v>
      </c>
      <c r="J793" s="6">
        <v>0.0116</v>
      </c>
      <c r="K793" s="6">
        <v>-0.0964</v>
      </c>
    </row>
    <row r="794" ht="14.5" spans="1:11">
      <c r="A794" s="3" t="str">
        <f t="shared" si="42"/>
        <v>2026年</v>
      </c>
      <c r="B794" s="3" t="str">
        <f t="shared" si="43"/>
        <v>1月</v>
      </c>
      <c r="C794" s="4" t="str">
        <f t="shared" si="44"/>
        <v>W4</v>
      </c>
      <c r="D794" s="2" t="s">
        <v>760</v>
      </c>
      <c r="E794" s="2" t="s">
        <v>702</v>
      </c>
      <c r="F794" s="2" t="str" cm="1">
        <f t="array" ref="F794">INDEX(_xlfn.TEXTSPLIT(E794,"-"),2)</f>
        <v>女装</v>
      </c>
      <c r="G794" s="2" t="str" cm="1">
        <f t="array" ref="G794">INDEX(_xlfn.TEXTSPLIT(E794,"-"),3)</f>
        <v>POLO衫</v>
      </c>
      <c r="H794" s="5">
        <v>14073</v>
      </c>
      <c r="I794" s="5">
        <v>810730.36</v>
      </c>
      <c r="J794" s="6">
        <v>0.0002</v>
      </c>
      <c r="K794" s="6">
        <v>-0.2226</v>
      </c>
    </row>
    <row r="795" ht="14.5" spans="1:11">
      <c r="A795" s="3" t="str">
        <f t="shared" si="42"/>
        <v>2026年</v>
      </c>
      <c r="B795" s="3" t="str">
        <f t="shared" si="43"/>
        <v>1月</v>
      </c>
      <c r="C795" s="4" t="str">
        <f t="shared" si="44"/>
        <v>W4</v>
      </c>
      <c r="D795" s="2" t="s">
        <v>760</v>
      </c>
      <c r="E795" s="2" t="s">
        <v>703</v>
      </c>
      <c r="F795" s="2" t="str" cm="1">
        <f t="array" ref="F795">INDEX(_xlfn.TEXTSPLIT(E795,"-"),2)</f>
        <v>女装</v>
      </c>
      <c r="G795" s="2" t="str" cm="1">
        <f t="array" ref="G795">INDEX(_xlfn.TEXTSPLIT(E795,"-"),3)</f>
        <v>T恤</v>
      </c>
      <c r="H795" s="5">
        <v>1374347</v>
      </c>
      <c r="I795" s="5">
        <v>79017555.2</v>
      </c>
      <c r="J795" s="6">
        <v>0.0215</v>
      </c>
      <c r="K795" s="6">
        <v>0.0844</v>
      </c>
    </row>
    <row r="796" ht="14.5" spans="1:11">
      <c r="A796" s="3" t="str">
        <f t="shared" si="42"/>
        <v>2026年</v>
      </c>
      <c r="B796" s="3" t="str">
        <f t="shared" si="43"/>
        <v>1月</v>
      </c>
      <c r="C796" s="4" t="str">
        <f t="shared" si="44"/>
        <v>W4</v>
      </c>
      <c r="D796" s="2" t="s">
        <v>760</v>
      </c>
      <c r="E796" s="2" t="s">
        <v>704</v>
      </c>
      <c r="F796" s="2" t="str" cm="1">
        <f t="array" ref="F796">INDEX(_xlfn.TEXTSPLIT(E796,"-"),2)</f>
        <v>女装</v>
      </c>
      <c r="G796" s="2" t="str" cm="1">
        <f t="array" ref="G796">INDEX(_xlfn.TEXTSPLIT(E796,"-"),3)</f>
        <v>中老年女装</v>
      </c>
      <c r="H796" s="5">
        <v>546142</v>
      </c>
      <c r="I796" s="5">
        <v>65971252.7</v>
      </c>
      <c r="J796" s="6">
        <v>0.018</v>
      </c>
      <c r="K796" s="6">
        <v>0.009</v>
      </c>
    </row>
    <row r="797" ht="14.5" spans="1:11">
      <c r="A797" s="3" t="str">
        <f t="shared" si="42"/>
        <v>2026年</v>
      </c>
      <c r="B797" s="3" t="str">
        <f t="shared" si="43"/>
        <v>1月</v>
      </c>
      <c r="C797" s="4" t="str">
        <f t="shared" si="44"/>
        <v>W4</v>
      </c>
      <c r="D797" s="2" t="s">
        <v>760</v>
      </c>
      <c r="E797" s="2" t="s">
        <v>705</v>
      </c>
      <c r="F797" s="2" t="str" cm="1">
        <f t="array" ref="F797">INDEX(_xlfn.TEXTSPLIT(E797,"-"),2)</f>
        <v>女装</v>
      </c>
      <c r="G797" s="2" t="str" cm="1">
        <f t="array" ref="G797">INDEX(_xlfn.TEXTSPLIT(E797,"-"),3)</f>
        <v>半身裙</v>
      </c>
      <c r="H797" s="5">
        <v>691539</v>
      </c>
      <c r="I797" s="5">
        <v>60966965.01</v>
      </c>
      <c r="J797" s="6">
        <v>0.0166</v>
      </c>
      <c r="K797" s="6">
        <v>0.0052</v>
      </c>
    </row>
    <row r="798" ht="14.5" spans="1:11">
      <c r="A798" s="3" t="str">
        <f t="shared" si="42"/>
        <v>2026年</v>
      </c>
      <c r="B798" s="3" t="str">
        <f t="shared" si="43"/>
        <v>1月</v>
      </c>
      <c r="C798" s="4" t="str">
        <f t="shared" si="44"/>
        <v>W4</v>
      </c>
      <c r="D798" s="2" t="s">
        <v>760</v>
      </c>
      <c r="E798" s="2" t="s">
        <v>706</v>
      </c>
      <c r="F798" s="2" t="str" cm="1">
        <f t="array" ref="F798">INDEX(_xlfn.TEXTSPLIT(E798,"-"),2)</f>
        <v>女装</v>
      </c>
      <c r="G798" s="2" t="str" cm="1">
        <f t="array" ref="G798">INDEX(_xlfn.TEXTSPLIT(E798,"-"),3)</f>
        <v>卫衣/绒衫</v>
      </c>
      <c r="H798" s="5">
        <v>457081</v>
      </c>
      <c r="I798" s="5">
        <v>33307625.13</v>
      </c>
      <c r="J798" s="6">
        <v>0.0091</v>
      </c>
      <c r="K798" s="6">
        <v>-0.0758</v>
      </c>
    </row>
    <row r="799" ht="14.5" spans="1:11">
      <c r="A799" s="3" t="str">
        <f t="shared" si="42"/>
        <v>2026年</v>
      </c>
      <c r="B799" s="3" t="str">
        <f t="shared" si="43"/>
        <v>1月</v>
      </c>
      <c r="C799" s="4" t="str">
        <f t="shared" si="44"/>
        <v>W4</v>
      </c>
      <c r="D799" s="2" t="s">
        <v>760</v>
      </c>
      <c r="E799" s="2" t="s">
        <v>707</v>
      </c>
      <c r="F799" s="2" t="str" cm="1">
        <f t="array" ref="F799">INDEX(_xlfn.TEXTSPLIT(E799,"-"),2)</f>
        <v>女装</v>
      </c>
      <c r="G799" s="2" t="str" cm="1">
        <f t="array" ref="G799">INDEX(_xlfn.TEXTSPLIT(E799,"-"),3)</f>
        <v>唐装/民族服装/舞台服装</v>
      </c>
      <c r="H799" s="5">
        <v>212551</v>
      </c>
      <c r="I799" s="5">
        <v>41664137.15</v>
      </c>
      <c r="J799" s="6">
        <v>0.0114</v>
      </c>
      <c r="K799" s="6">
        <v>0.049</v>
      </c>
    </row>
    <row r="800" ht="14.5" spans="1:11">
      <c r="A800" s="3" t="str">
        <f t="shared" si="42"/>
        <v>2026年</v>
      </c>
      <c r="B800" s="3" t="str">
        <f t="shared" si="43"/>
        <v>1月</v>
      </c>
      <c r="C800" s="4" t="str">
        <f t="shared" si="44"/>
        <v>W4</v>
      </c>
      <c r="D800" s="2" t="s">
        <v>760</v>
      </c>
      <c r="E800" s="2" t="s">
        <v>708</v>
      </c>
      <c r="F800" s="2" t="str" cm="1">
        <f t="array" ref="F800">INDEX(_xlfn.TEXTSPLIT(E800,"-"),2)</f>
        <v>女装</v>
      </c>
      <c r="G800" s="2" t="str" cm="1">
        <f t="array" ref="G800">INDEX(_xlfn.TEXTSPLIT(E800,"-"),3)</f>
        <v>大码女装</v>
      </c>
      <c r="H800" s="5">
        <v>712878</v>
      </c>
      <c r="I800" s="5">
        <v>67797675.91</v>
      </c>
      <c r="J800" s="6">
        <v>0.0185</v>
      </c>
      <c r="K800" s="6">
        <v>0.0692</v>
      </c>
    </row>
    <row r="801" ht="14.5" spans="1:11">
      <c r="A801" s="3" t="str">
        <f t="shared" si="42"/>
        <v>2026年</v>
      </c>
      <c r="B801" s="3" t="str">
        <f t="shared" si="43"/>
        <v>1月</v>
      </c>
      <c r="C801" s="4" t="str">
        <f t="shared" si="44"/>
        <v>W4</v>
      </c>
      <c r="D801" s="2" t="s">
        <v>760</v>
      </c>
      <c r="E801" s="2" t="s">
        <v>709</v>
      </c>
      <c r="F801" s="2" t="str" cm="1">
        <f t="array" ref="F801">INDEX(_xlfn.TEXTSPLIT(E801,"-"),2)</f>
        <v>女装</v>
      </c>
      <c r="G801" s="2" t="str" cm="1">
        <f t="array" ref="G801">INDEX(_xlfn.TEXTSPLIT(E801,"-"),3)</f>
        <v>套装/学生校服/工作制服</v>
      </c>
      <c r="H801" s="5">
        <v>968036</v>
      </c>
      <c r="I801" s="5">
        <v>129379685.19</v>
      </c>
      <c r="J801" s="6">
        <v>0.0353</v>
      </c>
      <c r="K801" s="6">
        <v>0.053</v>
      </c>
    </row>
    <row r="802" ht="14.5" spans="1:11">
      <c r="A802" s="3" t="str">
        <f t="shared" si="42"/>
        <v>2026年</v>
      </c>
      <c r="B802" s="3" t="str">
        <f t="shared" si="43"/>
        <v>1月</v>
      </c>
      <c r="C802" s="4" t="str">
        <f t="shared" si="44"/>
        <v>W4</v>
      </c>
      <c r="D802" s="2" t="s">
        <v>760</v>
      </c>
      <c r="E802" s="2" t="s">
        <v>710</v>
      </c>
      <c r="F802" s="2" t="str" cm="1">
        <f t="array" ref="F802">INDEX(_xlfn.TEXTSPLIT(E802,"-"),2)</f>
        <v>女装</v>
      </c>
      <c r="G802" s="2" t="str" cm="1">
        <f t="array" ref="G802">INDEX(_xlfn.TEXTSPLIT(E802,"-"),3)</f>
        <v>婚纱/旗袍/礼服</v>
      </c>
      <c r="H802" s="5">
        <v>58616</v>
      </c>
      <c r="I802" s="5">
        <v>9968197.86</v>
      </c>
      <c r="J802" s="6">
        <v>0.0027</v>
      </c>
      <c r="K802" s="6">
        <v>0.0178</v>
      </c>
    </row>
    <row r="803" ht="14.5" spans="1:11">
      <c r="A803" s="3" t="str">
        <f t="shared" si="42"/>
        <v>2026年</v>
      </c>
      <c r="B803" s="3" t="str">
        <f t="shared" si="43"/>
        <v>1月</v>
      </c>
      <c r="C803" s="4" t="str">
        <f t="shared" si="44"/>
        <v>W4</v>
      </c>
      <c r="D803" s="2" t="s">
        <v>760</v>
      </c>
      <c r="E803" s="2" t="s">
        <v>711</v>
      </c>
      <c r="F803" s="2" t="str" cm="1">
        <f t="array" ref="F803">INDEX(_xlfn.TEXTSPLIT(E803,"-"),2)</f>
        <v>女装</v>
      </c>
      <c r="G803" s="2" t="str" cm="1">
        <f t="array" ref="G803">INDEX(_xlfn.TEXTSPLIT(E803,"-"),3)</f>
        <v>新中式女装</v>
      </c>
      <c r="H803" s="5">
        <v>91158</v>
      </c>
      <c r="I803" s="5">
        <v>12036617.84</v>
      </c>
      <c r="J803" s="6">
        <v>0.0033</v>
      </c>
      <c r="K803" s="6">
        <v>0.2586</v>
      </c>
    </row>
    <row r="804" ht="14.5" spans="1:11">
      <c r="A804" s="3" t="str">
        <f t="shared" si="42"/>
        <v>2026年</v>
      </c>
      <c r="B804" s="3" t="str">
        <f t="shared" si="43"/>
        <v>1月</v>
      </c>
      <c r="C804" s="4" t="str">
        <f t="shared" si="44"/>
        <v>W4</v>
      </c>
      <c r="D804" s="2" t="s">
        <v>760</v>
      </c>
      <c r="E804" s="2" t="s">
        <v>712</v>
      </c>
      <c r="F804" s="2" t="str" cm="1">
        <f t="array" ref="F804">INDEX(_xlfn.TEXTSPLIT(E804,"-"),2)</f>
        <v>女装</v>
      </c>
      <c r="G804" s="2" t="str" cm="1">
        <f t="array" ref="G804">INDEX(_xlfn.TEXTSPLIT(E804,"-"),3)</f>
        <v>时尚防晒服</v>
      </c>
      <c r="H804" s="5">
        <v>162</v>
      </c>
      <c r="I804" s="5">
        <v>15581.44</v>
      </c>
      <c r="J804" s="2" t="s">
        <v>713</v>
      </c>
      <c r="K804" s="6">
        <v>0.0664</v>
      </c>
    </row>
    <row r="805" ht="14.5" spans="1:11">
      <c r="A805" s="3" t="str">
        <f t="shared" si="42"/>
        <v>2026年</v>
      </c>
      <c r="B805" s="3" t="str">
        <f t="shared" si="43"/>
        <v>1月</v>
      </c>
      <c r="C805" s="4" t="str">
        <f t="shared" si="44"/>
        <v>W4</v>
      </c>
      <c r="D805" s="2" t="s">
        <v>760</v>
      </c>
      <c r="E805" s="2" t="s">
        <v>714</v>
      </c>
      <c r="F805" s="2" t="str" cm="1">
        <f t="array" ref="F805">INDEX(_xlfn.TEXTSPLIT(E805,"-"),2)</f>
        <v>女装</v>
      </c>
      <c r="G805" s="2" t="str" cm="1">
        <f t="array" ref="G805">INDEX(_xlfn.TEXTSPLIT(E805,"-"),3)</f>
        <v>棉衣/棉服</v>
      </c>
      <c r="H805" s="5">
        <v>884620</v>
      </c>
      <c r="I805" s="5">
        <v>97082051.08</v>
      </c>
      <c r="J805" s="6">
        <v>0.0265</v>
      </c>
      <c r="K805" s="6">
        <v>-0.0084</v>
      </c>
    </row>
    <row r="806" ht="14.5" spans="1:11">
      <c r="A806" s="3" t="str">
        <f t="shared" si="42"/>
        <v>2026年</v>
      </c>
      <c r="B806" s="3" t="str">
        <f t="shared" si="43"/>
        <v>1月</v>
      </c>
      <c r="C806" s="4" t="str">
        <f t="shared" si="44"/>
        <v>W4</v>
      </c>
      <c r="D806" s="2" t="s">
        <v>760</v>
      </c>
      <c r="E806" s="2" t="s">
        <v>715</v>
      </c>
      <c r="F806" s="2" t="str" cm="1">
        <f t="array" ref="F806">INDEX(_xlfn.TEXTSPLIT(E806,"-"),2)</f>
        <v>女装</v>
      </c>
      <c r="G806" s="2" t="str" cm="1">
        <f t="array" ref="G806">INDEX(_xlfn.TEXTSPLIT(E806,"-"),3)</f>
        <v>毛呢外套</v>
      </c>
      <c r="H806" s="5">
        <v>800710</v>
      </c>
      <c r="I806" s="5">
        <v>303290106.45</v>
      </c>
      <c r="J806" s="6">
        <v>0.0827</v>
      </c>
      <c r="K806" s="6">
        <v>-0.0244</v>
      </c>
    </row>
    <row r="807" ht="14.5" spans="1:11">
      <c r="A807" s="3" t="str">
        <f t="shared" si="42"/>
        <v>2026年</v>
      </c>
      <c r="B807" s="3" t="str">
        <f t="shared" si="43"/>
        <v>1月</v>
      </c>
      <c r="C807" s="4" t="str">
        <f t="shared" si="44"/>
        <v>W4</v>
      </c>
      <c r="D807" s="2" t="s">
        <v>760</v>
      </c>
      <c r="E807" s="2" t="s">
        <v>716</v>
      </c>
      <c r="F807" s="2" t="str" cm="1">
        <f t="array" ref="F807">INDEX(_xlfn.TEXTSPLIT(E807,"-"),2)</f>
        <v>女装</v>
      </c>
      <c r="G807" s="2" t="str" cm="1">
        <f t="array" ref="G807">INDEX(_xlfn.TEXTSPLIT(E807,"-"),3)</f>
        <v>毛衣</v>
      </c>
      <c r="H807" s="5">
        <v>521217</v>
      </c>
      <c r="I807" s="5">
        <v>43407502.96</v>
      </c>
      <c r="J807" s="6">
        <v>0.0118</v>
      </c>
      <c r="K807" s="6">
        <v>-0.114</v>
      </c>
    </row>
    <row r="808" ht="14.5" spans="1:11">
      <c r="A808" s="3" t="str">
        <f t="shared" si="42"/>
        <v>2026年</v>
      </c>
      <c r="B808" s="3" t="str">
        <f t="shared" si="43"/>
        <v>1月</v>
      </c>
      <c r="C808" s="4" t="str">
        <f t="shared" si="44"/>
        <v>W4</v>
      </c>
      <c r="D808" s="2" t="s">
        <v>760</v>
      </c>
      <c r="E808" s="2" t="s">
        <v>717</v>
      </c>
      <c r="F808" s="2" t="str" cm="1">
        <f t="array" ref="F808">INDEX(_xlfn.TEXTSPLIT(E808,"-"),2)</f>
        <v>女装</v>
      </c>
      <c r="G808" s="2" t="str" cm="1">
        <f t="array" ref="G808">INDEX(_xlfn.TEXTSPLIT(E808,"-"),3)</f>
        <v>毛针织衫</v>
      </c>
      <c r="H808" s="5">
        <v>2301212</v>
      </c>
      <c r="I808" s="5">
        <v>180895385.42</v>
      </c>
      <c r="J808" s="6">
        <v>0.0493</v>
      </c>
      <c r="K808" s="6">
        <v>0.0219</v>
      </c>
    </row>
    <row r="809" ht="14.5" spans="1:11">
      <c r="A809" s="3" t="str">
        <f t="shared" si="42"/>
        <v>2026年</v>
      </c>
      <c r="B809" s="3" t="str">
        <f t="shared" si="43"/>
        <v>1月</v>
      </c>
      <c r="C809" s="4" t="str">
        <f t="shared" si="44"/>
        <v>W4</v>
      </c>
      <c r="D809" s="2" t="s">
        <v>760</v>
      </c>
      <c r="E809" s="2" t="s">
        <v>718</v>
      </c>
      <c r="F809" s="2" t="str" cm="1">
        <f t="array" ref="F809">INDEX(_xlfn.TEXTSPLIT(E809,"-"),2)</f>
        <v>女装</v>
      </c>
      <c r="G809" s="2" t="str" cm="1">
        <f t="array" ref="G809">INDEX(_xlfn.TEXTSPLIT(E809,"-"),3)</f>
        <v>汉服</v>
      </c>
      <c r="H809" s="5">
        <v>113246</v>
      </c>
      <c r="I809" s="5">
        <v>74736613.75</v>
      </c>
      <c r="J809" s="6">
        <v>0.0204</v>
      </c>
      <c r="K809" s="6">
        <v>-0.0211</v>
      </c>
    </row>
    <row r="810" ht="14.5" spans="1:11">
      <c r="A810" s="3" t="str">
        <f t="shared" si="42"/>
        <v>2026年</v>
      </c>
      <c r="B810" s="3" t="str">
        <f t="shared" si="43"/>
        <v>1月</v>
      </c>
      <c r="C810" s="4" t="str">
        <f t="shared" si="44"/>
        <v>W4</v>
      </c>
      <c r="D810" s="2" t="s">
        <v>760</v>
      </c>
      <c r="E810" s="2" t="s">
        <v>719</v>
      </c>
      <c r="F810" s="2" t="str" cm="1">
        <f t="array" ref="F810">INDEX(_xlfn.TEXTSPLIT(E810,"-"),2)</f>
        <v>女装</v>
      </c>
      <c r="G810" s="2" t="str" cm="1">
        <f t="array" ref="G810">INDEX(_xlfn.TEXTSPLIT(E810,"-"),3)</f>
        <v>派克服</v>
      </c>
      <c r="H810" s="5">
        <v>91787</v>
      </c>
      <c r="I810" s="5">
        <v>24939030.5</v>
      </c>
      <c r="J810" s="6">
        <v>0.0068</v>
      </c>
      <c r="K810" s="6">
        <v>-0.0632</v>
      </c>
    </row>
    <row r="811" ht="14.5" spans="1:11">
      <c r="A811" s="3" t="str">
        <f t="shared" si="42"/>
        <v>2026年</v>
      </c>
      <c r="B811" s="3" t="str">
        <f t="shared" si="43"/>
        <v>1月</v>
      </c>
      <c r="C811" s="4" t="str">
        <f t="shared" si="44"/>
        <v>W4</v>
      </c>
      <c r="D811" s="2" t="s">
        <v>760</v>
      </c>
      <c r="E811" s="2" t="s">
        <v>720</v>
      </c>
      <c r="F811" s="2" t="str" cm="1">
        <f t="array" ref="F811">INDEX(_xlfn.TEXTSPLIT(E811,"-"),2)</f>
        <v>女装</v>
      </c>
      <c r="G811" s="2" t="str" cm="1">
        <f t="array" ref="G811">INDEX(_xlfn.TEXTSPLIT(E811,"-"),3)</f>
        <v>皮草</v>
      </c>
      <c r="H811" s="5">
        <v>240558</v>
      </c>
      <c r="I811" s="5">
        <v>422119367.74</v>
      </c>
      <c r="J811" s="6">
        <v>0.1151</v>
      </c>
      <c r="K811" s="6">
        <v>-0.0143</v>
      </c>
    </row>
    <row r="812" ht="14.5" spans="1:11">
      <c r="A812" s="3" t="str">
        <f t="shared" si="42"/>
        <v>2026年</v>
      </c>
      <c r="B812" s="3" t="str">
        <f t="shared" si="43"/>
        <v>1月</v>
      </c>
      <c r="C812" s="4" t="str">
        <f t="shared" si="44"/>
        <v>W4</v>
      </c>
      <c r="D812" s="2" t="s">
        <v>760</v>
      </c>
      <c r="E812" s="2" t="s">
        <v>721</v>
      </c>
      <c r="F812" s="2" t="str" cm="1">
        <f t="array" ref="F812">INDEX(_xlfn.TEXTSPLIT(E812,"-"),2)</f>
        <v>女装</v>
      </c>
      <c r="G812" s="2" t="str" cm="1">
        <f t="array" ref="G812">INDEX(_xlfn.TEXTSPLIT(E812,"-"),3)</f>
        <v>皮衣</v>
      </c>
      <c r="H812" s="5">
        <v>131193</v>
      </c>
      <c r="I812" s="5">
        <v>47252148.91</v>
      </c>
      <c r="J812" s="6">
        <v>0.0129</v>
      </c>
      <c r="K812" s="6">
        <v>0.1421</v>
      </c>
    </row>
    <row r="813" ht="14.5" spans="1:11">
      <c r="A813" s="3" t="str">
        <f t="shared" si="42"/>
        <v>2026年</v>
      </c>
      <c r="B813" s="3" t="str">
        <f t="shared" si="43"/>
        <v>1月</v>
      </c>
      <c r="C813" s="4" t="str">
        <f t="shared" si="44"/>
        <v>W4</v>
      </c>
      <c r="D813" s="2" t="s">
        <v>760</v>
      </c>
      <c r="E813" s="2" t="s">
        <v>722</v>
      </c>
      <c r="F813" s="2" t="str" cm="1">
        <f t="array" ref="F813">INDEX(_xlfn.TEXTSPLIT(E813,"-"),2)</f>
        <v>女装</v>
      </c>
      <c r="G813" s="2" t="str" cm="1">
        <f t="array" ref="G813">INDEX(_xlfn.TEXTSPLIT(E813,"-"),3)</f>
        <v>短外套</v>
      </c>
      <c r="H813" s="5">
        <v>1328238</v>
      </c>
      <c r="I813" s="5">
        <v>275835306.85</v>
      </c>
      <c r="J813" s="6">
        <v>0.0752</v>
      </c>
      <c r="K813" s="6">
        <v>-0.0043</v>
      </c>
    </row>
    <row r="814" ht="14.5" spans="1:11">
      <c r="A814" s="3" t="str">
        <f t="shared" si="42"/>
        <v>2026年</v>
      </c>
      <c r="B814" s="3" t="str">
        <f t="shared" si="43"/>
        <v>1月</v>
      </c>
      <c r="C814" s="4" t="str">
        <f t="shared" si="44"/>
        <v>W4</v>
      </c>
      <c r="D814" s="2" t="s">
        <v>760</v>
      </c>
      <c r="E814" s="2" t="s">
        <v>723</v>
      </c>
      <c r="F814" s="2" t="str" cm="1">
        <f t="array" ref="F814">INDEX(_xlfn.TEXTSPLIT(E814,"-"),2)</f>
        <v>女装</v>
      </c>
      <c r="G814" s="2" t="str" cm="1">
        <f t="array" ref="G814">INDEX(_xlfn.TEXTSPLIT(E814,"-"),3)</f>
        <v>短裤</v>
      </c>
      <c r="H814" s="5">
        <v>123098</v>
      </c>
      <c r="I814" s="5">
        <v>6931668.95</v>
      </c>
      <c r="J814" s="6">
        <v>0.0019</v>
      </c>
      <c r="K814" s="6">
        <v>0.1318</v>
      </c>
    </row>
    <row r="815" ht="14.5" spans="1:11">
      <c r="A815" s="3" t="str">
        <f t="shared" si="42"/>
        <v>2026年</v>
      </c>
      <c r="B815" s="3" t="str">
        <f t="shared" si="43"/>
        <v>1月</v>
      </c>
      <c r="C815" s="4" t="str">
        <f t="shared" si="44"/>
        <v>W4</v>
      </c>
      <c r="D815" s="2" t="s">
        <v>760</v>
      </c>
      <c r="E815" s="2" t="s">
        <v>724</v>
      </c>
      <c r="F815" s="2" t="str" cm="1">
        <f t="array" ref="F815">INDEX(_xlfn.TEXTSPLIT(E815,"-"),2)</f>
        <v>女装</v>
      </c>
      <c r="G815" s="2" t="str" cm="1">
        <f t="array" ref="G815">INDEX(_xlfn.TEXTSPLIT(E815,"-"),3)</f>
        <v>羊毛衫</v>
      </c>
      <c r="H815" s="5">
        <v>536017</v>
      </c>
      <c r="I815" s="5">
        <v>68604011.31</v>
      </c>
      <c r="J815" s="6">
        <v>0.0187</v>
      </c>
      <c r="K815" s="6">
        <v>0.0893</v>
      </c>
    </row>
    <row r="816" ht="14.5" spans="1:11">
      <c r="A816" s="3" t="str">
        <f t="shared" si="42"/>
        <v>2026年</v>
      </c>
      <c r="B816" s="3" t="str">
        <f t="shared" si="43"/>
        <v>1月</v>
      </c>
      <c r="C816" s="4" t="str">
        <f t="shared" si="44"/>
        <v>W4</v>
      </c>
      <c r="D816" s="2" t="s">
        <v>760</v>
      </c>
      <c r="E816" s="2" t="s">
        <v>725</v>
      </c>
      <c r="F816" s="2" t="str" cm="1">
        <f t="array" ref="F816">INDEX(_xlfn.TEXTSPLIT(E816,"-"),2)</f>
        <v>女装</v>
      </c>
      <c r="G816" s="2" t="str" cm="1">
        <f t="array" ref="G816">INDEX(_xlfn.TEXTSPLIT(E816,"-"),3)</f>
        <v>羊绒大衣</v>
      </c>
      <c r="H816" s="5">
        <v>7197</v>
      </c>
      <c r="I816" s="5">
        <v>2931418.66</v>
      </c>
      <c r="J816" s="6">
        <v>0.0008</v>
      </c>
      <c r="K816" s="6">
        <v>-0.1644</v>
      </c>
    </row>
    <row r="817" ht="14.5" spans="1:11">
      <c r="A817" s="3" t="str">
        <f t="shared" si="42"/>
        <v>2026年</v>
      </c>
      <c r="B817" s="3" t="str">
        <f t="shared" si="43"/>
        <v>1月</v>
      </c>
      <c r="C817" s="4" t="str">
        <f t="shared" si="44"/>
        <v>W4</v>
      </c>
      <c r="D817" s="2" t="s">
        <v>760</v>
      </c>
      <c r="E817" s="2" t="s">
        <v>726</v>
      </c>
      <c r="F817" s="2" t="str" cm="1">
        <f t="array" ref="F817">INDEX(_xlfn.TEXTSPLIT(E817,"-"),2)</f>
        <v>女装</v>
      </c>
      <c r="G817" s="2" t="str" cm="1">
        <f t="array" ref="G817">INDEX(_xlfn.TEXTSPLIT(E817,"-"),3)</f>
        <v>羊绒衫</v>
      </c>
      <c r="H817" s="5">
        <v>147654</v>
      </c>
      <c r="I817" s="5">
        <v>45876922.88</v>
      </c>
      <c r="J817" s="6">
        <v>0.0125</v>
      </c>
      <c r="K817" s="6">
        <v>0.0323</v>
      </c>
    </row>
    <row r="818" ht="14.5" spans="1:11">
      <c r="A818" s="3" t="str">
        <f t="shared" ref="A818:A849" si="45">TEXT(YEAR(D818),"0")&amp;"年"</f>
        <v>2026年</v>
      </c>
      <c r="B818" s="3" t="str">
        <f t="shared" ref="B818:B849" si="46">TEXT(MONTH(D818),"0")&amp;"月"</f>
        <v>1月</v>
      </c>
      <c r="C818" s="4" t="str">
        <f t="shared" ref="C818:C849" si="47">"W"&amp;TEXT(WEEKNUM(D818,2),"0")</f>
        <v>W4</v>
      </c>
      <c r="D818" s="2" t="s">
        <v>760</v>
      </c>
      <c r="E818" s="2" t="s">
        <v>727</v>
      </c>
      <c r="F818" s="2" t="str" cm="1">
        <f t="array" ref="F818">INDEX(_xlfn.TEXTSPLIT(E818,"-"),2)</f>
        <v>女装</v>
      </c>
      <c r="G818" s="2" t="str" cm="1">
        <f t="array" ref="G818">INDEX(_xlfn.TEXTSPLIT(E818,"-"),3)</f>
        <v>羽绒服</v>
      </c>
      <c r="H818" s="5">
        <v>2041332</v>
      </c>
      <c r="I818" s="5">
        <v>840801789.4</v>
      </c>
      <c r="J818" s="6">
        <v>0.2292</v>
      </c>
      <c r="K818" s="6">
        <v>-0.0613</v>
      </c>
    </row>
    <row r="819" ht="14.5" spans="1:11">
      <c r="A819" s="3" t="str">
        <f t="shared" si="45"/>
        <v>2026年</v>
      </c>
      <c r="B819" s="3" t="str">
        <f t="shared" si="46"/>
        <v>1月</v>
      </c>
      <c r="C819" s="4" t="str">
        <f t="shared" si="47"/>
        <v>W4</v>
      </c>
      <c r="D819" s="2" t="s">
        <v>760</v>
      </c>
      <c r="E819" s="2" t="s">
        <v>728</v>
      </c>
      <c r="F819" s="2" t="str" cm="1">
        <f t="array" ref="F819">INDEX(_xlfn.TEXTSPLIT(E819,"-"),2)</f>
        <v>女装</v>
      </c>
      <c r="G819" s="2" t="str" cm="1">
        <f t="array" ref="G819">INDEX(_xlfn.TEXTSPLIT(E819,"-"),3)</f>
        <v>肌底衣/肌肤衣</v>
      </c>
      <c r="H819" s="5">
        <v>5443</v>
      </c>
      <c r="I819" s="5">
        <v>360906.99</v>
      </c>
      <c r="J819" s="6">
        <v>0.0001</v>
      </c>
      <c r="K819" s="6">
        <v>0.1432</v>
      </c>
    </row>
    <row r="820" ht="14.5" spans="1:11">
      <c r="A820" s="3" t="str">
        <f t="shared" si="45"/>
        <v>2026年</v>
      </c>
      <c r="B820" s="3" t="str">
        <f t="shared" si="46"/>
        <v>1月</v>
      </c>
      <c r="C820" s="4" t="str">
        <f t="shared" si="47"/>
        <v>W4</v>
      </c>
      <c r="D820" s="2" t="s">
        <v>760</v>
      </c>
      <c r="E820" s="2" t="s">
        <v>729</v>
      </c>
      <c r="F820" s="2" t="str" cm="1">
        <f t="array" ref="F820">INDEX(_xlfn.TEXTSPLIT(E820,"-"),2)</f>
        <v>女装</v>
      </c>
      <c r="G820" s="2" t="str" cm="1">
        <f t="array" ref="G820">INDEX(_xlfn.TEXTSPLIT(E820,"-"),3)</f>
        <v>背心吊带</v>
      </c>
      <c r="H820" s="5">
        <v>192996</v>
      </c>
      <c r="I820" s="5">
        <v>12454872.78</v>
      </c>
      <c r="J820" s="6">
        <v>0.0034</v>
      </c>
      <c r="K820" s="6">
        <v>0.1613</v>
      </c>
    </row>
    <row r="821" ht="14.5" spans="1:11">
      <c r="A821" s="3" t="str">
        <f t="shared" si="45"/>
        <v>2026年</v>
      </c>
      <c r="B821" s="3" t="str">
        <f t="shared" si="46"/>
        <v>1月</v>
      </c>
      <c r="C821" s="4" t="str">
        <f t="shared" si="47"/>
        <v>W4</v>
      </c>
      <c r="D821" s="2" t="s">
        <v>760</v>
      </c>
      <c r="E821" s="2" t="s">
        <v>730</v>
      </c>
      <c r="F821" s="2" t="str" cm="1">
        <f t="array" ref="F821">INDEX(_xlfn.TEXTSPLIT(E821,"-"),2)</f>
        <v>女装</v>
      </c>
      <c r="G821" s="2" t="str" cm="1">
        <f t="array" ref="G821">INDEX(_xlfn.TEXTSPLIT(E821,"-"),3)</f>
        <v>蕾丝衫/雪纺衫</v>
      </c>
      <c r="H821" s="5">
        <v>163473</v>
      </c>
      <c r="I821" s="5">
        <v>11324904.68</v>
      </c>
      <c r="J821" s="6">
        <v>0.0031</v>
      </c>
      <c r="K821" s="6">
        <v>0.0419</v>
      </c>
    </row>
    <row r="822" ht="14.5" spans="1:11">
      <c r="A822" s="3" t="str">
        <f t="shared" si="45"/>
        <v>2026年</v>
      </c>
      <c r="B822" s="3" t="str">
        <f t="shared" si="46"/>
        <v>1月</v>
      </c>
      <c r="C822" s="4" t="str">
        <f t="shared" si="47"/>
        <v>W4</v>
      </c>
      <c r="D822" s="2" t="s">
        <v>760</v>
      </c>
      <c r="E822" s="2" t="s">
        <v>731</v>
      </c>
      <c r="F822" s="2" t="str" cm="1">
        <f t="array" ref="F822">INDEX(_xlfn.TEXTSPLIT(E822,"-"),2)</f>
        <v>女装</v>
      </c>
      <c r="G822" s="2" t="str" cm="1">
        <f t="array" ref="G822">INDEX(_xlfn.TEXTSPLIT(E822,"-"),3)</f>
        <v>衬衫</v>
      </c>
      <c r="H822" s="5">
        <v>440262</v>
      </c>
      <c r="I822" s="5">
        <v>48703971.81</v>
      </c>
      <c r="J822" s="6">
        <v>0.0133</v>
      </c>
      <c r="K822" s="6">
        <v>0.0632</v>
      </c>
    </row>
    <row r="823" ht="14.5" spans="1:11">
      <c r="A823" s="3" t="str">
        <f t="shared" si="45"/>
        <v>2026年</v>
      </c>
      <c r="B823" s="3" t="str">
        <f t="shared" si="46"/>
        <v>1月</v>
      </c>
      <c r="C823" s="4" t="str">
        <f t="shared" si="47"/>
        <v>W4</v>
      </c>
      <c r="D823" s="2" t="s">
        <v>760</v>
      </c>
      <c r="E823" s="2" t="s">
        <v>732</v>
      </c>
      <c r="F823" s="2" t="str" cm="1">
        <f t="array" ref="F823">INDEX(_xlfn.TEXTSPLIT(E823,"-"),2)</f>
        <v>女装</v>
      </c>
      <c r="G823" s="2" t="str" cm="1">
        <f t="array" ref="G823">INDEX(_xlfn.TEXTSPLIT(E823,"-"),3)</f>
        <v>裤子</v>
      </c>
      <c r="H823" s="5">
        <v>4711409</v>
      </c>
      <c r="I823" s="5">
        <v>435961392.27</v>
      </c>
      <c r="J823" s="6">
        <v>0.1188</v>
      </c>
      <c r="K823" s="6">
        <v>0.0093</v>
      </c>
    </row>
    <row r="824" ht="14.5" spans="1:11">
      <c r="A824" s="3" t="str">
        <f t="shared" si="45"/>
        <v>2026年</v>
      </c>
      <c r="B824" s="3" t="str">
        <f t="shared" si="46"/>
        <v>1月</v>
      </c>
      <c r="C824" s="4" t="str">
        <f t="shared" si="47"/>
        <v>W4</v>
      </c>
      <c r="D824" s="2" t="s">
        <v>760</v>
      </c>
      <c r="E824" s="2" t="s">
        <v>733</v>
      </c>
      <c r="F824" s="2" t="str" cm="1">
        <f t="array" ref="F824">INDEX(_xlfn.TEXTSPLIT(E824,"-"),2)</f>
        <v>女装</v>
      </c>
      <c r="G824" s="2" t="str" cm="1">
        <f t="array" ref="G824">INDEX(_xlfn.TEXTSPLIT(E824,"-"),3)</f>
        <v>西装</v>
      </c>
      <c r="H824" s="5">
        <v>48701</v>
      </c>
      <c r="I824" s="5">
        <v>12055625.06</v>
      </c>
      <c r="J824" s="6">
        <v>0.0033</v>
      </c>
      <c r="K824" s="6">
        <v>-0.0353</v>
      </c>
    </row>
    <row r="825" ht="14.5" spans="1:11">
      <c r="A825" s="3" t="str">
        <f t="shared" si="45"/>
        <v>2026年</v>
      </c>
      <c r="B825" s="3" t="str">
        <f t="shared" si="46"/>
        <v>1月</v>
      </c>
      <c r="C825" s="4" t="str">
        <f t="shared" si="47"/>
        <v>W4</v>
      </c>
      <c r="D825" s="2" t="s">
        <v>760</v>
      </c>
      <c r="E825" s="2" t="s">
        <v>734</v>
      </c>
      <c r="F825" s="2" t="str" cm="1">
        <f t="array" ref="F825">INDEX(_xlfn.TEXTSPLIT(E825,"-"),2)</f>
        <v>女装</v>
      </c>
      <c r="G825" s="2" t="str" cm="1">
        <f t="array" ref="G825">INDEX(_xlfn.TEXTSPLIT(E825,"-"),3)</f>
        <v>设计师/潮牌女装</v>
      </c>
      <c r="H825" s="5">
        <v>464971</v>
      </c>
      <c r="I825" s="5">
        <v>55773757.84</v>
      </c>
      <c r="J825" s="6">
        <v>0.0152</v>
      </c>
      <c r="K825" s="6">
        <v>-0.1511</v>
      </c>
    </row>
    <row r="826" ht="14.5" spans="1:11">
      <c r="A826" s="3" t="str">
        <f t="shared" si="45"/>
        <v>2026年</v>
      </c>
      <c r="B826" s="3" t="str">
        <f t="shared" si="46"/>
        <v>1月</v>
      </c>
      <c r="C826" s="4" t="str">
        <f t="shared" si="47"/>
        <v>W4</v>
      </c>
      <c r="D826" s="2" t="s">
        <v>760</v>
      </c>
      <c r="E826" s="2" t="s">
        <v>735</v>
      </c>
      <c r="F826" s="2" t="str" cm="1">
        <f t="array" ref="F826">INDEX(_xlfn.TEXTSPLIT(E826,"-"),2)</f>
        <v>女装</v>
      </c>
      <c r="G826" s="2" t="str" cm="1">
        <f t="array" ref="G826">INDEX(_xlfn.TEXTSPLIT(E826,"-"),3)</f>
        <v>连体衣/裤</v>
      </c>
      <c r="H826" s="5">
        <v>11280</v>
      </c>
      <c r="I826" s="5">
        <v>1603087.21</v>
      </c>
      <c r="J826" s="6">
        <v>0.0004</v>
      </c>
      <c r="K826" s="6">
        <v>-0.0318</v>
      </c>
    </row>
    <row r="827" ht="14.5" spans="1:11">
      <c r="A827" s="3" t="str">
        <f t="shared" si="45"/>
        <v>2026年</v>
      </c>
      <c r="B827" s="3" t="str">
        <f t="shared" si="46"/>
        <v>1月</v>
      </c>
      <c r="C827" s="4" t="str">
        <f t="shared" si="47"/>
        <v>W4</v>
      </c>
      <c r="D827" s="2" t="s">
        <v>760</v>
      </c>
      <c r="E827" s="2" t="s">
        <v>736</v>
      </c>
      <c r="F827" s="2" t="str" cm="1">
        <f t="array" ref="F827">INDEX(_xlfn.TEXTSPLIT(E827,"-"),2)</f>
        <v>女装</v>
      </c>
      <c r="G827" s="2" t="str" cm="1">
        <f t="array" ref="G827">INDEX(_xlfn.TEXTSPLIT(E827,"-"),3)</f>
        <v>连衣裙</v>
      </c>
      <c r="H827" s="5">
        <v>779259</v>
      </c>
      <c r="I827" s="5">
        <v>100107349.23</v>
      </c>
      <c r="J827" s="6">
        <v>0.0273</v>
      </c>
      <c r="K827" s="6">
        <v>0.0087</v>
      </c>
    </row>
    <row r="828" ht="14.5" spans="1:11">
      <c r="A828" s="3" t="str">
        <f t="shared" si="45"/>
        <v>2026年</v>
      </c>
      <c r="B828" s="3" t="str">
        <f t="shared" si="46"/>
        <v>1月</v>
      </c>
      <c r="C828" s="4" t="str">
        <f t="shared" si="47"/>
        <v>W4</v>
      </c>
      <c r="D828" s="2" t="s">
        <v>760</v>
      </c>
      <c r="E828" s="2" t="s">
        <v>737</v>
      </c>
      <c r="F828" s="2" t="str" cm="1">
        <f t="array" ref="F828">INDEX(_xlfn.TEXTSPLIT(E828,"-"),2)</f>
        <v>女装</v>
      </c>
      <c r="G828" s="2" t="str" cm="1">
        <f t="array" ref="G828">INDEX(_xlfn.TEXTSPLIT(E828,"-"),3)</f>
        <v>风衣</v>
      </c>
      <c r="H828" s="5">
        <v>99853</v>
      </c>
      <c r="I828" s="5">
        <v>14491350.29</v>
      </c>
      <c r="J828" s="6">
        <v>0.0039</v>
      </c>
      <c r="K828" s="6">
        <v>-0.0385</v>
      </c>
    </row>
    <row r="829" ht="14.5" spans="1:11">
      <c r="A829" s="3" t="str">
        <f t="shared" si="45"/>
        <v>2026年</v>
      </c>
      <c r="B829" s="3" t="str">
        <f t="shared" si="46"/>
        <v>1月</v>
      </c>
      <c r="C829" s="4" t="str">
        <f t="shared" si="47"/>
        <v>W4</v>
      </c>
      <c r="D829" s="2" t="s">
        <v>760</v>
      </c>
      <c r="E829" s="2" t="s">
        <v>738</v>
      </c>
      <c r="F829" s="2" t="str" cm="1">
        <f t="array" ref="F829">INDEX(_xlfn.TEXTSPLIT(E829,"-"),2)</f>
        <v>女装</v>
      </c>
      <c r="G829" s="2" t="str" cm="1">
        <f t="array" ref="G829">INDEX(_xlfn.TEXTSPLIT(E829,"-"),3)</f>
        <v>马夹</v>
      </c>
      <c r="H829" s="5">
        <v>379430</v>
      </c>
      <c r="I829" s="5">
        <v>40490138.12</v>
      </c>
      <c r="J829" s="6">
        <v>0.011</v>
      </c>
      <c r="K829" s="6">
        <v>-0.0642</v>
      </c>
    </row>
    <row r="830" ht="14.5" spans="1:11">
      <c r="A830" s="3" t="str">
        <f t="shared" si="45"/>
        <v>2026年</v>
      </c>
      <c r="B830" s="3" t="str">
        <f t="shared" si="46"/>
        <v>1月</v>
      </c>
      <c r="C830" s="4" t="str">
        <f t="shared" si="47"/>
        <v>W4</v>
      </c>
      <c r="D830" s="2" t="s">
        <v>761</v>
      </c>
      <c r="E830" s="2" t="s">
        <v>702</v>
      </c>
      <c r="F830" s="2" t="str" cm="1">
        <f t="array" ref="F830">INDEX(_xlfn.TEXTSPLIT(E830,"-"),2)</f>
        <v>女装</v>
      </c>
      <c r="G830" s="2" t="str" cm="1">
        <f t="array" ref="G830">INDEX(_xlfn.TEXTSPLIT(E830,"-"),3)</f>
        <v>POLO衫</v>
      </c>
      <c r="H830" s="5">
        <v>15036</v>
      </c>
      <c r="I830" s="5">
        <v>1220312.82</v>
      </c>
      <c r="J830" s="6">
        <v>0.0003</v>
      </c>
      <c r="K830" s="6">
        <v>0.5052</v>
      </c>
    </row>
    <row r="831" ht="14.5" spans="1:11">
      <c r="A831" s="3" t="str">
        <f t="shared" si="45"/>
        <v>2026年</v>
      </c>
      <c r="B831" s="3" t="str">
        <f t="shared" si="46"/>
        <v>1月</v>
      </c>
      <c r="C831" s="4" t="str">
        <f t="shared" si="47"/>
        <v>W4</v>
      </c>
      <c r="D831" s="2" t="s">
        <v>761</v>
      </c>
      <c r="E831" s="2" t="s">
        <v>703</v>
      </c>
      <c r="F831" s="2" t="str" cm="1">
        <f t="array" ref="F831">INDEX(_xlfn.TEXTSPLIT(E831,"-"),2)</f>
        <v>女装</v>
      </c>
      <c r="G831" s="2" t="str" cm="1">
        <f t="array" ref="G831">INDEX(_xlfn.TEXTSPLIT(E831,"-"),3)</f>
        <v>T恤</v>
      </c>
      <c r="H831" s="5">
        <v>1428510</v>
      </c>
      <c r="I831" s="5">
        <v>85079230.21</v>
      </c>
      <c r="J831" s="6">
        <v>0.0215</v>
      </c>
      <c r="K831" s="6">
        <v>0.0767</v>
      </c>
    </row>
    <row r="832" ht="14.5" spans="1:11">
      <c r="A832" s="3" t="str">
        <f t="shared" si="45"/>
        <v>2026年</v>
      </c>
      <c r="B832" s="3" t="str">
        <f t="shared" si="46"/>
        <v>1月</v>
      </c>
      <c r="C832" s="4" t="str">
        <f t="shared" si="47"/>
        <v>W4</v>
      </c>
      <c r="D832" s="2" t="s">
        <v>761</v>
      </c>
      <c r="E832" s="2" t="s">
        <v>704</v>
      </c>
      <c r="F832" s="2" t="str" cm="1">
        <f t="array" ref="F832">INDEX(_xlfn.TEXTSPLIT(E832,"-"),2)</f>
        <v>女装</v>
      </c>
      <c r="G832" s="2" t="str" cm="1">
        <f t="array" ref="G832">INDEX(_xlfn.TEXTSPLIT(E832,"-"),3)</f>
        <v>中老年女装</v>
      </c>
      <c r="H832" s="5">
        <v>544728</v>
      </c>
      <c r="I832" s="5">
        <v>69734096.18</v>
      </c>
      <c r="J832" s="6">
        <v>0.0176</v>
      </c>
      <c r="K832" s="6">
        <v>0.057</v>
      </c>
    </row>
    <row r="833" ht="14.5" spans="1:11">
      <c r="A833" s="3" t="str">
        <f t="shared" si="45"/>
        <v>2026年</v>
      </c>
      <c r="B833" s="3" t="str">
        <f t="shared" si="46"/>
        <v>1月</v>
      </c>
      <c r="C833" s="4" t="str">
        <f t="shared" si="47"/>
        <v>W4</v>
      </c>
      <c r="D833" s="2" t="s">
        <v>761</v>
      </c>
      <c r="E833" s="2" t="s">
        <v>705</v>
      </c>
      <c r="F833" s="2" t="str" cm="1">
        <f t="array" ref="F833">INDEX(_xlfn.TEXTSPLIT(E833,"-"),2)</f>
        <v>女装</v>
      </c>
      <c r="G833" s="2" t="str" cm="1">
        <f t="array" ref="G833">INDEX(_xlfn.TEXTSPLIT(E833,"-"),3)</f>
        <v>半身裙</v>
      </c>
      <c r="H833" s="5">
        <v>762243</v>
      </c>
      <c r="I833" s="5">
        <v>72939569.13</v>
      </c>
      <c r="J833" s="6">
        <v>0.0184</v>
      </c>
      <c r="K833" s="6">
        <v>0.1964</v>
      </c>
    </row>
    <row r="834" ht="14.5" spans="1:11">
      <c r="A834" s="3" t="str">
        <f t="shared" si="45"/>
        <v>2026年</v>
      </c>
      <c r="B834" s="3" t="str">
        <f t="shared" si="46"/>
        <v>1月</v>
      </c>
      <c r="C834" s="4" t="str">
        <f t="shared" si="47"/>
        <v>W4</v>
      </c>
      <c r="D834" s="2" t="s">
        <v>761</v>
      </c>
      <c r="E834" s="2" t="s">
        <v>706</v>
      </c>
      <c r="F834" s="2" t="str" cm="1">
        <f t="array" ref="F834">INDEX(_xlfn.TEXTSPLIT(E834,"-"),2)</f>
        <v>女装</v>
      </c>
      <c r="G834" s="2" t="str" cm="1">
        <f t="array" ref="G834">INDEX(_xlfn.TEXTSPLIT(E834,"-"),3)</f>
        <v>卫衣/绒衫</v>
      </c>
      <c r="H834" s="5">
        <v>476562</v>
      </c>
      <c r="I834" s="5">
        <v>37009973.43</v>
      </c>
      <c r="J834" s="6">
        <v>0.0093</v>
      </c>
      <c r="K834" s="6">
        <v>0.1112</v>
      </c>
    </row>
    <row r="835" ht="14.5" spans="1:11">
      <c r="A835" s="3" t="str">
        <f t="shared" si="45"/>
        <v>2026年</v>
      </c>
      <c r="B835" s="3" t="str">
        <f t="shared" si="46"/>
        <v>1月</v>
      </c>
      <c r="C835" s="4" t="str">
        <f t="shared" si="47"/>
        <v>W4</v>
      </c>
      <c r="D835" s="2" t="s">
        <v>761</v>
      </c>
      <c r="E835" s="2" t="s">
        <v>707</v>
      </c>
      <c r="F835" s="2" t="str" cm="1">
        <f t="array" ref="F835">INDEX(_xlfn.TEXTSPLIT(E835,"-"),2)</f>
        <v>女装</v>
      </c>
      <c r="G835" s="2" t="str" cm="1">
        <f t="array" ref="G835">INDEX(_xlfn.TEXTSPLIT(E835,"-"),3)</f>
        <v>唐装/民族服装/舞台服装</v>
      </c>
      <c r="H835" s="5">
        <v>215999</v>
      </c>
      <c r="I835" s="5">
        <v>41800353.6</v>
      </c>
      <c r="J835" s="6">
        <v>0.0106</v>
      </c>
      <c r="K835" s="6">
        <v>0.0033</v>
      </c>
    </row>
    <row r="836" ht="14.5" spans="1:11">
      <c r="A836" s="3" t="str">
        <f t="shared" si="45"/>
        <v>2026年</v>
      </c>
      <c r="B836" s="3" t="str">
        <f t="shared" si="46"/>
        <v>1月</v>
      </c>
      <c r="C836" s="4" t="str">
        <f t="shared" si="47"/>
        <v>W4</v>
      </c>
      <c r="D836" s="2" t="s">
        <v>761</v>
      </c>
      <c r="E836" s="2" t="s">
        <v>708</v>
      </c>
      <c r="F836" s="2" t="str" cm="1">
        <f t="array" ref="F836">INDEX(_xlfn.TEXTSPLIT(E836,"-"),2)</f>
        <v>女装</v>
      </c>
      <c r="G836" s="2" t="str" cm="1">
        <f t="array" ref="G836">INDEX(_xlfn.TEXTSPLIT(E836,"-"),3)</f>
        <v>大码女装</v>
      </c>
      <c r="H836" s="5">
        <v>711436</v>
      </c>
      <c r="I836" s="5">
        <v>65181767.95</v>
      </c>
      <c r="J836" s="6">
        <v>0.0165</v>
      </c>
      <c r="K836" s="6">
        <v>-0.0386</v>
      </c>
    </row>
    <row r="837" ht="14.5" spans="1:11">
      <c r="A837" s="3" t="str">
        <f t="shared" si="45"/>
        <v>2026年</v>
      </c>
      <c r="B837" s="3" t="str">
        <f t="shared" si="46"/>
        <v>1月</v>
      </c>
      <c r="C837" s="4" t="str">
        <f t="shared" si="47"/>
        <v>W4</v>
      </c>
      <c r="D837" s="2" t="s">
        <v>761</v>
      </c>
      <c r="E837" s="2" t="s">
        <v>709</v>
      </c>
      <c r="F837" s="2" t="str" cm="1">
        <f t="array" ref="F837">INDEX(_xlfn.TEXTSPLIT(E837,"-"),2)</f>
        <v>女装</v>
      </c>
      <c r="G837" s="2" t="str" cm="1">
        <f t="array" ref="G837">INDEX(_xlfn.TEXTSPLIT(E837,"-"),3)</f>
        <v>套装/学生校服/工作制服</v>
      </c>
      <c r="H837" s="5">
        <v>1063794</v>
      </c>
      <c r="I837" s="5">
        <v>148283928.11</v>
      </c>
      <c r="J837" s="6">
        <v>0.0375</v>
      </c>
      <c r="K837" s="6">
        <v>0.1461</v>
      </c>
    </row>
    <row r="838" ht="14.5" spans="1:11">
      <c r="A838" s="3" t="str">
        <f t="shared" si="45"/>
        <v>2026年</v>
      </c>
      <c r="B838" s="3" t="str">
        <f t="shared" si="46"/>
        <v>1月</v>
      </c>
      <c r="C838" s="4" t="str">
        <f t="shared" si="47"/>
        <v>W4</v>
      </c>
      <c r="D838" s="2" t="s">
        <v>761</v>
      </c>
      <c r="E838" s="2" t="s">
        <v>710</v>
      </c>
      <c r="F838" s="2" t="str" cm="1">
        <f t="array" ref="F838">INDEX(_xlfn.TEXTSPLIT(E838,"-"),2)</f>
        <v>女装</v>
      </c>
      <c r="G838" s="2" t="str" cm="1">
        <f t="array" ref="G838">INDEX(_xlfn.TEXTSPLIT(E838,"-"),3)</f>
        <v>婚纱/旗袍/礼服</v>
      </c>
      <c r="H838" s="5">
        <v>60937</v>
      </c>
      <c r="I838" s="5">
        <v>10666148.66</v>
      </c>
      <c r="J838" s="6">
        <v>0.0027</v>
      </c>
      <c r="K838" s="7">
        <v>0.07</v>
      </c>
    </row>
    <row r="839" ht="14.5" spans="1:11">
      <c r="A839" s="3" t="str">
        <f t="shared" si="45"/>
        <v>2026年</v>
      </c>
      <c r="B839" s="3" t="str">
        <f t="shared" si="46"/>
        <v>1月</v>
      </c>
      <c r="C839" s="4" t="str">
        <f t="shared" si="47"/>
        <v>W4</v>
      </c>
      <c r="D839" s="2" t="s">
        <v>761</v>
      </c>
      <c r="E839" s="2" t="s">
        <v>711</v>
      </c>
      <c r="F839" s="2" t="str" cm="1">
        <f t="array" ref="F839">INDEX(_xlfn.TEXTSPLIT(E839,"-"),2)</f>
        <v>女装</v>
      </c>
      <c r="G839" s="2" t="str" cm="1">
        <f t="array" ref="G839">INDEX(_xlfn.TEXTSPLIT(E839,"-"),3)</f>
        <v>新中式女装</v>
      </c>
      <c r="H839" s="5">
        <v>118249</v>
      </c>
      <c r="I839" s="5">
        <v>15715990.79</v>
      </c>
      <c r="J839" s="6">
        <v>0.004</v>
      </c>
      <c r="K839" s="6">
        <v>0.3057</v>
      </c>
    </row>
    <row r="840" ht="14.5" spans="1:11">
      <c r="A840" s="3" t="str">
        <f t="shared" si="45"/>
        <v>2026年</v>
      </c>
      <c r="B840" s="3" t="str">
        <f t="shared" si="46"/>
        <v>1月</v>
      </c>
      <c r="C840" s="4" t="str">
        <f t="shared" si="47"/>
        <v>W4</v>
      </c>
      <c r="D840" s="2" t="s">
        <v>761</v>
      </c>
      <c r="E840" s="2" t="s">
        <v>712</v>
      </c>
      <c r="F840" s="2" t="str" cm="1">
        <f t="array" ref="F840">INDEX(_xlfn.TEXTSPLIT(E840,"-"),2)</f>
        <v>女装</v>
      </c>
      <c r="G840" s="2" t="str" cm="1">
        <f t="array" ref="G840">INDEX(_xlfn.TEXTSPLIT(E840,"-"),3)</f>
        <v>时尚防晒服</v>
      </c>
      <c r="H840" s="5">
        <v>812</v>
      </c>
      <c r="I840" s="5">
        <v>57666.87</v>
      </c>
      <c r="J840" s="2" t="s">
        <v>713</v>
      </c>
      <c r="K840" s="6">
        <v>2.701</v>
      </c>
    </row>
    <row r="841" ht="14.5" spans="1:11">
      <c r="A841" s="3" t="str">
        <f t="shared" si="45"/>
        <v>2026年</v>
      </c>
      <c r="B841" s="3" t="str">
        <f t="shared" si="46"/>
        <v>1月</v>
      </c>
      <c r="C841" s="4" t="str">
        <f t="shared" si="47"/>
        <v>W4</v>
      </c>
      <c r="D841" s="2" t="s">
        <v>761</v>
      </c>
      <c r="E841" s="2" t="s">
        <v>714</v>
      </c>
      <c r="F841" s="2" t="str" cm="1">
        <f t="array" ref="F841">INDEX(_xlfn.TEXTSPLIT(E841,"-"),2)</f>
        <v>女装</v>
      </c>
      <c r="G841" s="2" t="str" cm="1">
        <f t="array" ref="G841">INDEX(_xlfn.TEXTSPLIT(E841,"-"),3)</f>
        <v>棉衣/棉服</v>
      </c>
      <c r="H841" s="5">
        <v>795636</v>
      </c>
      <c r="I841" s="5">
        <v>92949093.44</v>
      </c>
      <c r="J841" s="6">
        <v>0.0235</v>
      </c>
      <c r="K841" s="6">
        <v>-0.0426</v>
      </c>
    </row>
    <row r="842" ht="14.5" spans="1:11">
      <c r="A842" s="3" t="str">
        <f t="shared" si="45"/>
        <v>2026年</v>
      </c>
      <c r="B842" s="3" t="str">
        <f t="shared" si="46"/>
        <v>1月</v>
      </c>
      <c r="C842" s="4" t="str">
        <f t="shared" si="47"/>
        <v>W4</v>
      </c>
      <c r="D842" s="2" t="s">
        <v>761</v>
      </c>
      <c r="E842" s="2" t="s">
        <v>715</v>
      </c>
      <c r="F842" s="2" t="str" cm="1">
        <f t="array" ref="F842">INDEX(_xlfn.TEXTSPLIT(E842,"-"),2)</f>
        <v>女装</v>
      </c>
      <c r="G842" s="2" t="str" cm="1">
        <f t="array" ref="G842">INDEX(_xlfn.TEXTSPLIT(E842,"-"),3)</f>
        <v>毛呢外套</v>
      </c>
      <c r="H842" s="5">
        <v>842779</v>
      </c>
      <c r="I842" s="5">
        <v>323479397.23</v>
      </c>
      <c r="J842" s="6">
        <v>0.0817</v>
      </c>
      <c r="K842" s="6">
        <v>0.0666</v>
      </c>
    </row>
    <row r="843" ht="14.5" spans="1:11">
      <c r="A843" s="3" t="str">
        <f t="shared" si="45"/>
        <v>2026年</v>
      </c>
      <c r="B843" s="3" t="str">
        <f t="shared" si="46"/>
        <v>1月</v>
      </c>
      <c r="C843" s="4" t="str">
        <f t="shared" si="47"/>
        <v>W4</v>
      </c>
      <c r="D843" s="2" t="s">
        <v>761</v>
      </c>
      <c r="E843" s="2" t="s">
        <v>716</v>
      </c>
      <c r="F843" s="2" t="str" cm="1">
        <f t="array" ref="F843">INDEX(_xlfn.TEXTSPLIT(E843,"-"),2)</f>
        <v>女装</v>
      </c>
      <c r="G843" s="2" t="str" cm="1">
        <f t="array" ref="G843">INDEX(_xlfn.TEXTSPLIT(E843,"-"),3)</f>
        <v>毛衣</v>
      </c>
      <c r="H843" s="5">
        <v>557666</v>
      </c>
      <c r="I843" s="5">
        <v>52046180.18</v>
      </c>
      <c r="J843" s="6">
        <v>0.0131</v>
      </c>
      <c r="K843" s="6">
        <v>0.199</v>
      </c>
    </row>
    <row r="844" ht="14.5" spans="1:11">
      <c r="A844" s="3" t="str">
        <f t="shared" si="45"/>
        <v>2026年</v>
      </c>
      <c r="B844" s="3" t="str">
        <f t="shared" si="46"/>
        <v>1月</v>
      </c>
      <c r="C844" s="4" t="str">
        <f t="shared" si="47"/>
        <v>W4</v>
      </c>
      <c r="D844" s="2" t="s">
        <v>761</v>
      </c>
      <c r="E844" s="2" t="s">
        <v>717</v>
      </c>
      <c r="F844" s="2" t="str" cm="1">
        <f t="array" ref="F844">INDEX(_xlfn.TEXTSPLIT(E844,"-"),2)</f>
        <v>女装</v>
      </c>
      <c r="G844" s="2" t="str" cm="1">
        <f t="array" ref="G844">INDEX(_xlfn.TEXTSPLIT(E844,"-"),3)</f>
        <v>毛针织衫</v>
      </c>
      <c r="H844" s="5">
        <v>2521924</v>
      </c>
      <c r="I844" s="5">
        <v>206767832.64</v>
      </c>
      <c r="J844" s="6">
        <v>0.0522</v>
      </c>
      <c r="K844" s="6">
        <v>0.143</v>
      </c>
    </row>
    <row r="845" ht="14.5" spans="1:11">
      <c r="A845" s="3" t="str">
        <f t="shared" si="45"/>
        <v>2026年</v>
      </c>
      <c r="B845" s="3" t="str">
        <f t="shared" si="46"/>
        <v>1月</v>
      </c>
      <c r="C845" s="4" t="str">
        <f t="shared" si="47"/>
        <v>W4</v>
      </c>
      <c r="D845" s="2" t="s">
        <v>761</v>
      </c>
      <c r="E845" s="2" t="s">
        <v>718</v>
      </c>
      <c r="F845" s="2" t="str" cm="1">
        <f t="array" ref="F845">INDEX(_xlfn.TEXTSPLIT(E845,"-"),2)</f>
        <v>女装</v>
      </c>
      <c r="G845" s="2" t="str" cm="1">
        <f t="array" ref="G845">INDEX(_xlfn.TEXTSPLIT(E845,"-"),3)</f>
        <v>汉服</v>
      </c>
      <c r="H845" s="5">
        <v>147834</v>
      </c>
      <c r="I845" s="5">
        <v>78214818.1</v>
      </c>
      <c r="J845" s="6">
        <v>0.0198</v>
      </c>
      <c r="K845" s="6">
        <v>0.0465</v>
      </c>
    </row>
    <row r="846" ht="14.5" spans="1:11">
      <c r="A846" s="3" t="str">
        <f t="shared" si="45"/>
        <v>2026年</v>
      </c>
      <c r="B846" s="3" t="str">
        <f t="shared" si="46"/>
        <v>1月</v>
      </c>
      <c r="C846" s="4" t="str">
        <f t="shared" si="47"/>
        <v>W4</v>
      </c>
      <c r="D846" s="2" t="s">
        <v>761</v>
      </c>
      <c r="E846" s="2" t="s">
        <v>719</v>
      </c>
      <c r="F846" s="2" t="str" cm="1">
        <f t="array" ref="F846">INDEX(_xlfn.TEXTSPLIT(E846,"-"),2)</f>
        <v>女装</v>
      </c>
      <c r="G846" s="2" t="str" cm="1">
        <f t="array" ref="G846">INDEX(_xlfn.TEXTSPLIT(E846,"-"),3)</f>
        <v>派克服</v>
      </c>
      <c r="H846" s="5">
        <v>82610</v>
      </c>
      <c r="I846" s="5">
        <v>22863881.26</v>
      </c>
      <c r="J846" s="6">
        <v>0.0058</v>
      </c>
      <c r="K846" s="6">
        <v>-0.0832</v>
      </c>
    </row>
    <row r="847" ht="14.5" spans="1:11">
      <c r="A847" s="3" t="str">
        <f t="shared" si="45"/>
        <v>2026年</v>
      </c>
      <c r="B847" s="3" t="str">
        <f t="shared" si="46"/>
        <v>1月</v>
      </c>
      <c r="C847" s="4" t="str">
        <f t="shared" si="47"/>
        <v>W4</v>
      </c>
      <c r="D847" s="2" t="s">
        <v>761</v>
      </c>
      <c r="E847" s="2" t="s">
        <v>720</v>
      </c>
      <c r="F847" s="2" t="str" cm="1">
        <f t="array" ref="F847">INDEX(_xlfn.TEXTSPLIT(E847,"-"),2)</f>
        <v>女装</v>
      </c>
      <c r="G847" s="2" t="str" cm="1">
        <f t="array" ref="G847">INDEX(_xlfn.TEXTSPLIT(E847,"-"),3)</f>
        <v>皮草</v>
      </c>
      <c r="H847" s="5">
        <v>236863</v>
      </c>
      <c r="I847" s="5">
        <v>452485053.27</v>
      </c>
      <c r="J847" s="6">
        <v>0.1143</v>
      </c>
      <c r="K847" s="6">
        <v>0.0719</v>
      </c>
    </row>
    <row r="848" ht="14.5" spans="1:11">
      <c r="A848" s="3" t="str">
        <f t="shared" si="45"/>
        <v>2026年</v>
      </c>
      <c r="B848" s="3" t="str">
        <f t="shared" si="46"/>
        <v>1月</v>
      </c>
      <c r="C848" s="4" t="str">
        <f t="shared" si="47"/>
        <v>W4</v>
      </c>
      <c r="D848" s="2" t="s">
        <v>761</v>
      </c>
      <c r="E848" s="2" t="s">
        <v>721</v>
      </c>
      <c r="F848" s="2" t="str" cm="1">
        <f t="array" ref="F848">INDEX(_xlfn.TEXTSPLIT(E848,"-"),2)</f>
        <v>女装</v>
      </c>
      <c r="G848" s="2" t="str" cm="1">
        <f t="array" ref="G848">INDEX(_xlfn.TEXTSPLIT(E848,"-"),3)</f>
        <v>皮衣</v>
      </c>
      <c r="H848" s="5">
        <v>129213</v>
      </c>
      <c r="I848" s="5">
        <v>59696450.84</v>
      </c>
      <c r="J848" s="6">
        <v>0.0151</v>
      </c>
      <c r="K848" s="6">
        <v>0.2634</v>
      </c>
    </row>
    <row r="849" ht="14.5" spans="1:11">
      <c r="A849" s="3" t="str">
        <f t="shared" si="45"/>
        <v>2026年</v>
      </c>
      <c r="B849" s="3" t="str">
        <f t="shared" si="46"/>
        <v>1月</v>
      </c>
      <c r="C849" s="4" t="str">
        <f t="shared" si="47"/>
        <v>W4</v>
      </c>
      <c r="D849" s="2" t="s">
        <v>761</v>
      </c>
      <c r="E849" s="2" t="s">
        <v>722</v>
      </c>
      <c r="F849" s="2" t="str" cm="1">
        <f t="array" ref="F849">INDEX(_xlfn.TEXTSPLIT(E849,"-"),2)</f>
        <v>女装</v>
      </c>
      <c r="G849" s="2" t="str" cm="1">
        <f t="array" ref="G849">INDEX(_xlfn.TEXTSPLIT(E849,"-"),3)</f>
        <v>短外套</v>
      </c>
      <c r="H849" s="5">
        <v>1386186</v>
      </c>
      <c r="I849" s="5">
        <v>302582244.31</v>
      </c>
      <c r="J849" s="6">
        <v>0.0764</v>
      </c>
      <c r="K849" s="6">
        <v>0.097</v>
      </c>
    </row>
    <row r="850" ht="14.5" spans="1:11">
      <c r="A850" s="3" t="str">
        <f t="shared" ref="A850:A865" si="48">TEXT(YEAR(D850),"0")&amp;"年"</f>
        <v>2026年</v>
      </c>
      <c r="B850" s="3" t="str">
        <f t="shared" ref="B850:B865" si="49">TEXT(MONTH(D850),"0")&amp;"月"</f>
        <v>1月</v>
      </c>
      <c r="C850" s="4" t="str">
        <f t="shared" ref="C850:C865" si="50">"W"&amp;TEXT(WEEKNUM(D850,2),"0")</f>
        <v>W4</v>
      </c>
      <c r="D850" s="2" t="s">
        <v>761</v>
      </c>
      <c r="E850" s="2" t="s">
        <v>723</v>
      </c>
      <c r="F850" s="2" t="str" cm="1">
        <f t="array" ref="F850">INDEX(_xlfn.TEXTSPLIT(E850,"-"),2)</f>
        <v>女装</v>
      </c>
      <c r="G850" s="2" t="str" cm="1">
        <f t="array" ref="G850">INDEX(_xlfn.TEXTSPLIT(E850,"-"),3)</f>
        <v>短裤</v>
      </c>
      <c r="H850" s="5">
        <v>107030</v>
      </c>
      <c r="I850" s="5">
        <v>6507008.65</v>
      </c>
      <c r="J850" s="6">
        <v>0.0016</v>
      </c>
      <c r="K850" s="6">
        <v>-0.0613</v>
      </c>
    </row>
    <row r="851" ht="14.5" spans="1:11">
      <c r="A851" s="3" t="str">
        <f t="shared" si="48"/>
        <v>2026年</v>
      </c>
      <c r="B851" s="3" t="str">
        <f t="shared" si="49"/>
        <v>1月</v>
      </c>
      <c r="C851" s="4" t="str">
        <f t="shared" si="50"/>
        <v>W4</v>
      </c>
      <c r="D851" s="2" t="s">
        <v>761</v>
      </c>
      <c r="E851" s="2" t="s">
        <v>724</v>
      </c>
      <c r="F851" s="2" t="str" cm="1">
        <f t="array" ref="F851">INDEX(_xlfn.TEXTSPLIT(E851,"-"),2)</f>
        <v>女装</v>
      </c>
      <c r="G851" s="2" t="str" cm="1">
        <f t="array" ref="G851">INDEX(_xlfn.TEXTSPLIT(E851,"-"),3)</f>
        <v>羊毛衫</v>
      </c>
      <c r="H851" s="5">
        <v>538105</v>
      </c>
      <c r="I851" s="5">
        <v>72204456.35</v>
      </c>
      <c r="J851" s="6">
        <v>0.0182</v>
      </c>
      <c r="K851" s="6">
        <v>0.0525</v>
      </c>
    </row>
    <row r="852" ht="14.5" spans="1:11">
      <c r="A852" s="3" t="str">
        <f t="shared" si="48"/>
        <v>2026年</v>
      </c>
      <c r="B852" s="3" t="str">
        <f t="shared" si="49"/>
        <v>1月</v>
      </c>
      <c r="C852" s="4" t="str">
        <f t="shared" si="50"/>
        <v>W4</v>
      </c>
      <c r="D852" s="2" t="s">
        <v>761</v>
      </c>
      <c r="E852" s="2" t="s">
        <v>725</v>
      </c>
      <c r="F852" s="2" t="str" cm="1">
        <f t="array" ref="F852">INDEX(_xlfn.TEXTSPLIT(E852,"-"),2)</f>
        <v>女装</v>
      </c>
      <c r="G852" s="2" t="str" cm="1">
        <f t="array" ref="G852">INDEX(_xlfn.TEXTSPLIT(E852,"-"),3)</f>
        <v>羊绒大衣</v>
      </c>
      <c r="H852" s="5">
        <v>7174</v>
      </c>
      <c r="I852" s="5">
        <v>3683111.79</v>
      </c>
      <c r="J852" s="6">
        <v>0.0009</v>
      </c>
      <c r="K852" s="6">
        <v>0.2564</v>
      </c>
    </row>
    <row r="853" ht="14.5" spans="1:11">
      <c r="A853" s="3" t="str">
        <f t="shared" si="48"/>
        <v>2026年</v>
      </c>
      <c r="B853" s="3" t="str">
        <f t="shared" si="49"/>
        <v>1月</v>
      </c>
      <c r="C853" s="4" t="str">
        <f t="shared" si="50"/>
        <v>W4</v>
      </c>
      <c r="D853" s="2" t="s">
        <v>761</v>
      </c>
      <c r="E853" s="2" t="s">
        <v>726</v>
      </c>
      <c r="F853" s="2" t="str" cm="1">
        <f t="array" ref="F853">INDEX(_xlfn.TEXTSPLIT(E853,"-"),2)</f>
        <v>女装</v>
      </c>
      <c r="G853" s="2" t="str" cm="1">
        <f t="array" ref="G853">INDEX(_xlfn.TEXTSPLIT(E853,"-"),3)</f>
        <v>羊绒衫</v>
      </c>
      <c r="H853" s="5">
        <v>162382</v>
      </c>
      <c r="I853" s="5">
        <v>57050265.48</v>
      </c>
      <c r="J853" s="6">
        <v>0.0144</v>
      </c>
      <c r="K853" s="6">
        <v>0.2436</v>
      </c>
    </row>
    <row r="854" ht="14.5" spans="1:11">
      <c r="A854" s="3" t="str">
        <f t="shared" si="48"/>
        <v>2026年</v>
      </c>
      <c r="B854" s="3" t="str">
        <f t="shared" si="49"/>
        <v>1月</v>
      </c>
      <c r="C854" s="4" t="str">
        <f t="shared" si="50"/>
        <v>W4</v>
      </c>
      <c r="D854" s="2" t="s">
        <v>761</v>
      </c>
      <c r="E854" s="2" t="s">
        <v>727</v>
      </c>
      <c r="F854" s="2" t="str" cm="1">
        <f t="array" ref="F854">INDEX(_xlfn.TEXTSPLIT(E854,"-"),2)</f>
        <v>女装</v>
      </c>
      <c r="G854" s="2" t="str" cm="1">
        <f t="array" ref="G854">INDEX(_xlfn.TEXTSPLIT(E854,"-"),3)</f>
        <v>羽绒服</v>
      </c>
      <c r="H854" s="5">
        <v>2199137</v>
      </c>
      <c r="I854" s="5">
        <v>867239567.97</v>
      </c>
      <c r="J854" s="6">
        <v>0.2191</v>
      </c>
      <c r="K854" s="6">
        <v>0.0314</v>
      </c>
    </row>
    <row r="855" ht="14.5" spans="1:11">
      <c r="A855" s="3" t="str">
        <f t="shared" si="48"/>
        <v>2026年</v>
      </c>
      <c r="B855" s="3" t="str">
        <f t="shared" si="49"/>
        <v>1月</v>
      </c>
      <c r="C855" s="4" t="str">
        <f t="shared" si="50"/>
        <v>W4</v>
      </c>
      <c r="D855" s="2" t="s">
        <v>761</v>
      </c>
      <c r="E855" s="2" t="s">
        <v>728</v>
      </c>
      <c r="F855" s="2" t="str" cm="1">
        <f t="array" ref="F855">INDEX(_xlfn.TEXTSPLIT(E855,"-"),2)</f>
        <v>女装</v>
      </c>
      <c r="G855" s="2" t="str" cm="1">
        <f t="array" ref="G855">INDEX(_xlfn.TEXTSPLIT(E855,"-"),3)</f>
        <v>肌底衣/肌肤衣</v>
      </c>
      <c r="H855" s="5">
        <v>5141</v>
      </c>
      <c r="I855" s="5">
        <v>358982.77</v>
      </c>
      <c r="J855" s="6">
        <v>0.0001</v>
      </c>
      <c r="K855" s="6">
        <v>-0.0053</v>
      </c>
    </row>
    <row r="856" ht="14.5" spans="1:11">
      <c r="A856" s="3" t="str">
        <f t="shared" si="48"/>
        <v>2026年</v>
      </c>
      <c r="B856" s="3" t="str">
        <f t="shared" si="49"/>
        <v>1月</v>
      </c>
      <c r="C856" s="4" t="str">
        <f t="shared" si="50"/>
        <v>W4</v>
      </c>
      <c r="D856" s="2" t="s">
        <v>761</v>
      </c>
      <c r="E856" s="2" t="s">
        <v>729</v>
      </c>
      <c r="F856" s="2" t="str" cm="1">
        <f t="array" ref="F856">INDEX(_xlfn.TEXTSPLIT(E856,"-"),2)</f>
        <v>女装</v>
      </c>
      <c r="G856" s="2" t="str" cm="1">
        <f t="array" ref="G856">INDEX(_xlfn.TEXTSPLIT(E856,"-"),3)</f>
        <v>背心吊带</v>
      </c>
      <c r="H856" s="5">
        <v>213844</v>
      </c>
      <c r="I856" s="5">
        <v>12342158.79</v>
      </c>
      <c r="J856" s="6">
        <v>0.0031</v>
      </c>
      <c r="K856" s="6">
        <v>-0.009</v>
      </c>
    </row>
    <row r="857" ht="14.5" spans="1:11">
      <c r="A857" s="3" t="str">
        <f t="shared" si="48"/>
        <v>2026年</v>
      </c>
      <c r="B857" s="3" t="str">
        <f t="shared" si="49"/>
        <v>1月</v>
      </c>
      <c r="C857" s="4" t="str">
        <f t="shared" si="50"/>
        <v>W4</v>
      </c>
      <c r="D857" s="2" t="s">
        <v>761</v>
      </c>
      <c r="E857" s="2" t="s">
        <v>730</v>
      </c>
      <c r="F857" s="2" t="str" cm="1">
        <f t="array" ref="F857">INDEX(_xlfn.TEXTSPLIT(E857,"-"),2)</f>
        <v>女装</v>
      </c>
      <c r="G857" s="2" t="str" cm="1">
        <f t="array" ref="G857">INDEX(_xlfn.TEXTSPLIT(E857,"-"),3)</f>
        <v>蕾丝衫/雪纺衫</v>
      </c>
      <c r="H857" s="5">
        <v>185731</v>
      </c>
      <c r="I857" s="5">
        <v>13164099.3</v>
      </c>
      <c r="J857" s="6">
        <v>0.0033</v>
      </c>
      <c r="K857" s="6">
        <v>0.1624</v>
      </c>
    </row>
    <row r="858" ht="14.5" spans="1:11">
      <c r="A858" s="3" t="str">
        <f t="shared" si="48"/>
        <v>2026年</v>
      </c>
      <c r="B858" s="3" t="str">
        <f t="shared" si="49"/>
        <v>1月</v>
      </c>
      <c r="C858" s="4" t="str">
        <f t="shared" si="50"/>
        <v>W4</v>
      </c>
      <c r="D858" s="2" t="s">
        <v>761</v>
      </c>
      <c r="E858" s="2" t="s">
        <v>731</v>
      </c>
      <c r="F858" s="2" t="str" cm="1">
        <f t="array" ref="F858">INDEX(_xlfn.TEXTSPLIT(E858,"-"),2)</f>
        <v>女装</v>
      </c>
      <c r="G858" s="2" t="str" cm="1">
        <f t="array" ref="G858">INDEX(_xlfn.TEXTSPLIT(E858,"-"),3)</f>
        <v>衬衫</v>
      </c>
      <c r="H858" s="5">
        <v>494153</v>
      </c>
      <c r="I858" s="5">
        <v>61701352.91</v>
      </c>
      <c r="J858" s="6">
        <v>0.0156</v>
      </c>
      <c r="K858" s="6">
        <v>0.2669</v>
      </c>
    </row>
    <row r="859" ht="14.5" spans="1:11">
      <c r="A859" s="3" t="str">
        <f t="shared" si="48"/>
        <v>2026年</v>
      </c>
      <c r="B859" s="3" t="str">
        <f t="shared" si="49"/>
        <v>1月</v>
      </c>
      <c r="C859" s="4" t="str">
        <f t="shared" si="50"/>
        <v>W4</v>
      </c>
      <c r="D859" s="2" t="s">
        <v>761</v>
      </c>
      <c r="E859" s="2" t="s">
        <v>732</v>
      </c>
      <c r="F859" s="2" t="str" cm="1">
        <f t="array" ref="F859">INDEX(_xlfn.TEXTSPLIT(E859,"-"),2)</f>
        <v>女装</v>
      </c>
      <c r="G859" s="2" t="str" cm="1">
        <f t="array" ref="G859">INDEX(_xlfn.TEXTSPLIT(E859,"-"),3)</f>
        <v>裤子</v>
      </c>
      <c r="H859" s="5">
        <v>4818180</v>
      </c>
      <c r="I859" s="5">
        <v>460616094.65</v>
      </c>
      <c r="J859" s="6">
        <v>0.1164</v>
      </c>
      <c r="K859" s="6">
        <v>0.0566</v>
      </c>
    </row>
    <row r="860" ht="14.5" spans="1:11">
      <c r="A860" s="3" t="str">
        <f t="shared" si="48"/>
        <v>2026年</v>
      </c>
      <c r="B860" s="3" t="str">
        <f t="shared" si="49"/>
        <v>1月</v>
      </c>
      <c r="C860" s="4" t="str">
        <f t="shared" si="50"/>
        <v>W4</v>
      </c>
      <c r="D860" s="2" t="s">
        <v>761</v>
      </c>
      <c r="E860" s="2" t="s">
        <v>733</v>
      </c>
      <c r="F860" s="2" t="str" cm="1">
        <f t="array" ref="F860">INDEX(_xlfn.TEXTSPLIT(E860,"-"),2)</f>
        <v>女装</v>
      </c>
      <c r="G860" s="2" t="str" cm="1">
        <f t="array" ref="G860">INDEX(_xlfn.TEXTSPLIT(E860,"-"),3)</f>
        <v>西装</v>
      </c>
      <c r="H860" s="5">
        <v>60009</v>
      </c>
      <c r="I860" s="5">
        <v>21509724.36</v>
      </c>
      <c r="J860" s="6">
        <v>0.0054</v>
      </c>
      <c r="K860" s="6">
        <v>0.7842</v>
      </c>
    </row>
    <row r="861" ht="14.5" spans="1:11">
      <c r="A861" s="3" t="str">
        <f t="shared" si="48"/>
        <v>2026年</v>
      </c>
      <c r="B861" s="3" t="str">
        <f t="shared" si="49"/>
        <v>1月</v>
      </c>
      <c r="C861" s="4" t="str">
        <f t="shared" si="50"/>
        <v>W4</v>
      </c>
      <c r="D861" s="2" t="s">
        <v>761</v>
      </c>
      <c r="E861" s="2" t="s">
        <v>734</v>
      </c>
      <c r="F861" s="2" t="str" cm="1">
        <f t="array" ref="F861">INDEX(_xlfn.TEXTSPLIT(E861,"-"),2)</f>
        <v>女装</v>
      </c>
      <c r="G861" s="2" t="str" cm="1">
        <f t="array" ref="G861">INDEX(_xlfn.TEXTSPLIT(E861,"-"),3)</f>
        <v>设计师/潮牌女装</v>
      </c>
      <c r="H861" s="5">
        <v>568487</v>
      </c>
      <c r="I861" s="5">
        <v>62189191.88</v>
      </c>
      <c r="J861" s="6">
        <v>0.0157</v>
      </c>
      <c r="K861" s="6">
        <v>0.115</v>
      </c>
    </row>
    <row r="862" ht="14.5" spans="1:11">
      <c r="A862" s="3" t="str">
        <f t="shared" si="48"/>
        <v>2026年</v>
      </c>
      <c r="B862" s="3" t="str">
        <f t="shared" si="49"/>
        <v>1月</v>
      </c>
      <c r="C862" s="4" t="str">
        <f t="shared" si="50"/>
        <v>W4</v>
      </c>
      <c r="D862" s="2" t="s">
        <v>761</v>
      </c>
      <c r="E862" s="2" t="s">
        <v>735</v>
      </c>
      <c r="F862" s="2" t="str" cm="1">
        <f t="array" ref="F862">INDEX(_xlfn.TEXTSPLIT(E862,"-"),2)</f>
        <v>女装</v>
      </c>
      <c r="G862" s="2" t="str" cm="1">
        <f t="array" ref="G862">INDEX(_xlfn.TEXTSPLIT(E862,"-"),3)</f>
        <v>连体衣/裤</v>
      </c>
      <c r="H862" s="5">
        <v>12855</v>
      </c>
      <c r="I862" s="5">
        <v>2256664.72</v>
      </c>
      <c r="J862" s="6">
        <v>0.0006</v>
      </c>
      <c r="K862" s="6">
        <v>0.4077</v>
      </c>
    </row>
    <row r="863" ht="14.5" spans="1:11">
      <c r="A863" s="3" t="str">
        <f t="shared" si="48"/>
        <v>2026年</v>
      </c>
      <c r="B863" s="3" t="str">
        <f t="shared" si="49"/>
        <v>1月</v>
      </c>
      <c r="C863" s="4" t="str">
        <f t="shared" si="50"/>
        <v>W4</v>
      </c>
      <c r="D863" s="2" t="s">
        <v>761</v>
      </c>
      <c r="E863" s="2" t="s">
        <v>736</v>
      </c>
      <c r="F863" s="2" t="str" cm="1">
        <f t="array" ref="F863">INDEX(_xlfn.TEXTSPLIT(E863,"-"),2)</f>
        <v>女装</v>
      </c>
      <c r="G863" s="2" t="str" cm="1">
        <f t="array" ref="G863">INDEX(_xlfn.TEXTSPLIT(E863,"-"),3)</f>
        <v>连衣裙</v>
      </c>
      <c r="H863" s="5">
        <v>808148</v>
      </c>
      <c r="I863" s="5">
        <v>112530006.81</v>
      </c>
      <c r="J863" s="6">
        <v>0.0284</v>
      </c>
      <c r="K863" s="6">
        <v>0.1241</v>
      </c>
    </row>
    <row r="864" ht="14.5" spans="1:11">
      <c r="A864" s="3" t="str">
        <f t="shared" si="48"/>
        <v>2026年</v>
      </c>
      <c r="B864" s="3" t="str">
        <f t="shared" si="49"/>
        <v>1月</v>
      </c>
      <c r="C864" s="4" t="str">
        <f t="shared" si="50"/>
        <v>W4</v>
      </c>
      <c r="D864" s="2" t="s">
        <v>761</v>
      </c>
      <c r="E864" s="2" t="s">
        <v>737</v>
      </c>
      <c r="F864" s="2" t="str" cm="1">
        <f t="array" ref="F864">INDEX(_xlfn.TEXTSPLIT(E864,"-"),2)</f>
        <v>女装</v>
      </c>
      <c r="G864" s="2" t="str" cm="1">
        <f t="array" ref="G864">INDEX(_xlfn.TEXTSPLIT(E864,"-"),3)</f>
        <v>风衣</v>
      </c>
      <c r="H864" s="5">
        <v>101603</v>
      </c>
      <c r="I864" s="5">
        <v>20409494.53</v>
      </c>
      <c r="J864" s="6">
        <v>0.0052</v>
      </c>
      <c r="K864" s="6">
        <v>0.4084</v>
      </c>
    </row>
    <row r="865" ht="14.5" spans="1:11">
      <c r="A865" s="3" t="str">
        <f t="shared" si="48"/>
        <v>2026年</v>
      </c>
      <c r="B865" s="3" t="str">
        <f t="shared" si="49"/>
        <v>1月</v>
      </c>
      <c r="C865" s="4" t="str">
        <f t="shared" si="50"/>
        <v>W4</v>
      </c>
      <c r="D865" s="2" t="s">
        <v>761</v>
      </c>
      <c r="E865" s="2" t="s">
        <v>738</v>
      </c>
      <c r="F865" s="2" t="str" cm="1">
        <f t="array" ref="F865">INDEX(_xlfn.TEXTSPLIT(E865,"-"),2)</f>
        <v>女装</v>
      </c>
      <c r="G865" s="2" t="str" cm="1">
        <f t="array" ref="G865">INDEX(_xlfn.TEXTSPLIT(E865,"-"),3)</f>
        <v>马夹</v>
      </c>
      <c r="H865" s="5">
        <v>411989</v>
      </c>
      <c r="I865" s="5">
        <v>46316511.16</v>
      </c>
      <c r="J865" s="6">
        <v>0.0117</v>
      </c>
      <c r="K865" s="6">
        <v>0.1439</v>
      </c>
    </row>
    <row r="866" ht="14.5" spans="1:11">
      <c r="A866" s="3" t="str">
        <f t="shared" ref="A866:A901" si="51">TEXT(YEAR(D866),"0")&amp;"年"</f>
        <v>2026年</v>
      </c>
      <c r="B866" s="3" t="str">
        <f t="shared" ref="B866:B901" si="52">TEXT(MONTH(D866),"0")&amp;"月"</f>
        <v>1月</v>
      </c>
      <c r="C866" s="4" t="str">
        <f t="shared" ref="C866:C901" si="53">"W"&amp;TEXT(WEEKNUM(D866,2),"0")</f>
        <v>W4</v>
      </c>
      <c r="D866" s="2" t="s">
        <v>762</v>
      </c>
      <c r="E866" s="2" t="s">
        <v>702</v>
      </c>
      <c r="F866" s="2" t="str" cm="1">
        <f t="array" ref="F866">INDEX(_xlfn.TEXTSPLIT(E866,"-"),2)</f>
        <v>女装</v>
      </c>
      <c r="G866" s="2" t="str" cm="1">
        <f t="array" ref="G866">INDEX(_xlfn.TEXTSPLIT(E866,"-"),3)</f>
        <v>POLO衫</v>
      </c>
      <c r="H866" s="5">
        <v>16917</v>
      </c>
      <c r="I866" s="5">
        <v>1188460.89</v>
      </c>
      <c r="J866" s="6">
        <v>0.0003</v>
      </c>
      <c r="K866" s="6">
        <v>-0.0541</v>
      </c>
    </row>
    <row r="867" ht="14.5" spans="1:11">
      <c r="A867" s="3" t="str">
        <f t="shared" si="51"/>
        <v>2026年</v>
      </c>
      <c r="B867" s="3" t="str">
        <f t="shared" si="52"/>
        <v>1月</v>
      </c>
      <c r="C867" s="4" t="str">
        <f t="shared" si="53"/>
        <v>W4</v>
      </c>
      <c r="D867" s="2" t="s">
        <v>762</v>
      </c>
      <c r="E867" s="2" t="s">
        <v>703</v>
      </c>
      <c r="F867" s="2" t="str" cm="1">
        <f t="array" ref="F867">INDEX(_xlfn.TEXTSPLIT(E867,"-"),2)</f>
        <v>女装</v>
      </c>
      <c r="G867" s="2" t="str" cm="1">
        <f t="array" ref="G867">INDEX(_xlfn.TEXTSPLIT(E867,"-"),3)</f>
        <v>T恤</v>
      </c>
      <c r="H867" s="5">
        <v>1479168</v>
      </c>
      <c r="I867" s="5">
        <v>86207368.9</v>
      </c>
      <c r="J867" s="6">
        <v>0.0214</v>
      </c>
      <c r="K867" s="6">
        <v>-0.0073</v>
      </c>
    </row>
    <row r="868" ht="14.5" spans="1:11">
      <c r="A868" s="3" t="str">
        <f t="shared" si="51"/>
        <v>2026年</v>
      </c>
      <c r="B868" s="3" t="str">
        <f t="shared" si="52"/>
        <v>1月</v>
      </c>
      <c r="C868" s="4" t="str">
        <f t="shared" si="53"/>
        <v>W4</v>
      </c>
      <c r="D868" s="2" t="s">
        <v>762</v>
      </c>
      <c r="E868" s="2" t="s">
        <v>704</v>
      </c>
      <c r="F868" s="2" t="str" cm="1">
        <f t="array" ref="F868">INDEX(_xlfn.TEXTSPLIT(E868,"-"),2)</f>
        <v>女装</v>
      </c>
      <c r="G868" s="2" t="str" cm="1">
        <f t="array" ref="G868">INDEX(_xlfn.TEXTSPLIT(E868,"-"),3)</f>
        <v>中老年女装</v>
      </c>
      <c r="H868" s="5">
        <v>541147</v>
      </c>
      <c r="I868" s="5">
        <v>66728714.89</v>
      </c>
      <c r="J868" s="6">
        <v>0.0166</v>
      </c>
      <c r="K868" s="6">
        <v>-0.0472</v>
      </c>
    </row>
    <row r="869" ht="14.5" spans="1:11">
      <c r="A869" s="3" t="str">
        <f t="shared" si="51"/>
        <v>2026年</v>
      </c>
      <c r="B869" s="3" t="str">
        <f t="shared" si="52"/>
        <v>1月</v>
      </c>
      <c r="C869" s="4" t="str">
        <f t="shared" si="53"/>
        <v>W4</v>
      </c>
      <c r="D869" s="2" t="s">
        <v>762</v>
      </c>
      <c r="E869" s="2" t="s">
        <v>705</v>
      </c>
      <c r="F869" s="2" t="str" cm="1">
        <f t="array" ref="F869">INDEX(_xlfn.TEXTSPLIT(E869,"-"),2)</f>
        <v>女装</v>
      </c>
      <c r="G869" s="2" t="str" cm="1">
        <f t="array" ref="G869">INDEX(_xlfn.TEXTSPLIT(E869,"-"),3)</f>
        <v>半身裙</v>
      </c>
      <c r="H869" s="5">
        <v>820434</v>
      </c>
      <c r="I869" s="5">
        <v>73089859.34</v>
      </c>
      <c r="J869" s="6">
        <v>0.0181</v>
      </c>
      <c r="K869" s="6">
        <v>-0.0135</v>
      </c>
    </row>
    <row r="870" ht="14.5" spans="1:11">
      <c r="A870" s="3" t="str">
        <f t="shared" si="51"/>
        <v>2026年</v>
      </c>
      <c r="B870" s="3" t="str">
        <f t="shared" si="52"/>
        <v>1月</v>
      </c>
      <c r="C870" s="4" t="str">
        <f t="shared" si="53"/>
        <v>W4</v>
      </c>
      <c r="D870" s="2" t="s">
        <v>762</v>
      </c>
      <c r="E870" s="2" t="s">
        <v>706</v>
      </c>
      <c r="F870" s="2" t="str" cm="1">
        <f t="array" ref="F870">INDEX(_xlfn.TEXTSPLIT(E870,"-"),2)</f>
        <v>女装</v>
      </c>
      <c r="G870" s="2" t="str" cm="1">
        <f t="array" ref="G870">INDEX(_xlfn.TEXTSPLIT(E870,"-"),3)</f>
        <v>卫衣/绒衫</v>
      </c>
      <c r="H870" s="5">
        <v>503437</v>
      </c>
      <c r="I870" s="5">
        <v>39260480.97</v>
      </c>
      <c r="J870" s="6">
        <v>0.0097</v>
      </c>
      <c r="K870" s="6">
        <v>0.0436</v>
      </c>
    </row>
    <row r="871" ht="14.5" spans="1:11">
      <c r="A871" s="3" t="str">
        <f t="shared" si="51"/>
        <v>2026年</v>
      </c>
      <c r="B871" s="3" t="str">
        <f t="shared" si="52"/>
        <v>1月</v>
      </c>
      <c r="C871" s="4" t="str">
        <f t="shared" si="53"/>
        <v>W4</v>
      </c>
      <c r="D871" s="2" t="s">
        <v>762</v>
      </c>
      <c r="E871" s="2" t="s">
        <v>707</v>
      </c>
      <c r="F871" s="2" t="str" cm="1">
        <f t="array" ref="F871">INDEX(_xlfn.TEXTSPLIT(E871,"-"),2)</f>
        <v>女装</v>
      </c>
      <c r="G871" s="2" t="str" cm="1">
        <f t="array" ref="G871">INDEX(_xlfn.TEXTSPLIT(E871,"-"),3)</f>
        <v>唐装/民族服装/舞台服装</v>
      </c>
      <c r="H871" s="5">
        <v>241062</v>
      </c>
      <c r="I871" s="5">
        <v>45969249.65</v>
      </c>
      <c r="J871" s="6">
        <v>0.0114</v>
      </c>
      <c r="K871" s="6">
        <v>0.0935</v>
      </c>
    </row>
    <row r="872" ht="14.5" spans="1:11">
      <c r="A872" s="3" t="str">
        <f t="shared" si="51"/>
        <v>2026年</v>
      </c>
      <c r="B872" s="3" t="str">
        <f t="shared" si="52"/>
        <v>1月</v>
      </c>
      <c r="C872" s="4" t="str">
        <f t="shared" si="53"/>
        <v>W4</v>
      </c>
      <c r="D872" s="2" t="s">
        <v>762</v>
      </c>
      <c r="E872" s="2" t="s">
        <v>708</v>
      </c>
      <c r="F872" s="2" t="str" cm="1">
        <f t="array" ref="F872">INDEX(_xlfn.TEXTSPLIT(E872,"-"),2)</f>
        <v>女装</v>
      </c>
      <c r="G872" s="2" t="str" cm="1">
        <f t="array" ref="G872">INDEX(_xlfn.TEXTSPLIT(E872,"-"),3)</f>
        <v>大码女装</v>
      </c>
      <c r="H872" s="5">
        <v>688903</v>
      </c>
      <c r="I872" s="5">
        <v>64101962.1</v>
      </c>
      <c r="J872" s="6">
        <v>0.0159</v>
      </c>
      <c r="K872" s="6">
        <v>-0.0401</v>
      </c>
    </row>
    <row r="873" ht="14.5" spans="1:11">
      <c r="A873" s="3" t="str">
        <f t="shared" si="51"/>
        <v>2026年</v>
      </c>
      <c r="B873" s="3" t="str">
        <f t="shared" si="52"/>
        <v>1月</v>
      </c>
      <c r="C873" s="4" t="str">
        <f t="shared" si="53"/>
        <v>W4</v>
      </c>
      <c r="D873" s="2" t="s">
        <v>762</v>
      </c>
      <c r="E873" s="2" t="s">
        <v>709</v>
      </c>
      <c r="F873" s="2" t="str" cm="1">
        <f t="array" ref="F873">INDEX(_xlfn.TEXTSPLIT(E873,"-"),2)</f>
        <v>女装</v>
      </c>
      <c r="G873" s="2" t="str" cm="1">
        <f t="array" ref="G873">INDEX(_xlfn.TEXTSPLIT(E873,"-"),3)</f>
        <v>套装/学生校服/工作制服</v>
      </c>
      <c r="H873" s="5">
        <v>979618</v>
      </c>
      <c r="I873" s="5">
        <v>139865517.87</v>
      </c>
      <c r="J873" s="6">
        <v>0.0347</v>
      </c>
      <c r="K873" s="6">
        <v>-0.0712</v>
      </c>
    </row>
    <row r="874" ht="14.5" spans="1:11">
      <c r="A874" s="3" t="str">
        <f t="shared" si="51"/>
        <v>2026年</v>
      </c>
      <c r="B874" s="3" t="str">
        <f t="shared" si="52"/>
        <v>1月</v>
      </c>
      <c r="C874" s="4" t="str">
        <f t="shared" si="53"/>
        <v>W4</v>
      </c>
      <c r="D874" s="2" t="s">
        <v>762</v>
      </c>
      <c r="E874" s="2" t="s">
        <v>710</v>
      </c>
      <c r="F874" s="2" t="str" cm="1">
        <f t="array" ref="F874">INDEX(_xlfn.TEXTSPLIT(E874,"-"),2)</f>
        <v>女装</v>
      </c>
      <c r="G874" s="2" t="str" cm="1">
        <f t="array" ref="G874">INDEX(_xlfn.TEXTSPLIT(E874,"-"),3)</f>
        <v>婚纱/旗袍/礼服</v>
      </c>
      <c r="H874" s="5">
        <v>62103</v>
      </c>
      <c r="I874" s="5">
        <v>10613166.81</v>
      </c>
      <c r="J874" s="6">
        <v>0.0026</v>
      </c>
      <c r="K874" s="6">
        <v>-0.0227</v>
      </c>
    </row>
    <row r="875" ht="14.5" spans="1:11">
      <c r="A875" s="3" t="str">
        <f t="shared" si="51"/>
        <v>2026年</v>
      </c>
      <c r="B875" s="3" t="str">
        <f t="shared" si="52"/>
        <v>1月</v>
      </c>
      <c r="C875" s="4" t="str">
        <f t="shared" si="53"/>
        <v>W4</v>
      </c>
      <c r="D875" s="2" t="s">
        <v>762</v>
      </c>
      <c r="E875" s="2" t="s">
        <v>711</v>
      </c>
      <c r="F875" s="2" t="str" cm="1">
        <f t="array" ref="F875">INDEX(_xlfn.TEXTSPLIT(E875,"-"),2)</f>
        <v>女装</v>
      </c>
      <c r="G875" s="2" t="str" cm="1">
        <f t="array" ref="G875">INDEX(_xlfn.TEXTSPLIT(E875,"-"),3)</f>
        <v>新中式女装</v>
      </c>
      <c r="H875" s="5">
        <v>91645</v>
      </c>
      <c r="I875" s="5">
        <v>14661262.58</v>
      </c>
      <c r="J875" s="6">
        <v>0.0036</v>
      </c>
      <c r="K875" s="6">
        <v>-0.0799</v>
      </c>
    </row>
    <row r="876" ht="14.5" spans="1:11">
      <c r="A876" s="3" t="str">
        <f t="shared" si="51"/>
        <v>2026年</v>
      </c>
      <c r="B876" s="3" t="str">
        <f t="shared" si="52"/>
        <v>1月</v>
      </c>
      <c r="C876" s="4" t="str">
        <f t="shared" si="53"/>
        <v>W4</v>
      </c>
      <c r="D876" s="2" t="s">
        <v>762</v>
      </c>
      <c r="E876" s="2" t="s">
        <v>712</v>
      </c>
      <c r="F876" s="2" t="str" cm="1">
        <f t="array" ref="F876">INDEX(_xlfn.TEXTSPLIT(E876,"-"),2)</f>
        <v>女装</v>
      </c>
      <c r="G876" s="2" t="str" cm="1">
        <f t="array" ref="G876">INDEX(_xlfn.TEXTSPLIT(E876,"-"),3)</f>
        <v>时尚防晒服</v>
      </c>
      <c r="H876" s="5">
        <v>250</v>
      </c>
      <c r="I876" s="5">
        <v>26252.46</v>
      </c>
      <c r="J876" s="2" t="s">
        <v>713</v>
      </c>
      <c r="K876" s="6">
        <v>-0.5424</v>
      </c>
    </row>
    <row r="877" ht="14.5" spans="1:11">
      <c r="A877" s="3" t="str">
        <f t="shared" si="51"/>
        <v>2026年</v>
      </c>
      <c r="B877" s="3" t="str">
        <f t="shared" si="52"/>
        <v>1月</v>
      </c>
      <c r="C877" s="4" t="str">
        <f t="shared" si="53"/>
        <v>W4</v>
      </c>
      <c r="D877" s="2" t="s">
        <v>762</v>
      </c>
      <c r="E877" s="2" t="s">
        <v>714</v>
      </c>
      <c r="F877" s="2" t="str" cm="1">
        <f t="array" ref="F877">INDEX(_xlfn.TEXTSPLIT(E877,"-"),2)</f>
        <v>女装</v>
      </c>
      <c r="G877" s="2" t="str" cm="1">
        <f t="array" ref="G877">INDEX(_xlfn.TEXTSPLIT(E877,"-"),3)</f>
        <v>棉衣/棉服</v>
      </c>
      <c r="H877" s="5">
        <v>854335</v>
      </c>
      <c r="I877" s="5">
        <v>99433674.73</v>
      </c>
      <c r="J877" s="6">
        <v>0.0247</v>
      </c>
      <c r="K877" s="6">
        <v>0.0582</v>
      </c>
    </row>
    <row r="878" ht="14.5" spans="1:11">
      <c r="A878" s="3" t="str">
        <f t="shared" si="51"/>
        <v>2026年</v>
      </c>
      <c r="B878" s="3" t="str">
        <f t="shared" si="52"/>
        <v>1月</v>
      </c>
      <c r="C878" s="4" t="str">
        <f t="shared" si="53"/>
        <v>W4</v>
      </c>
      <c r="D878" s="2" t="s">
        <v>762</v>
      </c>
      <c r="E878" s="2" t="s">
        <v>715</v>
      </c>
      <c r="F878" s="2" t="str" cm="1">
        <f t="array" ref="F878">INDEX(_xlfn.TEXTSPLIT(E878,"-"),2)</f>
        <v>女装</v>
      </c>
      <c r="G878" s="2" t="str" cm="1">
        <f t="array" ref="G878">INDEX(_xlfn.TEXTSPLIT(E878,"-"),3)</f>
        <v>毛呢外套</v>
      </c>
      <c r="H878" s="5">
        <v>940548</v>
      </c>
      <c r="I878" s="5">
        <v>366354407.14</v>
      </c>
      <c r="J878" s="6">
        <v>0.091</v>
      </c>
      <c r="K878" s="6">
        <v>0.1246</v>
      </c>
    </row>
    <row r="879" ht="14.5" spans="1:11">
      <c r="A879" s="3" t="str">
        <f t="shared" si="51"/>
        <v>2026年</v>
      </c>
      <c r="B879" s="3" t="str">
        <f t="shared" si="52"/>
        <v>1月</v>
      </c>
      <c r="C879" s="4" t="str">
        <f t="shared" si="53"/>
        <v>W4</v>
      </c>
      <c r="D879" s="2" t="s">
        <v>762</v>
      </c>
      <c r="E879" s="2" t="s">
        <v>716</v>
      </c>
      <c r="F879" s="2" t="str" cm="1">
        <f t="array" ref="F879">INDEX(_xlfn.TEXTSPLIT(E879,"-"),2)</f>
        <v>女装</v>
      </c>
      <c r="G879" s="2" t="str" cm="1">
        <f t="array" ref="G879">INDEX(_xlfn.TEXTSPLIT(E879,"-"),3)</f>
        <v>毛衣</v>
      </c>
      <c r="H879" s="5">
        <v>522506</v>
      </c>
      <c r="I879" s="5">
        <v>48163642.96</v>
      </c>
      <c r="J879" s="6">
        <v>0.012</v>
      </c>
      <c r="K879" s="6">
        <v>-0.0995</v>
      </c>
    </row>
    <row r="880" ht="14.5" spans="1:11">
      <c r="A880" s="3" t="str">
        <f t="shared" si="51"/>
        <v>2026年</v>
      </c>
      <c r="B880" s="3" t="str">
        <f t="shared" si="52"/>
        <v>1月</v>
      </c>
      <c r="C880" s="4" t="str">
        <f t="shared" si="53"/>
        <v>W4</v>
      </c>
      <c r="D880" s="2" t="s">
        <v>762</v>
      </c>
      <c r="E880" s="2" t="s">
        <v>717</v>
      </c>
      <c r="F880" s="2" t="str" cm="1">
        <f t="array" ref="F880">INDEX(_xlfn.TEXTSPLIT(E880,"-"),2)</f>
        <v>女装</v>
      </c>
      <c r="G880" s="2" t="str" cm="1">
        <f t="array" ref="G880">INDEX(_xlfn.TEXTSPLIT(E880,"-"),3)</f>
        <v>毛针织衫</v>
      </c>
      <c r="H880" s="5">
        <v>2550921</v>
      </c>
      <c r="I880" s="5">
        <v>199093159.64</v>
      </c>
      <c r="J880" s="6">
        <v>0.0494</v>
      </c>
      <c r="K880" s="6">
        <v>-0.0526</v>
      </c>
    </row>
    <row r="881" ht="14.5" spans="1:11">
      <c r="A881" s="3" t="str">
        <f t="shared" si="51"/>
        <v>2026年</v>
      </c>
      <c r="B881" s="3" t="str">
        <f t="shared" si="52"/>
        <v>1月</v>
      </c>
      <c r="C881" s="4" t="str">
        <f t="shared" si="53"/>
        <v>W4</v>
      </c>
      <c r="D881" s="2" t="s">
        <v>762</v>
      </c>
      <c r="E881" s="2" t="s">
        <v>718</v>
      </c>
      <c r="F881" s="2" t="str" cm="1">
        <f t="array" ref="F881">INDEX(_xlfn.TEXTSPLIT(E881,"-"),2)</f>
        <v>女装</v>
      </c>
      <c r="G881" s="2" t="str" cm="1">
        <f t="array" ref="G881">INDEX(_xlfn.TEXTSPLIT(E881,"-"),3)</f>
        <v>汉服</v>
      </c>
      <c r="H881" s="5">
        <v>157564</v>
      </c>
      <c r="I881" s="5">
        <v>80444995.58</v>
      </c>
      <c r="J881" s="7">
        <v>0.02</v>
      </c>
      <c r="K881" s="6">
        <v>0.0164</v>
      </c>
    </row>
    <row r="882" ht="14.5" spans="1:11">
      <c r="A882" s="3" t="str">
        <f t="shared" si="51"/>
        <v>2026年</v>
      </c>
      <c r="B882" s="3" t="str">
        <f t="shared" si="52"/>
        <v>1月</v>
      </c>
      <c r="C882" s="4" t="str">
        <f t="shared" si="53"/>
        <v>W4</v>
      </c>
      <c r="D882" s="2" t="s">
        <v>762</v>
      </c>
      <c r="E882" s="2" t="s">
        <v>719</v>
      </c>
      <c r="F882" s="2" t="str" cm="1">
        <f t="array" ref="F882">INDEX(_xlfn.TEXTSPLIT(E882,"-"),2)</f>
        <v>女装</v>
      </c>
      <c r="G882" s="2" t="str" cm="1">
        <f t="array" ref="G882">INDEX(_xlfn.TEXTSPLIT(E882,"-"),3)</f>
        <v>派克服</v>
      </c>
      <c r="H882" s="5">
        <v>82984</v>
      </c>
      <c r="I882" s="5">
        <v>24336578.98</v>
      </c>
      <c r="J882" s="6">
        <v>0.006</v>
      </c>
      <c r="K882" s="6">
        <v>0.0567</v>
      </c>
    </row>
    <row r="883" ht="14.5" spans="1:11">
      <c r="A883" s="3" t="str">
        <f t="shared" si="51"/>
        <v>2026年</v>
      </c>
      <c r="B883" s="3" t="str">
        <f t="shared" si="52"/>
        <v>1月</v>
      </c>
      <c r="C883" s="4" t="str">
        <f t="shared" si="53"/>
        <v>W4</v>
      </c>
      <c r="D883" s="2" t="s">
        <v>762</v>
      </c>
      <c r="E883" s="2" t="s">
        <v>720</v>
      </c>
      <c r="F883" s="2" t="str" cm="1">
        <f t="array" ref="F883">INDEX(_xlfn.TEXTSPLIT(E883,"-"),2)</f>
        <v>女装</v>
      </c>
      <c r="G883" s="2" t="str" cm="1">
        <f t="array" ref="G883">INDEX(_xlfn.TEXTSPLIT(E883,"-"),3)</f>
        <v>皮草</v>
      </c>
      <c r="H883" s="5">
        <v>263810</v>
      </c>
      <c r="I883" s="5">
        <v>457991105.88</v>
      </c>
      <c r="J883" s="6">
        <v>0.1137</v>
      </c>
      <c r="K883" s="6">
        <v>-0.0145</v>
      </c>
    </row>
    <row r="884" ht="14.5" spans="1:11">
      <c r="A884" s="3" t="str">
        <f t="shared" si="51"/>
        <v>2026年</v>
      </c>
      <c r="B884" s="3" t="str">
        <f t="shared" si="52"/>
        <v>1月</v>
      </c>
      <c r="C884" s="4" t="str">
        <f t="shared" si="53"/>
        <v>W4</v>
      </c>
      <c r="D884" s="2" t="s">
        <v>762</v>
      </c>
      <c r="E884" s="2" t="s">
        <v>721</v>
      </c>
      <c r="F884" s="2" t="str" cm="1">
        <f t="array" ref="F884">INDEX(_xlfn.TEXTSPLIT(E884,"-"),2)</f>
        <v>女装</v>
      </c>
      <c r="G884" s="2" t="str" cm="1">
        <f t="array" ref="G884">INDEX(_xlfn.TEXTSPLIT(E884,"-"),3)</f>
        <v>皮衣</v>
      </c>
      <c r="H884" s="5">
        <v>146346</v>
      </c>
      <c r="I884" s="5">
        <v>65451445.72</v>
      </c>
      <c r="J884" s="6">
        <v>0.0163</v>
      </c>
      <c r="K884" s="6">
        <v>0.0869</v>
      </c>
    </row>
    <row r="885" ht="14.5" spans="1:11">
      <c r="A885" s="3" t="str">
        <f t="shared" si="51"/>
        <v>2026年</v>
      </c>
      <c r="B885" s="3" t="str">
        <f t="shared" si="52"/>
        <v>1月</v>
      </c>
      <c r="C885" s="4" t="str">
        <f t="shared" si="53"/>
        <v>W4</v>
      </c>
      <c r="D885" s="2" t="s">
        <v>762</v>
      </c>
      <c r="E885" s="2" t="s">
        <v>722</v>
      </c>
      <c r="F885" s="2" t="str" cm="1">
        <f t="array" ref="F885">INDEX(_xlfn.TEXTSPLIT(E885,"-"),2)</f>
        <v>女装</v>
      </c>
      <c r="G885" s="2" t="str" cm="1">
        <f t="array" ref="G885">INDEX(_xlfn.TEXTSPLIT(E885,"-"),3)</f>
        <v>短外套</v>
      </c>
      <c r="H885" s="5">
        <v>1455686</v>
      </c>
      <c r="I885" s="5">
        <v>322488469.52</v>
      </c>
      <c r="J885" s="6">
        <v>0.0801</v>
      </c>
      <c r="K885" s="6">
        <v>0.0478</v>
      </c>
    </row>
    <row r="886" ht="14.5" spans="1:11">
      <c r="A886" s="3" t="str">
        <f t="shared" si="51"/>
        <v>2026年</v>
      </c>
      <c r="B886" s="3" t="str">
        <f t="shared" si="52"/>
        <v>1月</v>
      </c>
      <c r="C886" s="4" t="str">
        <f t="shared" si="53"/>
        <v>W4</v>
      </c>
      <c r="D886" s="2" t="s">
        <v>762</v>
      </c>
      <c r="E886" s="2" t="s">
        <v>723</v>
      </c>
      <c r="F886" s="2" t="str" cm="1">
        <f t="array" ref="F886">INDEX(_xlfn.TEXTSPLIT(E886,"-"),2)</f>
        <v>女装</v>
      </c>
      <c r="G886" s="2" t="str" cm="1">
        <f t="array" ref="G886">INDEX(_xlfn.TEXTSPLIT(E886,"-"),3)</f>
        <v>短裤</v>
      </c>
      <c r="H886" s="5">
        <v>118152</v>
      </c>
      <c r="I886" s="5">
        <v>6848953.98</v>
      </c>
      <c r="J886" s="6">
        <v>0.0017</v>
      </c>
      <c r="K886" s="6">
        <v>0.0019</v>
      </c>
    </row>
    <row r="887" ht="14.5" spans="1:11">
      <c r="A887" s="3" t="str">
        <f t="shared" si="51"/>
        <v>2026年</v>
      </c>
      <c r="B887" s="3" t="str">
        <f t="shared" si="52"/>
        <v>1月</v>
      </c>
      <c r="C887" s="4" t="str">
        <f t="shared" si="53"/>
        <v>W4</v>
      </c>
      <c r="D887" s="2" t="s">
        <v>762</v>
      </c>
      <c r="E887" s="2" t="s">
        <v>724</v>
      </c>
      <c r="F887" s="2" t="str" cm="1">
        <f t="array" ref="F887">INDEX(_xlfn.TEXTSPLIT(E887,"-"),2)</f>
        <v>女装</v>
      </c>
      <c r="G887" s="2" t="str" cm="1">
        <f t="array" ref="G887">INDEX(_xlfn.TEXTSPLIT(E887,"-"),3)</f>
        <v>羊毛衫</v>
      </c>
      <c r="H887" s="5">
        <v>587781</v>
      </c>
      <c r="I887" s="5">
        <v>77389890.71</v>
      </c>
      <c r="J887" s="6">
        <v>0.0192</v>
      </c>
      <c r="K887" s="6">
        <v>0.0676</v>
      </c>
    </row>
    <row r="888" ht="14.5" spans="1:11">
      <c r="A888" s="3" t="str">
        <f t="shared" si="51"/>
        <v>2026年</v>
      </c>
      <c r="B888" s="3" t="str">
        <f t="shared" si="52"/>
        <v>1月</v>
      </c>
      <c r="C888" s="4" t="str">
        <f t="shared" si="53"/>
        <v>W4</v>
      </c>
      <c r="D888" s="2" t="s">
        <v>762</v>
      </c>
      <c r="E888" s="2" t="s">
        <v>725</v>
      </c>
      <c r="F888" s="2" t="str" cm="1">
        <f t="array" ref="F888">INDEX(_xlfn.TEXTSPLIT(E888,"-"),2)</f>
        <v>女装</v>
      </c>
      <c r="G888" s="2" t="str" cm="1">
        <f t="array" ref="G888">INDEX(_xlfn.TEXTSPLIT(E888,"-"),3)</f>
        <v>羊绒大衣</v>
      </c>
      <c r="H888" s="5">
        <v>7018</v>
      </c>
      <c r="I888" s="5">
        <v>4301440.57</v>
      </c>
      <c r="J888" s="6">
        <v>0.0011</v>
      </c>
      <c r="K888" s="6">
        <v>0.1443</v>
      </c>
    </row>
    <row r="889" ht="14.5" spans="1:11">
      <c r="A889" s="3" t="str">
        <f t="shared" si="51"/>
        <v>2026年</v>
      </c>
      <c r="B889" s="3" t="str">
        <f t="shared" si="52"/>
        <v>1月</v>
      </c>
      <c r="C889" s="4" t="str">
        <f t="shared" si="53"/>
        <v>W4</v>
      </c>
      <c r="D889" s="2" t="s">
        <v>762</v>
      </c>
      <c r="E889" s="2" t="s">
        <v>726</v>
      </c>
      <c r="F889" s="2" t="str" cm="1">
        <f t="array" ref="F889">INDEX(_xlfn.TEXTSPLIT(E889,"-"),2)</f>
        <v>女装</v>
      </c>
      <c r="G889" s="2" t="str" cm="1">
        <f t="array" ref="G889">INDEX(_xlfn.TEXTSPLIT(E889,"-"),3)</f>
        <v>羊绒衫</v>
      </c>
      <c r="H889" s="5">
        <v>177596</v>
      </c>
      <c r="I889" s="5">
        <v>55315449.62</v>
      </c>
      <c r="J889" s="6">
        <v>0.0137</v>
      </c>
      <c r="K889" s="6">
        <v>-0.0515</v>
      </c>
    </row>
    <row r="890" ht="14.5" spans="1:11">
      <c r="A890" s="3" t="str">
        <f t="shared" si="51"/>
        <v>2026年</v>
      </c>
      <c r="B890" s="3" t="str">
        <f t="shared" si="52"/>
        <v>1月</v>
      </c>
      <c r="C890" s="4" t="str">
        <f t="shared" si="53"/>
        <v>W4</v>
      </c>
      <c r="D890" s="2" t="s">
        <v>762</v>
      </c>
      <c r="E890" s="2" t="s">
        <v>727</v>
      </c>
      <c r="F890" s="2" t="str" cm="1">
        <f t="array" ref="F890">INDEX(_xlfn.TEXTSPLIT(E890,"-"),2)</f>
        <v>女装</v>
      </c>
      <c r="G890" s="2" t="str" cm="1">
        <f t="array" ref="G890">INDEX(_xlfn.TEXTSPLIT(E890,"-"),3)</f>
        <v>羽绒服</v>
      </c>
      <c r="H890" s="5">
        <v>2135118</v>
      </c>
      <c r="I890" s="5">
        <v>857581952.07</v>
      </c>
      <c r="J890" s="6">
        <v>0.2129</v>
      </c>
      <c r="K890" s="6">
        <v>-0.0149</v>
      </c>
    </row>
    <row r="891" ht="14.5" spans="1:11">
      <c r="A891" s="3" t="str">
        <f t="shared" si="51"/>
        <v>2026年</v>
      </c>
      <c r="B891" s="3" t="str">
        <f t="shared" si="52"/>
        <v>1月</v>
      </c>
      <c r="C891" s="4" t="str">
        <f t="shared" si="53"/>
        <v>W4</v>
      </c>
      <c r="D891" s="2" t="s">
        <v>762</v>
      </c>
      <c r="E891" s="2" t="s">
        <v>728</v>
      </c>
      <c r="F891" s="2" t="str" cm="1">
        <f t="array" ref="F891">INDEX(_xlfn.TEXTSPLIT(E891,"-"),2)</f>
        <v>女装</v>
      </c>
      <c r="G891" s="2" t="str" cm="1">
        <f t="array" ref="G891">INDEX(_xlfn.TEXTSPLIT(E891,"-"),3)</f>
        <v>肌底衣/肌肤衣</v>
      </c>
      <c r="H891" s="5">
        <v>7121</v>
      </c>
      <c r="I891" s="5">
        <v>364960.25</v>
      </c>
      <c r="J891" s="6">
        <v>0.0001</v>
      </c>
      <c r="K891" s="6">
        <v>-0.0087</v>
      </c>
    </row>
    <row r="892" ht="14.5" spans="1:11">
      <c r="A892" s="3" t="str">
        <f t="shared" si="51"/>
        <v>2026年</v>
      </c>
      <c r="B892" s="3" t="str">
        <f t="shared" si="52"/>
        <v>1月</v>
      </c>
      <c r="C892" s="4" t="str">
        <f t="shared" si="53"/>
        <v>W4</v>
      </c>
      <c r="D892" s="2" t="s">
        <v>762</v>
      </c>
      <c r="E892" s="2" t="s">
        <v>729</v>
      </c>
      <c r="F892" s="2" t="str" cm="1">
        <f t="array" ref="F892">INDEX(_xlfn.TEXTSPLIT(E892,"-"),2)</f>
        <v>女装</v>
      </c>
      <c r="G892" s="2" t="str" cm="1">
        <f t="array" ref="G892">INDEX(_xlfn.TEXTSPLIT(E892,"-"),3)</f>
        <v>背心吊带</v>
      </c>
      <c r="H892" s="5">
        <v>236791</v>
      </c>
      <c r="I892" s="5">
        <v>15769535.91</v>
      </c>
      <c r="J892" s="6">
        <v>0.0039</v>
      </c>
      <c r="K892" s="6">
        <v>0.2277</v>
      </c>
    </row>
    <row r="893" ht="14.5" spans="1:11">
      <c r="A893" s="3" t="str">
        <f t="shared" si="51"/>
        <v>2026年</v>
      </c>
      <c r="B893" s="3" t="str">
        <f t="shared" si="52"/>
        <v>1月</v>
      </c>
      <c r="C893" s="4" t="str">
        <f t="shared" si="53"/>
        <v>W4</v>
      </c>
      <c r="D893" s="2" t="s">
        <v>762</v>
      </c>
      <c r="E893" s="2" t="s">
        <v>730</v>
      </c>
      <c r="F893" s="2" t="str" cm="1">
        <f t="array" ref="F893">INDEX(_xlfn.TEXTSPLIT(E893,"-"),2)</f>
        <v>女装</v>
      </c>
      <c r="G893" s="2" t="str" cm="1">
        <f t="array" ref="G893">INDEX(_xlfn.TEXTSPLIT(E893,"-"),3)</f>
        <v>蕾丝衫/雪纺衫</v>
      </c>
      <c r="H893" s="5">
        <v>193838</v>
      </c>
      <c r="I893" s="5">
        <v>13054481.66</v>
      </c>
      <c r="J893" s="6">
        <v>0.0032</v>
      </c>
      <c r="K893" s="6">
        <v>-0.0183</v>
      </c>
    </row>
    <row r="894" ht="14.5" spans="1:11">
      <c r="A894" s="3" t="str">
        <f t="shared" si="51"/>
        <v>2026年</v>
      </c>
      <c r="B894" s="3" t="str">
        <f t="shared" si="52"/>
        <v>1月</v>
      </c>
      <c r="C894" s="4" t="str">
        <f t="shared" si="53"/>
        <v>W4</v>
      </c>
      <c r="D894" s="2" t="s">
        <v>762</v>
      </c>
      <c r="E894" s="2" t="s">
        <v>731</v>
      </c>
      <c r="F894" s="2" t="str" cm="1">
        <f t="array" ref="F894">INDEX(_xlfn.TEXTSPLIT(E894,"-"),2)</f>
        <v>女装</v>
      </c>
      <c r="G894" s="2" t="str" cm="1">
        <f t="array" ref="G894">INDEX(_xlfn.TEXTSPLIT(E894,"-"),3)</f>
        <v>衬衫</v>
      </c>
      <c r="H894" s="5">
        <v>491518</v>
      </c>
      <c r="I894" s="5">
        <v>59075850.96</v>
      </c>
      <c r="J894" s="6">
        <v>0.0147</v>
      </c>
      <c r="K894" s="6">
        <v>-0.0617</v>
      </c>
    </row>
    <row r="895" ht="14.5" spans="1:11">
      <c r="A895" s="3" t="str">
        <f t="shared" si="51"/>
        <v>2026年</v>
      </c>
      <c r="B895" s="3" t="str">
        <f t="shared" si="52"/>
        <v>1月</v>
      </c>
      <c r="C895" s="4" t="str">
        <f t="shared" si="53"/>
        <v>W4</v>
      </c>
      <c r="D895" s="2" t="s">
        <v>762</v>
      </c>
      <c r="E895" s="2" t="s">
        <v>732</v>
      </c>
      <c r="F895" s="2" t="str" cm="1">
        <f t="array" ref="F895">INDEX(_xlfn.TEXTSPLIT(E895,"-"),2)</f>
        <v>女装</v>
      </c>
      <c r="G895" s="2" t="str" cm="1">
        <f t="array" ref="G895">INDEX(_xlfn.TEXTSPLIT(E895,"-"),3)</f>
        <v>裤子</v>
      </c>
      <c r="H895" s="5">
        <v>5093478</v>
      </c>
      <c r="I895" s="5">
        <v>476835894.49</v>
      </c>
      <c r="J895" s="6">
        <v>0.1184</v>
      </c>
      <c r="K895" s="6">
        <v>0.029</v>
      </c>
    </row>
    <row r="896" ht="14.5" spans="1:11">
      <c r="A896" s="3" t="str">
        <f t="shared" si="51"/>
        <v>2026年</v>
      </c>
      <c r="B896" s="3" t="str">
        <f t="shared" si="52"/>
        <v>1月</v>
      </c>
      <c r="C896" s="4" t="str">
        <f t="shared" si="53"/>
        <v>W4</v>
      </c>
      <c r="D896" s="2" t="s">
        <v>762</v>
      </c>
      <c r="E896" s="2" t="s">
        <v>733</v>
      </c>
      <c r="F896" s="2" t="str" cm="1">
        <f t="array" ref="F896">INDEX(_xlfn.TEXTSPLIT(E896,"-"),2)</f>
        <v>女装</v>
      </c>
      <c r="G896" s="2" t="str" cm="1">
        <f t="array" ref="G896">INDEX(_xlfn.TEXTSPLIT(E896,"-"),3)</f>
        <v>西装</v>
      </c>
      <c r="H896" s="5">
        <v>63367</v>
      </c>
      <c r="I896" s="5">
        <v>18617269.87</v>
      </c>
      <c r="J896" s="6">
        <v>0.0046</v>
      </c>
      <c r="K896" s="7">
        <v>-0.16</v>
      </c>
    </row>
    <row r="897" ht="14.5" spans="1:11">
      <c r="A897" s="3" t="str">
        <f t="shared" si="51"/>
        <v>2026年</v>
      </c>
      <c r="B897" s="3" t="str">
        <f t="shared" si="52"/>
        <v>1月</v>
      </c>
      <c r="C897" s="4" t="str">
        <f t="shared" si="53"/>
        <v>W4</v>
      </c>
      <c r="D897" s="2" t="s">
        <v>762</v>
      </c>
      <c r="E897" s="2" t="s">
        <v>734</v>
      </c>
      <c r="F897" s="2" t="str" cm="1">
        <f t="array" ref="F897">INDEX(_xlfn.TEXTSPLIT(E897,"-"),2)</f>
        <v>女装</v>
      </c>
      <c r="G897" s="2" t="str" cm="1">
        <f t="array" ref="G897">INDEX(_xlfn.TEXTSPLIT(E897,"-"),3)</f>
        <v>设计师/潮牌女装</v>
      </c>
      <c r="H897" s="5">
        <v>472177</v>
      </c>
      <c r="I897" s="5">
        <v>61584483.68</v>
      </c>
      <c r="J897" s="6">
        <v>0.0153</v>
      </c>
      <c r="K897" s="6">
        <v>-0.0458</v>
      </c>
    </row>
    <row r="898" ht="14.5" spans="1:11">
      <c r="A898" s="3" t="str">
        <f t="shared" si="51"/>
        <v>2026年</v>
      </c>
      <c r="B898" s="3" t="str">
        <f t="shared" si="52"/>
        <v>1月</v>
      </c>
      <c r="C898" s="4" t="str">
        <f t="shared" si="53"/>
        <v>W4</v>
      </c>
      <c r="D898" s="2" t="s">
        <v>762</v>
      </c>
      <c r="E898" s="2" t="s">
        <v>735</v>
      </c>
      <c r="F898" s="2" t="str" cm="1">
        <f t="array" ref="F898">INDEX(_xlfn.TEXTSPLIT(E898,"-"),2)</f>
        <v>女装</v>
      </c>
      <c r="G898" s="2" t="str" cm="1">
        <f t="array" ref="G898">INDEX(_xlfn.TEXTSPLIT(E898,"-"),3)</f>
        <v>连体衣/裤</v>
      </c>
      <c r="H898" s="5">
        <v>14478</v>
      </c>
      <c r="I898" s="5">
        <v>2022533.98</v>
      </c>
      <c r="J898" s="6">
        <v>0.0005</v>
      </c>
      <c r="K898" s="6">
        <v>0.1005</v>
      </c>
    </row>
    <row r="899" ht="14.5" spans="1:11">
      <c r="A899" s="3" t="str">
        <f t="shared" si="51"/>
        <v>2026年</v>
      </c>
      <c r="B899" s="3" t="str">
        <f t="shared" si="52"/>
        <v>1月</v>
      </c>
      <c r="C899" s="4" t="str">
        <f t="shared" si="53"/>
        <v>W4</v>
      </c>
      <c r="D899" s="2" t="s">
        <v>762</v>
      </c>
      <c r="E899" s="2" t="s">
        <v>736</v>
      </c>
      <c r="F899" s="2" t="str" cm="1">
        <f t="array" ref="F899">INDEX(_xlfn.TEXTSPLIT(E899,"-"),2)</f>
        <v>女装</v>
      </c>
      <c r="G899" s="2" t="str" cm="1">
        <f t="array" ref="G899">INDEX(_xlfn.TEXTSPLIT(E899,"-"),3)</f>
        <v>连衣裙</v>
      </c>
      <c r="H899" s="5">
        <v>797216</v>
      </c>
      <c r="I899" s="5">
        <v>107578673.62</v>
      </c>
      <c r="J899" s="6">
        <v>0.0267</v>
      </c>
      <c r="K899" s="6">
        <v>-0.069</v>
      </c>
    </row>
    <row r="900" ht="14.5" spans="1:11">
      <c r="A900" s="3" t="str">
        <f t="shared" si="51"/>
        <v>2026年</v>
      </c>
      <c r="B900" s="3" t="str">
        <f t="shared" si="52"/>
        <v>1月</v>
      </c>
      <c r="C900" s="4" t="str">
        <f t="shared" si="53"/>
        <v>W4</v>
      </c>
      <c r="D900" s="2" t="s">
        <v>762</v>
      </c>
      <c r="E900" s="2" t="s">
        <v>737</v>
      </c>
      <c r="F900" s="2" t="str" cm="1">
        <f t="array" ref="F900">INDEX(_xlfn.TEXTSPLIT(E900,"-"),2)</f>
        <v>女装</v>
      </c>
      <c r="G900" s="2" t="str" cm="1">
        <f t="array" ref="G900">INDEX(_xlfn.TEXTSPLIT(E900,"-"),3)</f>
        <v>风衣</v>
      </c>
      <c r="H900" s="5">
        <v>100109</v>
      </c>
      <c r="I900" s="5">
        <v>19346996.5</v>
      </c>
      <c r="J900" s="6">
        <v>0.0048</v>
      </c>
      <c r="K900" s="6">
        <v>-0.0791</v>
      </c>
    </row>
    <row r="901" ht="14.5" spans="1:11">
      <c r="A901" s="3" t="str">
        <f t="shared" si="51"/>
        <v>2026年</v>
      </c>
      <c r="B901" s="3" t="str">
        <f t="shared" si="52"/>
        <v>1月</v>
      </c>
      <c r="C901" s="4" t="str">
        <f t="shared" si="53"/>
        <v>W4</v>
      </c>
      <c r="D901" s="2" t="s">
        <v>762</v>
      </c>
      <c r="E901" s="2" t="s">
        <v>738</v>
      </c>
      <c r="F901" s="2" t="str" cm="1">
        <f t="array" ref="F901">INDEX(_xlfn.TEXTSPLIT(E901,"-"),2)</f>
        <v>女装</v>
      </c>
      <c r="G901" s="2" t="str" cm="1">
        <f t="array" ref="G901">INDEX(_xlfn.TEXTSPLIT(E901,"-"),3)</f>
        <v>马夹</v>
      </c>
      <c r="H901" s="5">
        <v>430834</v>
      </c>
      <c r="I901" s="5">
        <v>46143634.19</v>
      </c>
      <c r="J901" s="6">
        <v>0.0115</v>
      </c>
      <c r="K901" s="6">
        <v>-0.0158</v>
      </c>
    </row>
    <row r="902" ht="14.5" spans="1:11">
      <c r="A902" s="3" t="str">
        <f t="shared" ref="A902:A933" si="54">TEXT(YEAR(D902),"0")&amp;"年"</f>
        <v>2026年</v>
      </c>
      <c r="B902" s="3" t="str">
        <f t="shared" ref="B902:B933" si="55">TEXT(MONTH(D902),"0")&amp;"月"</f>
        <v>1月</v>
      </c>
      <c r="C902" s="4" t="str">
        <f t="shared" ref="C902:C933" si="56">"W"&amp;TEXT(WEEKNUM(D902,2),"0")</f>
        <v>W5</v>
      </c>
      <c r="D902" s="2" t="s">
        <v>763</v>
      </c>
      <c r="E902" s="2" t="s">
        <v>702</v>
      </c>
      <c r="F902" s="2" t="str" cm="1">
        <f t="array" ref="F902">INDEX(_xlfn.TEXTSPLIT(E902,"-"),2)</f>
        <v>女装</v>
      </c>
      <c r="G902" s="2" t="str" cm="1">
        <f t="array" ref="G902">INDEX(_xlfn.TEXTSPLIT(E902,"-"),3)</f>
        <v>POLO衫</v>
      </c>
      <c r="H902" s="5">
        <v>15179</v>
      </c>
      <c r="I902" s="5">
        <v>982810.51</v>
      </c>
      <c r="J902" s="6">
        <v>0.0003</v>
      </c>
      <c r="K902" s="6">
        <v>-0.251</v>
      </c>
    </row>
    <row r="903" ht="14.5" spans="1:11">
      <c r="A903" s="3" t="str">
        <f t="shared" si="54"/>
        <v>2026年</v>
      </c>
      <c r="B903" s="3" t="str">
        <f t="shared" si="55"/>
        <v>1月</v>
      </c>
      <c r="C903" s="4" t="str">
        <f t="shared" si="56"/>
        <v>W5</v>
      </c>
      <c r="D903" s="2" t="s">
        <v>763</v>
      </c>
      <c r="E903" s="2" t="s">
        <v>703</v>
      </c>
      <c r="F903" s="2" t="str" cm="1">
        <f t="array" ref="F903">INDEX(_xlfn.TEXTSPLIT(E903,"-"),2)</f>
        <v>女装</v>
      </c>
      <c r="G903" s="2" t="str" cm="1">
        <f t="array" ref="G903">INDEX(_xlfn.TEXTSPLIT(E903,"-"),3)</f>
        <v>T恤</v>
      </c>
      <c r="H903" s="5">
        <v>1493966</v>
      </c>
      <c r="I903" s="5">
        <v>85316442.32</v>
      </c>
      <c r="J903" s="6">
        <v>0.0233</v>
      </c>
      <c r="K903" s="6">
        <v>-0.1195</v>
      </c>
    </row>
    <row r="904" ht="14.5" spans="1:11">
      <c r="A904" s="3" t="str">
        <f t="shared" si="54"/>
        <v>2026年</v>
      </c>
      <c r="B904" s="3" t="str">
        <f t="shared" si="55"/>
        <v>1月</v>
      </c>
      <c r="C904" s="4" t="str">
        <f t="shared" si="56"/>
        <v>W5</v>
      </c>
      <c r="D904" s="2" t="s">
        <v>763</v>
      </c>
      <c r="E904" s="2" t="s">
        <v>704</v>
      </c>
      <c r="F904" s="2" t="str" cm="1">
        <f t="array" ref="F904">INDEX(_xlfn.TEXTSPLIT(E904,"-"),2)</f>
        <v>女装</v>
      </c>
      <c r="G904" s="2" t="str" cm="1">
        <f t="array" ref="G904">INDEX(_xlfn.TEXTSPLIT(E904,"-"),3)</f>
        <v>中老年女装</v>
      </c>
      <c r="H904" s="5">
        <v>542837</v>
      </c>
      <c r="I904" s="5">
        <v>64255771.97</v>
      </c>
      <c r="J904" s="6">
        <v>0.0176</v>
      </c>
      <c r="K904" s="6">
        <v>-0.1178</v>
      </c>
    </row>
    <row r="905" ht="14.5" spans="1:11">
      <c r="A905" s="3" t="str">
        <f t="shared" si="54"/>
        <v>2026年</v>
      </c>
      <c r="B905" s="3" t="str">
        <f t="shared" si="55"/>
        <v>1月</v>
      </c>
      <c r="C905" s="4" t="str">
        <f t="shared" si="56"/>
        <v>W5</v>
      </c>
      <c r="D905" s="2" t="s">
        <v>763</v>
      </c>
      <c r="E905" s="2" t="s">
        <v>705</v>
      </c>
      <c r="F905" s="2" t="str" cm="1">
        <f t="array" ref="F905">INDEX(_xlfn.TEXTSPLIT(E905,"-"),2)</f>
        <v>女装</v>
      </c>
      <c r="G905" s="2" t="str" cm="1">
        <f t="array" ref="G905">INDEX(_xlfn.TEXTSPLIT(E905,"-"),3)</f>
        <v>半身裙</v>
      </c>
      <c r="H905" s="5">
        <v>794214</v>
      </c>
      <c r="I905" s="5">
        <v>69681419.61</v>
      </c>
      <c r="J905" s="6">
        <v>0.019</v>
      </c>
      <c r="K905" s="6">
        <v>-0.1623</v>
      </c>
    </row>
    <row r="906" ht="14.5" spans="1:11">
      <c r="A906" s="3" t="str">
        <f t="shared" si="54"/>
        <v>2026年</v>
      </c>
      <c r="B906" s="3" t="str">
        <f t="shared" si="55"/>
        <v>1月</v>
      </c>
      <c r="C906" s="4" t="str">
        <f t="shared" si="56"/>
        <v>W5</v>
      </c>
      <c r="D906" s="2" t="s">
        <v>763</v>
      </c>
      <c r="E906" s="2" t="s">
        <v>706</v>
      </c>
      <c r="F906" s="2" t="str" cm="1">
        <f t="array" ref="F906">INDEX(_xlfn.TEXTSPLIT(E906,"-"),2)</f>
        <v>女装</v>
      </c>
      <c r="G906" s="2" t="str" cm="1">
        <f t="array" ref="G906">INDEX(_xlfn.TEXTSPLIT(E906,"-"),3)</f>
        <v>卫衣/绒衫</v>
      </c>
      <c r="H906" s="5">
        <v>434592</v>
      </c>
      <c r="I906" s="5">
        <v>33131650.53</v>
      </c>
      <c r="J906" s="6">
        <v>0.009</v>
      </c>
      <c r="K906" s="6">
        <v>-0.2514</v>
      </c>
    </row>
    <row r="907" ht="14.5" spans="1:11">
      <c r="A907" s="3" t="str">
        <f t="shared" si="54"/>
        <v>2026年</v>
      </c>
      <c r="B907" s="3" t="str">
        <f t="shared" si="55"/>
        <v>1月</v>
      </c>
      <c r="C907" s="4" t="str">
        <f t="shared" si="56"/>
        <v>W5</v>
      </c>
      <c r="D907" s="2" t="s">
        <v>763</v>
      </c>
      <c r="E907" s="2" t="s">
        <v>707</v>
      </c>
      <c r="F907" s="2" t="str" cm="1">
        <f t="array" ref="F907">INDEX(_xlfn.TEXTSPLIT(E907,"-"),2)</f>
        <v>女装</v>
      </c>
      <c r="G907" s="2" t="str" cm="1">
        <f t="array" ref="G907">INDEX(_xlfn.TEXTSPLIT(E907,"-"),3)</f>
        <v>唐装/民族服装/舞台服装</v>
      </c>
      <c r="H907" s="5">
        <v>257243</v>
      </c>
      <c r="I907" s="5">
        <v>50461198.47</v>
      </c>
      <c r="J907" s="6">
        <v>0.0138</v>
      </c>
      <c r="K907" s="6">
        <v>-0.0366</v>
      </c>
    </row>
    <row r="908" ht="14.5" spans="1:11">
      <c r="A908" s="3" t="str">
        <f t="shared" si="54"/>
        <v>2026年</v>
      </c>
      <c r="B908" s="3" t="str">
        <f t="shared" si="55"/>
        <v>1月</v>
      </c>
      <c r="C908" s="4" t="str">
        <f t="shared" si="56"/>
        <v>W5</v>
      </c>
      <c r="D908" s="2" t="s">
        <v>763</v>
      </c>
      <c r="E908" s="2" t="s">
        <v>708</v>
      </c>
      <c r="F908" s="2" t="str" cm="1">
        <f t="array" ref="F908">INDEX(_xlfn.TEXTSPLIT(E908,"-"),2)</f>
        <v>女装</v>
      </c>
      <c r="G908" s="2" t="str" cm="1">
        <f t="array" ref="G908">INDEX(_xlfn.TEXTSPLIT(E908,"-"),3)</f>
        <v>大码女装</v>
      </c>
      <c r="H908" s="5">
        <v>730369</v>
      </c>
      <c r="I908" s="5">
        <v>60010723.09</v>
      </c>
      <c r="J908" s="6">
        <v>0.0164</v>
      </c>
      <c r="K908" s="6">
        <v>-0.1105</v>
      </c>
    </row>
    <row r="909" ht="14.5" spans="1:11">
      <c r="A909" s="3" t="str">
        <f t="shared" si="54"/>
        <v>2026年</v>
      </c>
      <c r="B909" s="3" t="str">
        <f t="shared" si="55"/>
        <v>1月</v>
      </c>
      <c r="C909" s="4" t="str">
        <f t="shared" si="56"/>
        <v>W5</v>
      </c>
      <c r="D909" s="2" t="s">
        <v>763</v>
      </c>
      <c r="E909" s="2" t="s">
        <v>709</v>
      </c>
      <c r="F909" s="2" t="str" cm="1">
        <f t="array" ref="F909">INDEX(_xlfn.TEXTSPLIT(E909,"-"),2)</f>
        <v>女装</v>
      </c>
      <c r="G909" s="2" t="str" cm="1">
        <f t="array" ref="G909">INDEX(_xlfn.TEXTSPLIT(E909,"-"),3)</f>
        <v>套装/学生校服/工作制服</v>
      </c>
      <c r="H909" s="5">
        <v>986651</v>
      </c>
      <c r="I909" s="5">
        <v>134360464.8</v>
      </c>
      <c r="J909" s="6">
        <v>0.0367</v>
      </c>
      <c r="K909" s="6">
        <v>-0.1452</v>
      </c>
    </row>
    <row r="910" ht="14.5" spans="1:11">
      <c r="A910" s="3" t="str">
        <f t="shared" si="54"/>
        <v>2026年</v>
      </c>
      <c r="B910" s="3" t="str">
        <f t="shared" si="55"/>
        <v>1月</v>
      </c>
      <c r="C910" s="4" t="str">
        <f t="shared" si="56"/>
        <v>W5</v>
      </c>
      <c r="D910" s="2" t="s">
        <v>763</v>
      </c>
      <c r="E910" s="2" t="s">
        <v>710</v>
      </c>
      <c r="F910" s="2" t="str" cm="1">
        <f t="array" ref="F910">INDEX(_xlfn.TEXTSPLIT(E910,"-"),2)</f>
        <v>女装</v>
      </c>
      <c r="G910" s="2" t="str" cm="1">
        <f t="array" ref="G910">INDEX(_xlfn.TEXTSPLIT(E910,"-"),3)</f>
        <v>婚纱/旗袍/礼服</v>
      </c>
      <c r="H910" s="5">
        <v>59345</v>
      </c>
      <c r="I910" s="5">
        <v>10042325.01</v>
      </c>
      <c r="J910" s="6">
        <v>0.0027</v>
      </c>
      <c r="K910" s="6">
        <v>-0.1733</v>
      </c>
    </row>
    <row r="911" ht="14.5" spans="1:11">
      <c r="A911" s="3" t="str">
        <f t="shared" si="54"/>
        <v>2026年</v>
      </c>
      <c r="B911" s="3" t="str">
        <f t="shared" si="55"/>
        <v>1月</v>
      </c>
      <c r="C911" s="4" t="str">
        <f t="shared" si="56"/>
        <v>W5</v>
      </c>
      <c r="D911" s="2" t="s">
        <v>763</v>
      </c>
      <c r="E911" s="2" t="s">
        <v>711</v>
      </c>
      <c r="F911" s="2" t="str" cm="1">
        <f t="array" ref="F911">INDEX(_xlfn.TEXTSPLIT(E911,"-"),2)</f>
        <v>女装</v>
      </c>
      <c r="G911" s="2" t="str" cm="1">
        <f t="array" ref="G911">INDEX(_xlfn.TEXTSPLIT(E911,"-"),3)</f>
        <v>新中式女装</v>
      </c>
      <c r="H911" s="5">
        <v>151520</v>
      </c>
      <c r="I911" s="5">
        <v>16705625.33</v>
      </c>
      <c r="J911" s="6">
        <v>0.0046</v>
      </c>
      <c r="K911" s="6">
        <v>0.0612</v>
      </c>
    </row>
    <row r="912" ht="14.5" spans="1:11">
      <c r="A912" s="3" t="str">
        <f t="shared" si="54"/>
        <v>2026年</v>
      </c>
      <c r="B912" s="3" t="str">
        <f t="shared" si="55"/>
        <v>1月</v>
      </c>
      <c r="C912" s="4" t="str">
        <f t="shared" si="56"/>
        <v>W5</v>
      </c>
      <c r="D912" s="2" t="s">
        <v>763</v>
      </c>
      <c r="E912" s="2" t="s">
        <v>712</v>
      </c>
      <c r="F912" s="2" t="str" cm="1">
        <f t="array" ref="F912">INDEX(_xlfn.TEXTSPLIT(E912,"-"),2)</f>
        <v>女装</v>
      </c>
      <c r="G912" s="2" t="str" cm="1">
        <f t="array" ref="G912">INDEX(_xlfn.TEXTSPLIT(E912,"-"),3)</f>
        <v>时尚防晒服</v>
      </c>
      <c r="H912" s="5">
        <v>260</v>
      </c>
      <c r="I912" s="5">
        <v>23429.37</v>
      </c>
      <c r="J912" s="2" t="s">
        <v>713</v>
      </c>
      <c r="K912" s="6">
        <v>-0.3004</v>
      </c>
    </row>
    <row r="913" ht="14.5" spans="1:11">
      <c r="A913" s="3" t="str">
        <f t="shared" si="54"/>
        <v>2026年</v>
      </c>
      <c r="B913" s="3" t="str">
        <f t="shared" si="55"/>
        <v>1月</v>
      </c>
      <c r="C913" s="4" t="str">
        <f t="shared" si="56"/>
        <v>W5</v>
      </c>
      <c r="D913" s="2" t="s">
        <v>763</v>
      </c>
      <c r="E913" s="2" t="s">
        <v>714</v>
      </c>
      <c r="F913" s="2" t="str" cm="1">
        <f t="array" ref="F913">INDEX(_xlfn.TEXTSPLIT(E913,"-"),2)</f>
        <v>女装</v>
      </c>
      <c r="G913" s="2" t="str" cm="1">
        <f t="array" ref="G913">INDEX(_xlfn.TEXTSPLIT(E913,"-"),3)</f>
        <v>棉衣/棉服</v>
      </c>
      <c r="H913" s="5">
        <v>785250</v>
      </c>
      <c r="I913" s="5">
        <v>92094081.19</v>
      </c>
      <c r="J913" s="6">
        <v>0.0252</v>
      </c>
      <c r="K913" s="6">
        <v>-0.1541</v>
      </c>
    </row>
    <row r="914" ht="14.5" spans="1:11">
      <c r="A914" s="3" t="str">
        <f t="shared" si="54"/>
        <v>2026年</v>
      </c>
      <c r="B914" s="3" t="str">
        <f t="shared" si="55"/>
        <v>1月</v>
      </c>
      <c r="C914" s="4" t="str">
        <f t="shared" si="56"/>
        <v>W5</v>
      </c>
      <c r="D914" s="2" t="s">
        <v>763</v>
      </c>
      <c r="E914" s="2" t="s">
        <v>715</v>
      </c>
      <c r="F914" s="2" t="str" cm="1">
        <f t="array" ref="F914">INDEX(_xlfn.TEXTSPLIT(E914,"-"),2)</f>
        <v>女装</v>
      </c>
      <c r="G914" s="2" t="str" cm="1">
        <f t="array" ref="G914">INDEX(_xlfn.TEXTSPLIT(E914,"-"),3)</f>
        <v>毛呢外套</v>
      </c>
      <c r="H914" s="5">
        <v>851113</v>
      </c>
      <c r="I914" s="5">
        <v>326423932.05</v>
      </c>
      <c r="J914" s="6">
        <v>0.0892</v>
      </c>
      <c r="K914" s="6">
        <v>-0.2105</v>
      </c>
    </row>
    <row r="915" ht="14.5" spans="1:11">
      <c r="A915" s="3" t="str">
        <f t="shared" si="54"/>
        <v>2026年</v>
      </c>
      <c r="B915" s="3" t="str">
        <f t="shared" si="55"/>
        <v>1月</v>
      </c>
      <c r="C915" s="4" t="str">
        <f t="shared" si="56"/>
        <v>W5</v>
      </c>
      <c r="D915" s="2" t="s">
        <v>763</v>
      </c>
      <c r="E915" s="2" t="s">
        <v>716</v>
      </c>
      <c r="F915" s="2" t="str" cm="1">
        <f t="array" ref="F915">INDEX(_xlfn.TEXTSPLIT(E915,"-"),2)</f>
        <v>女装</v>
      </c>
      <c r="G915" s="2" t="str" cm="1">
        <f t="array" ref="G915">INDEX(_xlfn.TEXTSPLIT(E915,"-"),3)</f>
        <v>毛衣</v>
      </c>
      <c r="H915" s="5">
        <v>477221</v>
      </c>
      <c r="I915" s="5">
        <v>41087895.68</v>
      </c>
      <c r="J915" s="6">
        <v>0.0112</v>
      </c>
      <c r="K915" s="6">
        <v>-0.2524</v>
      </c>
    </row>
    <row r="916" ht="14.5" spans="1:11">
      <c r="A916" s="3" t="str">
        <f t="shared" si="54"/>
        <v>2026年</v>
      </c>
      <c r="B916" s="3" t="str">
        <f t="shared" si="55"/>
        <v>1月</v>
      </c>
      <c r="C916" s="4" t="str">
        <f t="shared" si="56"/>
        <v>W5</v>
      </c>
      <c r="D916" s="2" t="s">
        <v>763</v>
      </c>
      <c r="E916" s="2" t="s">
        <v>717</v>
      </c>
      <c r="F916" s="2" t="str" cm="1">
        <f t="array" ref="F916">INDEX(_xlfn.TEXTSPLIT(E916,"-"),2)</f>
        <v>女装</v>
      </c>
      <c r="G916" s="2" t="str" cm="1">
        <f t="array" ref="G916">INDEX(_xlfn.TEXTSPLIT(E916,"-"),3)</f>
        <v>毛针织衫</v>
      </c>
      <c r="H916" s="5">
        <v>2369189</v>
      </c>
      <c r="I916" s="5">
        <v>189732190.01</v>
      </c>
      <c r="J916" s="6">
        <v>0.0518</v>
      </c>
      <c r="K916" s="6">
        <v>-0.1584</v>
      </c>
    </row>
    <row r="917" ht="14.5" spans="1:11">
      <c r="A917" s="3" t="str">
        <f t="shared" si="54"/>
        <v>2026年</v>
      </c>
      <c r="B917" s="3" t="str">
        <f t="shared" si="55"/>
        <v>1月</v>
      </c>
      <c r="C917" s="4" t="str">
        <f t="shared" si="56"/>
        <v>W5</v>
      </c>
      <c r="D917" s="2" t="s">
        <v>763</v>
      </c>
      <c r="E917" s="2" t="s">
        <v>718</v>
      </c>
      <c r="F917" s="2" t="str" cm="1">
        <f t="array" ref="F917">INDEX(_xlfn.TEXTSPLIT(E917,"-"),2)</f>
        <v>女装</v>
      </c>
      <c r="G917" s="2" t="str" cm="1">
        <f t="array" ref="G917">INDEX(_xlfn.TEXTSPLIT(E917,"-"),3)</f>
        <v>汉服</v>
      </c>
      <c r="H917" s="5">
        <v>107000</v>
      </c>
      <c r="I917" s="5">
        <v>59767636.41</v>
      </c>
      <c r="J917" s="6">
        <v>0.0163</v>
      </c>
      <c r="K917" s="7">
        <v>-0.34</v>
      </c>
    </row>
    <row r="918" ht="14.5" spans="1:11">
      <c r="A918" s="3" t="str">
        <f t="shared" si="54"/>
        <v>2026年</v>
      </c>
      <c r="B918" s="3" t="str">
        <f t="shared" si="55"/>
        <v>1月</v>
      </c>
      <c r="C918" s="4" t="str">
        <f t="shared" si="56"/>
        <v>W5</v>
      </c>
      <c r="D918" s="2" t="s">
        <v>763</v>
      </c>
      <c r="E918" s="2" t="s">
        <v>719</v>
      </c>
      <c r="F918" s="2" t="str" cm="1">
        <f t="array" ref="F918">INDEX(_xlfn.TEXTSPLIT(E918,"-"),2)</f>
        <v>女装</v>
      </c>
      <c r="G918" s="2" t="str" cm="1">
        <f t="array" ref="G918">INDEX(_xlfn.TEXTSPLIT(E918,"-"),3)</f>
        <v>派克服</v>
      </c>
      <c r="H918" s="5">
        <v>63334</v>
      </c>
      <c r="I918" s="5">
        <v>17675271.04</v>
      </c>
      <c r="J918" s="6">
        <v>0.0048</v>
      </c>
      <c r="K918" s="6">
        <v>-0.3843</v>
      </c>
    </row>
    <row r="919" ht="14.5" spans="1:11">
      <c r="A919" s="3" t="str">
        <f t="shared" si="54"/>
        <v>2026年</v>
      </c>
      <c r="B919" s="3" t="str">
        <f t="shared" si="55"/>
        <v>1月</v>
      </c>
      <c r="C919" s="4" t="str">
        <f t="shared" si="56"/>
        <v>W5</v>
      </c>
      <c r="D919" s="2" t="s">
        <v>763</v>
      </c>
      <c r="E919" s="2" t="s">
        <v>720</v>
      </c>
      <c r="F919" s="2" t="str" cm="1">
        <f t="array" ref="F919">INDEX(_xlfn.TEXTSPLIT(E919,"-"),2)</f>
        <v>女装</v>
      </c>
      <c r="G919" s="2" t="str" cm="1">
        <f t="array" ref="G919">INDEX(_xlfn.TEXTSPLIT(E919,"-"),3)</f>
        <v>皮草</v>
      </c>
      <c r="H919" s="5">
        <v>245775</v>
      </c>
      <c r="I919" s="5">
        <v>433308750.9</v>
      </c>
      <c r="J919" s="6">
        <v>0.1184</v>
      </c>
      <c r="K919" s="6">
        <v>-0.1929</v>
      </c>
    </row>
    <row r="920" ht="14.5" spans="1:11">
      <c r="A920" s="3" t="str">
        <f t="shared" si="54"/>
        <v>2026年</v>
      </c>
      <c r="B920" s="3" t="str">
        <f t="shared" si="55"/>
        <v>1月</v>
      </c>
      <c r="C920" s="4" t="str">
        <f t="shared" si="56"/>
        <v>W5</v>
      </c>
      <c r="D920" s="2" t="s">
        <v>763</v>
      </c>
      <c r="E920" s="2" t="s">
        <v>721</v>
      </c>
      <c r="F920" s="2" t="str" cm="1">
        <f t="array" ref="F920">INDEX(_xlfn.TEXTSPLIT(E920,"-"),2)</f>
        <v>女装</v>
      </c>
      <c r="G920" s="2" t="str" cm="1">
        <f t="array" ref="G920">INDEX(_xlfn.TEXTSPLIT(E920,"-"),3)</f>
        <v>皮衣</v>
      </c>
      <c r="H920" s="5">
        <v>167749</v>
      </c>
      <c r="I920" s="5">
        <v>57609991.43</v>
      </c>
      <c r="J920" s="6">
        <v>0.0157</v>
      </c>
      <c r="K920" s="6">
        <v>-0.2083</v>
      </c>
    </row>
    <row r="921" ht="14.5" spans="1:11">
      <c r="A921" s="3" t="str">
        <f t="shared" si="54"/>
        <v>2026年</v>
      </c>
      <c r="B921" s="3" t="str">
        <f t="shared" si="55"/>
        <v>1月</v>
      </c>
      <c r="C921" s="4" t="str">
        <f t="shared" si="56"/>
        <v>W5</v>
      </c>
      <c r="D921" s="2" t="s">
        <v>763</v>
      </c>
      <c r="E921" s="2" t="s">
        <v>722</v>
      </c>
      <c r="F921" s="2" t="str" cm="1">
        <f t="array" ref="F921">INDEX(_xlfn.TEXTSPLIT(E921,"-"),2)</f>
        <v>女装</v>
      </c>
      <c r="G921" s="2" t="str" cm="1">
        <f t="array" ref="G921">INDEX(_xlfn.TEXTSPLIT(E921,"-"),3)</f>
        <v>短外套</v>
      </c>
      <c r="H921" s="5">
        <v>1308684</v>
      </c>
      <c r="I921" s="5">
        <v>281324474.67</v>
      </c>
      <c r="J921" s="6">
        <v>0.0768</v>
      </c>
      <c r="K921" s="6">
        <v>-0.2255</v>
      </c>
    </row>
    <row r="922" ht="14.5" spans="1:11">
      <c r="A922" s="3" t="str">
        <f t="shared" si="54"/>
        <v>2026年</v>
      </c>
      <c r="B922" s="3" t="str">
        <f t="shared" si="55"/>
        <v>1月</v>
      </c>
      <c r="C922" s="4" t="str">
        <f t="shared" si="56"/>
        <v>W5</v>
      </c>
      <c r="D922" s="2" t="s">
        <v>763</v>
      </c>
      <c r="E922" s="2" t="s">
        <v>723</v>
      </c>
      <c r="F922" s="2" t="str" cm="1">
        <f t="array" ref="F922">INDEX(_xlfn.TEXTSPLIT(E922,"-"),2)</f>
        <v>女装</v>
      </c>
      <c r="G922" s="2" t="str" cm="1">
        <f t="array" ref="G922">INDEX(_xlfn.TEXTSPLIT(E922,"-"),3)</f>
        <v>短裤</v>
      </c>
      <c r="H922" s="5">
        <v>128934</v>
      </c>
      <c r="I922" s="5">
        <v>6978206.44</v>
      </c>
      <c r="J922" s="6">
        <v>0.0019</v>
      </c>
      <c r="K922" s="6">
        <v>-0.1587</v>
      </c>
    </row>
    <row r="923" ht="14.5" spans="1:11">
      <c r="A923" s="3" t="str">
        <f t="shared" si="54"/>
        <v>2026年</v>
      </c>
      <c r="B923" s="3" t="str">
        <f t="shared" si="55"/>
        <v>1月</v>
      </c>
      <c r="C923" s="4" t="str">
        <f t="shared" si="56"/>
        <v>W5</v>
      </c>
      <c r="D923" s="2" t="s">
        <v>763</v>
      </c>
      <c r="E923" s="2" t="s">
        <v>724</v>
      </c>
      <c r="F923" s="2" t="str" cm="1">
        <f t="array" ref="F923">INDEX(_xlfn.TEXTSPLIT(E923,"-"),2)</f>
        <v>女装</v>
      </c>
      <c r="G923" s="2" t="str" cm="1">
        <f t="array" ref="G923">INDEX(_xlfn.TEXTSPLIT(E923,"-"),3)</f>
        <v>羊毛衫</v>
      </c>
      <c r="H923" s="5">
        <v>477454</v>
      </c>
      <c r="I923" s="5">
        <v>63414546.97</v>
      </c>
      <c r="J923" s="6">
        <v>0.0173</v>
      </c>
      <c r="K923" s="6">
        <v>-0.2578</v>
      </c>
    </row>
    <row r="924" ht="14.5" spans="1:11">
      <c r="A924" s="3" t="str">
        <f t="shared" si="54"/>
        <v>2026年</v>
      </c>
      <c r="B924" s="3" t="str">
        <f t="shared" si="55"/>
        <v>1月</v>
      </c>
      <c r="C924" s="4" t="str">
        <f t="shared" si="56"/>
        <v>W5</v>
      </c>
      <c r="D924" s="2" t="s">
        <v>763</v>
      </c>
      <c r="E924" s="2" t="s">
        <v>725</v>
      </c>
      <c r="F924" s="2" t="str" cm="1">
        <f t="array" ref="F924">INDEX(_xlfn.TEXTSPLIT(E924,"-"),2)</f>
        <v>女装</v>
      </c>
      <c r="G924" s="2" t="str" cm="1">
        <f t="array" ref="G924">INDEX(_xlfn.TEXTSPLIT(E924,"-"),3)</f>
        <v>羊绒大衣</v>
      </c>
      <c r="H924" s="5">
        <v>10451</v>
      </c>
      <c r="I924" s="5">
        <v>3388344.32</v>
      </c>
      <c r="J924" s="6">
        <v>0.0009</v>
      </c>
      <c r="K924" s="6">
        <v>-0.2819</v>
      </c>
    </row>
    <row r="925" ht="14.5" spans="1:11">
      <c r="A925" s="3" t="str">
        <f t="shared" si="54"/>
        <v>2026年</v>
      </c>
      <c r="B925" s="3" t="str">
        <f t="shared" si="55"/>
        <v>1月</v>
      </c>
      <c r="C925" s="4" t="str">
        <f t="shared" si="56"/>
        <v>W5</v>
      </c>
      <c r="D925" s="2" t="s">
        <v>763</v>
      </c>
      <c r="E925" s="2" t="s">
        <v>726</v>
      </c>
      <c r="F925" s="2" t="str" cm="1">
        <f t="array" ref="F925">INDEX(_xlfn.TEXTSPLIT(E925,"-"),2)</f>
        <v>女装</v>
      </c>
      <c r="G925" s="2" t="str" cm="1">
        <f t="array" ref="G925">INDEX(_xlfn.TEXTSPLIT(E925,"-"),3)</f>
        <v>羊绒衫</v>
      </c>
      <c r="H925" s="5">
        <v>146584</v>
      </c>
      <c r="I925" s="5">
        <v>47527615.93</v>
      </c>
      <c r="J925" s="6">
        <v>0.013</v>
      </c>
      <c r="K925" s="6">
        <v>-0.228</v>
      </c>
    </row>
    <row r="926" ht="14.5" spans="1:11">
      <c r="A926" s="3" t="str">
        <f t="shared" si="54"/>
        <v>2026年</v>
      </c>
      <c r="B926" s="3" t="str">
        <f t="shared" si="55"/>
        <v>1月</v>
      </c>
      <c r="C926" s="4" t="str">
        <f t="shared" si="56"/>
        <v>W5</v>
      </c>
      <c r="D926" s="2" t="s">
        <v>763</v>
      </c>
      <c r="E926" s="2" t="s">
        <v>727</v>
      </c>
      <c r="F926" s="2" t="str" cm="1">
        <f t="array" ref="F926">INDEX(_xlfn.TEXTSPLIT(E926,"-"),2)</f>
        <v>女装</v>
      </c>
      <c r="G926" s="2" t="str" cm="1">
        <f t="array" ref="G926">INDEX(_xlfn.TEXTSPLIT(E926,"-"),3)</f>
        <v>羽绒服</v>
      </c>
      <c r="H926" s="5">
        <v>1985244</v>
      </c>
      <c r="I926" s="5">
        <v>762862754.62</v>
      </c>
      <c r="J926" s="6">
        <v>0.2084</v>
      </c>
      <c r="K926" s="6">
        <v>-0.1976</v>
      </c>
    </row>
    <row r="927" ht="14.5" spans="1:11">
      <c r="A927" s="3" t="str">
        <f t="shared" si="54"/>
        <v>2026年</v>
      </c>
      <c r="B927" s="3" t="str">
        <f t="shared" si="55"/>
        <v>1月</v>
      </c>
      <c r="C927" s="4" t="str">
        <f t="shared" si="56"/>
        <v>W5</v>
      </c>
      <c r="D927" s="2" t="s">
        <v>763</v>
      </c>
      <c r="E927" s="2" t="s">
        <v>728</v>
      </c>
      <c r="F927" s="2" t="str" cm="1">
        <f t="array" ref="F927">INDEX(_xlfn.TEXTSPLIT(E927,"-"),2)</f>
        <v>女装</v>
      </c>
      <c r="G927" s="2" t="str" cm="1">
        <f t="array" ref="G927">INDEX(_xlfn.TEXTSPLIT(E927,"-"),3)</f>
        <v>肌底衣/肌肤衣</v>
      </c>
      <c r="H927" s="5">
        <v>5879</v>
      </c>
      <c r="I927" s="5">
        <v>468837.84</v>
      </c>
      <c r="J927" s="6">
        <v>0.0001</v>
      </c>
      <c r="K927" s="6">
        <v>0.1855</v>
      </c>
    </row>
    <row r="928" ht="14.5" spans="1:11">
      <c r="A928" s="3" t="str">
        <f t="shared" si="54"/>
        <v>2026年</v>
      </c>
      <c r="B928" s="3" t="str">
        <f t="shared" si="55"/>
        <v>1月</v>
      </c>
      <c r="C928" s="4" t="str">
        <f t="shared" si="56"/>
        <v>W5</v>
      </c>
      <c r="D928" s="2" t="s">
        <v>763</v>
      </c>
      <c r="E928" s="2" t="s">
        <v>729</v>
      </c>
      <c r="F928" s="2" t="str" cm="1">
        <f t="array" ref="F928">INDEX(_xlfn.TEXTSPLIT(E928,"-"),2)</f>
        <v>女装</v>
      </c>
      <c r="G928" s="2" t="str" cm="1">
        <f t="array" ref="G928">INDEX(_xlfn.TEXTSPLIT(E928,"-"),3)</f>
        <v>背心吊带</v>
      </c>
      <c r="H928" s="5">
        <v>211254</v>
      </c>
      <c r="I928" s="5">
        <v>11482508.99</v>
      </c>
      <c r="J928" s="6">
        <v>0.0031</v>
      </c>
      <c r="K928" s="6">
        <v>-0.3614</v>
      </c>
    </row>
    <row r="929" ht="14.5" spans="1:11">
      <c r="A929" s="3" t="str">
        <f t="shared" si="54"/>
        <v>2026年</v>
      </c>
      <c r="B929" s="3" t="str">
        <f t="shared" si="55"/>
        <v>1月</v>
      </c>
      <c r="C929" s="4" t="str">
        <f t="shared" si="56"/>
        <v>W5</v>
      </c>
      <c r="D929" s="2" t="s">
        <v>763</v>
      </c>
      <c r="E929" s="2" t="s">
        <v>730</v>
      </c>
      <c r="F929" s="2" t="str" cm="1">
        <f t="array" ref="F929">INDEX(_xlfn.TEXTSPLIT(E929,"-"),2)</f>
        <v>女装</v>
      </c>
      <c r="G929" s="2" t="str" cm="1">
        <f t="array" ref="G929">INDEX(_xlfn.TEXTSPLIT(E929,"-"),3)</f>
        <v>蕾丝衫/雪纺衫</v>
      </c>
      <c r="H929" s="5">
        <v>183141</v>
      </c>
      <c r="I929" s="5">
        <v>12691507.88</v>
      </c>
      <c r="J929" s="6">
        <v>0.0035</v>
      </c>
      <c r="K929" s="6">
        <v>-0.1255</v>
      </c>
    </row>
    <row r="930" ht="14.5" spans="1:11">
      <c r="A930" s="3" t="str">
        <f t="shared" si="54"/>
        <v>2026年</v>
      </c>
      <c r="B930" s="3" t="str">
        <f t="shared" si="55"/>
        <v>1月</v>
      </c>
      <c r="C930" s="4" t="str">
        <f t="shared" si="56"/>
        <v>W5</v>
      </c>
      <c r="D930" s="2" t="s">
        <v>763</v>
      </c>
      <c r="E930" s="2" t="s">
        <v>731</v>
      </c>
      <c r="F930" s="2" t="str" cm="1">
        <f t="array" ref="F930">INDEX(_xlfn.TEXTSPLIT(E930,"-"),2)</f>
        <v>女装</v>
      </c>
      <c r="G930" s="2" t="str" cm="1">
        <f t="array" ref="G930">INDEX(_xlfn.TEXTSPLIT(E930,"-"),3)</f>
        <v>衬衫</v>
      </c>
      <c r="H930" s="5">
        <v>462514</v>
      </c>
      <c r="I930" s="5">
        <v>52791606.53</v>
      </c>
      <c r="J930" s="6">
        <v>0.0144</v>
      </c>
      <c r="K930" s="6">
        <v>-0.1916</v>
      </c>
    </row>
    <row r="931" ht="14.5" spans="1:11">
      <c r="A931" s="3" t="str">
        <f t="shared" si="54"/>
        <v>2026年</v>
      </c>
      <c r="B931" s="3" t="str">
        <f t="shared" si="55"/>
        <v>1月</v>
      </c>
      <c r="C931" s="4" t="str">
        <f t="shared" si="56"/>
        <v>W5</v>
      </c>
      <c r="D931" s="2" t="s">
        <v>763</v>
      </c>
      <c r="E931" s="2" t="s">
        <v>732</v>
      </c>
      <c r="F931" s="2" t="str" cm="1">
        <f t="array" ref="F931">INDEX(_xlfn.TEXTSPLIT(E931,"-"),2)</f>
        <v>女装</v>
      </c>
      <c r="G931" s="2" t="str" cm="1">
        <f t="array" ref="G931">INDEX(_xlfn.TEXTSPLIT(E931,"-"),3)</f>
        <v>裤子</v>
      </c>
      <c r="H931" s="5">
        <v>4586612</v>
      </c>
      <c r="I931" s="5">
        <v>437650674.49</v>
      </c>
      <c r="J931" s="6">
        <v>0.1195</v>
      </c>
      <c r="K931" s="6">
        <v>-0.1724</v>
      </c>
    </row>
    <row r="932" ht="14.5" spans="1:11">
      <c r="A932" s="3" t="str">
        <f t="shared" si="54"/>
        <v>2026年</v>
      </c>
      <c r="B932" s="3" t="str">
        <f t="shared" si="55"/>
        <v>1月</v>
      </c>
      <c r="C932" s="4" t="str">
        <f t="shared" si="56"/>
        <v>W5</v>
      </c>
      <c r="D932" s="2" t="s">
        <v>763</v>
      </c>
      <c r="E932" s="2" t="s">
        <v>733</v>
      </c>
      <c r="F932" s="2" t="str" cm="1">
        <f t="array" ref="F932">INDEX(_xlfn.TEXTSPLIT(E932,"-"),2)</f>
        <v>女装</v>
      </c>
      <c r="G932" s="2" t="str" cm="1">
        <f t="array" ref="G932">INDEX(_xlfn.TEXTSPLIT(E932,"-"),3)</f>
        <v>西装</v>
      </c>
      <c r="H932" s="5">
        <v>57073</v>
      </c>
      <c r="I932" s="5">
        <v>14322527.13</v>
      </c>
      <c r="J932" s="6">
        <v>0.0039</v>
      </c>
      <c r="K932" s="6">
        <v>-0.3206</v>
      </c>
    </row>
    <row r="933" ht="14.5" spans="1:11">
      <c r="A933" s="3" t="str">
        <f t="shared" si="54"/>
        <v>2026年</v>
      </c>
      <c r="B933" s="3" t="str">
        <f t="shared" si="55"/>
        <v>1月</v>
      </c>
      <c r="C933" s="4" t="str">
        <f t="shared" si="56"/>
        <v>W5</v>
      </c>
      <c r="D933" s="2" t="s">
        <v>763</v>
      </c>
      <c r="E933" s="2" t="s">
        <v>734</v>
      </c>
      <c r="F933" s="2" t="str" cm="1">
        <f t="array" ref="F933">INDEX(_xlfn.TEXTSPLIT(E933,"-"),2)</f>
        <v>女装</v>
      </c>
      <c r="G933" s="2" t="str" cm="1">
        <f t="array" ref="G933">INDEX(_xlfn.TEXTSPLIT(E933,"-"),3)</f>
        <v>设计师/潮牌女装</v>
      </c>
      <c r="H933" s="5">
        <v>526034</v>
      </c>
      <c r="I933" s="5">
        <v>58440639.51</v>
      </c>
      <c r="J933" s="6">
        <v>0.016</v>
      </c>
      <c r="K933" s="6">
        <v>-0.1344</v>
      </c>
    </row>
    <row r="934" ht="14.5" spans="1:11">
      <c r="A934" s="3" t="str">
        <f t="shared" ref="A934:A965" si="57">TEXT(YEAR(D934),"0")&amp;"年"</f>
        <v>2026年</v>
      </c>
      <c r="B934" s="3" t="str">
        <f t="shared" ref="B934:B965" si="58">TEXT(MONTH(D934),"0")&amp;"月"</f>
        <v>1月</v>
      </c>
      <c r="C934" s="4" t="str">
        <f t="shared" ref="C934:C965" si="59">"W"&amp;TEXT(WEEKNUM(D934,2),"0")</f>
        <v>W5</v>
      </c>
      <c r="D934" s="2" t="s">
        <v>763</v>
      </c>
      <c r="E934" s="2" t="s">
        <v>735</v>
      </c>
      <c r="F934" s="2" t="str" cm="1">
        <f t="array" ref="F934">INDEX(_xlfn.TEXTSPLIT(E934,"-"),2)</f>
        <v>女装</v>
      </c>
      <c r="G934" s="2" t="str" cm="1">
        <f t="array" ref="G934">INDEX(_xlfn.TEXTSPLIT(E934,"-"),3)</f>
        <v>连体衣/裤</v>
      </c>
      <c r="H934" s="5">
        <v>15181</v>
      </c>
      <c r="I934" s="5">
        <v>2245361.25</v>
      </c>
      <c r="J934" s="6">
        <v>0.0006</v>
      </c>
      <c r="K934" s="6">
        <v>-0.003</v>
      </c>
    </row>
    <row r="935" ht="14.5" spans="1:11">
      <c r="A935" s="3" t="str">
        <f t="shared" si="57"/>
        <v>2026年</v>
      </c>
      <c r="B935" s="3" t="str">
        <f t="shared" si="58"/>
        <v>1月</v>
      </c>
      <c r="C935" s="4" t="str">
        <f t="shared" si="59"/>
        <v>W5</v>
      </c>
      <c r="D935" s="2" t="s">
        <v>763</v>
      </c>
      <c r="E935" s="2" t="s">
        <v>736</v>
      </c>
      <c r="F935" s="2" t="str" cm="1">
        <f t="array" ref="F935">INDEX(_xlfn.TEXTSPLIT(E935,"-"),2)</f>
        <v>女装</v>
      </c>
      <c r="G935" s="2" t="str" cm="1">
        <f t="array" ref="G935">INDEX(_xlfn.TEXTSPLIT(E935,"-"),3)</f>
        <v>连衣裙</v>
      </c>
      <c r="H935" s="5">
        <v>767674</v>
      </c>
      <c r="I935" s="5">
        <v>104614977.66</v>
      </c>
      <c r="J935" s="6">
        <v>0.0286</v>
      </c>
      <c r="K935" s="6">
        <v>-0.146</v>
      </c>
    </row>
    <row r="936" ht="14.5" spans="1:11">
      <c r="A936" s="3" t="str">
        <f t="shared" si="57"/>
        <v>2026年</v>
      </c>
      <c r="B936" s="3" t="str">
        <f t="shared" si="58"/>
        <v>1月</v>
      </c>
      <c r="C936" s="4" t="str">
        <f t="shared" si="59"/>
        <v>W5</v>
      </c>
      <c r="D936" s="2" t="s">
        <v>763</v>
      </c>
      <c r="E936" s="2" t="s">
        <v>737</v>
      </c>
      <c r="F936" s="2" t="str" cm="1">
        <f t="array" ref="F936">INDEX(_xlfn.TEXTSPLIT(E936,"-"),2)</f>
        <v>女装</v>
      </c>
      <c r="G936" s="2" t="str" cm="1">
        <f t="array" ref="G936">INDEX(_xlfn.TEXTSPLIT(E936,"-"),3)</f>
        <v>风衣</v>
      </c>
      <c r="H936" s="5">
        <v>98316</v>
      </c>
      <c r="I936" s="5">
        <v>16514892.06</v>
      </c>
      <c r="J936" s="6">
        <v>0.0045</v>
      </c>
      <c r="K936" s="6">
        <v>-0.2525</v>
      </c>
    </row>
    <row r="937" ht="14.5" spans="1:11">
      <c r="A937" s="3" t="str">
        <f t="shared" si="57"/>
        <v>2026年</v>
      </c>
      <c r="B937" s="3" t="str">
        <f t="shared" si="58"/>
        <v>1月</v>
      </c>
      <c r="C937" s="4" t="str">
        <f t="shared" si="59"/>
        <v>W5</v>
      </c>
      <c r="D937" s="2" t="s">
        <v>763</v>
      </c>
      <c r="E937" s="2" t="s">
        <v>738</v>
      </c>
      <c r="F937" s="2" t="str" cm="1">
        <f t="array" ref="F937">INDEX(_xlfn.TEXTSPLIT(E937,"-"),2)</f>
        <v>女装</v>
      </c>
      <c r="G937" s="2" t="str" cm="1">
        <f t="array" ref="G937">INDEX(_xlfn.TEXTSPLIT(E937,"-"),3)</f>
        <v>马夹</v>
      </c>
      <c r="H937" s="5">
        <v>403578</v>
      </c>
      <c r="I937" s="5">
        <v>41741454.67</v>
      </c>
      <c r="J937" s="6">
        <v>0.0114</v>
      </c>
      <c r="K937" s="6">
        <v>-0.1975</v>
      </c>
    </row>
    <row r="938" ht="14.5" spans="1:11">
      <c r="A938" s="3" t="str">
        <f t="shared" si="57"/>
        <v>2026年</v>
      </c>
      <c r="B938" s="3" t="str">
        <f t="shared" si="58"/>
        <v>1月</v>
      </c>
      <c r="C938" s="4" t="str">
        <f t="shared" si="59"/>
        <v>W5</v>
      </c>
      <c r="D938" s="2" t="s">
        <v>764</v>
      </c>
      <c r="E938" s="2" t="s">
        <v>702</v>
      </c>
      <c r="F938" s="2" t="str" cm="1">
        <f t="array" ref="F938">INDEX(_xlfn.TEXTSPLIT(E938,"-"),2)</f>
        <v>女装</v>
      </c>
      <c r="G938" s="2" t="str" cm="1">
        <f t="array" ref="G938">INDEX(_xlfn.TEXTSPLIT(E938,"-"),3)</f>
        <v>POLO衫</v>
      </c>
      <c r="H938" s="5">
        <v>13345</v>
      </c>
      <c r="I938" s="5">
        <v>1182043.55</v>
      </c>
      <c r="J938" s="6">
        <v>0.0003</v>
      </c>
      <c r="K938" s="6">
        <v>0.2027</v>
      </c>
    </row>
    <row r="939" ht="14.5" spans="1:11">
      <c r="A939" s="3" t="str">
        <f t="shared" si="57"/>
        <v>2026年</v>
      </c>
      <c r="B939" s="3" t="str">
        <f t="shared" si="58"/>
        <v>1月</v>
      </c>
      <c r="C939" s="4" t="str">
        <f t="shared" si="59"/>
        <v>W5</v>
      </c>
      <c r="D939" s="2" t="s">
        <v>764</v>
      </c>
      <c r="E939" s="2" t="s">
        <v>703</v>
      </c>
      <c r="F939" s="2" t="str" cm="1">
        <f t="array" ref="F939">INDEX(_xlfn.TEXTSPLIT(E939,"-"),2)</f>
        <v>女装</v>
      </c>
      <c r="G939" s="2" t="str" cm="1">
        <f t="array" ref="G939">INDEX(_xlfn.TEXTSPLIT(E939,"-"),3)</f>
        <v>T恤</v>
      </c>
      <c r="H939" s="5">
        <v>1501643</v>
      </c>
      <c r="I939" s="5">
        <v>89140779.65</v>
      </c>
      <c r="J939" s="6">
        <v>0.0231</v>
      </c>
      <c r="K939" s="6">
        <v>0.0448</v>
      </c>
    </row>
    <row r="940" ht="14.5" spans="1:11">
      <c r="A940" s="3" t="str">
        <f t="shared" si="57"/>
        <v>2026年</v>
      </c>
      <c r="B940" s="3" t="str">
        <f t="shared" si="58"/>
        <v>1月</v>
      </c>
      <c r="C940" s="4" t="str">
        <f t="shared" si="59"/>
        <v>W5</v>
      </c>
      <c r="D940" s="2" t="s">
        <v>764</v>
      </c>
      <c r="E940" s="2" t="s">
        <v>704</v>
      </c>
      <c r="F940" s="2" t="str" cm="1">
        <f t="array" ref="F940">INDEX(_xlfn.TEXTSPLIT(E940,"-"),2)</f>
        <v>女装</v>
      </c>
      <c r="G940" s="2" t="str" cm="1">
        <f t="array" ref="G940">INDEX(_xlfn.TEXTSPLIT(E940,"-"),3)</f>
        <v>中老年女装</v>
      </c>
      <c r="H940" s="5">
        <v>567463</v>
      </c>
      <c r="I940" s="5">
        <v>65108093.4</v>
      </c>
      <c r="J940" s="6">
        <v>0.0169</v>
      </c>
      <c r="K940" s="6">
        <v>0.0133</v>
      </c>
    </row>
    <row r="941" ht="14.5" spans="1:11">
      <c r="A941" s="3" t="str">
        <f t="shared" si="57"/>
        <v>2026年</v>
      </c>
      <c r="B941" s="3" t="str">
        <f t="shared" si="58"/>
        <v>1月</v>
      </c>
      <c r="C941" s="4" t="str">
        <f t="shared" si="59"/>
        <v>W5</v>
      </c>
      <c r="D941" s="2" t="s">
        <v>764</v>
      </c>
      <c r="E941" s="2" t="s">
        <v>705</v>
      </c>
      <c r="F941" s="2" t="str" cm="1">
        <f t="array" ref="F941">INDEX(_xlfn.TEXTSPLIT(E941,"-"),2)</f>
        <v>女装</v>
      </c>
      <c r="G941" s="2" t="str" cm="1">
        <f t="array" ref="G941">INDEX(_xlfn.TEXTSPLIT(E941,"-"),3)</f>
        <v>半身裙</v>
      </c>
      <c r="H941" s="5">
        <v>821578</v>
      </c>
      <c r="I941" s="5">
        <v>75603798.65</v>
      </c>
      <c r="J941" s="6">
        <v>0.0196</v>
      </c>
      <c r="K941" s="6">
        <v>0.085</v>
      </c>
    </row>
    <row r="942" ht="14.5" spans="1:11">
      <c r="A942" s="3" t="str">
        <f t="shared" si="57"/>
        <v>2026年</v>
      </c>
      <c r="B942" s="3" t="str">
        <f t="shared" si="58"/>
        <v>1月</v>
      </c>
      <c r="C942" s="4" t="str">
        <f t="shared" si="59"/>
        <v>W5</v>
      </c>
      <c r="D942" s="2" t="s">
        <v>764</v>
      </c>
      <c r="E942" s="2" t="s">
        <v>706</v>
      </c>
      <c r="F942" s="2" t="str" cm="1">
        <f t="array" ref="F942">INDEX(_xlfn.TEXTSPLIT(E942,"-"),2)</f>
        <v>女装</v>
      </c>
      <c r="G942" s="2" t="str" cm="1">
        <f t="array" ref="G942">INDEX(_xlfn.TEXTSPLIT(E942,"-"),3)</f>
        <v>卫衣/绒衫</v>
      </c>
      <c r="H942" s="5">
        <v>455057</v>
      </c>
      <c r="I942" s="5">
        <v>38953780.13</v>
      </c>
      <c r="J942" s="6">
        <v>0.0101</v>
      </c>
      <c r="K942" s="6">
        <v>0.1757</v>
      </c>
    </row>
    <row r="943" ht="14.5" spans="1:11">
      <c r="A943" s="3" t="str">
        <f t="shared" si="57"/>
        <v>2026年</v>
      </c>
      <c r="B943" s="3" t="str">
        <f t="shared" si="58"/>
        <v>1月</v>
      </c>
      <c r="C943" s="4" t="str">
        <f t="shared" si="59"/>
        <v>W5</v>
      </c>
      <c r="D943" s="2" t="s">
        <v>764</v>
      </c>
      <c r="E943" s="2" t="s">
        <v>707</v>
      </c>
      <c r="F943" s="2" t="str" cm="1">
        <f t="array" ref="F943">INDEX(_xlfn.TEXTSPLIT(E943,"-"),2)</f>
        <v>女装</v>
      </c>
      <c r="G943" s="2" t="str" cm="1">
        <f t="array" ref="G943">INDEX(_xlfn.TEXTSPLIT(E943,"-"),3)</f>
        <v>唐装/民族服装/舞台服装</v>
      </c>
      <c r="H943" s="5">
        <v>225801</v>
      </c>
      <c r="I943" s="5">
        <v>53900439.94</v>
      </c>
      <c r="J943" s="6">
        <v>0.014</v>
      </c>
      <c r="K943" s="6">
        <v>0.0682</v>
      </c>
    </row>
    <row r="944" ht="14.5" spans="1:11">
      <c r="A944" s="3" t="str">
        <f t="shared" si="57"/>
        <v>2026年</v>
      </c>
      <c r="B944" s="3" t="str">
        <f t="shared" si="58"/>
        <v>1月</v>
      </c>
      <c r="C944" s="4" t="str">
        <f t="shared" si="59"/>
        <v>W5</v>
      </c>
      <c r="D944" s="2" t="s">
        <v>764</v>
      </c>
      <c r="E944" s="2" t="s">
        <v>708</v>
      </c>
      <c r="F944" s="2" t="str" cm="1">
        <f t="array" ref="F944">INDEX(_xlfn.TEXTSPLIT(E944,"-"),2)</f>
        <v>女装</v>
      </c>
      <c r="G944" s="2" t="str" cm="1">
        <f t="array" ref="G944">INDEX(_xlfn.TEXTSPLIT(E944,"-"),3)</f>
        <v>大码女装</v>
      </c>
      <c r="H944" s="5">
        <v>695878</v>
      </c>
      <c r="I944" s="5">
        <v>60002939.81</v>
      </c>
      <c r="J944" s="6">
        <v>0.0156</v>
      </c>
      <c r="K944" s="6">
        <v>-0.0001</v>
      </c>
    </row>
    <row r="945" ht="14.5" spans="1:11">
      <c r="A945" s="3" t="str">
        <f t="shared" si="57"/>
        <v>2026年</v>
      </c>
      <c r="B945" s="3" t="str">
        <f t="shared" si="58"/>
        <v>1月</v>
      </c>
      <c r="C945" s="4" t="str">
        <f t="shared" si="59"/>
        <v>W5</v>
      </c>
      <c r="D945" s="2" t="s">
        <v>764</v>
      </c>
      <c r="E945" s="2" t="s">
        <v>709</v>
      </c>
      <c r="F945" s="2" t="str" cm="1">
        <f t="array" ref="F945">INDEX(_xlfn.TEXTSPLIT(E945,"-"),2)</f>
        <v>女装</v>
      </c>
      <c r="G945" s="2" t="str" cm="1">
        <f t="array" ref="G945">INDEX(_xlfn.TEXTSPLIT(E945,"-"),3)</f>
        <v>套装/学生校服/工作制服</v>
      </c>
      <c r="H945" s="5">
        <v>1019178</v>
      </c>
      <c r="I945" s="5">
        <v>138848940.47</v>
      </c>
      <c r="J945" s="6">
        <v>0.036</v>
      </c>
      <c r="K945" s="6">
        <v>0.0334</v>
      </c>
    </row>
    <row r="946" ht="14.5" spans="1:11">
      <c r="A946" s="3" t="str">
        <f t="shared" si="57"/>
        <v>2026年</v>
      </c>
      <c r="B946" s="3" t="str">
        <f t="shared" si="58"/>
        <v>1月</v>
      </c>
      <c r="C946" s="4" t="str">
        <f t="shared" si="59"/>
        <v>W5</v>
      </c>
      <c r="D946" s="2" t="s">
        <v>764</v>
      </c>
      <c r="E946" s="2" t="s">
        <v>710</v>
      </c>
      <c r="F946" s="2" t="str" cm="1">
        <f t="array" ref="F946">INDEX(_xlfn.TEXTSPLIT(E946,"-"),2)</f>
        <v>女装</v>
      </c>
      <c r="G946" s="2" t="str" cm="1">
        <f t="array" ref="G946">INDEX(_xlfn.TEXTSPLIT(E946,"-"),3)</f>
        <v>婚纱/旗袍/礼服</v>
      </c>
      <c r="H946" s="5">
        <v>64019</v>
      </c>
      <c r="I946" s="5">
        <v>11088515.57</v>
      </c>
      <c r="J946" s="6">
        <v>0.0029</v>
      </c>
      <c r="K946" s="6">
        <v>0.1042</v>
      </c>
    </row>
    <row r="947" ht="14.5" spans="1:11">
      <c r="A947" s="3" t="str">
        <f t="shared" si="57"/>
        <v>2026年</v>
      </c>
      <c r="B947" s="3" t="str">
        <f t="shared" si="58"/>
        <v>1月</v>
      </c>
      <c r="C947" s="4" t="str">
        <f t="shared" si="59"/>
        <v>W5</v>
      </c>
      <c r="D947" s="2" t="s">
        <v>764</v>
      </c>
      <c r="E947" s="2" t="s">
        <v>711</v>
      </c>
      <c r="F947" s="2" t="str" cm="1">
        <f t="array" ref="F947">INDEX(_xlfn.TEXTSPLIT(E947,"-"),2)</f>
        <v>女装</v>
      </c>
      <c r="G947" s="2" t="str" cm="1">
        <f t="array" ref="G947">INDEX(_xlfn.TEXTSPLIT(E947,"-"),3)</f>
        <v>新中式女装</v>
      </c>
      <c r="H947" s="5">
        <v>89060</v>
      </c>
      <c r="I947" s="5">
        <v>12254327.86</v>
      </c>
      <c r="J947" s="6">
        <v>0.0032</v>
      </c>
      <c r="K947" s="6">
        <v>-0.2665</v>
      </c>
    </row>
    <row r="948" ht="14.5" spans="1:11">
      <c r="A948" s="3" t="str">
        <f t="shared" si="57"/>
        <v>2026年</v>
      </c>
      <c r="B948" s="3" t="str">
        <f t="shared" si="58"/>
        <v>1月</v>
      </c>
      <c r="C948" s="4" t="str">
        <f t="shared" si="59"/>
        <v>W5</v>
      </c>
      <c r="D948" s="2" t="s">
        <v>764</v>
      </c>
      <c r="E948" s="2" t="s">
        <v>712</v>
      </c>
      <c r="F948" s="2" t="str" cm="1">
        <f t="array" ref="F948">INDEX(_xlfn.TEXTSPLIT(E948,"-"),2)</f>
        <v>女装</v>
      </c>
      <c r="G948" s="2" t="str" cm="1">
        <f t="array" ref="G948">INDEX(_xlfn.TEXTSPLIT(E948,"-"),3)</f>
        <v>时尚防晒服</v>
      </c>
      <c r="H948" s="5">
        <v>935</v>
      </c>
      <c r="I948" s="5">
        <v>75989.55</v>
      </c>
      <c r="J948" s="2" t="s">
        <v>713</v>
      </c>
      <c r="K948" s="6">
        <v>2.2433</v>
      </c>
    </row>
    <row r="949" ht="14.5" spans="1:11">
      <c r="A949" s="3" t="str">
        <f t="shared" si="57"/>
        <v>2026年</v>
      </c>
      <c r="B949" s="3" t="str">
        <f t="shared" si="58"/>
        <v>1月</v>
      </c>
      <c r="C949" s="4" t="str">
        <f t="shared" si="59"/>
        <v>W5</v>
      </c>
      <c r="D949" s="2" t="s">
        <v>764</v>
      </c>
      <c r="E949" s="2" t="s">
        <v>714</v>
      </c>
      <c r="F949" s="2" t="str" cm="1">
        <f t="array" ref="F949">INDEX(_xlfn.TEXTSPLIT(E949,"-"),2)</f>
        <v>女装</v>
      </c>
      <c r="G949" s="2" t="str" cm="1">
        <f t="array" ref="G949">INDEX(_xlfn.TEXTSPLIT(E949,"-"),3)</f>
        <v>棉衣/棉服</v>
      </c>
      <c r="H949" s="5">
        <v>766325</v>
      </c>
      <c r="I949" s="5">
        <v>89854385.74</v>
      </c>
      <c r="J949" s="6">
        <v>0.0233</v>
      </c>
      <c r="K949" s="6">
        <v>-0.0243</v>
      </c>
    </row>
    <row r="950" ht="14.5" spans="1:11">
      <c r="A950" s="3" t="str">
        <f t="shared" si="57"/>
        <v>2026年</v>
      </c>
      <c r="B950" s="3" t="str">
        <f t="shared" si="58"/>
        <v>1月</v>
      </c>
      <c r="C950" s="4" t="str">
        <f t="shared" si="59"/>
        <v>W5</v>
      </c>
      <c r="D950" s="2" t="s">
        <v>764</v>
      </c>
      <c r="E950" s="2" t="s">
        <v>715</v>
      </c>
      <c r="F950" s="2" t="str" cm="1">
        <f t="array" ref="F950">INDEX(_xlfn.TEXTSPLIT(E950,"-"),2)</f>
        <v>女装</v>
      </c>
      <c r="G950" s="2" t="str" cm="1">
        <f t="array" ref="G950">INDEX(_xlfn.TEXTSPLIT(E950,"-"),3)</f>
        <v>毛呢外套</v>
      </c>
      <c r="H950" s="5">
        <v>903651</v>
      </c>
      <c r="I950" s="5">
        <v>357340361.05</v>
      </c>
      <c r="J950" s="6">
        <v>0.0927</v>
      </c>
      <c r="K950" s="6">
        <v>0.0947</v>
      </c>
    </row>
    <row r="951" ht="14.5" spans="1:11">
      <c r="A951" s="3" t="str">
        <f t="shared" si="57"/>
        <v>2026年</v>
      </c>
      <c r="B951" s="3" t="str">
        <f t="shared" si="58"/>
        <v>1月</v>
      </c>
      <c r="C951" s="4" t="str">
        <f t="shared" si="59"/>
        <v>W5</v>
      </c>
      <c r="D951" s="2" t="s">
        <v>764</v>
      </c>
      <c r="E951" s="2" t="s">
        <v>716</v>
      </c>
      <c r="F951" s="2" t="str" cm="1">
        <f t="array" ref="F951">INDEX(_xlfn.TEXTSPLIT(E951,"-"),2)</f>
        <v>女装</v>
      </c>
      <c r="G951" s="2" t="str" cm="1">
        <f t="array" ref="G951">INDEX(_xlfn.TEXTSPLIT(E951,"-"),3)</f>
        <v>毛衣</v>
      </c>
      <c r="H951" s="5">
        <v>537106</v>
      </c>
      <c r="I951" s="5">
        <v>55480222.98</v>
      </c>
      <c r="J951" s="6">
        <v>0.0144</v>
      </c>
      <c r="K951" s="6">
        <v>0.3503</v>
      </c>
    </row>
    <row r="952" ht="14.5" spans="1:11">
      <c r="A952" s="3" t="str">
        <f t="shared" si="57"/>
        <v>2026年</v>
      </c>
      <c r="B952" s="3" t="str">
        <f t="shared" si="58"/>
        <v>1月</v>
      </c>
      <c r="C952" s="4" t="str">
        <f t="shared" si="59"/>
        <v>W5</v>
      </c>
      <c r="D952" s="2" t="s">
        <v>764</v>
      </c>
      <c r="E952" s="2" t="s">
        <v>717</v>
      </c>
      <c r="F952" s="2" t="str" cm="1">
        <f t="array" ref="F952">INDEX(_xlfn.TEXTSPLIT(E952,"-"),2)</f>
        <v>女装</v>
      </c>
      <c r="G952" s="2" t="str" cm="1">
        <f t="array" ref="G952">INDEX(_xlfn.TEXTSPLIT(E952,"-"),3)</f>
        <v>毛针织衫</v>
      </c>
      <c r="H952" s="5">
        <v>2531006</v>
      </c>
      <c r="I952" s="5">
        <v>209287189.81</v>
      </c>
      <c r="J952" s="6">
        <v>0.0543</v>
      </c>
      <c r="K952" s="6">
        <v>0.1031</v>
      </c>
    </row>
    <row r="953" ht="14.5" spans="1:11">
      <c r="A953" s="3" t="str">
        <f t="shared" si="57"/>
        <v>2026年</v>
      </c>
      <c r="B953" s="3" t="str">
        <f t="shared" si="58"/>
        <v>1月</v>
      </c>
      <c r="C953" s="4" t="str">
        <f t="shared" si="59"/>
        <v>W5</v>
      </c>
      <c r="D953" s="2" t="s">
        <v>764</v>
      </c>
      <c r="E953" s="2" t="s">
        <v>718</v>
      </c>
      <c r="F953" s="2" t="str" cm="1">
        <f t="array" ref="F953">INDEX(_xlfn.TEXTSPLIT(E953,"-"),2)</f>
        <v>女装</v>
      </c>
      <c r="G953" s="2" t="str" cm="1">
        <f t="array" ref="G953">INDEX(_xlfn.TEXTSPLIT(E953,"-"),3)</f>
        <v>汉服</v>
      </c>
      <c r="H953" s="5">
        <v>121359</v>
      </c>
      <c r="I953" s="5">
        <v>65069710.49</v>
      </c>
      <c r="J953" s="6">
        <v>0.0169</v>
      </c>
      <c r="K953" s="6">
        <v>0.0887</v>
      </c>
    </row>
    <row r="954" ht="14.5" spans="1:11">
      <c r="A954" s="3" t="str">
        <f t="shared" si="57"/>
        <v>2026年</v>
      </c>
      <c r="B954" s="3" t="str">
        <f t="shared" si="58"/>
        <v>1月</v>
      </c>
      <c r="C954" s="4" t="str">
        <f t="shared" si="59"/>
        <v>W5</v>
      </c>
      <c r="D954" s="2" t="s">
        <v>764</v>
      </c>
      <c r="E954" s="2" t="s">
        <v>719</v>
      </c>
      <c r="F954" s="2" t="str" cm="1">
        <f t="array" ref="F954">INDEX(_xlfn.TEXTSPLIT(E954,"-"),2)</f>
        <v>女装</v>
      </c>
      <c r="G954" s="2" t="str" cm="1">
        <f t="array" ref="G954">INDEX(_xlfn.TEXTSPLIT(E954,"-"),3)</f>
        <v>派克服</v>
      </c>
      <c r="H954" s="5">
        <v>56977</v>
      </c>
      <c r="I954" s="5">
        <v>14834223.19</v>
      </c>
      <c r="J954" s="6">
        <v>0.0038</v>
      </c>
      <c r="K954" s="6">
        <v>-0.1607</v>
      </c>
    </row>
    <row r="955" ht="14.5" spans="1:11">
      <c r="A955" s="3" t="str">
        <f t="shared" si="57"/>
        <v>2026年</v>
      </c>
      <c r="B955" s="3" t="str">
        <f t="shared" si="58"/>
        <v>1月</v>
      </c>
      <c r="C955" s="4" t="str">
        <f t="shared" si="59"/>
        <v>W5</v>
      </c>
      <c r="D955" s="2" t="s">
        <v>764</v>
      </c>
      <c r="E955" s="2" t="s">
        <v>720</v>
      </c>
      <c r="F955" s="2" t="str" cm="1">
        <f t="array" ref="F955">INDEX(_xlfn.TEXTSPLIT(E955,"-"),2)</f>
        <v>女装</v>
      </c>
      <c r="G955" s="2" t="str" cm="1">
        <f t="array" ref="G955">INDEX(_xlfn.TEXTSPLIT(E955,"-"),3)</f>
        <v>皮草</v>
      </c>
      <c r="H955" s="5">
        <v>282668</v>
      </c>
      <c r="I955" s="5">
        <v>465117986.83</v>
      </c>
      <c r="J955" s="6">
        <v>0.1206</v>
      </c>
      <c r="K955" s="6">
        <v>0.0734</v>
      </c>
    </row>
    <row r="956" ht="14.5" spans="1:11">
      <c r="A956" s="3" t="str">
        <f t="shared" si="57"/>
        <v>2026年</v>
      </c>
      <c r="B956" s="3" t="str">
        <f t="shared" si="58"/>
        <v>1月</v>
      </c>
      <c r="C956" s="4" t="str">
        <f t="shared" si="59"/>
        <v>W5</v>
      </c>
      <c r="D956" s="2" t="s">
        <v>764</v>
      </c>
      <c r="E956" s="2" t="s">
        <v>721</v>
      </c>
      <c r="F956" s="2" t="str" cm="1">
        <f t="array" ref="F956">INDEX(_xlfn.TEXTSPLIT(E956,"-"),2)</f>
        <v>女装</v>
      </c>
      <c r="G956" s="2" t="str" cm="1">
        <f t="array" ref="G956">INDEX(_xlfn.TEXTSPLIT(E956,"-"),3)</f>
        <v>皮衣</v>
      </c>
      <c r="H956" s="5">
        <v>167340</v>
      </c>
      <c r="I956" s="5">
        <v>57372338.54</v>
      </c>
      <c r="J956" s="6">
        <v>0.0149</v>
      </c>
      <c r="K956" s="6">
        <v>-0.0041</v>
      </c>
    </row>
    <row r="957" ht="14.5" spans="1:11">
      <c r="A957" s="3" t="str">
        <f t="shared" si="57"/>
        <v>2026年</v>
      </c>
      <c r="B957" s="3" t="str">
        <f t="shared" si="58"/>
        <v>1月</v>
      </c>
      <c r="C957" s="4" t="str">
        <f t="shared" si="59"/>
        <v>W5</v>
      </c>
      <c r="D957" s="2" t="s">
        <v>764</v>
      </c>
      <c r="E957" s="2" t="s">
        <v>722</v>
      </c>
      <c r="F957" s="2" t="str" cm="1">
        <f t="array" ref="F957">INDEX(_xlfn.TEXTSPLIT(E957,"-"),2)</f>
        <v>女装</v>
      </c>
      <c r="G957" s="2" t="str" cm="1">
        <f t="array" ref="G957">INDEX(_xlfn.TEXTSPLIT(E957,"-"),3)</f>
        <v>短外套</v>
      </c>
      <c r="H957" s="5">
        <v>1320881</v>
      </c>
      <c r="I957" s="5">
        <v>297155370.25</v>
      </c>
      <c r="J957" s="6">
        <v>0.0771</v>
      </c>
      <c r="K957" s="6">
        <v>0.0563</v>
      </c>
    </row>
    <row r="958" ht="14.5" spans="1:11">
      <c r="A958" s="3" t="str">
        <f t="shared" si="57"/>
        <v>2026年</v>
      </c>
      <c r="B958" s="3" t="str">
        <f t="shared" si="58"/>
        <v>1月</v>
      </c>
      <c r="C958" s="4" t="str">
        <f t="shared" si="59"/>
        <v>W5</v>
      </c>
      <c r="D958" s="2" t="s">
        <v>764</v>
      </c>
      <c r="E958" s="2" t="s">
        <v>723</v>
      </c>
      <c r="F958" s="2" t="str" cm="1">
        <f t="array" ref="F958">INDEX(_xlfn.TEXTSPLIT(E958,"-"),2)</f>
        <v>女装</v>
      </c>
      <c r="G958" s="2" t="str" cm="1">
        <f t="array" ref="G958">INDEX(_xlfn.TEXTSPLIT(E958,"-"),3)</f>
        <v>短裤</v>
      </c>
      <c r="H958" s="5">
        <v>119638</v>
      </c>
      <c r="I958" s="5">
        <v>6865180.28</v>
      </c>
      <c r="J958" s="6">
        <v>0.0018</v>
      </c>
      <c r="K958" s="6">
        <v>-0.0162</v>
      </c>
    </row>
    <row r="959" ht="14.5" spans="1:11">
      <c r="A959" s="3" t="str">
        <f t="shared" si="57"/>
        <v>2026年</v>
      </c>
      <c r="B959" s="3" t="str">
        <f t="shared" si="58"/>
        <v>1月</v>
      </c>
      <c r="C959" s="4" t="str">
        <f t="shared" si="59"/>
        <v>W5</v>
      </c>
      <c r="D959" s="2" t="s">
        <v>764</v>
      </c>
      <c r="E959" s="2" t="s">
        <v>724</v>
      </c>
      <c r="F959" s="2" t="str" cm="1">
        <f t="array" ref="F959">INDEX(_xlfn.TEXTSPLIT(E959,"-"),2)</f>
        <v>女装</v>
      </c>
      <c r="G959" s="2" t="str" cm="1">
        <f t="array" ref="G959">INDEX(_xlfn.TEXTSPLIT(E959,"-"),3)</f>
        <v>羊毛衫</v>
      </c>
      <c r="H959" s="5">
        <v>556474</v>
      </c>
      <c r="I959" s="5">
        <v>76827580.82</v>
      </c>
      <c r="J959" s="6">
        <v>0.0199</v>
      </c>
      <c r="K959" s="6">
        <v>0.2115</v>
      </c>
    </row>
    <row r="960" ht="14.5" spans="1:11">
      <c r="A960" s="3" t="str">
        <f t="shared" si="57"/>
        <v>2026年</v>
      </c>
      <c r="B960" s="3" t="str">
        <f t="shared" si="58"/>
        <v>1月</v>
      </c>
      <c r="C960" s="4" t="str">
        <f t="shared" si="59"/>
        <v>W5</v>
      </c>
      <c r="D960" s="2" t="s">
        <v>764</v>
      </c>
      <c r="E960" s="2" t="s">
        <v>725</v>
      </c>
      <c r="F960" s="2" t="str" cm="1">
        <f t="array" ref="F960">INDEX(_xlfn.TEXTSPLIT(E960,"-"),2)</f>
        <v>女装</v>
      </c>
      <c r="G960" s="2" t="str" cm="1">
        <f t="array" ref="G960">INDEX(_xlfn.TEXTSPLIT(E960,"-"),3)</f>
        <v>羊绒大衣</v>
      </c>
      <c r="H960" s="5">
        <v>17296</v>
      </c>
      <c r="I960" s="5">
        <v>3547320.18</v>
      </c>
      <c r="J960" s="6">
        <v>0.0009</v>
      </c>
      <c r="K960" s="6">
        <v>0.0469</v>
      </c>
    </row>
    <row r="961" ht="14.5" spans="1:11">
      <c r="A961" s="3" t="str">
        <f t="shared" si="57"/>
        <v>2026年</v>
      </c>
      <c r="B961" s="3" t="str">
        <f t="shared" si="58"/>
        <v>1月</v>
      </c>
      <c r="C961" s="4" t="str">
        <f t="shared" si="59"/>
        <v>W5</v>
      </c>
      <c r="D961" s="2" t="s">
        <v>764</v>
      </c>
      <c r="E961" s="2" t="s">
        <v>726</v>
      </c>
      <c r="F961" s="2" t="str" cm="1">
        <f t="array" ref="F961">INDEX(_xlfn.TEXTSPLIT(E961,"-"),2)</f>
        <v>女装</v>
      </c>
      <c r="G961" s="2" t="str" cm="1">
        <f t="array" ref="G961">INDEX(_xlfn.TEXTSPLIT(E961,"-"),3)</f>
        <v>羊绒衫</v>
      </c>
      <c r="H961" s="5">
        <v>124328</v>
      </c>
      <c r="I961" s="5">
        <v>45201223.79</v>
      </c>
      <c r="J961" s="6">
        <v>0.0117</v>
      </c>
      <c r="K961" s="6">
        <v>-0.0489</v>
      </c>
    </row>
    <row r="962" ht="14.5" spans="1:11">
      <c r="A962" s="3" t="str">
        <f t="shared" si="57"/>
        <v>2026年</v>
      </c>
      <c r="B962" s="3" t="str">
        <f t="shared" si="58"/>
        <v>1月</v>
      </c>
      <c r="C962" s="4" t="str">
        <f t="shared" si="59"/>
        <v>W5</v>
      </c>
      <c r="D962" s="2" t="s">
        <v>764</v>
      </c>
      <c r="E962" s="2" t="s">
        <v>727</v>
      </c>
      <c r="F962" s="2" t="str" cm="1">
        <f t="array" ref="F962">INDEX(_xlfn.TEXTSPLIT(E962,"-"),2)</f>
        <v>女装</v>
      </c>
      <c r="G962" s="2" t="str" cm="1">
        <f t="array" ref="G962">INDEX(_xlfn.TEXTSPLIT(E962,"-"),3)</f>
        <v>羽绒服</v>
      </c>
      <c r="H962" s="5">
        <v>1920291</v>
      </c>
      <c r="I962" s="5">
        <v>768322730.52</v>
      </c>
      <c r="J962" s="6">
        <v>0.1993</v>
      </c>
      <c r="K962" s="6">
        <v>0.0072</v>
      </c>
    </row>
    <row r="963" ht="14.5" spans="1:11">
      <c r="A963" s="3" t="str">
        <f t="shared" si="57"/>
        <v>2026年</v>
      </c>
      <c r="B963" s="3" t="str">
        <f t="shared" si="58"/>
        <v>1月</v>
      </c>
      <c r="C963" s="4" t="str">
        <f t="shared" si="59"/>
        <v>W5</v>
      </c>
      <c r="D963" s="2" t="s">
        <v>764</v>
      </c>
      <c r="E963" s="2" t="s">
        <v>728</v>
      </c>
      <c r="F963" s="2" t="str" cm="1">
        <f t="array" ref="F963">INDEX(_xlfn.TEXTSPLIT(E963,"-"),2)</f>
        <v>女装</v>
      </c>
      <c r="G963" s="2" t="str" cm="1">
        <f t="array" ref="G963">INDEX(_xlfn.TEXTSPLIT(E963,"-"),3)</f>
        <v>肌底衣/肌肤衣</v>
      </c>
      <c r="H963" s="5">
        <v>4359</v>
      </c>
      <c r="I963" s="5">
        <v>248016.06</v>
      </c>
      <c r="J963" s="6">
        <v>0.0001</v>
      </c>
      <c r="K963" s="6">
        <v>-0.471</v>
      </c>
    </row>
    <row r="964" ht="14.5" spans="1:11">
      <c r="A964" s="3" t="str">
        <f t="shared" si="57"/>
        <v>2026年</v>
      </c>
      <c r="B964" s="3" t="str">
        <f t="shared" si="58"/>
        <v>1月</v>
      </c>
      <c r="C964" s="4" t="str">
        <f t="shared" si="59"/>
        <v>W5</v>
      </c>
      <c r="D964" s="2" t="s">
        <v>764</v>
      </c>
      <c r="E964" s="2" t="s">
        <v>729</v>
      </c>
      <c r="F964" s="2" t="str" cm="1">
        <f t="array" ref="F964">INDEX(_xlfn.TEXTSPLIT(E964,"-"),2)</f>
        <v>女装</v>
      </c>
      <c r="G964" s="2" t="str" cm="1">
        <f t="array" ref="G964">INDEX(_xlfn.TEXTSPLIT(E964,"-"),3)</f>
        <v>背心吊带</v>
      </c>
      <c r="H964" s="5">
        <v>218641</v>
      </c>
      <c r="I964" s="5">
        <v>13417662.7</v>
      </c>
      <c r="J964" s="6">
        <v>0.0035</v>
      </c>
      <c r="K964" s="6">
        <v>0.1685</v>
      </c>
    </row>
    <row r="965" ht="14.5" spans="1:11">
      <c r="A965" s="3" t="str">
        <f t="shared" si="57"/>
        <v>2026年</v>
      </c>
      <c r="B965" s="3" t="str">
        <f t="shared" si="58"/>
        <v>1月</v>
      </c>
      <c r="C965" s="4" t="str">
        <f t="shared" si="59"/>
        <v>W5</v>
      </c>
      <c r="D965" s="2" t="s">
        <v>764</v>
      </c>
      <c r="E965" s="2" t="s">
        <v>730</v>
      </c>
      <c r="F965" s="2" t="str" cm="1">
        <f t="array" ref="F965">INDEX(_xlfn.TEXTSPLIT(E965,"-"),2)</f>
        <v>女装</v>
      </c>
      <c r="G965" s="2" t="str" cm="1">
        <f t="array" ref="G965">INDEX(_xlfn.TEXTSPLIT(E965,"-"),3)</f>
        <v>蕾丝衫/雪纺衫</v>
      </c>
      <c r="H965" s="5">
        <v>178288</v>
      </c>
      <c r="I965" s="5">
        <v>13058806.79</v>
      </c>
      <c r="J965" s="6">
        <v>0.0034</v>
      </c>
      <c r="K965" s="6">
        <v>0.0289</v>
      </c>
    </row>
    <row r="966" ht="14.5" spans="1:11">
      <c r="A966" s="3" t="str">
        <f t="shared" ref="A966:A997" si="60">TEXT(YEAR(D966),"0")&amp;"年"</f>
        <v>2026年</v>
      </c>
      <c r="B966" s="3" t="str">
        <f t="shared" ref="B966:B997" si="61">TEXT(MONTH(D966),"0")&amp;"月"</f>
        <v>1月</v>
      </c>
      <c r="C966" s="4" t="str">
        <f t="shared" ref="C966:C997" si="62">"W"&amp;TEXT(WEEKNUM(D966,2),"0")</f>
        <v>W5</v>
      </c>
      <c r="D966" s="2" t="s">
        <v>764</v>
      </c>
      <c r="E966" s="2" t="s">
        <v>731</v>
      </c>
      <c r="F966" s="2" t="str" cm="1">
        <f t="array" ref="F966">INDEX(_xlfn.TEXTSPLIT(E966,"-"),2)</f>
        <v>女装</v>
      </c>
      <c r="G966" s="2" t="str" cm="1">
        <f t="array" ref="G966">INDEX(_xlfn.TEXTSPLIT(E966,"-"),3)</f>
        <v>衬衫</v>
      </c>
      <c r="H966" s="5">
        <v>473099</v>
      </c>
      <c r="I966" s="5">
        <v>56049731.28</v>
      </c>
      <c r="J966" s="6">
        <v>0.0145</v>
      </c>
      <c r="K966" s="6">
        <v>0.0617</v>
      </c>
    </row>
    <row r="967" ht="14.5" spans="1:11">
      <c r="A967" s="3" t="str">
        <f t="shared" si="60"/>
        <v>2026年</v>
      </c>
      <c r="B967" s="3" t="str">
        <f t="shared" si="61"/>
        <v>1月</v>
      </c>
      <c r="C967" s="4" t="str">
        <f t="shared" si="62"/>
        <v>W5</v>
      </c>
      <c r="D967" s="2" t="s">
        <v>764</v>
      </c>
      <c r="E967" s="2" t="s">
        <v>732</v>
      </c>
      <c r="F967" s="2" t="str" cm="1">
        <f t="array" ref="F967">INDEX(_xlfn.TEXTSPLIT(E967,"-"),2)</f>
        <v>女装</v>
      </c>
      <c r="G967" s="2" t="str" cm="1">
        <f t="array" ref="G967">INDEX(_xlfn.TEXTSPLIT(E967,"-"),3)</f>
        <v>裤子</v>
      </c>
      <c r="H967" s="5">
        <v>4446416</v>
      </c>
      <c r="I967" s="5">
        <v>451647921.34</v>
      </c>
      <c r="J967" s="6">
        <v>0.1171</v>
      </c>
      <c r="K967" s="6">
        <v>0.032</v>
      </c>
    </row>
    <row r="968" ht="14.5" spans="1:11">
      <c r="A968" s="3" t="str">
        <f t="shared" si="60"/>
        <v>2026年</v>
      </c>
      <c r="B968" s="3" t="str">
        <f t="shared" si="61"/>
        <v>1月</v>
      </c>
      <c r="C968" s="4" t="str">
        <f t="shared" si="62"/>
        <v>W5</v>
      </c>
      <c r="D968" s="2" t="s">
        <v>764</v>
      </c>
      <c r="E968" s="2" t="s">
        <v>733</v>
      </c>
      <c r="F968" s="2" t="str" cm="1">
        <f t="array" ref="F968">INDEX(_xlfn.TEXTSPLIT(E968,"-"),2)</f>
        <v>女装</v>
      </c>
      <c r="G968" s="2" t="str" cm="1">
        <f t="array" ref="G968">INDEX(_xlfn.TEXTSPLIT(E968,"-"),3)</f>
        <v>西装</v>
      </c>
      <c r="H968" s="5">
        <v>58991</v>
      </c>
      <c r="I968" s="5">
        <v>15493284.57</v>
      </c>
      <c r="J968" s="6">
        <v>0.004</v>
      </c>
      <c r="K968" s="6">
        <v>0.0817</v>
      </c>
    </row>
    <row r="969" ht="14.5" spans="1:11">
      <c r="A969" s="3" t="str">
        <f t="shared" si="60"/>
        <v>2026年</v>
      </c>
      <c r="B969" s="3" t="str">
        <f t="shared" si="61"/>
        <v>1月</v>
      </c>
      <c r="C969" s="4" t="str">
        <f t="shared" si="62"/>
        <v>W5</v>
      </c>
      <c r="D969" s="2" t="s">
        <v>764</v>
      </c>
      <c r="E969" s="2" t="s">
        <v>734</v>
      </c>
      <c r="F969" s="2" t="str" cm="1">
        <f t="array" ref="F969">INDEX(_xlfn.TEXTSPLIT(E969,"-"),2)</f>
        <v>女装</v>
      </c>
      <c r="G969" s="2" t="str" cm="1">
        <f t="array" ref="G969">INDEX(_xlfn.TEXTSPLIT(E969,"-"),3)</f>
        <v>设计师/潮牌女装</v>
      </c>
      <c r="H969" s="5">
        <v>473810</v>
      </c>
      <c r="I969" s="5">
        <v>68464878.41</v>
      </c>
      <c r="J969" s="6">
        <v>0.0178</v>
      </c>
      <c r="K969" s="6">
        <v>0.1715</v>
      </c>
    </row>
    <row r="970" ht="14.5" spans="1:11">
      <c r="A970" s="3" t="str">
        <f t="shared" si="60"/>
        <v>2026年</v>
      </c>
      <c r="B970" s="3" t="str">
        <f t="shared" si="61"/>
        <v>1月</v>
      </c>
      <c r="C970" s="4" t="str">
        <f t="shared" si="62"/>
        <v>W5</v>
      </c>
      <c r="D970" s="2" t="s">
        <v>764</v>
      </c>
      <c r="E970" s="2" t="s">
        <v>735</v>
      </c>
      <c r="F970" s="2" t="str" cm="1">
        <f t="array" ref="F970">INDEX(_xlfn.TEXTSPLIT(E970,"-"),2)</f>
        <v>女装</v>
      </c>
      <c r="G970" s="2" t="str" cm="1">
        <f t="array" ref="G970">INDEX(_xlfn.TEXTSPLIT(E970,"-"),3)</f>
        <v>连体衣/裤</v>
      </c>
      <c r="H970" s="5">
        <v>13786</v>
      </c>
      <c r="I970" s="5">
        <v>2374747.8</v>
      </c>
      <c r="J970" s="6">
        <v>0.0006</v>
      </c>
      <c r="K970" s="6">
        <v>0.0576</v>
      </c>
    </row>
    <row r="971" ht="14.5" spans="1:11">
      <c r="A971" s="3" t="str">
        <f t="shared" si="60"/>
        <v>2026年</v>
      </c>
      <c r="B971" s="3" t="str">
        <f t="shared" si="61"/>
        <v>1月</v>
      </c>
      <c r="C971" s="4" t="str">
        <f t="shared" si="62"/>
        <v>W5</v>
      </c>
      <c r="D971" s="2" t="s">
        <v>764</v>
      </c>
      <c r="E971" s="2" t="s">
        <v>736</v>
      </c>
      <c r="F971" s="2" t="str" cm="1">
        <f t="array" ref="F971">INDEX(_xlfn.TEXTSPLIT(E971,"-"),2)</f>
        <v>女装</v>
      </c>
      <c r="G971" s="2" t="str" cm="1">
        <f t="array" ref="G971">INDEX(_xlfn.TEXTSPLIT(E971,"-"),3)</f>
        <v>连衣裙</v>
      </c>
      <c r="H971" s="5">
        <v>769957</v>
      </c>
      <c r="I971" s="5">
        <v>109684280.65</v>
      </c>
      <c r="J971" s="6">
        <v>0.0284</v>
      </c>
      <c r="K971" s="6">
        <v>0.0485</v>
      </c>
    </row>
    <row r="972" ht="14.5" spans="1:11">
      <c r="A972" s="3" t="str">
        <f t="shared" si="60"/>
        <v>2026年</v>
      </c>
      <c r="B972" s="3" t="str">
        <f t="shared" si="61"/>
        <v>1月</v>
      </c>
      <c r="C972" s="4" t="str">
        <f t="shared" si="62"/>
        <v>W5</v>
      </c>
      <c r="D972" s="2" t="s">
        <v>764</v>
      </c>
      <c r="E972" s="2" t="s">
        <v>737</v>
      </c>
      <c r="F972" s="2" t="str" cm="1">
        <f t="array" ref="F972">INDEX(_xlfn.TEXTSPLIT(E972,"-"),2)</f>
        <v>女装</v>
      </c>
      <c r="G972" s="2" t="str" cm="1">
        <f t="array" ref="G972">INDEX(_xlfn.TEXTSPLIT(E972,"-"),3)</f>
        <v>风衣</v>
      </c>
      <c r="H972" s="5">
        <v>115775</v>
      </c>
      <c r="I972" s="5">
        <v>18593880.81</v>
      </c>
      <c r="J972" s="6">
        <v>0.0048</v>
      </c>
      <c r="K972" s="6">
        <v>0.1259</v>
      </c>
    </row>
    <row r="973" ht="14.5" spans="1:11">
      <c r="A973" s="3" t="str">
        <f t="shared" si="60"/>
        <v>2026年</v>
      </c>
      <c r="B973" s="3" t="str">
        <f t="shared" si="61"/>
        <v>1月</v>
      </c>
      <c r="C973" s="4" t="str">
        <f t="shared" si="62"/>
        <v>W5</v>
      </c>
      <c r="D973" s="2" t="s">
        <v>764</v>
      </c>
      <c r="E973" s="2" t="s">
        <v>738</v>
      </c>
      <c r="F973" s="2" t="str" cm="1">
        <f t="array" ref="F973">INDEX(_xlfn.TEXTSPLIT(E973,"-"),2)</f>
        <v>女装</v>
      </c>
      <c r="G973" s="2" t="str" cm="1">
        <f t="array" ref="G973">INDEX(_xlfn.TEXTSPLIT(E973,"-"),3)</f>
        <v>马夹</v>
      </c>
      <c r="H973" s="5">
        <v>422778</v>
      </c>
      <c r="I973" s="5">
        <v>48135059.59</v>
      </c>
      <c r="J973" s="6">
        <v>0.0125</v>
      </c>
      <c r="K973" s="6">
        <v>0.1532</v>
      </c>
    </row>
    <row r="974" ht="14.5" spans="1:11">
      <c r="A974" s="3" t="str">
        <f t="shared" si="60"/>
        <v>2026年</v>
      </c>
      <c r="B974" s="3" t="str">
        <f t="shared" si="61"/>
        <v>1月</v>
      </c>
      <c r="C974" s="4" t="str">
        <f t="shared" si="62"/>
        <v>W5</v>
      </c>
      <c r="D974" s="2" t="s">
        <v>765</v>
      </c>
      <c r="E974" s="2" t="s">
        <v>702</v>
      </c>
      <c r="F974" s="2" t="str" cm="1">
        <f t="array" ref="F974">INDEX(_xlfn.TEXTSPLIT(E974,"-"),2)</f>
        <v>女装</v>
      </c>
      <c r="G974" s="2" t="str" cm="1">
        <f t="array" ref="G974">INDEX(_xlfn.TEXTSPLIT(E974,"-"),3)</f>
        <v>POLO衫</v>
      </c>
      <c r="H974" s="5">
        <v>15626</v>
      </c>
      <c r="I974" s="5">
        <v>1316675.03</v>
      </c>
      <c r="J974" s="6">
        <v>0.0004</v>
      </c>
      <c r="K974" s="6">
        <v>0.1139</v>
      </c>
    </row>
    <row r="975" ht="14.5" spans="1:11">
      <c r="A975" s="3" t="str">
        <f t="shared" si="60"/>
        <v>2026年</v>
      </c>
      <c r="B975" s="3" t="str">
        <f t="shared" si="61"/>
        <v>1月</v>
      </c>
      <c r="C975" s="4" t="str">
        <f t="shared" si="62"/>
        <v>W5</v>
      </c>
      <c r="D975" s="2" t="s">
        <v>765</v>
      </c>
      <c r="E975" s="2" t="s">
        <v>703</v>
      </c>
      <c r="F975" s="2" t="str" cm="1">
        <f t="array" ref="F975">INDEX(_xlfn.TEXTSPLIT(E975,"-"),2)</f>
        <v>女装</v>
      </c>
      <c r="G975" s="2" t="str" cm="1">
        <f t="array" ref="G975">INDEX(_xlfn.TEXTSPLIT(E975,"-"),3)</f>
        <v>T恤</v>
      </c>
      <c r="H975" s="5">
        <v>1350793</v>
      </c>
      <c r="I975" s="5">
        <v>78192942.38</v>
      </c>
      <c r="J975" s="6">
        <v>0.0238</v>
      </c>
      <c r="K975" s="6">
        <v>-0.1228</v>
      </c>
    </row>
    <row r="976" ht="14.5" spans="1:11">
      <c r="A976" s="3" t="str">
        <f t="shared" si="60"/>
        <v>2026年</v>
      </c>
      <c r="B976" s="3" t="str">
        <f t="shared" si="61"/>
        <v>1月</v>
      </c>
      <c r="C976" s="4" t="str">
        <f t="shared" si="62"/>
        <v>W5</v>
      </c>
      <c r="D976" s="2" t="s">
        <v>765</v>
      </c>
      <c r="E976" s="2" t="s">
        <v>704</v>
      </c>
      <c r="F976" s="2" t="str" cm="1">
        <f t="array" ref="F976">INDEX(_xlfn.TEXTSPLIT(E976,"-"),2)</f>
        <v>女装</v>
      </c>
      <c r="G976" s="2" t="str" cm="1">
        <f t="array" ref="G976">INDEX(_xlfn.TEXTSPLIT(E976,"-"),3)</f>
        <v>中老年女装</v>
      </c>
      <c r="H976" s="5">
        <v>460953</v>
      </c>
      <c r="I976" s="5">
        <v>54336347.56</v>
      </c>
      <c r="J976" s="6">
        <v>0.0165</v>
      </c>
      <c r="K976" s="6">
        <v>-0.1654</v>
      </c>
    </row>
    <row r="977" ht="14.5" spans="1:11">
      <c r="A977" s="3" t="str">
        <f t="shared" si="60"/>
        <v>2026年</v>
      </c>
      <c r="B977" s="3" t="str">
        <f t="shared" si="61"/>
        <v>1月</v>
      </c>
      <c r="C977" s="4" t="str">
        <f t="shared" si="62"/>
        <v>W5</v>
      </c>
      <c r="D977" s="2" t="s">
        <v>765</v>
      </c>
      <c r="E977" s="2" t="s">
        <v>705</v>
      </c>
      <c r="F977" s="2" t="str" cm="1">
        <f t="array" ref="F977">INDEX(_xlfn.TEXTSPLIT(E977,"-"),2)</f>
        <v>女装</v>
      </c>
      <c r="G977" s="2" t="str" cm="1">
        <f t="array" ref="G977">INDEX(_xlfn.TEXTSPLIT(E977,"-"),3)</f>
        <v>半身裙</v>
      </c>
      <c r="H977" s="5">
        <v>754809</v>
      </c>
      <c r="I977" s="5">
        <v>64532024.92</v>
      </c>
      <c r="J977" s="6">
        <v>0.0196</v>
      </c>
      <c r="K977" s="6">
        <v>-0.1464</v>
      </c>
    </row>
    <row r="978" ht="14.5" spans="1:11">
      <c r="A978" s="3" t="str">
        <f t="shared" si="60"/>
        <v>2026年</v>
      </c>
      <c r="B978" s="3" t="str">
        <f t="shared" si="61"/>
        <v>1月</v>
      </c>
      <c r="C978" s="4" t="str">
        <f t="shared" si="62"/>
        <v>W5</v>
      </c>
      <c r="D978" s="2" t="s">
        <v>765</v>
      </c>
      <c r="E978" s="2" t="s">
        <v>706</v>
      </c>
      <c r="F978" s="2" t="str" cm="1">
        <f t="array" ref="F978">INDEX(_xlfn.TEXTSPLIT(E978,"-"),2)</f>
        <v>女装</v>
      </c>
      <c r="G978" s="2" t="str" cm="1">
        <f t="array" ref="G978">INDEX(_xlfn.TEXTSPLIT(E978,"-"),3)</f>
        <v>卫衣/绒衫</v>
      </c>
      <c r="H978" s="5">
        <v>429864</v>
      </c>
      <c r="I978" s="5">
        <v>32986478.89</v>
      </c>
      <c r="J978" s="7">
        <v>0.01</v>
      </c>
      <c r="K978" s="6">
        <v>-0.1532</v>
      </c>
    </row>
    <row r="979" ht="14.5" spans="1:11">
      <c r="A979" s="3" t="str">
        <f t="shared" si="60"/>
        <v>2026年</v>
      </c>
      <c r="B979" s="3" t="str">
        <f t="shared" si="61"/>
        <v>1月</v>
      </c>
      <c r="C979" s="4" t="str">
        <f t="shared" si="62"/>
        <v>W5</v>
      </c>
      <c r="D979" s="2" t="s">
        <v>765</v>
      </c>
      <c r="E979" s="2" t="s">
        <v>707</v>
      </c>
      <c r="F979" s="2" t="str" cm="1">
        <f t="array" ref="F979">INDEX(_xlfn.TEXTSPLIT(E979,"-"),2)</f>
        <v>女装</v>
      </c>
      <c r="G979" s="2" t="str" cm="1">
        <f t="array" ref="G979">INDEX(_xlfn.TEXTSPLIT(E979,"-"),3)</f>
        <v>唐装/民族服装/舞台服装</v>
      </c>
      <c r="H979" s="5">
        <v>197371</v>
      </c>
      <c r="I979" s="5">
        <v>41143770.06</v>
      </c>
      <c r="J979" s="6">
        <v>0.0125</v>
      </c>
      <c r="K979" s="6">
        <v>-0.2367</v>
      </c>
    </row>
    <row r="980" ht="14.5" spans="1:11">
      <c r="A980" s="3" t="str">
        <f t="shared" si="60"/>
        <v>2026年</v>
      </c>
      <c r="B980" s="3" t="str">
        <f t="shared" si="61"/>
        <v>1月</v>
      </c>
      <c r="C980" s="4" t="str">
        <f t="shared" si="62"/>
        <v>W5</v>
      </c>
      <c r="D980" s="2" t="s">
        <v>765</v>
      </c>
      <c r="E980" s="2" t="s">
        <v>708</v>
      </c>
      <c r="F980" s="2" t="str" cm="1">
        <f t="array" ref="F980">INDEX(_xlfn.TEXTSPLIT(E980,"-"),2)</f>
        <v>女装</v>
      </c>
      <c r="G980" s="2" t="str" cm="1">
        <f t="array" ref="G980">INDEX(_xlfn.TEXTSPLIT(E980,"-"),3)</f>
        <v>大码女装</v>
      </c>
      <c r="H980" s="5">
        <v>665827</v>
      </c>
      <c r="I980" s="5">
        <v>53984833.45</v>
      </c>
      <c r="J980" s="6">
        <v>0.0164</v>
      </c>
      <c r="K980" s="6">
        <v>-0.1003</v>
      </c>
    </row>
    <row r="981" ht="14.5" spans="1:11">
      <c r="A981" s="3" t="str">
        <f t="shared" si="60"/>
        <v>2026年</v>
      </c>
      <c r="B981" s="3" t="str">
        <f t="shared" si="61"/>
        <v>1月</v>
      </c>
      <c r="C981" s="4" t="str">
        <f t="shared" si="62"/>
        <v>W5</v>
      </c>
      <c r="D981" s="2" t="s">
        <v>765</v>
      </c>
      <c r="E981" s="2" t="s">
        <v>709</v>
      </c>
      <c r="F981" s="2" t="str" cm="1">
        <f t="array" ref="F981">INDEX(_xlfn.TEXTSPLIT(E981,"-"),2)</f>
        <v>女装</v>
      </c>
      <c r="G981" s="2" t="str" cm="1">
        <f t="array" ref="G981">INDEX(_xlfn.TEXTSPLIT(E981,"-"),3)</f>
        <v>套装/学生校服/工作制服</v>
      </c>
      <c r="H981" s="5">
        <v>924230</v>
      </c>
      <c r="I981" s="5">
        <v>124028163</v>
      </c>
      <c r="J981" s="6">
        <v>0.0377</v>
      </c>
      <c r="K981" s="6">
        <v>-0.1067</v>
      </c>
    </row>
    <row r="982" ht="14.5" spans="1:11">
      <c r="A982" s="3" t="str">
        <f t="shared" si="60"/>
        <v>2026年</v>
      </c>
      <c r="B982" s="3" t="str">
        <f t="shared" si="61"/>
        <v>1月</v>
      </c>
      <c r="C982" s="4" t="str">
        <f t="shared" si="62"/>
        <v>W5</v>
      </c>
      <c r="D982" s="2" t="s">
        <v>765</v>
      </c>
      <c r="E982" s="2" t="s">
        <v>710</v>
      </c>
      <c r="F982" s="2" t="str" cm="1">
        <f t="array" ref="F982">INDEX(_xlfn.TEXTSPLIT(E982,"-"),2)</f>
        <v>女装</v>
      </c>
      <c r="G982" s="2" t="str" cm="1">
        <f t="array" ref="G982">INDEX(_xlfn.TEXTSPLIT(E982,"-"),3)</f>
        <v>婚纱/旗袍/礼服</v>
      </c>
      <c r="H982" s="5">
        <v>58280</v>
      </c>
      <c r="I982" s="5">
        <v>9540435.55</v>
      </c>
      <c r="J982" s="6">
        <v>0.0029</v>
      </c>
      <c r="K982" s="6">
        <v>-0.1396</v>
      </c>
    </row>
    <row r="983" ht="14.5" spans="1:11">
      <c r="A983" s="3" t="str">
        <f t="shared" si="60"/>
        <v>2026年</v>
      </c>
      <c r="B983" s="3" t="str">
        <f t="shared" si="61"/>
        <v>1月</v>
      </c>
      <c r="C983" s="4" t="str">
        <f t="shared" si="62"/>
        <v>W5</v>
      </c>
      <c r="D983" s="2" t="s">
        <v>765</v>
      </c>
      <c r="E983" s="2" t="s">
        <v>711</v>
      </c>
      <c r="F983" s="2" t="str" cm="1">
        <f t="array" ref="F983">INDEX(_xlfn.TEXTSPLIT(E983,"-"),2)</f>
        <v>女装</v>
      </c>
      <c r="G983" s="2" t="str" cm="1">
        <f t="array" ref="G983">INDEX(_xlfn.TEXTSPLIT(E983,"-"),3)</f>
        <v>新中式女装</v>
      </c>
      <c r="H983" s="5">
        <v>125092</v>
      </c>
      <c r="I983" s="5">
        <v>25110013.86</v>
      </c>
      <c r="J983" s="6">
        <v>0.0076</v>
      </c>
      <c r="K983" s="6">
        <v>1.0491</v>
      </c>
    </row>
    <row r="984" ht="14.5" spans="1:11">
      <c r="A984" s="3" t="str">
        <f t="shared" si="60"/>
        <v>2026年</v>
      </c>
      <c r="B984" s="3" t="str">
        <f t="shared" si="61"/>
        <v>1月</v>
      </c>
      <c r="C984" s="4" t="str">
        <f t="shared" si="62"/>
        <v>W5</v>
      </c>
      <c r="D984" s="2" t="s">
        <v>765</v>
      </c>
      <c r="E984" s="2" t="s">
        <v>712</v>
      </c>
      <c r="F984" s="2" t="str" cm="1">
        <f t="array" ref="F984">INDEX(_xlfn.TEXTSPLIT(E984,"-"),2)</f>
        <v>女装</v>
      </c>
      <c r="G984" s="2" t="str" cm="1">
        <f t="array" ref="G984">INDEX(_xlfn.TEXTSPLIT(E984,"-"),3)</f>
        <v>时尚防晒服</v>
      </c>
      <c r="H984" s="5">
        <v>676</v>
      </c>
      <c r="I984" s="5">
        <v>84207.22</v>
      </c>
      <c r="J984" s="2" t="s">
        <v>713</v>
      </c>
      <c r="K984" s="6">
        <v>0.1081</v>
      </c>
    </row>
    <row r="985" ht="14.5" spans="1:11">
      <c r="A985" s="3" t="str">
        <f t="shared" si="60"/>
        <v>2026年</v>
      </c>
      <c r="B985" s="3" t="str">
        <f t="shared" si="61"/>
        <v>1月</v>
      </c>
      <c r="C985" s="4" t="str">
        <f t="shared" si="62"/>
        <v>W5</v>
      </c>
      <c r="D985" s="2" t="s">
        <v>765</v>
      </c>
      <c r="E985" s="2" t="s">
        <v>714</v>
      </c>
      <c r="F985" s="2" t="str" cm="1">
        <f t="array" ref="F985">INDEX(_xlfn.TEXTSPLIT(E985,"-"),2)</f>
        <v>女装</v>
      </c>
      <c r="G985" s="2" t="str" cm="1">
        <f t="array" ref="G985">INDEX(_xlfn.TEXTSPLIT(E985,"-"),3)</f>
        <v>棉衣/棉服</v>
      </c>
      <c r="H985" s="5">
        <v>715143</v>
      </c>
      <c r="I985" s="5">
        <v>81445224.58</v>
      </c>
      <c r="J985" s="6">
        <v>0.0247</v>
      </c>
      <c r="K985" s="6">
        <v>-0.0936</v>
      </c>
    </row>
    <row r="986" ht="14.5" spans="1:11">
      <c r="A986" s="3" t="str">
        <f t="shared" si="60"/>
        <v>2026年</v>
      </c>
      <c r="B986" s="3" t="str">
        <f t="shared" si="61"/>
        <v>1月</v>
      </c>
      <c r="C986" s="4" t="str">
        <f t="shared" si="62"/>
        <v>W5</v>
      </c>
      <c r="D986" s="2" t="s">
        <v>765</v>
      </c>
      <c r="E986" s="2" t="s">
        <v>715</v>
      </c>
      <c r="F986" s="2" t="str" cm="1">
        <f t="array" ref="F986">INDEX(_xlfn.TEXTSPLIT(E986,"-"),2)</f>
        <v>女装</v>
      </c>
      <c r="G986" s="2" t="str" cm="1">
        <f t="array" ref="G986">INDEX(_xlfn.TEXTSPLIT(E986,"-"),3)</f>
        <v>毛呢外套</v>
      </c>
      <c r="H986" s="5">
        <v>802266</v>
      </c>
      <c r="I986" s="5">
        <v>293751914.45</v>
      </c>
      <c r="J986" s="6">
        <v>0.0892</v>
      </c>
      <c r="K986" s="6">
        <v>-0.1779</v>
      </c>
    </row>
    <row r="987" ht="14.5" spans="1:11">
      <c r="A987" s="3" t="str">
        <f t="shared" si="60"/>
        <v>2026年</v>
      </c>
      <c r="B987" s="3" t="str">
        <f t="shared" si="61"/>
        <v>1月</v>
      </c>
      <c r="C987" s="4" t="str">
        <f t="shared" si="62"/>
        <v>W5</v>
      </c>
      <c r="D987" s="2" t="s">
        <v>765</v>
      </c>
      <c r="E987" s="2" t="s">
        <v>716</v>
      </c>
      <c r="F987" s="2" t="str" cm="1">
        <f t="array" ref="F987">INDEX(_xlfn.TEXTSPLIT(E987,"-"),2)</f>
        <v>女装</v>
      </c>
      <c r="G987" s="2" t="str" cm="1">
        <f t="array" ref="G987">INDEX(_xlfn.TEXTSPLIT(E987,"-"),3)</f>
        <v>毛衣</v>
      </c>
      <c r="H987" s="5">
        <v>475227</v>
      </c>
      <c r="I987" s="5">
        <v>40193295.12</v>
      </c>
      <c r="J987" s="6">
        <v>0.0122</v>
      </c>
      <c r="K987" s="6">
        <v>-0.2755</v>
      </c>
    </row>
    <row r="988" ht="14.5" spans="1:11">
      <c r="A988" s="3" t="str">
        <f t="shared" si="60"/>
        <v>2026年</v>
      </c>
      <c r="B988" s="3" t="str">
        <f t="shared" si="61"/>
        <v>1月</v>
      </c>
      <c r="C988" s="4" t="str">
        <f t="shared" si="62"/>
        <v>W5</v>
      </c>
      <c r="D988" s="2" t="s">
        <v>765</v>
      </c>
      <c r="E988" s="2" t="s">
        <v>717</v>
      </c>
      <c r="F988" s="2" t="str" cm="1">
        <f t="array" ref="F988">INDEX(_xlfn.TEXTSPLIT(E988,"-"),2)</f>
        <v>女装</v>
      </c>
      <c r="G988" s="2" t="str" cm="1">
        <f t="array" ref="G988">INDEX(_xlfn.TEXTSPLIT(E988,"-"),3)</f>
        <v>毛针织衫</v>
      </c>
      <c r="H988" s="5">
        <v>2311567</v>
      </c>
      <c r="I988" s="5">
        <v>178593764.15</v>
      </c>
      <c r="J988" s="6">
        <v>0.0543</v>
      </c>
      <c r="K988" s="6">
        <v>-0.1467</v>
      </c>
    </row>
    <row r="989" ht="14.5" spans="1:11">
      <c r="A989" s="3" t="str">
        <f t="shared" si="60"/>
        <v>2026年</v>
      </c>
      <c r="B989" s="3" t="str">
        <f t="shared" si="61"/>
        <v>1月</v>
      </c>
      <c r="C989" s="4" t="str">
        <f t="shared" si="62"/>
        <v>W5</v>
      </c>
      <c r="D989" s="2" t="s">
        <v>765</v>
      </c>
      <c r="E989" s="2" t="s">
        <v>718</v>
      </c>
      <c r="F989" s="2" t="str" cm="1">
        <f t="array" ref="F989">INDEX(_xlfn.TEXTSPLIT(E989,"-"),2)</f>
        <v>女装</v>
      </c>
      <c r="G989" s="2" t="str" cm="1">
        <f t="array" ref="G989">INDEX(_xlfn.TEXTSPLIT(E989,"-"),3)</f>
        <v>汉服</v>
      </c>
      <c r="H989" s="5">
        <v>129384</v>
      </c>
      <c r="I989" s="5">
        <v>72330921.12</v>
      </c>
      <c r="J989" s="6">
        <v>0.022</v>
      </c>
      <c r="K989" s="6">
        <v>0.1116</v>
      </c>
    </row>
    <row r="990" ht="14.5" spans="1:11">
      <c r="A990" s="3" t="str">
        <f t="shared" si="60"/>
        <v>2026年</v>
      </c>
      <c r="B990" s="3" t="str">
        <f t="shared" si="61"/>
        <v>1月</v>
      </c>
      <c r="C990" s="4" t="str">
        <f t="shared" si="62"/>
        <v>W5</v>
      </c>
      <c r="D990" s="2" t="s">
        <v>765</v>
      </c>
      <c r="E990" s="2" t="s">
        <v>719</v>
      </c>
      <c r="F990" s="2" t="str" cm="1">
        <f t="array" ref="F990">INDEX(_xlfn.TEXTSPLIT(E990,"-"),2)</f>
        <v>女装</v>
      </c>
      <c r="G990" s="2" t="str" cm="1">
        <f t="array" ref="G990">INDEX(_xlfn.TEXTSPLIT(E990,"-"),3)</f>
        <v>派克服</v>
      </c>
      <c r="H990" s="5">
        <v>58118</v>
      </c>
      <c r="I990" s="5">
        <v>13974702.07</v>
      </c>
      <c r="J990" s="6">
        <v>0.0042</v>
      </c>
      <c r="K990" s="6">
        <v>-0.0579</v>
      </c>
    </row>
    <row r="991" ht="14.5" spans="1:11">
      <c r="A991" s="3" t="str">
        <f t="shared" si="60"/>
        <v>2026年</v>
      </c>
      <c r="B991" s="3" t="str">
        <f t="shared" si="61"/>
        <v>1月</v>
      </c>
      <c r="C991" s="4" t="str">
        <f t="shared" si="62"/>
        <v>W5</v>
      </c>
      <c r="D991" s="2" t="s">
        <v>765</v>
      </c>
      <c r="E991" s="2" t="s">
        <v>720</v>
      </c>
      <c r="F991" s="2" t="str" cm="1">
        <f t="array" ref="F991">INDEX(_xlfn.TEXTSPLIT(E991,"-"),2)</f>
        <v>女装</v>
      </c>
      <c r="G991" s="2" t="str" cm="1">
        <f t="array" ref="G991">INDEX(_xlfn.TEXTSPLIT(E991,"-"),3)</f>
        <v>皮草</v>
      </c>
      <c r="H991" s="5">
        <v>237140</v>
      </c>
      <c r="I991" s="5">
        <v>367802811.49</v>
      </c>
      <c r="J991" s="6">
        <v>0.1117</v>
      </c>
      <c r="K991" s="6">
        <v>-0.2092</v>
      </c>
    </row>
    <row r="992" ht="14.5" spans="1:11">
      <c r="A992" s="3" t="str">
        <f t="shared" si="60"/>
        <v>2026年</v>
      </c>
      <c r="B992" s="3" t="str">
        <f t="shared" si="61"/>
        <v>1月</v>
      </c>
      <c r="C992" s="4" t="str">
        <f t="shared" si="62"/>
        <v>W5</v>
      </c>
      <c r="D992" s="2" t="s">
        <v>765</v>
      </c>
      <c r="E992" s="2" t="s">
        <v>721</v>
      </c>
      <c r="F992" s="2" t="str" cm="1">
        <f t="array" ref="F992">INDEX(_xlfn.TEXTSPLIT(E992,"-"),2)</f>
        <v>女装</v>
      </c>
      <c r="G992" s="2" t="str" cm="1">
        <f t="array" ref="G992">INDEX(_xlfn.TEXTSPLIT(E992,"-"),3)</f>
        <v>皮衣</v>
      </c>
      <c r="H992" s="5">
        <v>158059</v>
      </c>
      <c r="I992" s="5">
        <v>53797030.03</v>
      </c>
      <c r="J992" s="6">
        <v>0.0163</v>
      </c>
      <c r="K992" s="6">
        <v>-0.0623</v>
      </c>
    </row>
    <row r="993" ht="14.5" spans="1:11">
      <c r="A993" s="3" t="str">
        <f t="shared" si="60"/>
        <v>2026年</v>
      </c>
      <c r="B993" s="3" t="str">
        <f t="shared" si="61"/>
        <v>1月</v>
      </c>
      <c r="C993" s="4" t="str">
        <f t="shared" si="62"/>
        <v>W5</v>
      </c>
      <c r="D993" s="2" t="s">
        <v>765</v>
      </c>
      <c r="E993" s="2" t="s">
        <v>722</v>
      </c>
      <c r="F993" s="2" t="str" cm="1">
        <f t="array" ref="F993">INDEX(_xlfn.TEXTSPLIT(E993,"-"),2)</f>
        <v>女装</v>
      </c>
      <c r="G993" s="2" t="str" cm="1">
        <f t="array" ref="G993">INDEX(_xlfn.TEXTSPLIT(E993,"-"),3)</f>
        <v>短外套</v>
      </c>
      <c r="H993" s="5">
        <v>1197539</v>
      </c>
      <c r="I993" s="5">
        <v>253395744.83</v>
      </c>
      <c r="J993" s="6">
        <v>0.077</v>
      </c>
      <c r="K993" s="6">
        <v>-0.1473</v>
      </c>
    </row>
    <row r="994" ht="14.5" spans="1:11">
      <c r="A994" s="3" t="str">
        <f t="shared" si="60"/>
        <v>2026年</v>
      </c>
      <c r="B994" s="3" t="str">
        <f t="shared" si="61"/>
        <v>1月</v>
      </c>
      <c r="C994" s="4" t="str">
        <f t="shared" si="62"/>
        <v>W5</v>
      </c>
      <c r="D994" s="2" t="s">
        <v>765</v>
      </c>
      <c r="E994" s="2" t="s">
        <v>723</v>
      </c>
      <c r="F994" s="2" t="str" cm="1">
        <f t="array" ref="F994">INDEX(_xlfn.TEXTSPLIT(E994,"-"),2)</f>
        <v>女装</v>
      </c>
      <c r="G994" s="2" t="str" cm="1">
        <f t="array" ref="G994">INDEX(_xlfn.TEXTSPLIT(E994,"-"),3)</f>
        <v>短裤</v>
      </c>
      <c r="H994" s="5">
        <v>116347</v>
      </c>
      <c r="I994" s="5">
        <v>6384498.14</v>
      </c>
      <c r="J994" s="6">
        <v>0.0019</v>
      </c>
      <c r="K994" s="7">
        <v>-0.07</v>
      </c>
    </row>
    <row r="995" ht="14.5" spans="1:11">
      <c r="A995" s="3" t="str">
        <f t="shared" si="60"/>
        <v>2026年</v>
      </c>
      <c r="B995" s="3" t="str">
        <f t="shared" si="61"/>
        <v>1月</v>
      </c>
      <c r="C995" s="4" t="str">
        <f t="shared" si="62"/>
        <v>W5</v>
      </c>
      <c r="D995" s="2" t="s">
        <v>765</v>
      </c>
      <c r="E995" s="2" t="s">
        <v>724</v>
      </c>
      <c r="F995" s="2" t="str" cm="1">
        <f t="array" ref="F995">INDEX(_xlfn.TEXTSPLIT(E995,"-"),2)</f>
        <v>女装</v>
      </c>
      <c r="G995" s="2" t="str" cm="1">
        <f t="array" ref="G995">INDEX(_xlfn.TEXTSPLIT(E995,"-"),3)</f>
        <v>羊毛衫</v>
      </c>
      <c r="H995" s="5">
        <v>520881</v>
      </c>
      <c r="I995" s="5">
        <v>62779186.99</v>
      </c>
      <c r="J995" s="6">
        <v>0.0191</v>
      </c>
      <c r="K995" s="6">
        <v>-0.1829</v>
      </c>
    </row>
    <row r="996" ht="14.5" spans="1:11">
      <c r="A996" s="3" t="str">
        <f t="shared" si="60"/>
        <v>2026年</v>
      </c>
      <c r="B996" s="3" t="str">
        <f t="shared" si="61"/>
        <v>1月</v>
      </c>
      <c r="C996" s="4" t="str">
        <f t="shared" si="62"/>
        <v>W5</v>
      </c>
      <c r="D996" s="2" t="s">
        <v>765</v>
      </c>
      <c r="E996" s="2" t="s">
        <v>725</v>
      </c>
      <c r="F996" s="2" t="str" cm="1">
        <f t="array" ref="F996">INDEX(_xlfn.TEXTSPLIT(E996,"-"),2)</f>
        <v>女装</v>
      </c>
      <c r="G996" s="2" t="str" cm="1">
        <f t="array" ref="G996">INDEX(_xlfn.TEXTSPLIT(E996,"-"),3)</f>
        <v>羊绒大衣</v>
      </c>
      <c r="H996" s="5">
        <v>7436</v>
      </c>
      <c r="I996" s="5">
        <v>2348407.69</v>
      </c>
      <c r="J996" s="6">
        <v>0.0007</v>
      </c>
      <c r="K996" s="6">
        <v>-0.338</v>
      </c>
    </row>
    <row r="997" ht="14.5" spans="1:11">
      <c r="A997" s="3" t="str">
        <f t="shared" si="60"/>
        <v>2026年</v>
      </c>
      <c r="B997" s="3" t="str">
        <f t="shared" si="61"/>
        <v>1月</v>
      </c>
      <c r="C997" s="4" t="str">
        <f t="shared" si="62"/>
        <v>W5</v>
      </c>
      <c r="D997" s="2" t="s">
        <v>765</v>
      </c>
      <c r="E997" s="2" t="s">
        <v>726</v>
      </c>
      <c r="F997" s="2" t="str" cm="1">
        <f t="array" ref="F997">INDEX(_xlfn.TEXTSPLIT(E997,"-"),2)</f>
        <v>女装</v>
      </c>
      <c r="G997" s="2" t="str" cm="1">
        <f t="array" ref="G997">INDEX(_xlfn.TEXTSPLIT(E997,"-"),3)</f>
        <v>羊绒衫</v>
      </c>
      <c r="H997" s="5">
        <v>116161</v>
      </c>
      <c r="I997" s="5">
        <v>35680735.35</v>
      </c>
      <c r="J997" s="6">
        <v>0.0108</v>
      </c>
      <c r="K997" s="6">
        <v>-0.2106</v>
      </c>
    </row>
    <row r="998" ht="14.5" spans="1:11">
      <c r="A998" s="3" t="str">
        <f t="shared" ref="A998:A1029" si="63">TEXT(YEAR(D998),"0")&amp;"年"</f>
        <v>2026年</v>
      </c>
      <c r="B998" s="3" t="str">
        <f t="shared" ref="B998:B1029" si="64">TEXT(MONTH(D998),"0")&amp;"月"</f>
        <v>1月</v>
      </c>
      <c r="C998" s="4" t="str">
        <f t="shared" ref="C998:C1029" si="65">"W"&amp;TEXT(WEEKNUM(D998,2),"0")</f>
        <v>W5</v>
      </c>
      <c r="D998" s="2" t="s">
        <v>765</v>
      </c>
      <c r="E998" s="2" t="s">
        <v>727</v>
      </c>
      <c r="F998" s="2" t="str" cm="1">
        <f t="array" ref="F998">INDEX(_xlfn.TEXTSPLIT(E998,"-"),2)</f>
        <v>女装</v>
      </c>
      <c r="G998" s="2" t="str" cm="1">
        <f t="array" ref="G998">INDEX(_xlfn.TEXTSPLIT(E998,"-"),3)</f>
        <v>羽绒服</v>
      </c>
      <c r="H998" s="5">
        <v>1711570</v>
      </c>
      <c r="I998" s="5">
        <v>647966990.64</v>
      </c>
      <c r="J998" s="6">
        <v>0.1968</v>
      </c>
      <c r="K998" s="6">
        <v>-0.1566</v>
      </c>
    </row>
    <row r="999" ht="14.5" spans="1:11">
      <c r="A999" s="3" t="str">
        <f t="shared" si="63"/>
        <v>2026年</v>
      </c>
      <c r="B999" s="3" t="str">
        <f t="shared" si="64"/>
        <v>1月</v>
      </c>
      <c r="C999" s="4" t="str">
        <f t="shared" si="65"/>
        <v>W5</v>
      </c>
      <c r="D999" s="2" t="s">
        <v>765</v>
      </c>
      <c r="E999" s="2" t="s">
        <v>728</v>
      </c>
      <c r="F999" s="2" t="str" cm="1">
        <f t="array" ref="F999">INDEX(_xlfn.TEXTSPLIT(E999,"-"),2)</f>
        <v>女装</v>
      </c>
      <c r="G999" s="2" t="str" cm="1">
        <f t="array" ref="G999">INDEX(_xlfn.TEXTSPLIT(E999,"-"),3)</f>
        <v>肌底衣/肌肤衣</v>
      </c>
      <c r="H999" s="5">
        <v>3971</v>
      </c>
      <c r="I999" s="5">
        <v>239769.65</v>
      </c>
      <c r="J999" s="6">
        <v>0.0001</v>
      </c>
      <c r="K999" s="6">
        <v>-0.0332</v>
      </c>
    </row>
    <row r="1000" ht="14.5" spans="1:11">
      <c r="A1000" s="3" t="str">
        <f t="shared" si="63"/>
        <v>2026年</v>
      </c>
      <c r="B1000" s="3" t="str">
        <f t="shared" si="64"/>
        <v>1月</v>
      </c>
      <c r="C1000" s="4" t="str">
        <f t="shared" si="65"/>
        <v>W5</v>
      </c>
      <c r="D1000" s="2" t="s">
        <v>765</v>
      </c>
      <c r="E1000" s="2" t="s">
        <v>729</v>
      </c>
      <c r="F1000" s="2" t="str" cm="1">
        <f t="array" ref="F1000">INDEX(_xlfn.TEXTSPLIT(E1000,"-"),2)</f>
        <v>女装</v>
      </c>
      <c r="G1000" s="2" t="str" cm="1">
        <f t="array" ref="G1000">INDEX(_xlfn.TEXTSPLIT(E1000,"-"),3)</f>
        <v>背心吊带</v>
      </c>
      <c r="H1000" s="5">
        <v>228877</v>
      </c>
      <c r="I1000" s="5">
        <v>12174507.68</v>
      </c>
      <c r="J1000" s="6">
        <v>0.0037</v>
      </c>
      <c r="K1000" s="6">
        <v>-0.0927</v>
      </c>
    </row>
    <row r="1001" ht="14.5" spans="1:11">
      <c r="A1001" s="3" t="str">
        <f t="shared" si="63"/>
        <v>2026年</v>
      </c>
      <c r="B1001" s="3" t="str">
        <f t="shared" si="64"/>
        <v>1月</v>
      </c>
      <c r="C1001" s="4" t="str">
        <f t="shared" si="65"/>
        <v>W5</v>
      </c>
      <c r="D1001" s="2" t="s">
        <v>765</v>
      </c>
      <c r="E1001" s="2" t="s">
        <v>730</v>
      </c>
      <c r="F1001" s="2" t="str" cm="1">
        <f t="array" ref="F1001">INDEX(_xlfn.TEXTSPLIT(E1001,"-"),2)</f>
        <v>女装</v>
      </c>
      <c r="G1001" s="2" t="str" cm="1">
        <f t="array" ref="G1001">INDEX(_xlfn.TEXTSPLIT(E1001,"-"),3)</f>
        <v>蕾丝衫/雪纺衫</v>
      </c>
      <c r="H1001" s="5">
        <v>175710</v>
      </c>
      <c r="I1001" s="5">
        <v>12378487.4</v>
      </c>
      <c r="J1001" s="6">
        <v>0.0038</v>
      </c>
      <c r="K1001" s="6">
        <v>-0.0521</v>
      </c>
    </row>
    <row r="1002" ht="14.5" spans="1:11">
      <c r="A1002" s="3" t="str">
        <f t="shared" si="63"/>
        <v>2026年</v>
      </c>
      <c r="B1002" s="3" t="str">
        <f t="shared" si="64"/>
        <v>1月</v>
      </c>
      <c r="C1002" s="4" t="str">
        <f t="shared" si="65"/>
        <v>W5</v>
      </c>
      <c r="D1002" s="2" t="s">
        <v>765</v>
      </c>
      <c r="E1002" s="2" t="s">
        <v>731</v>
      </c>
      <c r="F1002" s="2" t="str" cm="1">
        <f t="array" ref="F1002">INDEX(_xlfn.TEXTSPLIT(E1002,"-"),2)</f>
        <v>女装</v>
      </c>
      <c r="G1002" s="2" t="str" cm="1">
        <f t="array" ref="G1002">INDEX(_xlfn.TEXTSPLIT(E1002,"-"),3)</f>
        <v>衬衫</v>
      </c>
      <c r="H1002" s="5">
        <v>464002</v>
      </c>
      <c r="I1002" s="5">
        <v>49623755.8</v>
      </c>
      <c r="J1002" s="6">
        <v>0.0151</v>
      </c>
      <c r="K1002" s="6">
        <v>-0.1146</v>
      </c>
    </row>
    <row r="1003" ht="14.5" spans="1:11">
      <c r="A1003" s="3" t="str">
        <f t="shared" si="63"/>
        <v>2026年</v>
      </c>
      <c r="B1003" s="3" t="str">
        <f t="shared" si="64"/>
        <v>1月</v>
      </c>
      <c r="C1003" s="4" t="str">
        <f t="shared" si="65"/>
        <v>W5</v>
      </c>
      <c r="D1003" s="2" t="s">
        <v>765</v>
      </c>
      <c r="E1003" s="2" t="s">
        <v>732</v>
      </c>
      <c r="F1003" s="2" t="str" cm="1">
        <f t="array" ref="F1003">INDEX(_xlfn.TEXTSPLIT(E1003,"-"),2)</f>
        <v>女装</v>
      </c>
      <c r="G1003" s="2" t="str" cm="1">
        <f t="array" ref="G1003">INDEX(_xlfn.TEXTSPLIT(E1003,"-"),3)</f>
        <v>裤子</v>
      </c>
      <c r="H1003" s="5">
        <v>4070371</v>
      </c>
      <c r="I1003" s="5">
        <v>391823858.85</v>
      </c>
      <c r="J1003" s="6">
        <v>0.119</v>
      </c>
      <c r="K1003" s="6">
        <v>-0.1325</v>
      </c>
    </row>
    <row r="1004" ht="14.5" spans="1:11">
      <c r="A1004" s="3" t="str">
        <f t="shared" si="63"/>
        <v>2026年</v>
      </c>
      <c r="B1004" s="3" t="str">
        <f t="shared" si="64"/>
        <v>1月</v>
      </c>
      <c r="C1004" s="4" t="str">
        <f t="shared" si="65"/>
        <v>W5</v>
      </c>
      <c r="D1004" s="2" t="s">
        <v>765</v>
      </c>
      <c r="E1004" s="2" t="s">
        <v>733</v>
      </c>
      <c r="F1004" s="2" t="str" cm="1">
        <f t="array" ref="F1004">INDEX(_xlfn.TEXTSPLIT(E1004,"-"),2)</f>
        <v>女装</v>
      </c>
      <c r="G1004" s="2" t="str" cm="1">
        <f t="array" ref="G1004">INDEX(_xlfn.TEXTSPLIT(E1004,"-"),3)</f>
        <v>西装</v>
      </c>
      <c r="H1004" s="5">
        <v>52981</v>
      </c>
      <c r="I1004" s="5">
        <v>13664339.7</v>
      </c>
      <c r="J1004" s="6">
        <v>0.0042</v>
      </c>
      <c r="K1004" s="6">
        <v>-0.118</v>
      </c>
    </row>
    <row r="1005" ht="14.5" spans="1:11">
      <c r="A1005" s="3" t="str">
        <f t="shared" si="63"/>
        <v>2026年</v>
      </c>
      <c r="B1005" s="3" t="str">
        <f t="shared" si="64"/>
        <v>1月</v>
      </c>
      <c r="C1005" s="4" t="str">
        <f t="shared" si="65"/>
        <v>W5</v>
      </c>
      <c r="D1005" s="2" t="s">
        <v>765</v>
      </c>
      <c r="E1005" s="2" t="s">
        <v>734</v>
      </c>
      <c r="F1005" s="2" t="str" cm="1">
        <f t="array" ref="F1005">INDEX(_xlfn.TEXTSPLIT(E1005,"-"),2)</f>
        <v>女装</v>
      </c>
      <c r="G1005" s="2" t="str" cm="1">
        <f t="array" ref="G1005">INDEX(_xlfn.TEXTSPLIT(E1005,"-"),3)</f>
        <v>设计师/潮牌女装</v>
      </c>
      <c r="H1005" s="5">
        <v>490767</v>
      </c>
      <c r="I1005" s="5">
        <v>62213175.15</v>
      </c>
      <c r="J1005" s="6">
        <v>0.0189</v>
      </c>
      <c r="K1005" s="6">
        <v>-0.0913</v>
      </c>
    </row>
    <row r="1006" ht="14.5" spans="1:11">
      <c r="A1006" s="3" t="str">
        <f t="shared" si="63"/>
        <v>2026年</v>
      </c>
      <c r="B1006" s="3" t="str">
        <f t="shared" si="64"/>
        <v>1月</v>
      </c>
      <c r="C1006" s="4" t="str">
        <f t="shared" si="65"/>
        <v>W5</v>
      </c>
      <c r="D1006" s="2" t="s">
        <v>765</v>
      </c>
      <c r="E1006" s="2" t="s">
        <v>735</v>
      </c>
      <c r="F1006" s="2" t="str" cm="1">
        <f t="array" ref="F1006">INDEX(_xlfn.TEXTSPLIT(E1006,"-"),2)</f>
        <v>女装</v>
      </c>
      <c r="G1006" s="2" t="str" cm="1">
        <f t="array" ref="G1006">INDEX(_xlfn.TEXTSPLIT(E1006,"-"),3)</f>
        <v>连体衣/裤</v>
      </c>
      <c r="H1006" s="5">
        <v>13114</v>
      </c>
      <c r="I1006" s="5">
        <v>2011617.6</v>
      </c>
      <c r="J1006" s="6">
        <v>0.0006</v>
      </c>
      <c r="K1006" s="6">
        <v>-0.1529</v>
      </c>
    </row>
    <row r="1007" ht="14.5" spans="1:11">
      <c r="A1007" s="3" t="str">
        <f t="shared" si="63"/>
        <v>2026年</v>
      </c>
      <c r="B1007" s="3" t="str">
        <f t="shared" si="64"/>
        <v>1月</v>
      </c>
      <c r="C1007" s="4" t="str">
        <f t="shared" si="65"/>
        <v>W5</v>
      </c>
      <c r="D1007" s="2" t="s">
        <v>765</v>
      </c>
      <c r="E1007" s="2" t="s">
        <v>736</v>
      </c>
      <c r="F1007" s="2" t="str" cm="1">
        <f t="array" ref="F1007">INDEX(_xlfn.TEXTSPLIT(E1007,"-"),2)</f>
        <v>女装</v>
      </c>
      <c r="G1007" s="2" t="str" cm="1">
        <f t="array" ref="G1007">INDEX(_xlfn.TEXTSPLIT(E1007,"-"),3)</f>
        <v>连衣裙</v>
      </c>
      <c r="H1007" s="5">
        <v>741975</v>
      </c>
      <c r="I1007" s="5">
        <v>96297351.94</v>
      </c>
      <c r="J1007" s="6">
        <v>0.0293</v>
      </c>
      <c r="K1007" s="6">
        <v>-0.122</v>
      </c>
    </row>
    <row r="1008" ht="14.5" spans="1:11">
      <c r="A1008" s="3" t="str">
        <f t="shared" si="63"/>
        <v>2026年</v>
      </c>
      <c r="B1008" s="3" t="str">
        <f t="shared" si="64"/>
        <v>1月</v>
      </c>
      <c r="C1008" s="4" t="str">
        <f t="shared" si="65"/>
        <v>W5</v>
      </c>
      <c r="D1008" s="2" t="s">
        <v>765</v>
      </c>
      <c r="E1008" s="2" t="s">
        <v>737</v>
      </c>
      <c r="F1008" s="2" t="str" cm="1">
        <f t="array" ref="F1008">INDEX(_xlfn.TEXTSPLIT(E1008,"-"),2)</f>
        <v>女装</v>
      </c>
      <c r="G1008" s="2" t="str" cm="1">
        <f t="array" ref="G1008">INDEX(_xlfn.TEXTSPLIT(E1008,"-"),3)</f>
        <v>风衣</v>
      </c>
      <c r="H1008" s="5">
        <v>120044</v>
      </c>
      <c r="I1008" s="5">
        <v>15619469.88</v>
      </c>
      <c r="J1008" s="6">
        <v>0.0047</v>
      </c>
      <c r="K1008" s="7">
        <v>-0.16</v>
      </c>
    </row>
    <row r="1009" ht="14.5" spans="1:11">
      <c r="A1009" s="3" t="str">
        <f t="shared" si="63"/>
        <v>2026年</v>
      </c>
      <c r="B1009" s="3" t="str">
        <f t="shared" si="64"/>
        <v>1月</v>
      </c>
      <c r="C1009" s="4" t="str">
        <f t="shared" si="65"/>
        <v>W5</v>
      </c>
      <c r="D1009" s="2" t="s">
        <v>765</v>
      </c>
      <c r="E1009" s="2" t="s">
        <v>738</v>
      </c>
      <c r="F1009" s="2" t="str" cm="1">
        <f t="array" ref="F1009">INDEX(_xlfn.TEXTSPLIT(E1009,"-"),2)</f>
        <v>女装</v>
      </c>
      <c r="G1009" s="2" t="str" cm="1">
        <f t="array" ref="G1009">INDEX(_xlfn.TEXTSPLIT(E1009,"-"),3)</f>
        <v>马夹</v>
      </c>
      <c r="H1009" s="5">
        <v>390471</v>
      </c>
      <c r="I1009" s="5">
        <v>40227886.89</v>
      </c>
      <c r="J1009" s="6">
        <v>0.0122</v>
      </c>
      <c r="K1009" s="6">
        <v>-0.1643</v>
      </c>
    </row>
    <row r="1010" ht="14.5" spans="1:11">
      <c r="A1010" s="3" t="str">
        <f t="shared" si="63"/>
        <v>2026年</v>
      </c>
      <c r="B1010" s="3" t="str">
        <f t="shared" si="64"/>
        <v>1月</v>
      </c>
      <c r="C1010" s="4" t="str">
        <f t="shared" si="65"/>
        <v>W5</v>
      </c>
      <c r="D1010" s="2" t="s">
        <v>766</v>
      </c>
      <c r="E1010" s="2" t="s">
        <v>702</v>
      </c>
      <c r="F1010" s="2" t="str" cm="1">
        <f t="array" ref="F1010">INDEX(_xlfn.TEXTSPLIT(E1010,"-"),2)</f>
        <v>女装</v>
      </c>
      <c r="G1010" s="2" t="str" cm="1">
        <f t="array" ref="G1010">INDEX(_xlfn.TEXTSPLIT(E1010,"-"),3)</f>
        <v>POLO衫</v>
      </c>
      <c r="H1010" s="5">
        <v>14736</v>
      </c>
      <c r="I1010" s="5">
        <v>1123925.91</v>
      </c>
      <c r="J1010" s="6">
        <v>0.0004</v>
      </c>
      <c r="K1010" s="6">
        <v>-0.1464</v>
      </c>
    </row>
    <row r="1011" ht="14.5" spans="1:11">
      <c r="A1011" s="3" t="str">
        <f t="shared" si="63"/>
        <v>2026年</v>
      </c>
      <c r="B1011" s="3" t="str">
        <f t="shared" si="64"/>
        <v>1月</v>
      </c>
      <c r="C1011" s="4" t="str">
        <f t="shared" si="65"/>
        <v>W5</v>
      </c>
      <c r="D1011" s="2" t="s">
        <v>766</v>
      </c>
      <c r="E1011" s="2" t="s">
        <v>703</v>
      </c>
      <c r="F1011" s="2" t="str" cm="1">
        <f t="array" ref="F1011">INDEX(_xlfn.TEXTSPLIT(E1011,"-"),2)</f>
        <v>女装</v>
      </c>
      <c r="G1011" s="2" t="str" cm="1">
        <f t="array" ref="G1011">INDEX(_xlfn.TEXTSPLIT(E1011,"-"),3)</f>
        <v>T恤</v>
      </c>
      <c r="H1011" s="5">
        <v>1327538</v>
      </c>
      <c r="I1011" s="5">
        <v>75408600.23</v>
      </c>
      <c r="J1011" s="6">
        <v>0.0239</v>
      </c>
      <c r="K1011" s="6">
        <v>-0.0356</v>
      </c>
    </row>
    <row r="1012" ht="14.5" spans="1:11">
      <c r="A1012" s="3" t="str">
        <f t="shared" si="63"/>
        <v>2026年</v>
      </c>
      <c r="B1012" s="3" t="str">
        <f t="shared" si="64"/>
        <v>1月</v>
      </c>
      <c r="C1012" s="4" t="str">
        <f t="shared" si="65"/>
        <v>W5</v>
      </c>
      <c r="D1012" s="2" t="s">
        <v>766</v>
      </c>
      <c r="E1012" s="2" t="s">
        <v>704</v>
      </c>
      <c r="F1012" s="2" t="str" cm="1">
        <f t="array" ref="F1012">INDEX(_xlfn.TEXTSPLIT(E1012,"-"),2)</f>
        <v>女装</v>
      </c>
      <c r="G1012" s="2" t="str" cm="1">
        <f t="array" ref="G1012">INDEX(_xlfn.TEXTSPLIT(E1012,"-"),3)</f>
        <v>中老年女装</v>
      </c>
      <c r="H1012" s="5">
        <v>485595</v>
      </c>
      <c r="I1012" s="5">
        <v>58170946.96</v>
      </c>
      <c r="J1012" s="6">
        <v>0.0185</v>
      </c>
      <c r="K1012" s="6">
        <v>0.0706</v>
      </c>
    </row>
    <row r="1013" ht="14.5" spans="1:11">
      <c r="A1013" s="3" t="str">
        <f t="shared" si="63"/>
        <v>2026年</v>
      </c>
      <c r="B1013" s="3" t="str">
        <f t="shared" si="64"/>
        <v>1月</v>
      </c>
      <c r="C1013" s="4" t="str">
        <f t="shared" si="65"/>
        <v>W5</v>
      </c>
      <c r="D1013" s="2" t="s">
        <v>766</v>
      </c>
      <c r="E1013" s="2" t="s">
        <v>705</v>
      </c>
      <c r="F1013" s="2" t="str" cm="1">
        <f t="array" ref="F1013">INDEX(_xlfn.TEXTSPLIT(E1013,"-"),2)</f>
        <v>女装</v>
      </c>
      <c r="G1013" s="2" t="str" cm="1">
        <f t="array" ref="G1013">INDEX(_xlfn.TEXTSPLIT(E1013,"-"),3)</f>
        <v>半身裙</v>
      </c>
      <c r="H1013" s="5">
        <v>741512</v>
      </c>
      <c r="I1013" s="5">
        <v>62416219.13</v>
      </c>
      <c r="J1013" s="6">
        <v>0.0198</v>
      </c>
      <c r="K1013" s="6">
        <v>-0.0328</v>
      </c>
    </row>
    <row r="1014" ht="14.5" spans="1:11">
      <c r="A1014" s="3" t="str">
        <f t="shared" si="63"/>
        <v>2026年</v>
      </c>
      <c r="B1014" s="3" t="str">
        <f t="shared" si="64"/>
        <v>1月</v>
      </c>
      <c r="C1014" s="4" t="str">
        <f t="shared" si="65"/>
        <v>W5</v>
      </c>
      <c r="D1014" s="2" t="s">
        <v>766</v>
      </c>
      <c r="E1014" s="2" t="s">
        <v>706</v>
      </c>
      <c r="F1014" s="2" t="str" cm="1">
        <f t="array" ref="F1014">INDEX(_xlfn.TEXTSPLIT(E1014,"-"),2)</f>
        <v>女装</v>
      </c>
      <c r="G1014" s="2" t="str" cm="1">
        <f t="array" ref="G1014">INDEX(_xlfn.TEXTSPLIT(E1014,"-"),3)</f>
        <v>卫衣/绒衫</v>
      </c>
      <c r="H1014" s="5">
        <v>457929</v>
      </c>
      <c r="I1014" s="5">
        <v>34264892.32</v>
      </c>
      <c r="J1014" s="6">
        <v>0.0109</v>
      </c>
      <c r="K1014" s="6">
        <v>0.0388</v>
      </c>
    </row>
    <row r="1015" ht="14.5" spans="1:11">
      <c r="A1015" s="3" t="str">
        <f t="shared" si="63"/>
        <v>2026年</v>
      </c>
      <c r="B1015" s="3" t="str">
        <f t="shared" si="64"/>
        <v>1月</v>
      </c>
      <c r="C1015" s="4" t="str">
        <f t="shared" si="65"/>
        <v>W5</v>
      </c>
      <c r="D1015" s="2" t="s">
        <v>766</v>
      </c>
      <c r="E1015" s="2" t="s">
        <v>707</v>
      </c>
      <c r="F1015" s="2" t="str" cm="1">
        <f t="array" ref="F1015">INDEX(_xlfn.TEXTSPLIT(E1015,"-"),2)</f>
        <v>女装</v>
      </c>
      <c r="G1015" s="2" t="str" cm="1">
        <f t="array" ref="G1015">INDEX(_xlfn.TEXTSPLIT(E1015,"-"),3)</f>
        <v>唐装/民族服装/舞台服装</v>
      </c>
      <c r="H1015" s="5">
        <v>200957</v>
      </c>
      <c r="I1015" s="5">
        <v>42703440.57</v>
      </c>
      <c r="J1015" s="6">
        <v>0.0136</v>
      </c>
      <c r="K1015" s="6">
        <v>0.0379</v>
      </c>
    </row>
    <row r="1016" ht="14.5" spans="1:11">
      <c r="A1016" s="3" t="str">
        <f t="shared" si="63"/>
        <v>2026年</v>
      </c>
      <c r="B1016" s="3" t="str">
        <f t="shared" si="64"/>
        <v>1月</v>
      </c>
      <c r="C1016" s="4" t="str">
        <f t="shared" si="65"/>
        <v>W5</v>
      </c>
      <c r="D1016" s="2" t="s">
        <v>766</v>
      </c>
      <c r="E1016" s="2" t="s">
        <v>708</v>
      </c>
      <c r="F1016" s="2" t="str" cm="1">
        <f t="array" ref="F1016">INDEX(_xlfn.TEXTSPLIT(E1016,"-"),2)</f>
        <v>女装</v>
      </c>
      <c r="G1016" s="2" t="str" cm="1">
        <f t="array" ref="G1016">INDEX(_xlfn.TEXTSPLIT(E1016,"-"),3)</f>
        <v>大码女装</v>
      </c>
      <c r="H1016" s="5">
        <v>682778</v>
      </c>
      <c r="I1016" s="5">
        <v>57896711.68</v>
      </c>
      <c r="J1016" s="6">
        <v>0.0184</v>
      </c>
      <c r="K1016" s="6">
        <v>0.0725</v>
      </c>
    </row>
    <row r="1017" ht="14.5" spans="1:11">
      <c r="A1017" s="3" t="str">
        <f t="shared" si="63"/>
        <v>2026年</v>
      </c>
      <c r="B1017" s="3" t="str">
        <f t="shared" si="64"/>
        <v>1月</v>
      </c>
      <c r="C1017" s="4" t="str">
        <f t="shared" si="65"/>
        <v>W5</v>
      </c>
      <c r="D1017" s="2" t="s">
        <v>766</v>
      </c>
      <c r="E1017" s="2" t="s">
        <v>709</v>
      </c>
      <c r="F1017" s="2" t="str" cm="1">
        <f t="array" ref="F1017">INDEX(_xlfn.TEXTSPLIT(E1017,"-"),2)</f>
        <v>女装</v>
      </c>
      <c r="G1017" s="2" t="str" cm="1">
        <f t="array" ref="G1017">INDEX(_xlfn.TEXTSPLIT(E1017,"-"),3)</f>
        <v>套装/学生校服/工作制服</v>
      </c>
      <c r="H1017" s="5">
        <v>881938</v>
      </c>
      <c r="I1017" s="5">
        <v>117004763.32</v>
      </c>
      <c r="J1017" s="6">
        <v>0.0371</v>
      </c>
      <c r="K1017" s="6">
        <v>-0.0566</v>
      </c>
    </row>
    <row r="1018" ht="14.5" spans="1:11">
      <c r="A1018" s="3" t="str">
        <f t="shared" si="63"/>
        <v>2026年</v>
      </c>
      <c r="B1018" s="3" t="str">
        <f t="shared" si="64"/>
        <v>1月</v>
      </c>
      <c r="C1018" s="4" t="str">
        <f t="shared" si="65"/>
        <v>W5</v>
      </c>
      <c r="D1018" s="2" t="s">
        <v>766</v>
      </c>
      <c r="E1018" s="2" t="s">
        <v>710</v>
      </c>
      <c r="F1018" s="2" t="str" cm="1">
        <f t="array" ref="F1018">INDEX(_xlfn.TEXTSPLIT(E1018,"-"),2)</f>
        <v>女装</v>
      </c>
      <c r="G1018" s="2" t="str" cm="1">
        <f t="array" ref="G1018">INDEX(_xlfn.TEXTSPLIT(E1018,"-"),3)</f>
        <v>婚纱/旗袍/礼服</v>
      </c>
      <c r="H1018" s="5">
        <v>63901</v>
      </c>
      <c r="I1018" s="5">
        <v>9800601.41</v>
      </c>
      <c r="J1018" s="6">
        <v>0.0031</v>
      </c>
      <c r="K1018" s="6">
        <v>0.0273</v>
      </c>
    </row>
    <row r="1019" ht="14.5" spans="1:11">
      <c r="A1019" s="3" t="str">
        <f t="shared" si="63"/>
        <v>2026年</v>
      </c>
      <c r="B1019" s="3" t="str">
        <f t="shared" si="64"/>
        <v>1月</v>
      </c>
      <c r="C1019" s="4" t="str">
        <f t="shared" si="65"/>
        <v>W5</v>
      </c>
      <c r="D1019" s="2" t="s">
        <v>766</v>
      </c>
      <c r="E1019" s="2" t="s">
        <v>711</v>
      </c>
      <c r="F1019" s="2" t="str" cm="1">
        <f t="array" ref="F1019">INDEX(_xlfn.TEXTSPLIT(E1019,"-"),2)</f>
        <v>女装</v>
      </c>
      <c r="G1019" s="2" t="str" cm="1">
        <f t="array" ref="G1019">INDEX(_xlfn.TEXTSPLIT(E1019,"-"),3)</f>
        <v>新中式女装</v>
      </c>
      <c r="H1019" s="5">
        <v>96543</v>
      </c>
      <c r="I1019" s="5">
        <v>11880088.99</v>
      </c>
      <c r="J1019" s="6">
        <v>0.0038</v>
      </c>
      <c r="K1019" s="6">
        <v>-0.5269</v>
      </c>
    </row>
    <row r="1020" ht="14.5" spans="1:11">
      <c r="A1020" s="3" t="str">
        <f t="shared" si="63"/>
        <v>2026年</v>
      </c>
      <c r="B1020" s="3" t="str">
        <f t="shared" si="64"/>
        <v>1月</v>
      </c>
      <c r="C1020" s="4" t="str">
        <f t="shared" si="65"/>
        <v>W5</v>
      </c>
      <c r="D1020" s="2" t="s">
        <v>766</v>
      </c>
      <c r="E1020" s="2" t="s">
        <v>712</v>
      </c>
      <c r="F1020" s="2" t="str" cm="1">
        <f t="array" ref="F1020">INDEX(_xlfn.TEXTSPLIT(E1020,"-"),2)</f>
        <v>女装</v>
      </c>
      <c r="G1020" s="2" t="str" cm="1">
        <f t="array" ref="G1020">INDEX(_xlfn.TEXTSPLIT(E1020,"-"),3)</f>
        <v>时尚防晒服</v>
      </c>
      <c r="H1020" s="5">
        <v>832</v>
      </c>
      <c r="I1020" s="5">
        <v>72223.55</v>
      </c>
      <c r="J1020" s="2" t="s">
        <v>713</v>
      </c>
      <c r="K1020" s="6">
        <v>-0.1423</v>
      </c>
    </row>
    <row r="1021" ht="14.5" spans="1:11">
      <c r="A1021" s="3" t="str">
        <f t="shared" si="63"/>
        <v>2026年</v>
      </c>
      <c r="B1021" s="3" t="str">
        <f t="shared" si="64"/>
        <v>1月</v>
      </c>
      <c r="C1021" s="4" t="str">
        <f t="shared" si="65"/>
        <v>W5</v>
      </c>
      <c r="D1021" s="2" t="s">
        <v>766</v>
      </c>
      <c r="E1021" s="2" t="s">
        <v>714</v>
      </c>
      <c r="F1021" s="2" t="str" cm="1">
        <f t="array" ref="F1021">INDEX(_xlfn.TEXTSPLIT(E1021,"-"),2)</f>
        <v>女装</v>
      </c>
      <c r="G1021" s="2" t="str" cm="1">
        <f t="array" ref="G1021">INDEX(_xlfn.TEXTSPLIT(E1021,"-"),3)</f>
        <v>棉衣/棉服</v>
      </c>
      <c r="H1021" s="5">
        <v>714035</v>
      </c>
      <c r="I1021" s="5">
        <v>78120897.45</v>
      </c>
      <c r="J1021" s="6">
        <v>0.0248</v>
      </c>
      <c r="K1021" s="6">
        <v>-0.0408</v>
      </c>
    </row>
    <row r="1022" ht="14.5" spans="1:11">
      <c r="A1022" s="3" t="str">
        <f t="shared" si="63"/>
        <v>2026年</v>
      </c>
      <c r="B1022" s="3" t="str">
        <f t="shared" si="64"/>
        <v>1月</v>
      </c>
      <c r="C1022" s="4" t="str">
        <f t="shared" si="65"/>
        <v>W5</v>
      </c>
      <c r="D1022" s="2" t="s">
        <v>766</v>
      </c>
      <c r="E1022" s="2" t="s">
        <v>715</v>
      </c>
      <c r="F1022" s="2" t="str" cm="1">
        <f t="array" ref="F1022">INDEX(_xlfn.TEXTSPLIT(E1022,"-"),2)</f>
        <v>女装</v>
      </c>
      <c r="G1022" s="2" t="str" cm="1">
        <f t="array" ref="G1022">INDEX(_xlfn.TEXTSPLIT(E1022,"-"),3)</f>
        <v>毛呢外套</v>
      </c>
      <c r="H1022" s="5">
        <v>790119</v>
      </c>
      <c r="I1022" s="5">
        <v>292612715.32</v>
      </c>
      <c r="J1022" s="6">
        <v>0.0929</v>
      </c>
      <c r="K1022" s="6">
        <v>-0.0039</v>
      </c>
    </row>
    <row r="1023" ht="14.5" spans="1:11">
      <c r="A1023" s="3" t="str">
        <f t="shared" si="63"/>
        <v>2026年</v>
      </c>
      <c r="B1023" s="3" t="str">
        <f t="shared" si="64"/>
        <v>1月</v>
      </c>
      <c r="C1023" s="4" t="str">
        <f t="shared" si="65"/>
        <v>W5</v>
      </c>
      <c r="D1023" s="2" t="s">
        <v>766</v>
      </c>
      <c r="E1023" s="2" t="s">
        <v>716</v>
      </c>
      <c r="F1023" s="2" t="str" cm="1">
        <f t="array" ref="F1023">INDEX(_xlfn.TEXTSPLIT(E1023,"-"),2)</f>
        <v>女装</v>
      </c>
      <c r="G1023" s="2" t="str" cm="1">
        <f t="array" ref="G1023">INDEX(_xlfn.TEXTSPLIT(E1023,"-"),3)</f>
        <v>毛衣</v>
      </c>
      <c r="H1023" s="5">
        <v>487969</v>
      </c>
      <c r="I1023" s="5">
        <v>38755835.45</v>
      </c>
      <c r="J1023" s="6">
        <v>0.0123</v>
      </c>
      <c r="K1023" s="6">
        <v>-0.0358</v>
      </c>
    </row>
    <row r="1024" ht="14.5" spans="1:11">
      <c r="A1024" s="3" t="str">
        <f t="shared" si="63"/>
        <v>2026年</v>
      </c>
      <c r="B1024" s="3" t="str">
        <f t="shared" si="64"/>
        <v>1月</v>
      </c>
      <c r="C1024" s="4" t="str">
        <f t="shared" si="65"/>
        <v>W5</v>
      </c>
      <c r="D1024" s="2" t="s">
        <v>766</v>
      </c>
      <c r="E1024" s="2" t="s">
        <v>717</v>
      </c>
      <c r="F1024" s="2" t="str" cm="1">
        <f t="array" ref="F1024">INDEX(_xlfn.TEXTSPLIT(E1024,"-"),2)</f>
        <v>女装</v>
      </c>
      <c r="G1024" s="2" t="str" cm="1">
        <f t="array" ref="G1024">INDEX(_xlfn.TEXTSPLIT(E1024,"-"),3)</f>
        <v>毛针织衫</v>
      </c>
      <c r="H1024" s="5">
        <v>2209074</v>
      </c>
      <c r="I1024" s="5">
        <v>174554973.86</v>
      </c>
      <c r="J1024" s="6">
        <v>0.0554</v>
      </c>
      <c r="K1024" s="6">
        <v>-0.0226</v>
      </c>
    </row>
    <row r="1025" ht="14.5" spans="1:11">
      <c r="A1025" s="3" t="str">
        <f t="shared" si="63"/>
        <v>2026年</v>
      </c>
      <c r="B1025" s="3" t="str">
        <f t="shared" si="64"/>
        <v>1月</v>
      </c>
      <c r="C1025" s="4" t="str">
        <f t="shared" si="65"/>
        <v>W5</v>
      </c>
      <c r="D1025" s="2" t="s">
        <v>766</v>
      </c>
      <c r="E1025" s="2" t="s">
        <v>718</v>
      </c>
      <c r="F1025" s="2" t="str" cm="1">
        <f t="array" ref="F1025">INDEX(_xlfn.TEXTSPLIT(E1025,"-"),2)</f>
        <v>女装</v>
      </c>
      <c r="G1025" s="2" t="str" cm="1">
        <f t="array" ref="G1025">INDEX(_xlfn.TEXTSPLIT(E1025,"-"),3)</f>
        <v>汉服</v>
      </c>
      <c r="H1025" s="5">
        <v>98954</v>
      </c>
      <c r="I1025" s="5">
        <v>49459741.62</v>
      </c>
      <c r="J1025" s="6">
        <v>0.0157</v>
      </c>
      <c r="K1025" s="6">
        <v>-0.3162</v>
      </c>
    </row>
    <row r="1026" ht="14.5" spans="1:11">
      <c r="A1026" s="3" t="str">
        <f t="shared" si="63"/>
        <v>2026年</v>
      </c>
      <c r="B1026" s="3" t="str">
        <f t="shared" si="64"/>
        <v>1月</v>
      </c>
      <c r="C1026" s="4" t="str">
        <f t="shared" si="65"/>
        <v>W5</v>
      </c>
      <c r="D1026" s="2" t="s">
        <v>766</v>
      </c>
      <c r="E1026" s="2" t="s">
        <v>719</v>
      </c>
      <c r="F1026" s="2" t="str" cm="1">
        <f t="array" ref="F1026">INDEX(_xlfn.TEXTSPLIT(E1026,"-"),2)</f>
        <v>女装</v>
      </c>
      <c r="G1026" s="2" t="str" cm="1">
        <f t="array" ref="G1026">INDEX(_xlfn.TEXTSPLIT(E1026,"-"),3)</f>
        <v>派克服</v>
      </c>
      <c r="H1026" s="5">
        <v>65731</v>
      </c>
      <c r="I1026" s="5">
        <v>16136787.6</v>
      </c>
      <c r="J1026" s="6">
        <v>0.0051</v>
      </c>
      <c r="K1026" s="6">
        <v>0.1547</v>
      </c>
    </row>
    <row r="1027" ht="14.5" spans="1:11">
      <c r="A1027" s="3" t="str">
        <f t="shared" si="63"/>
        <v>2026年</v>
      </c>
      <c r="B1027" s="3" t="str">
        <f t="shared" si="64"/>
        <v>1月</v>
      </c>
      <c r="C1027" s="4" t="str">
        <f t="shared" si="65"/>
        <v>W5</v>
      </c>
      <c r="D1027" s="2" t="s">
        <v>766</v>
      </c>
      <c r="E1027" s="2" t="s">
        <v>720</v>
      </c>
      <c r="F1027" s="2" t="str" cm="1">
        <f t="array" ref="F1027">INDEX(_xlfn.TEXTSPLIT(E1027,"-"),2)</f>
        <v>女装</v>
      </c>
      <c r="G1027" s="2" t="str" cm="1">
        <f t="array" ref="G1027">INDEX(_xlfn.TEXTSPLIT(E1027,"-"),3)</f>
        <v>皮草</v>
      </c>
      <c r="H1027" s="5">
        <v>209334</v>
      </c>
      <c r="I1027" s="5">
        <v>340094175.53</v>
      </c>
      <c r="J1027" s="6">
        <v>0.108</v>
      </c>
      <c r="K1027" s="6">
        <v>-0.0753</v>
      </c>
    </row>
    <row r="1028" ht="14.5" spans="1:11">
      <c r="A1028" s="3" t="str">
        <f t="shared" si="63"/>
        <v>2026年</v>
      </c>
      <c r="B1028" s="3" t="str">
        <f t="shared" si="64"/>
        <v>1月</v>
      </c>
      <c r="C1028" s="4" t="str">
        <f t="shared" si="65"/>
        <v>W5</v>
      </c>
      <c r="D1028" s="2" t="s">
        <v>766</v>
      </c>
      <c r="E1028" s="2" t="s">
        <v>721</v>
      </c>
      <c r="F1028" s="2" t="str" cm="1">
        <f t="array" ref="F1028">INDEX(_xlfn.TEXTSPLIT(E1028,"-"),2)</f>
        <v>女装</v>
      </c>
      <c r="G1028" s="2" t="str" cm="1">
        <f t="array" ref="G1028">INDEX(_xlfn.TEXTSPLIT(E1028,"-"),3)</f>
        <v>皮衣</v>
      </c>
      <c r="H1028" s="5">
        <v>148693</v>
      </c>
      <c r="I1028" s="5">
        <v>51465402.21</v>
      </c>
      <c r="J1028" s="6">
        <v>0.0163</v>
      </c>
      <c r="K1028" s="6">
        <v>-0.0433</v>
      </c>
    </row>
    <row r="1029" ht="14.5" spans="1:11">
      <c r="A1029" s="3" t="str">
        <f t="shared" si="63"/>
        <v>2026年</v>
      </c>
      <c r="B1029" s="3" t="str">
        <f t="shared" si="64"/>
        <v>1月</v>
      </c>
      <c r="C1029" s="4" t="str">
        <f t="shared" si="65"/>
        <v>W5</v>
      </c>
      <c r="D1029" s="2" t="s">
        <v>766</v>
      </c>
      <c r="E1029" s="2" t="s">
        <v>722</v>
      </c>
      <c r="F1029" s="2" t="str" cm="1">
        <f t="array" ref="F1029">INDEX(_xlfn.TEXTSPLIT(E1029,"-"),2)</f>
        <v>女装</v>
      </c>
      <c r="G1029" s="2" t="str" cm="1">
        <f t="array" ref="G1029">INDEX(_xlfn.TEXTSPLIT(E1029,"-"),3)</f>
        <v>短外套</v>
      </c>
      <c r="H1029" s="5">
        <v>1262958</v>
      </c>
      <c r="I1029" s="5">
        <v>244881939.61</v>
      </c>
      <c r="J1029" s="6">
        <v>0.0777</v>
      </c>
      <c r="K1029" s="6">
        <v>-0.0336</v>
      </c>
    </row>
    <row r="1030" ht="14.5" spans="1:11">
      <c r="A1030" s="3" t="str">
        <f t="shared" ref="A1030:A1061" si="66">TEXT(YEAR(D1030),"0")&amp;"年"</f>
        <v>2026年</v>
      </c>
      <c r="B1030" s="3" t="str">
        <f t="shared" ref="B1030:B1061" si="67">TEXT(MONTH(D1030),"0")&amp;"月"</f>
        <v>1月</v>
      </c>
      <c r="C1030" s="4" t="str">
        <f t="shared" ref="C1030:C1061" si="68">"W"&amp;TEXT(WEEKNUM(D1030,2),"0")</f>
        <v>W5</v>
      </c>
      <c r="D1030" s="2" t="s">
        <v>766</v>
      </c>
      <c r="E1030" s="2" t="s">
        <v>723</v>
      </c>
      <c r="F1030" s="2" t="str" cm="1">
        <f t="array" ref="F1030">INDEX(_xlfn.TEXTSPLIT(E1030,"-"),2)</f>
        <v>女装</v>
      </c>
      <c r="G1030" s="2" t="str" cm="1">
        <f t="array" ref="G1030">INDEX(_xlfn.TEXTSPLIT(E1030,"-"),3)</f>
        <v>短裤</v>
      </c>
      <c r="H1030" s="5">
        <v>119067</v>
      </c>
      <c r="I1030" s="5">
        <v>6271964.32</v>
      </c>
      <c r="J1030" s="6">
        <v>0.002</v>
      </c>
      <c r="K1030" s="6">
        <v>-0.0176</v>
      </c>
    </row>
    <row r="1031" ht="14.5" spans="1:11">
      <c r="A1031" s="3" t="str">
        <f t="shared" si="66"/>
        <v>2026年</v>
      </c>
      <c r="B1031" s="3" t="str">
        <f t="shared" si="67"/>
        <v>1月</v>
      </c>
      <c r="C1031" s="4" t="str">
        <f t="shared" si="68"/>
        <v>W5</v>
      </c>
      <c r="D1031" s="2" t="s">
        <v>766</v>
      </c>
      <c r="E1031" s="2" t="s">
        <v>724</v>
      </c>
      <c r="F1031" s="2" t="str" cm="1">
        <f t="array" ref="F1031">INDEX(_xlfn.TEXTSPLIT(E1031,"-"),2)</f>
        <v>女装</v>
      </c>
      <c r="G1031" s="2" t="str" cm="1">
        <f t="array" ref="G1031">INDEX(_xlfn.TEXTSPLIT(E1031,"-"),3)</f>
        <v>羊毛衫</v>
      </c>
      <c r="H1031" s="5">
        <v>503074</v>
      </c>
      <c r="I1031" s="5">
        <v>60102122.28</v>
      </c>
      <c r="J1031" s="6">
        <v>0.0191</v>
      </c>
      <c r="K1031" s="6">
        <v>-0.0426</v>
      </c>
    </row>
    <row r="1032" ht="14.5" spans="1:11">
      <c r="A1032" s="3" t="str">
        <f t="shared" si="66"/>
        <v>2026年</v>
      </c>
      <c r="B1032" s="3" t="str">
        <f t="shared" si="67"/>
        <v>1月</v>
      </c>
      <c r="C1032" s="4" t="str">
        <f t="shared" si="68"/>
        <v>W5</v>
      </c>
      <c r="D1032" s="2" t="s">
        <v>766</v>
      </c>
      <c r="E1032" s="2" t="s">
        <v>725</v>
      </c>
      <c r="F1032" s="2" t="str" cm="1">
        <f t="array" ref="F1032">INDEX(_xlfn.TEXTSPLIT(E1032,"-"),2)</f>
        <v>女装</v>
      </c>
      <c r="G1032" s="2" t="str" cm="1">
        <f t="array" ref="G1032">INDEX(_xlfn.TEXTSPLIT(E1032,"-"),3)</f>
        <v>羊绒大衣</v>
      </c>
      <c r="H1032" s="5">
        <v>16571</v>
      </c>
      <c r="I1032" s="5">
        <v>3231827.42</v>
      </c>
      <c r="J1032" s="6">
        <v>0.001</v>
      </c>
      <c r="K1032" s="6">
        <v>0.3762</v>
      </c>
    </row>
    <row r="1033" ht="14.5" spans="1:11">
      <c r="A1033" s="3" t="str">
        <f t="shared" si="66"/>
        <v>2026年</v>
      </c>
      <c r="B1033" s="3" t="str">
        <f t="shared" si="67"/>
        <v>1月</v>
      </c>
      <c r="C1033" s="4" t="str">
        <f t="shared" si="68"/>
        <v>W5</v>
      </c>
      <c r="D1033" s="2" t="s">
        <v>766</v>
      </c>
      <c r="E1033" s="2" t="s">
        <v>726</v>
      </c>
      <c r="F1033" s="2" t="str" cm="1">
        <f t="array" ref="F1033">INDEX(_xlfn.TEXTSPLIT(E1033,"-"),2)</f>
        <v>女装</v>
      </c>
      <c r="G1033" s="2" t="str" cm="1">
        <f t="array" ref="G1033">INDEX(_xlfn.TEXTSPLIT(E1033,"-"),3)</f>
        <v>羊绒衫</v>
      </c>
      <c r="H1033" s="5">
        <v>139121</v>
      </c>
      <c r="I1033" s="5">
        <v>40025361.57</v>
      </c>
      <c r="J1033" s="6">
        <v>0.0127</v>
      </c>
      <c r="K1033" s="6">
        <v>0.1218</v>
      </c>
    </row>
    <row r="1034" ht="14.5" spans="1:11">
      <c r="A1034" s="3" t="str">
        <f t="shared" si="66"/>
        <v>2026年</v>
      </c>
      <c r="B1034" s="3" t="str">
        <f t="shared" si="67"/>
        <v>1月</v>
      </c>
      <c r="C1034" s="4" t="str">
        <f t="shared" si="68"/>
        <v>W5</v>
      </c>
      <c r="D1034" s="2" t="s">
        <v>766</v>
      </c>
      <c r="E1034" s="2" t="s">
        <v>727</v>
      </c>
      <c r="F1034" s="2" t="str" cm="1">
        <f t="array" ref="F1034">INDEX(_xlfn.TEXTSPLIT(E1034,"-"),2)</f>
        <v>女装</v>
      </c>
      <c r="G1034" s="2" t="str" cm="1">
        <f t="array" ref="G1034">INDEX(_xlfn.TEXTSPLIT(E1034,"-"),3)</f>
        <v>羽绒服</v>
      </c>
      <c r="H1034" s="5">
        <v>1584055</v>
      </c>
      <c r="I1034" s="5">
        <v>594457999.63</v>
      </c>
      <c r="J1034" s="6">
        <v>0.1887</v>
      </c>
      <c r="K1034" s="6">
        <v>-0.0826</v>
      </c>
    </row>
    <row r="1035" ht="14.5" spans="1:11">
      <c r="A1035" s="3" t="str">
        <f t="shared" si="66"/>
        <v>2026年</v>
      </c>
      <c r="B1035" s="3" t="str">
        <f t="shared" si="67"/>
        <v>1月</v>
      </c>
      <c r="C1035" s="4" t="str">
        <f t="shared" si="68"/>
        <v>W5</v>
      </c>
      <c r="D1035" s="2" t="s">
        <v>766</v>
      </c>
      <c r="E1035" s="2" t="s">
        <v>728</v>
      </c>
      <c r="F1035" s="2" t="str" cm="1">
        <f t="array" ref="F1035">INDEX(_xlfn.TEXTSPLIT(E1035,"-"),2)</f>
        <v>女装</v>
      </c>
      <c r="G1035" s="2" t="str" cm="1">
        <f t="array" ref="G1035">INDEX(_xlfn.TEXTSPLIT(E1035,"-"),3)</f>
        <v>肌底衣/肌肤衣</v>
      </c>
      <c r="H1035" s="5">
        <v>3579</v>
      </c>
      <c r="I1035" s="5">
        <v>175389.21</v>
      </c>
      <c r="J1035" s="6">
        <v>0.0001</v>
      </c>
      <c r="K1035" s="6">
        <v>-0.2685</v>
      </c>
    </row>
    <row r="1036" ht="14.5" spans="1:11">
      <c r="A1036" s="3" t="str">
        <f t="shared" si="66"/>
        <v>2026年</v>
      </c>
      <c r="B1036" s="3" t="str">
        <f t="shared" si="67"/>
        <v>1月</v>
      </c>
      <c r="C1036" s="4" t="str">
        <f t="shared" si="68"/>
        <v>W5</v>
      </c>
      <c r="D1036" s="2" t="s">
        <v>766</v>
      </c>
      <c r="E1036" s="2" t="s">
        <v>729</v>
      </c>
      <c r="F1036" s="2" t="str" cm="1">
        <f t="array" ref="F1036">INDEX(_xlfn.TEXTSPLIT(E1036,"-"),2)</f>
        <v>女装</v>
      </c>
      <c r="G1036" s="2" t="str" cm="1">
        <f t="array" ref="G1036">INDEX(_xlfn.TEXTSPLIT(E1036,"-"),3)</f>
        <v>背心吊带</v>
      </c>
      <c r="H1036" s="5">
        <v>242209</v>
      </c>
      <c r="I1036" s="5">
        <v>12894222.5</v>
      </c>
      <c r="J1036" s="6">
        <v>0.0041</v>
      </c>
      <c r="K1036" s="6">
        <v>0.0591</v>
      </c>
    </row>
    <row r="1037" ht="14.5" spans="1:11">
      <c r="A1037" s="3" t="str">
        <f t="shared" si="66"/>
        <v>2026年</v>
      </c>
      <c r="B1037" s="3" t="str">
        <f t="shared" si="67"/>
        <v>1月</v>
      </c>
      <c r="C1037" s="4" t="str">
        <f t="shared" si="68"/>
        <v>W5</v>
      </c>
      <c r="D1037" s="2" t="s">
        <v>766</v>
      </c>
      <c r="E1037" s="2" t="s">
        <v>730</v>
      </c>
      <c r="F1037" s="2" t="str" cm="1">
        <f t="array" ref="F1037">INDEX(_xlfn.TEXTSPLIT(E1037,"-"),2)</f>
        <v>女装</v>
      </c>
      <c r="G1037" s="2" t="str" cm="1">
        <f t="array" ref="G1037">INDEX(_xlfn.TEXTSPLIT(E1037,"-"),3)</f>
        <v>蕾丝衫/雪纺衫</v>
      </c>
      <c r="H1037" s="5">
        <v>171222</v>
      </c>
      <c r="I1037" s="5">
        <v>11052319.26</v>
      </c>
      <c r="J1037" s="6">
        <v>0.0035</v>
      </c>
      <c r="K1037" s="6">
        <v>-0.1071</v>
      </c>
    </row>
    <row r="1038" ht="14.5" spans="1:11">
      <c r="A1038" s="3" t="str">
        <f t="shared" si="66"/>
        <v>2026年</v>
      </c>
      <c r="B1038" s="3" t="str">
        <f t="shared" si="67"/>
        <v>1月</v>
      </c>
      <c r="C1038" s="4" t="str">
        <f t="shared" si="68"/>
        <v>W5</v>
      </c>
      <c r="D1038" s="2" t="s">
        <v>766</v>
      </c>
      <c r="E1038" s="2" t="s">
        <v>731</v>
      </c>
      <c r="F1038" s="2" t="str" cm="1">
        <f t="array" ref="F1038">INDEX(_xlfn.TEXTSPLIT(E1038,"-"),2)</f>
        <v>女装</v>
      </c>
      <c r="G1038" s="2" t="str" cm="1">
        <f t="array" ref="G1038">INDEX(_xlfn.TEXTSPLIT(E1038,"-"),3)</f>
        <v>衬衫</v>
      </c>
      <c r="H1038" s="5">
        <v>457978</v>
      </c>
      <c r="I1038" s="5">
        <v>49251140.69</v>
      </c>
      <c r="J1038" s="6">
        <v>0.0156</v>
      </c>
      <c r="K1038" s="6">
        <v>-0.0075</v>
      </c>
    </row>
    <row r="1039" ht="14.5" spans="1:11">
      <c r="A1039" s="3" t="str">
        <f t="shared" si="66"/>
        <v>2026年</v>
      </c>
      <c r="B1039" s="3" t="str">
        <f t="shared" si="67"/>
        <v>1月</v>
      </c>
      <c r="C1039" s="4" t="str">
        <f t="shared" si="68"/>
        <v>W5</v>
      </c>
      <c r="D1039" s="2" t="s">
        <v>766</v>
      </c>
      <c r="E1039" s="2" t="s">
        <v>732</v>
      </c>
      <c r="F1039" s="2" t="str" cm="1">
        <f t="array" ref="F1039">INDEX(_xlfn.TEXTSPLIT(E1039,"-"),2)</f>
        <v>女装</v>
      </c>
      <c r="G1039" s="2" t="str" cm="1">
        <f t="array" ref="G1039">INDEX(_xlfn.TEXTSPLIT(E1039,"-"),3)</f>
        <v>裤子</v>
      </c>
      <c r="H1039" s="5">
        <v>3983847</v>
      </c>
      <c r="I1039" s="5">
        <v>373386066.56</v>
      </c>
      <c r="J1039" s="6">
        <v>0.1185</v>
      </c>
      <c r="K1039" s="6">
        <v>-0.0471</v>
      </c>
    </row>
    <row r="1040" ht="14.5" spans="1:11">
      <c r="A1040" s="3" t="str">
        <f t="shared" si="66"/>
        <v>2026年</v>
      </c>
      <c r="B1040" s="3" t="str">
        <f t="shared" si="67"/>
        <v>1月</v>
      </c>
      <c r="C1040" s="4" t="str">
        <f t="shared" si="68"/>
        <v>W5</v>
      </c>
      <c r="D1040" s="2" t="s">
        <v>766</v>
      </c>
      <c r="E1040" s="2" t="s">
        <v>733</v>
      </c>
      <c r="F1040" s="2" t="str" cm="1">
        <f t="array" ref="F1040">INDEX(_xlfn.TEXTSPLIT(E1040,"-"),2)</f>
        <v>女装</v>
      </c>
      <c r="G1040" s="2" t="str" cm="1">
        <f t="array" ref="G1040">INDEX(_xlfn.TEXTSPLIT(E1040,"-"),3)</f>
        <v>西装</v>
      </c>
      <c r="H1040" s="5">
        <v>57855</v>
      </c>
      <c r="I1040" s="5">
        <v>15357753.71</v>
      </c>
      <c r="J1040" s="6">
        <v>0.0049</v>
      </c>
      <c r="K1040" s="6">
        <v>0.1239</v>
      </c>
    </row>
    <row r="1041" ht="14.5" spans="1:11">
      <c r="A1041" s="3" t="str">
        <f t="shared" si="66"/>
        <v>2026年</v>
      </c>
      <c r="B1041" s="3" t="str">
        <f t="shared" si="67"/>
        <v>1月</v>
      </c>
      <c r="C1041" s="4" t="str">
        <f t="shared" si="68"/>
        <v>W5</v>
      </c>
      <c r="D1041" s="2" t="s">
        <v>766</v>
      </c>
      <c r="E1041" s="2" t="s">
        <v>734</v>
      </c>
      <c r="F1041" s="2" t="str" cm="1">
        <f t="array" ref="F1041">INDEX(_xlfn.TEXTSPLIT(E1041,"-"),2)</f>
        <v>女装</v>
      </c>
      <c r="G1041" s="2" t="str" cm="1">
        <f t="array" ref="G1041">INDEX(_xlfn.TEXTSPLIT(E1041,"-"),3)</f>
        <v>设计师/潮牌女装</v>
      </c>
      <c r="H1041" s="5">
        <v>649057</v>
      </c>
      <c r="I1041" s="5">
        <v>75969065.08</v>
      </c>
      <c r="J1041" s="6">
        <v>0.0241</v>
      </c>
      <c r="K1041" s="6">
        <v>0.2211</v>
      </c>
    </row>
    <row r="1042" ht="14.5" spans="1:11">
      <c r="A1042" s="3" t="str">
        <f t="shared" si="66"/>
        <v>2026年</v>
      </c>
      <c r="B1042" s="3" t="str">
        <f t="shared" si="67"/>
        <v>1月</v>
      </c>
      <c r="C1042" s="4" t="str">
        <f t="shared" si="68"/>
        <v>W5</v>
      </c>
      <c r="D1042" s="2" t="s">
        <v>766</v>
      </c>
      <c r="E1042" s="2" t="s">
        <v>735</v>
      </c>
      <c r="F1042" s="2" t="str" cm="1">
        <f t="array" ref="F1042">INDEX(_xlfn.TEXTSPLIT(E1042,"-"),2)</f>
        <v>女装</v>
      </c>
      <c r="G1042" s="2" t="str" cm="1">
        <f t="array" ref="G1042">INDEX(_xlfn.TEXTSPLIT(E1042,"-"),3)</f>
        <v>连体衣/裤</v>
      </c>
      <c r="H1042" s="5">
        <v>10402</v>
      </c>
      <c r="I1042" s="5">
        <v>1999496.26</v>
      </c>
      <c r="J1042" s="6">
        <v>0.0006</v>
      </c>
      <c r="K1042" s="6">
        <v>-0.006</v>
      </c>
    </row>
    <row r="1043" ht="14.5" spans="1:11">
      <c r="A1043" s="3" t="str">
        <f t="shared" si="66"/>
        <v>2026年</v>
      </c>
      <c r="B1043" s="3" t="str">
        <f t="shared" si="67"/>
        <v>1月</v>
      </c>
      <c r="C1043" s="4" t="str">
        <f t="shared" si="68"/>
        <v>W5</v>
      </c>
      <c r="D1043" s="2" t="s">
        <v>766</v>
      </c>
      <c r="E1043" s="2" t="s">
        <v>736</v>
      </c>
      <c r="F1043" s="2" t="str" cm="1">
        <f t="array" ref="F1043">INDEX(_xlfn.TEXTSPLIT(E1043,"-"),2)</f>
        <v>女装</v>
      </c>
      <c r="G1043" s="2" t="str" cm="1">
        <f t="array" ref="G1043">INDEX(_xlfn.TEXTSPLIT(E1043,"-"),3)</f>
        <v>连衣裙</v>
      </c>
      <c r="H1043" s="5">
        <v>723407</v>
      </c>
      <c r="I1043" s="5">
        <v>93212702.19</v>
      </c>
      <c r="J1043" s="6">
        <v>0.0296</v>
      </c>
      <c r="K1043" s="6">
        <v>-0.032</v>
      </c>
    </row>
    <row r="1044" ht="14.5" spans="1:11">
      <c r="A1044" s="3" t="str">
        <f t="shared" si="66"/>
        <v>2026年</v>
      </c>
      <c r="B1044" s="3" t="str">
        <f t="shared" si="67"/>
        <v>1月</v>
      </c>
      <c r="C1044" s="4" t="str">
        <f t="shared" si="68"/>
        <v>W5</v>
      </c>
      <c r="D1044" s="2" t="s">
        <v>766</v>
      </c>
      <c r="E1044" s="2" t="s">
        <v>737</v>
      </c>
      <c r="F1044" s="2" t="str" cm="1">
        <f t="array" ref="F1044">INDEX(_xlfn.TEXTSPLIT(E1044,"-"),2)</f>
        <v>女装</v>
      </c>
      <c r="G1044" s="2" t="str" cm="1">
        <f t="array" ref="G1044">INDEX(_xlfn.TEXTSPLIT(E1044,"-"),3)</f>
        <v>风衣</v>
      </c>
      <c r="H1044" s="5">
        <v>115295</v>
      </c>
      <c r="I1044" s="5">
        <v>16232631.91</v>
      </c>
      <c r="J1044" s="6">
        <v>0.0052</v>
      </c>
      <c r="K1044" s="6">
        <v>0.0393</v>
      </c>
    </row>
    <row r="1045" ht="14.5" spans="1:11">
      <c r="A1045" s="3" t="str">
        <f t="shared" si="66"/>
        <v>2026年</v>
      </c>
      <c r="B1045" s="3" t="str">
        <f t="shared" si="67"/>
        <v>1月</v>
      </c>
      <c r="C1045" s="4" t="str">
        <f t="shared" si="68"/>
        <v>W5</v>
      </c>
      <c r="D1045" s="2" t="s">
        <v>766</v>
      </c>
      <c r="E1045" s="2" t="s">
        <v>738</v>
      </c>
      <c r="F1045" s="2" t="str" cm="1">
        <f t="array" ref="F1045">INDEX(_xlfn.TEXTSPLIT(E1045,"-"),2)</f>
        <v>女装</v>
      </c>
      <c r="G1045" s="2" t="str" cm="1">
        <f t="array" ref="G1045">INDEX(_xlfn.TEXTSPLIT(E1045,"-"),3)</f>
        <v>马夹</v>
      </c>
      <c r="H1045" s="5">
        <v>400697</v>
      </c>
      <c r="I1045" s="5">
        <v>39190240.59</v>
      </c>
      <c r="J1045" s="6">
        <v>0.0124</v>
      </c>
      <c r="K1045" s="6">
        <v>-0.0258</v>
      </c>
    </row>
    <row r="1046" ht="14.5" spans="1:11">
      <c r="A1046" s="3" t="str">
        <f t="shared" si="66"/>
        <v>2026年</v>
      </c>
      <c r="B1046" s="3" t="str">
        <f t="shared" si="67"/>
        <v>1月</v>
      </c>
      <c r="C1046" s="4" t="str">
        <f t="shared" si="68"/>
        <v>W5</v>
      </c>
      <c r="D1046" s="2" t="s">
        <v>767</v>
      </c>
      <c r="E1046" s="2" t="s">
        <v>702</v>
      </c>
      <c r="F1046" s="2" t="str" cm="1">
        <f t="array" ref="F1046">INDEX(_xlfn.TEXTSPLIT(E1046,"-"),2)</f>
        <v>女装</v>
      </c>
      <c r="G1046" s="2" t="str" cm="1">
        <f t="array" ref="G1046">INDEX(_xlfn.TEXTSPLIT(E1046,"-"),3)</f>
        <v>POLO衫</v>
      </c>
      <c r="H1046" s="5">
        <v>21006</v>
      </c>
      <c r="I1046" s="5">
        <v>2473049.05</v>
      </c>
      <c r="J1046" s="6">
        <v>0.0008</v>
      </c>
      <c r="K1046" s="6">
        <v>1.2004</v>
      </c>
    </row>
    <row r="1047" ht="14.5" spans="1:11">
      <c r="A1047" s="3" t="str">
        <f t="shared" si="66"/>
        <v>2026年</v>
      </c>
      <c r="B1047" s="3" t="str">
        <f t="shared" si="67"/>
        <v>1月</v>
      </c>
      <c r="C1047" s="4" t="str">
        <f t="shared" si="68"/>
        <v>W5</v>
      </c>
      <c r="D1047" s="2" t="s">
        <v>767</v>
      </c>
      <c r="E1047" s="2" t="s">
        <v>703</v>
      </c>
      <c r="F1047" s="2" t="str" cm="1">
        <f t="array" ref="F1047">INDEX(_xlfn.TEXTSPLIT(E1047,"-"),2)</f>
        <v>女装</v>
      </c>
      <c r="G1047" s="2" t="str" cm="1">
        <f t="array" ref="G1047">INDEX(_xlfn.TEXTSPLIT(E1047,"-"),3)</f>
        <v>T恤</v>
      </c>
      <c r="H1047" s="5">
        <v>1328209</v>
      </c>
      <c r="I1047" s="5">
        <v>78942890.41</v>
      </c>
      <c r="J1047" s="6">
        <v>0.0242</v>
      </c>
      <c r="K1047" s="6">
        <v>0.0469</v>
      </c>
    </row>
    <row r="1048" ht="14.5" spans="1:11">
      <c r="A1048" s="3" t="str">
        <f t="shared" si="66"/>
        <v>2026年</v>
      </c>
      <c r="B1048" s="3" t="str">
        <f t="shared" si="67"/>
        <v>1月</v>
      </c>
      <c r="C1048" s="4" t="str">
        <f t="shared" si="68"/>
        <v>W5</v>
      </c>
      <c r="D1048" s="2" t="s">
        <v>767</v>
      </c>
      <c r="E1048" s="2" t="s">
        <v>704</v>
      </c>
      <c r="F1048" s="2" t="str" cm="1">
        <f t="array" ref="F1048">INDEX(_xlfn.TEXTSPLIT(E1048,"-"),2)</f>
        <v>女装</v>
      </c>
      <c r="G1048" s="2" t="str" cm="1">
        <f t="array" ref="G1048">INDEX(_xlfn.TEXTSPLIT(E1048,"-"),3)</f>
        <v>中老年女装</v>
      </c>
      <c r="H1048" s="5">
        <v>493996</v>
      </c>
      <c r="I1048" s="5">
        <v>60545955.94</v>
      </c>
      <c r="J1048" s="6">
        <v>0.0186</v>
      </c>
      <c r="K1048" s="6">
        <v>0.0408</v>
      </c>
    </row>
    <row r="1049" ht="14.5" spans="1:11">
      <c r="A1049" s="3" t="str">
        <f t="shared" si="66"/>
        <v>2026年</v>
      </c>
      <c r="B1049" s="3" t="str">
        <f t="shared" si="67"/>
        <v>1月</v>
      </c>
      <c r="C1049" s="4" t="str">
        <f t="shared" si="68"/>
        <v>W5</v>
      </c>
      <c r="D1049" s="2" t="s">
        <v>767</v>
      </c>
      <c r="E1049" s="2" t="s">
        <v>705</v>
      </c>
      <c r="F1049" s="2" t="str" cm="1">
        <f t="array" ref="F1049">INDEX(_xlfn.TEXTSPLIT(E1049,"-"),2)</f>
        <v>女装</v>
      </c>
      <c r="G1049" s="2" t="str" cm="1">
        <f t="array" ref="G1049">INDEX(_xlfn.TEXTSPLIT(E1049,"-"),3)</f>
        <v>半身裙</v>
      </c>
      <c r="H1049" s="5">
        <v>747185</v>
      </c>
      <c r="I1049" s="5">
        <v>65948539.4</v>
      </c>
      <c r="J1049" s="6">
        <v>0.0202</v>
      </c>
      <c r="K1049" s="6">
        <v>0.0566</v>
      </c>
    </row>
    <row r="1050" ht="14.5" spans="1:11">
      <c r="A1050" s="3" t="str">
        <f t="shared" si="66"/>
        <v>2026年</v>
      </c>
      <c r="B1050" s="3" t="str">
        <f t="shared" si="67"/>
        <v>1月</v>
      </c>
      <c r="C1050" s="4" t="str">
        <f t="shared" si="68"/>
        <v>W5</v>
      </c>
      <c r="D1050" s="2" t="s">
        <v>767</v>
      </c>
      <c r="E1050" s="2" t="s">
        <v>706</v>
      </c>
      <c r="F1050" s="2" t="str" cm="1">
        <f t="array" ref="F1050">INDEX(_xlfn.TEXTSPLIT(E1050,"-"),2)</f>
        <v>女装</v>
      </c>
      <c r="G1050" s="2" t="str" cm="1">
        <f t="array" ref="G1050">INDEX(_xlfn.TEXTSPLIT(E1050,"-"),3)</f>
        <v>卫衣/绒衫</v>
      </c>
      <c r="H1050" s="5">
        <v>430399</v>
      </c>
      <c r="I1050" s="5">
        <v>33644633.52</v>
      </c>
      <c r="J1050" s="6">
        <v>0.0103</v>
      </c>
      <c r="K1050" s="6">
        <v>-0.0181</v>
      </c>
    </row>
    <row r="1051" ht="14.5" spans="1:11">
      <c r="A1051" s="3" t="str">
        <f t="shared" si="66"/>
        <v>2026年</v>
      </c>
      <c r="B1051" s="3" t="str">
        <f t="shared" si="67"/>
        <v>1月</v>
      </c>
      <c r="C1051" s="4" t="str">
        <f t="shared" si="68"/>
        <v>W5</v>
      </c>
      <c r="D1051" s="2" t="s">
        <v>767</v>
      </c>
      <c r="E1051" s="2" t="s">
        <v>707</v>
      </c>
      <c r="F1051" s="2" t="str" cm="1">
        <f t="array" ref="F1051">INDEX(_xlfn.TEXTSPLIT(E1051,"-"),2)</f>
        <v>女装</v>
      </c>
      <c r="G1051" s="2" t="str" cm="1">
        <f t="array" ref="G1051">INDEX(_xlfn.TEXTSPLIT(E1051,"-"),3)</f>
        <v>唐装/民族服装/舞台服装</v>
      </c>
      <c r="H1051" s="5">
        <v>244806</v>
      </c>
      <c r="I1051" s="5">
        <v>47386616.2</v>
      </c>
      <c r="J1051" s="6">
        <v>0.0145</v>
      </c>
      <c r="K1051" s="6">
        <v>0.1097</v>
      </c>
    </row>
    <row r="1052" ht="14.5" spans="1:11">
      <c r="A1052" s="3" t="str">
        <f t="shared" si="66"/>
        <v>2026年</v>
      </c>
      <c r="B1052" s="3" t="str">
        <f t="shared" si="67"/>
        <v>1月</v>
      </c>
      <c r="C1052" s="4" t="str">
        <f t="shared" si="68"/>
        <v>W5</v>
      </c>
      <c r="D1052" s="2" t="s">
        <v>767</v>
      </c>
      <c r="E1052" s="2" t="s">
        <v>708</v>
      </c>
      <c r="F1052" s="2" t="str" cm="1">
        <f t="array" ref="F1052">INDEX(_xlfn.TEXTSPLIT(E1052,"-"),2)</f>
        <v>女装</v>
      </c>
      <c r="G1052" s="2" t="str" cm="1">
        <f t="array" ref="G1052">INDEX(_xlfn.TEXTSPLIT(E1052,"-"),3)</f>
        <v>大码女装</v>
      </c>
      <c r="H1052" s="5">
        <v>624250</v>
      </c>
      <c r="I1052" s="5">
        <v>55954010.49</v>
      </c>
      <c r="J1052" s="6">
        <v>0.0172</v>
      </c>
      <c r="K1052" s="6">
        <v>-0.0336</v>
      </c>
    </row>
    <row r="1053" ht="14.5" spans="1:11">
      <c r="A1053" s="3" t="str">
        <f t="shared" si="66"/>
        <v>2026年</v>
      </c>
      <c r="B1053" s="3" t="str">
        <f t="shared" si="67"/>
        <v>1月</v>
      </c>
      <c r="C1053" s="4" t="str">
        <f t="shared" si="68"/>
        <v>W5</v>
      </c>
      <c r="D1053" s="2" t="s">
        <v>767</v>
      </c>
      <c r="E1053" s="2" t="s">
        <v>709</v>
      </c>
      <c r="F1053" s="2" t="str" cm="1">
        <f t="array" ref="F1053">INDEX(_xlfn.TEXTSPLIT(E1053,"-"),2)</f>
        <v>女装</v>
      </c>
      <c r="G1053" s="2" t="str" cm="1">
        <f t="array" ref="G1053">INDEX(_xlfn.TEXTSPLIT(E1053,"-"),3)</f>
        <v>套装/学生校服/工作制服</v>
      </c>
      <c r="H1053" s="5">
        <v>870985</v>
      </c>
      <c r="I1053" s="5">
        <v>118531493.77</v>
      </c>
      <c r="J1053" s="6">
        <v>0.0364</v>
      </c>
      <c r="K1053" s="6">
        <v>0.013</v>
      </c>
    </row>
    <row r="1054" ht="14.5" spans="1:11">
      <c r="A1054" s="3" t="str">
        <f t="shared" si="66"/>
        <v>2026年</v>
      </c>
      <c r="B1054" s="3" t="str">
        <f t="shared" si="67"/>
        <v>1月</v>
      </c>
      <c r="C1054" s="4" t="str">
        <f t="shared" si="68"/>
        <v>W5</v>
      </c>
      <c r="D1054" s="2" t="s">
        <v>767</v>
      </c>
      <c r="E1054" s="2" t="s">
        <v>710</v>
      </c>
      <c r="F1054" s="2" t="str" cm="1">
        <f t="array" ref="F1054">INDEX(_xlfn.TEXTSPLIT(E1054,"-"),2)</f>
        <v>女装</v>
      </c>
      <c r="G1054" s="2" t="str" cm="1">
        <f t="array" ref="G1054">INDEX(_xlfn.TEXTSPLIT(E1054,"-"),3)</f>
        <v>婚纱/旗袍/礼服</v>
      </c>
      <c r="H1054" s="5">
        <v>67333</v>
      </c>
      <c r="I1054" s="5">
        <v>9286923.57</v>
      </c>
      <c r="J1054" s="6">
        <v>0.0029</v>
      </c>
      <c r="K1054" s="6">
        <v>-0.0524</v>
      </c>
    </row>
    <row r="1055" ht="14.5" spans="1:11">
      <c r="A1055" s="3" t="str">
        <f t="shared" si="66"/>
        <v>2026年</v>
      </c>
      <c r="B1055" s="3" t="str">
        <f t="shared" si="67"/>
        <v>1月</v>
      </c>
      <c r="C1055" s="4" t="str">
        <f t="shared" si="68"/>
        <v>W5</v>
      </c>
      <c r="D1055" s="2" t="s">
        <v>767</v>
      </c>
      <c r="E1055" s="2" t="s">
        <v>711</v>
      </c>
      <c r="F1055" s="2" t="str" cm="1">
        <f t="array" ref="F1055">INDEX(_xlfn.TEXTSPLIT(E1055,"-"),2)</f>
        <v>女装</v>
      </c>
      <c r="G1055" s="2" t="str" cm="1">
        <f t="array" ref="G1055">INDEX(_xlfn.TEXTSPLIT(E1055,"-"),3)</f>
        <v>新中式女装</v>
      </c>
      <c r="H1055" s="5">
        <v>122921</v>
      </c>
      <c r="I1055" s="5">
        <v>13963945.99</v>
      </c>
      <c r="J1055" s="6">
        <v>0.0043</v>
      </c>
      <c r="K1055" s="6">
        <v>0.1754</v>
      </c>
    </row>
    <row r="1056" ht="14.5" spans="1:11">
      <c r="A1056" s="3" t="str">
        <f t="shared" si="66"/>
        <v>2026年</v>
      </c>
      <c r="B1056" s="3" t="str">
        <f t="shared" si="67"/>
        <v>1月</v>
      </c>
      <c r="C1056" s="4" t="str">
        <f t="shared" si="68"/>
        <v>W5</v>
      </c>
      <c r="D1056" s="2" t="s">
        <v>767</v>
      </c>
      <c r="E1056" s="2" t="s">
        <v>712</v>
      </c>
      <c r="F1056" s="2" t="str" cm="1">
        <f t="array" ref="F1056">INDEX(_xlfn.TEXTSPLIT(E1056,"-"),2)</f>
        <v>女装</v>
      </c>
      <c r="G1056" s="2" t="str" cm="1">
        <f t="array" ref="G1056">INDEX(_xlfn.TEXTSPLIT(E1056,"-"),3)</f>
        <v>时尚防晒服</v>
      </c>
      <c r="H1056" s="5">
        <v>171</v>
      </c>
      <c r="I1056" s="5">
        <v>17880.24</v>
      </c>
      <c r="J1056" s="2" t="s">
        <v>713</v>
      </c>
      <c r="K1056" s="6">
        <v>-0.7524</v>
      </c>
    </row>
    <row r="1057" ht="14.5" spans="1:11">
      <c r="A1057" s="3" t="str">
        <f t="shared" si="66"/>
        <v>2026年</v>
      </c>
      <c r="B1057" s="3" t="str">
        <f t="shared" si="67"/>
        <v>1月</v>
      </c>
      <c r="C1057" s="4" t="str">
        <f t="shared" si="68"/>
        <v>W5</v>
      </c>
      <c r="D1057" s="2" t="s">
        <v>767</v>
      </c>
      <c r="E1057" s="2" t="s">
        <v>714</v>
      </c>
      <c r="F1057" s="2" t="str" cm="1">
        <f t="array" ref="F1057">INDEX(_xlfn.TEXTSPLIT(E1057,"-"),2)</f>
        <v>女装</v>
      </c>
      <c r="G1057" s="2" t="str" cm="1">
        <f t="array" ref="G1057">INDEX(_xlfn.TEXTSPLIT(E1057,"-"),3)</f>
        <v>棉衣/棉服</v>
      </c>
      <c r="H1057" s="5">
        <v>713759</v>
      </c>
      <c r="I1057" s="5">
        <v>78777876.35</v>
      </c>
      <c r="J1057" s="6">
        <v>0.0242</v>
      </c>
      <c r="K1057" s="6">
        <v>0.0084</v>
      </c>
    </row>
    <row r="1058" ht="14.5" spans="1:11">
      <c r="A1058" s="3" t="str">
        <f t="shared" si="66"/>
        <v>2026年</v>
      </c>
      <c r="B1058" s="3" t="str">
        <f t="shared" si="67"/>
        <v>1月</v>
      </c>
      <c r="C1058" s="4" t="str">
        <f t="shared" si="68"/>
        <v>W5</v>
      </c>
      <c r="D1058" s="2" t="s">
        <v>767</v>
      </c>
      <c r="E1058" s="2" t="s">
        <v>715</v>
      </c>
      <c r="F1058" s="2" t="str" cm="1">
        <f t="array" ref="F1058">INDEX(_xlfn.TEXTSPLIT(E1058,"-"),2)</f>
        <v>女装</v>
      </c>
      <c r="G1058" s="2" t="str" cm="1">
        <f t="array" ref="G1058">INDEX(_xlfn.TEXTSPLIT(E1058,"-"),3)</f>
        <v>毛呢外套</v>
      </c>
      <c r="H1058" s="5">
        <v>790261</v>
      </c>
      <c r="I1058" s="5">
        <v>295494099.36</v>
      </c>
      <c r="J1058" s="6">
        <v>0.0907</v>
      </c>
      <c r="K1058" s="6">
        <v>0.0098</v>
      </c>
    </row>
    <row r="1059" ht="14.5" spans="1:11">
      <c r="A1059" s="3" t="str">
        <f t="shared" si="66"/>
        <v>2026年</v>
      </c>
      <c r="B1059" s="3" t="str">
        <f t="shared" si="67"/>
        <v>1月</v>
      </c>
      <c r="C1059" s="4" t="str">
        <f t="shared" si="68"/>
        <v>W5</v>
      </c>
      <c r="D1059" s="2" t="s">
        <v>767</v>
      </c>
      <c r="E1059" s="2" t="s">
        <v>716</v>
      </c>
      <c r="F1059" s="2" t="str" cm="1">
        <f t="array" ref="F1059">INDEX(_xlfn.TEXTSPLIT(E1059,"-"),2)</f>
        <v>女装</v>
      </c>
      <c r="G1059" s="2" t="str" cm="1">
        <f t="array" ref="G1059">INDEX(_xlfn.TEXTSPLIT(E1059,"-"),3)</f>
        <v>毛衣</v>
      </c>
      <c r="H1059" s="5">
        <v>452721</v>
      </c>
      <c r="I1059" s="5">
        <v>39460048.4</v>
      </c>
      <c r="J1059" s="6">
        <v>0.0121</v>
      </c>
      <c r="K1059" s="6">
        <v>0.0182</v>
      </c>
    </row>
    <row r="1060" ht="14.5" spans="1:11">
      <c r="A1060" s="3" t="str">
        <f t="shared" si="66"/>
        <v>2026年</v>
      </c>
      <c r="B1060" s="3" t="str">
        <f t="shared" si="67"/>
        <v>1月</v>
      </c>
      <c r="C1060" s="4" t="str">
        <f t="shared" si="68"/>
        <v>W5</v>
      </c>
      <c r="D1060" s="2" t="s">
        <v>767</v>
      </c>
      <c r="E1060" s="2" t="s">
        <v>717</v>
      </c>
      <c r="F1060" s="2" t="str" cm="1">
        <f t="array" ref="F1060">INDEX(_xlfn.TEXTSPLIT(E1060,"-"),2)</f>
        <v>女装</v>
      </c>
      <c r="G1060" s="2" t="str" cm="1">
        <f t="array" ref="G1060">INDEX(_xlfn.TEXTSPLIT(E1060,"-"),3)</f>
        <v>毛针织衫</v>
      </c>
      <c r="H1060" s="5">
        <v>2185206</v>
      </c>
      <c r="I1060" s="5">
        <v>173051016.71</v>
      </c>
      <c r="J1060" s="6">
        <v>0.0531</v>
      </c>
      <c r="K1060" s="6">
        <v>-0.0086</v>
      </c>
    </row>
    <row r="1061" ht="14.5" spans="1:11">
      <c r="A1061" s="3" t="str">
        <f t="shared" si="66"/>
        <v>2026年</v>
      </c>
      <c r="B1061" s="3" t="str">
        <f t="shared" si="67"/>
        <v>1月</v>
      </c>
      <c r="C1061" s="4" t="str">
        <f t="shared" si="68"/>
        <v>W5</v>
      </c>
      <c r="D1061" s="2" t="s">
        <v>767</v>
      </c>
      <c r="E1061" s="2" t="s">
        <v>718</v>
      </c>
      <c r="F1061" s="2" t="str" cm="1">
        <f t="array" ref="F1061">INDEX(_xlfn.TEXTSPLIT(E1061,"-"),2)</f>
        <v>女装</v>
      </c>
      <c r="G1061" s="2" t="str" cm="1">
        <f t="array" ref="G1061">INDEX(_xlfn.TEXTSPLIT(E1061,"-"),3)</f>
        <v>汉服</v>
      </c>
      <c r="H1061" s="5">
        <v>108714</v>
      </c>
      <c r="I1061" s="5">
        <v>57883635.05</v>
      </c>
      <c r="J1061" s="6">
        <v>0.0178</v>
      </c>
      <c r="K1061" s="6">
        <v>0.1703</v>
      </c>
    </row>
    <row r="1062" ht="14.5" spans="1:11">
      <c r="A1062" s="3" t="str">
        <f t="shared" ref="A1062:A1081" si="69">TEXT(YEAR(D1062),"0")&amp;"年"</f>
        <v>2026年</v>
      </c>
      <c r="B1062" s="3" t="str">
        <f t="shared" ref="B1062:B1081" si="70">TEXT(MONTH(D1062),"0")&amp;"月"</f>
        <v>1月</v>
      </c>
      <c r="C1062" s="4" t="str">
        <f t="shared" ref="C1062:C1081" si="71">"W"&amp;TEXT(WEEKNUM(D1062,2),"0")</f>
        <v>W5</v>
      </c>
      <c r="D1062" s="2" t="s">
        <v>767</v>
      </c>
      <c r="E1062" s="2" t="s">
        <v>719</v>
      </c>
      <c r="F1062" s="2" t="str" cm="1">
        <f t="array" ref="F1062">INDEX(_xlfn.TEXTSPLIT(E1062,"-"),2)</f>
        <v>女装</v>
      </c>
      <c r="G1062" s="2" t="str" cm="1">
        <f t="array" ref="G1062">INDEX(_xlfn.TEXTSPLIT(E1062,"-"),3)</f>
        <v>派克服</v>
      </c>
      <c r="H1062" s="5">
        <v>59325</v>
      </c>
      <c r="I1062" s="5">
        <v>14173775.85</v>
      </c>
      <c r="J1062" s="6">
        <v>0.0044</v>
      </c>
      <c r="K1062" s="6">
        <v>-0.1216</v>
      </c>
    </row>
    <row r="1063" ht="14.5" spans="1:11">
      <c r="A1063" s="3" t="str">
        <f t="shared" si="69"/>
        <v>2026年</v>
      </c>
      <c r="B1063" s="3" t="str">
        <f t="shared" si="70"/>
        <v>1月</v>
      </c>
      <c r="C1063" s="4" t="str">
        <f t="shared" si="71"/>
        <v>W5</v>
      </c>
      <c r="D1063" s="2" t="s">
        <v>767</v>
      </c>
      <c r="E1063" s="2" t="s">
        <v>720</v>
      </c>
      <c r="F1063" s="2" t="str" cm="1">
        <f t="array" ref="F1063">INDEX(_xlfn.TEXTSPLIT(E1063,"-"),2)</f>
        <v>女装</v>
      </c>
      <c r="G1063" s="2" t="str" cm="1">
        <f t="array" ref="G1063">INDEX(_xlfn.TEXTSPLIT(E1063,"-"),3)</f>
        <v>皮草</v>
      </c>
      <c r="H1063" s="5">
        <v>215878</v>
      </c>
      <c r="I1063" s="5">
        <v>350348125.97</v>
      </c>
      <c r="J1063" s="6">
        <v>0.1075</v>
      </c>
      <c r="K1063" s="6">
        <v>0.0302</v>
      </c>
    </row>
    <row r="1064" ht="14.5" spans="1:11">
      <c r="A1064" s="3" t="str">
        <f t="shared" si="69"/>
        <v>2026年</v>
      </c>
      <c r="B1064" s="3" t="str">
        <f t="shared" si="70"/>
        <v>1月</v>
      </c>
      <c r="C1064" s="4" t="str">
        <f t="shared" si="71"/>
        <v>W5</v>
      </c>
      <c r="D1064" s="2" t="s">
        <v>767</v>
      </c>
      <c r="E1064" s="2" t="s">
        <v>721</v>
      </c>
      <c r="F1064" s="2" t="str" cm="1">
        <f t="array" ref="F1064">INDEX(_xlfn.TEXTSPLIT(E1064,"-"),2)</f>
        <v>女装</v>
      </c>
      <c r="G1064" s="2" t="str" cm="1">
        <f t="array" ref="G1064">INDEX(_xlfn.TEXTSPLIT(E1064,"-"),3)</f>
        <v>皮衣</v>
      </c>
      <c r="H1064" s="5">
        <v>143524</v>
      </c>
      <c r="I1064" s="5">
        <v>56863162.09</v>
      </c>
      <c r="J1064" s="6">
        <v>0.0175</v>
      </c>
      <c r="K1064" s="6">
        <v>0.1049</v>
      </c>
    </row>
    <row r="1065" ht="14.5" spans="1:11">
      <c r="A1065" s="3" t="str">
        <f t="shared" si="69"/>
        <v>2026年</v>
      </c>
      <c r="B1065" s="3" t="str">
        <f t="shared" si="70"/>
        <v>1月</v>
      </c>
      <c r="C1065" s="4" t="str">
        <f t="shared" si="71"/>
        <v>W5</v>
      </c>
      <c r="D1065" s="2" t="s">
        <v>767</v>
      </c>
      <c r="E1065" s="2" t="s">
        <v>722</v>
      </c>
      <c r="F1065" s="2" t="str" cm="1">
        <f t="array" ref="F1065">INDEX(_xlfn.TEXTSPLIT(E1065,"-"),2)</f>
        <v>女装</v>
      </c>
      <c r="G1065" s="2" t="str" cm="1">
        <f t="array" ref="G1065">INDEX(_xlfn.TEXTSPLIT(E1065,"-"),3)</f>
        <v>短外套</v>
      </c>
      <c r="H1065" s="5">
        <v>1220945</v>
      </c>
      <c r="I1065" s="5">
        <v>256380772.59</v>
      </c>
      <c r="J1065" s="6">
        <v>0.0787</v>
      </c>
      <c r="K1065" s="6">
        <v>0.047</v>
      </c>
    </row>
    <row r="1066" ht="14.5" spans="1:11">
      <c r="A1066" s="3" t="str">
        <f t="shared" si="69"/>
        <v>2026年</v>
      </c>
      <c r="B1066" s="3" t="str">
        <f t="shared" si="70"/>
        <v>1月</v>
      </c>
      <c r="C1066" s="4" t="str">
        <f t="shared" si="71"/>
        <v>W5</v>
      </c>
      <c r="D1066" s="2" t="s">
        <v>767</v>
      </c>
      <c r="E1066" s="2" t="s">
        <v>723</v>
      </c>
      <c r="F1066" s="2" t="str" cm="1">
        <f t="array" ref="F1066">INDEX(_xlfn.TEXTSPLIT(E1066,"-"),2)</f>
        <v>女装</v>
      </c>
      <c r="G1066" s="2" t="str" cm="1">
        <f t="array" ref="G1066">INDEX(_xlfn.TEXTSPLIT(E1066,"-"),3)</f>
        <v>短裤</v>
      </c>
      <c r="H1066" s="5">
        <v>114340</v>
      </c>
      <c r="I1066" s="5">
        <v>6171548.08</v>
      </c>
      <c r="J1066" s="6">
        <v>0.0019</v>
      </c>
      <c r="K1066" s="6">
        <v>-0.016</v>
      </c>
    </row>
    <row r="1067" ht="14.5" spans="1:11">
      <c r="A1067" s="3" t="str">
        <f t="shared" si="69"/>
        <v>2026年</v>
      </c>
      <c r="B1067" s="3" t="str">
        <f t="shared" si="70"/>
        <v>1月</v>
      </c>
      <c r="C1067" s="4" t="str">
        <f t="shared" si="71"/>
        <v>W5</v>
      </c>
      <c r="D1067" s="2" t="s">
        <v>767</v>
      </c>
      <c r="E1067" s="2" t="s">
        <v>724</v>
      </c>
      <c r="F1067" s="2" t="str" cm="1">
        <f t="array" ref="F1067">INDEX(_xlfn.TEXTSPLIT(E1067,"-"),2)</f>
        <v>女装</v>
      </c>
      <c r="G1067" s="2" t="str" cm="1">
        <f t="array" ref="G1067">INDEX(_xlfn.TEXTSPLIT(E1067,"-"),3)</f>
        <v>羊毛衫</v>
      </c>
      <c r="H1067" s="5">
        <v>431454</v>
      </c>
      <c r="I1067" s="5">
        <v>56551179.87</v>
      </c>
      <c r="J1067" s="6">
        <v>0.0174</v>
      </c>
      <c r="K1067" s="6">
        <v>-0.0591</v>
      </c>
    </row>
    <row r="1068" ht="14.5" spans="1:11">
      <c r="A1068" s="3" t="str">
        <f t="shared" si="69"/>
        <v>2026年</v>
      </c>
      <c r="B1068" s="3" t="str">
        <f t="shared" si="70"/>
        <v>1月</v>
      </c>
      <c r="C1068" s="4" t="str">
        <f t="shared" si="71"/>
        <v>W5</v>
      </c>
      <c r="D1068" s="2" t="s">
        <v>767</v>
      </c>
      <c r="E1068" s="2" t="s">
        <v>725</v>
      </c>
      <c r="F1068" s="2" t="str" cm="1">
        <f t="array" ref="F1068">INDEX(_xlfn.TEXTSPLIT(E1068,"-"),2)</f>
        <v>女装</v>
      </c>
      <c r="G1068" s="2" t="str" cm="1">
        <f t="array" ref="G1068">INDEX(_xlfn.TEXTSPLIT(E1068,"-"),3)</f>
        <v>羊绒大衣</v>
      </c>
      <c r="H1068" s="5">
        <v>22009</v>
      </c>
      <c r="I1068" s="5">
        <v>3398435.65</v>
      </c>
      <c r="J1068" s="6">
        <v>0.001</v>
      </c>
      <c r="K1068" s="6">
        <v>0.0516</v>
      </c>
    </row>
    <row r="1069" ht="14.5" spans="1:11">
      <c r="A1069" s="3" t="str">
        <f t="shared" si="69"/>
        <v>2026年</v>
      </c>
      <c r="B1069" s="3" t="str">
        <f t="shared" si="70"/>
        <v>1月</v>
      </c>
      <c r="C1069" s="4" t="str">
        <f t="shared" si="71"/>
        <v>W5</v>
      </c>
      <c r="D1069" s="2" t="s">
        <v>767</v>
      </c>
      <c r="E1069" s="2" t="s">
        <v>726</v>
      </c>
      <c r="F1069" s="2" t="str" cm="1">
        <f t="array" ref="F1069">INDEX(_xlfn.TEXTSPLIT(E1069,"-"),2)</f>
        <v>女装</v>
      </c>
      <c r="G1069" s="2" t="str" cm="1">
        <f t="array" ref="G1069">INDEX(_xlfn.TEXTSPLIT(E1069,"-"),3)</f>
        <v>羊绒衫</v>
      </c>
      <c r="H1069" s="5">
        <v>131353</v>
      </c>
      <c r="I1069" s="5">
        <v>39270669.15</v>
      </c>
      <c r="J1069" s="6">
        <v>0.0121</v>
      </c>
      <c r="K1069" s="6">
        <v>-0.0189</v>
      </c>
    </row>
    <row r="1070" ht="14.5" spans="1:11">
      <c r="A1070" s="3" t="str">
        <f t="shared" si="69"/>
        <v>2026年</v>
      </c>
      <c r="B1070" s="3" t="str">
        <f t="shared" si="70"/>
        <v>1月</v>
      </c>
      <c r="C1070" s="4" t="str">
        <f t="shared" si="71"/>
        <v>W5</v>
      </c>
      <c r="D1070" s="2" t="s">
        <v>767</v>
      </c>
      <c r="E1070" s="2" t="s">
        <v>727</v>
      </c>
      <c r="F1070" s="2" t="str" cm="1">
        <f t="array" ref="F1070">INDEX(_xlfn.TEXTSPLIT(E1070,"-"),2)</f>
        <v>女装</v>
      </c>
      <c r="G1070" s="2" t="str" cm="1">
        <f t="array" ref="G1070">INDEX(_xlfn.TEXTSPLIT(E1070,"-"),3)</f>
        <v>羽绒服</v>
      </c>
      <c r="H1070" s="5">
        <v>1728817</v>
      </c>
      <c r="I1070" s="5">
        <v>645491442.89</v>
      </c>
      <c r="J1070" s="6">
        <v>0.1981</v>
      </c>
      <c r="K1070" s="6">
        <v>0.0858</v>
      </c>
    </row>
    <row r="1071" ht="14.5" spans="1:11">
      <c r="A1071" s="3" t="str">
        <f t="shared" si="69"/>
        <v>2026年</v>
      </c>
      <c r="B1071" s="3" t="str">
        <f t="shared" si="70"/>
        <v>1月</v>
      </c>
      <c r="C1071" s="4" t="str">
        <f t="shared" si="71"/>
        <v>W5</v>
      </c>
      <c r="D1071" s="2" t="s">
        <v>767</v>
      </c>
      <c r="E1071" s="2" t="s">
        <v>728</v>
      </c>
      <c r="F1071" s="2" t="str" cm="1">
        <f t="array" ref="F1071">INDEX(_xlfn.TEXTSPLIT(E1071,"-"),2)</f>
        <v>女装</v>
      </c>
      <c r="G1071" s="2" t="str" cm="1">
        <f t="array" ref="G1071">INDEX(_xlfn.TEXTSPLIT(E1071,"-"),3)</f>
        <v>肌底衣/肌肤衣</v>
      </c>
      <c r="H1071" s="5">
        <v>3681</v>
      </c>
      <c r="I1071" s="5">
        <v>205978.41</v>
      </c>
      <c r="J1071" s="6">
        <v>0.0001</v>
      </c>
      <c r="K1071" s="6">
        <v>0.1744</v>
      </c>
    </row>
    <row r="1072" ht="14.5" spans="1:11">
      <c r="A1072" s="3" t="str">
        <f t="shared" si="69"/>
        <v>2026年</v>
      </c>
      <c r="B1072" s="3" t="str">
        <f t="shared" si="70"/>
        <v>1月</v>
      </c>
      <c r="C1072" s="4" t="str">
        <f t="shared" si="71"/>
        <v>W5</v>
      </c>
      <c r="D1072" s="2" t="s">
        <v>767</v>
      </c>
      <c r="E1072" s="2" t="s">
        <v>729</v>
      </c>
      <c r="F1072" s="2" t="str" cm="1">
        <f t="array" ref="F1072">INDEX(_xlfn.TEXTSPLIT(E1072,"-"),2)</f>
        <v>女装</v>
      </c>
      <c r="G1072" s="2" t="str" cm="1">
        <f t="array" ref="G1072">INDEX(_xlfn.TEXTSPLIT(E1072,"-"),3)</f>
        <v>背心吊带</v>
      </c>
      <c r="H1072" s="5">
        <v>215298</v>
      </c>
      <c r="I1072" s="5">
        <v>13105570.82</v>
      </c>
      <c r="J1072" s="6">
        <v>0.004</v>
      </c>
      <c r="K1072" s="6">
        <v>0.0164</v>
      </c>
    </row>
    <row r="1073" ht="14.5" spans="1:11">
      <c r="A1073" s="3" t="str">
        <f t="shared" si="69"/>
        <v>2026年</v>
      </c>
      <c r="B1073" s="3" t="str">
        <f t="shared" si="70"/>
        <v>1月</v>
      </c>
      <c r="C1073" s="4" t="str">
        <f t="shared" si="71"/>
        <v>W5</v>
      </c>
      <c r="D1073" s="2" t="s">
        <v>767</v>
      </c>
      <c r="E1073" s="2" t="s">
        <v>730</v>
      </c>
      <c r="F1073" s="2" t="str" cm="1">
        <f t="array" ref="F1073">INDEX(_xlfn.TEXTSPLIT(E1073,"-"),2)</f>
        <v>女装</v>
      </c>
      <c r="G1073" s="2" t="str" cm="1">
        <f t="array" ref="G1073">INDEX(_xlfn.TEXTSPLIT(E1073,"-"),3)</f>
        <v>蕾丝衫/雪纺衫</v>
      </c>
      <c r="H1073" s="5">
        <v>169447</v>
      </c>
      <c r="I1073" s="5">
        <v>11611280.96</v>
      </c>
      <c r="J1073" s="6">
        <v>0.0036</v>
      </c>
      <c r="K1073" s="6">
        <v>0.0506</v>
      </c>
    </row>
    <row r="1074" ht="14.5" spans="1:11">
      <c r="A1074" s="3" t="str">
        <f t="shared" si="69"/>
        <v>2026年</v>
      </c>
      <c r="B1074" s="3" t="str">
        <f t="shared" si="70"/>
        <v>1月</v>
      </c>
      <c r="C1074" s="4" t="str">
        <f t="shared" si="71"/>
        <v>W5</v>
      </c>
      <c r="D1074" s="2" t="s">
        <v>767</v>
      </c>
      <c r="E1074" s="2" t="s">
        <v>731</v>
      </c>
      <c r="F1074" s="2" t="str" cm="1">
        <f t="array" ref="F1074">INDEX(_xlfn.TEXTSPLIT(E1074,"-"),2)</f>
        <v>女装</v>
      </c>
      <c r="G1074" s="2" t="str" cm="1">
        <f t="array" ref="G1074">INDEX(_xlfn.TEXTSPLIT(E1074,"-"),3)</f>
        <v>衬衫</v>
      </c>
      <c r="H1074" s="5">
        <v>473703</v>
      </c>
      <c r="I1074" s="5">
        <v>50654139.81</v>
      </c>
      <c r="J1074" s="6">
        <v>0.0155</v>
      </c>
      <c r="K1074" s="6">
        <v>0.0285</v>
      </c>
    </row>
    <row r="1075" ht="14.5" spans="1:11">
      <c r="A1075" s="3" t="str">
        <f t="shared" si="69"/>
        <v>2026年</v>
      </c>
      <c r="B1075" s="3" t="str">
        <f t="shared" si="70"/>
        <v>1月</v>
      </c>
      <c r="C1075" s="4" t="str">
        <f t="shared" si="71"/>
        <v>W5</v>
      </c>
      <c r="D1075" s="2" t="s">
        <v>767</v>
      </c>
      <c r="E1075" s="2" t="s">
        <v>732</v>
      </c>
      <c r="F1075" s="2" t="str" cm="1">
        <f t="array" ref="F1075">INDEX(_xlfn.TEXTSPLIT(E1075,"-"),2)</f>
        <v>女装</v>
      </c>
      <c r="G1075" s="2" t="str" cm="1">
        <f t="array" ref="G1075">INDEX(_xlfn.TEXTSPLIT(E1075,"-"),3)</f>
        <v>裤子</v>
      </c>
      <c r="H1075" s="5">
        <v>4084398</v>
      </c>
      <c r="I1075" s="5">
        <v>385310500.23</v>
      </c>
      <c r="J1075" s="6">
        <v>0.1183</v>
      </c>
      <c r="K1075" s="6">
        <v>0.0319</v>
      </c>
    </row>
    <row r="1076" ht="14.5" spans="1:11">
      <c r="A1076" s="3" t="str">
        <f t="shared" si="69"/>
        <v>2026年</v>
      </c>
      <c r="B1076" s="3" t="str">
        <f t="shared" si="70"/>
        <v>1月</v>
      </c>
      <c r="C1076" s="4" t="str">
        <f t="shared" si="71"/>
        <v>W5</v>
      </c>
      <c r="D1076" s="2" t="s">
        <v>767</v>
      </c>
      <c r="E1076" s="2" t="s">
        <v>733</v>
      </c>
      <c r="F1076" s="2" t="str" cm="1">
        <f t="array" ref="F1076">INDEX(_xlfn.TEXTSPLIT(E1076,"-"),2)</f>
        <v>女装</v>
      </c>
      <c r="G1076" s="2" t="str" cm="1">
        <f t="array" ref="G1076">INDEX(_xlfn.TEXTSPLIT(E1076,"-"),3)</f>
        <v>西装</v>
      </c>
      <c r="H1076" s="5">
        <v>50582</v>
      </c>
      <c r="I1076" s="5">
        <v>14185434.22</v>
      </c>
      <c r="J1076" s="6">
        <v>0.0044</v>
      </c>
      <c r="K1076" s="6">
        <v>-0.0763</v>
      </c>
    </row>
    <row r="1077" ht="14.5" spans="1:11">
      <c r="A1077" s="3" t="str">
        <f t="shared" si="69"/>
        <v>2026年</v>
      </c>
      <c r="B1077" s="3" t="str">
        <f t="shared" si="70"/>
        <v>1月</v>
      </c>
      <c r="C1077" s="4" t="str">
        <f t="shared" si="71"/>
        <v>W5</v>
      </c>
      <c r="D1077" s="2" t="s">
        <v>767</v>
      </c>
      <c r="E1077" s="2" t="s">
        <v>734</v>
      </c>
      <c r="F1077" s="2" t="str" cm="1">
        <f t="array" ref="F1077">INDEX(_xlfn.TEXTSPLIT(E1077,"-"),2)</f>
        <v>女装</v>
      </c>
      <c r="G1077" s="2" t="str" cm="1">
        <f t="array" ref="G1077">INDEX(_xlfn.TEXTSPLIT(E1077,"-"),3)</f>
        <v>设计师/潮牌女装</v>
      </c>
      <c r="H1077" s="5">
        <v>482867</v>
      </c>
      <c r="I1077" s="5">
        <v>57349284.25</v>
      </c>
      <c r="J1077" s="6">
        <v>0.0176</v>
      </c>
      <c r="K1077" s="6">
        <v>-0.2451</v>
      </c>
    </row>
    <row r="1078" ht="14.5" spans="1:11">
      <c r="A1078" s="3" t="str">
        <f t="shared" si="69"/>
        <v>2026年</v>
      </c>
      <c r="B1078" s="3" t="str">
        <f t="shared" si="70"/>
        <v>1月</v>
      </c>
      <c r="C1078" s="4" t="str">
        <f t="shared" si="71"/>
        <v>W5</v>
      </c>
      <c r="D1078" s="2" t="s">
        <v>767</v>
      </c>
      <c r="E1078" s="2" t="s">
        <v>735</v>
      </c>
      <c r="F1078" s="2" t="str" cm="1">
        <f t="array" ref="F1078">INDEX(_xlfn.TEXTSPLIT(E1078,"-"),2)</f>
        <v>女装</v>
      </c>
      <c r="G1078" s="2" t="str" cm="1">
        <f t="array" ref="G1078">INDEX(_xlfn.TEXTSPLIT(E1078,"-"),3)</f>
        <v>连体衣/裤</v>
      </c>
      <c r="H1078" s="5">
        <v>11322</v>
      </c>
      <c r="I1078" s="5">
        <v>2414982.94</v>
      </c>
      <c r="J1078" s="6">
        <v>0.0007</v>
      </c>
      <c r="K1078" s="6">
        <v>0.2078</v>
      </c>
    </row>
    <row r="1079" ht="14.5" spans="1:11">
      <c r="A1079" s="3" t="str">
        <f t="shared" si="69"/>
        <v>2026年</v>
      </c>
      <c r="B1079" s="3" t="str">
        <f t="shared" si="70"/>
        <v>1月</v>
      </c>
      <c r="C1079" s="4" t="str">
        <f t="shared" si="71"/>
        <v>W5</v>
      </c>
      <c r="D1079" s="2" t="s">
        <v>767</v>
      </c>
      <c r="E1079" s="2" t="s">
        <v>736</v>
      </c>
      <c r="F1079" s="2" t="str" cm="1">
        <f t="array" ref="F1079">INDEX(_xlfn.TEXTSPLIT(E1079,"-"),2)</f>
        <v>女装</v>
      </c>
      <c r="G1079" s="2" t="str" cm="1">
        <f t="array" ref="G1079">INDEX(_xlfn.TEXTSPLIT(E1079,"-"),3)</f>
        <v>连衣裙</v>
      </c>
      <c r="H1079" s="5">
        <v>733823</v>
      </c>
      <c r="I1079" s="5">
        <v>103702924.87</v>
      </c>
      <c r="J1079" s="6">
        <v>0.0318</v>
      </c>
      <c r="K1079" s="6">
        <v>0.1125</v>
      </c>
    </row>
    <row r="1080" ht="14.5" spans="1:11">
      <c r="A1080" s="3" t="str">
        <f t="shared" si="69"/>
        <v>2026年</v>
      </c>
      <c r="B1080" s="3" t="str">
        <f t="shared" si="70"/>
        <v>1月</v>
      </c>
      <c r="C1080" s="4" t="str">
        <f t="shared" si="71"/>
        <v>W5</v>
      </c>
      <c r="D1080" s="2" t="s">
        <v>767</v>
      </c>
      <c r="E1080" s="2" t="s">
        <v>737</v>
      </c>
      <c r="F1080" s="2" t="str" cm="1">
        <f t="array" ref="F1080">INDEX(_xlfn.TEXTSPLIT(E1080,"-"),2)</f>
        <v>女装</v>
      </c>
      <c r="G1080" s="2" t="str" cm="1">
        <f t="array" ref="G1080">INDEX(_xlfn.TEXTSPLIT(E1080,"-"),3)</f>
        <v>风衣</v>
      </c>
      <c r="H1080" s="5">
        <v>91616</v>
      </c>
      <c r="I1080" s="5">
        <v>17105947</v>
      </c>
      <c r="J1080" s="6">
        <v>0.0052</v>
      </c>
      <c r="K1080" s="6">
        <v>0.0538</v>
      </c>
    </row>
    <row r="1081" ht="14.5" spans="1:11">
      <c r="A1081" s="3" t="str">
        <f t="shared" si="69"/>
        <v>2026年</v>
      </c>
      <c r="B1081" s="3" t="str">
        <f t="shared" si="70"/>
        <v>1月</v>
      </c>
      <c r="C1081" s="4" t="str">
        <f t="shared" si="71"/>
        <v>W5</v>
      </c>
      <c r="D1081" s="2" t="s">
        <v>767</v>
      </c>
      <c r="E1081" s="2" t="s">
        <v>738</v>
      </c>
      <c r="F1081" s="2" t="str" cm="1">
        <f t="array" ref="F1081">INDEX(_xlfn.TEXTSPLIT(E1081,"-"),2)</f>
        <v>女装</v>
      </c>
      <c r="G1081" s="2" t="str" cm="1">
        <f t="array" ref="G1081">INDEX(_xlfn.TEXTSPLIT(E1081,"-"),3)</f>
        <v>马夹</v>
      </c>
      <c r="H1081" s="5">
        <v>410314</v>
      </c>
      <c r="I1081" s="5">
        <v>42630232.34</v>
      </c>
      <c r="J1081" s="6">
        <v>0.0131</v>
      </c>
      <c r="K1081" s="6">
        <v>0.0878</v>
      </c>
    </row>
    <row r="1082" ht="14.5" spans="1:11">
      <c r="A1082" s="3" t="str">
        <f t="shared" ref="A1082:A1117" si="72">TEXT(YEAR(D1082),"0")&amp;"年"</f>
        <v>2026年</v>
      </c>
      <c r="B1082" s="3" t="str">
        <f t="shared" ref="B1082:B1117" si="73">TEXT(MONTH(D1082),"0")&amp;"月"</f>
        <v>1月</v>
      </c>
      <c r="C1082" s="4" t="str">
        <f t="shared" ref="C1082:C1117" si="74">"W"&amp;TEXT(WEEKNUM(D1082,2),"0")</f>
        <v>W5</v>
      </c>
      <c r="D1082" s="2" t="s">
        <v>768</v>
      </c>
      <c r="E1082" s="2" t="s">
        <v>702</v>
      </c>
      <c r="F1082" s="2" t="str" cm="1">
        <f t="array" ref="F1082">INDEX(_xlfn.TEXTSPLIT(E1082,"-"),2)</f>
        <v>女装</v>
      </c>
      <c r="G1082" s="2" t="str" cm="1">
        <f t="array" ref="G1082">INDEX(_xlfn.TEXTSPLIT(E1082,"-"),3)</f>
        <v>POLO衫</v>
      </c>
      <c r="H1082" s="5">
        <v>7670</v>
      </c>
      <c r="I1082" s="5">
        <v>706368.6</v>
      </c>
      <c r="J1082" s="6">
        <v>0.0003</v>
      </c>
      <c r="K1082" s="6">
        <v>-0.7144</v>
      </c>
    </row>
    <row r="1083" ht="14.5" spans="1:11">
      <c r="A1083" s="3" t="str">
        <f t="shared" si="72"/>
        <v>2026年</v>
      </c>
      <c r="B1083" s="3" t="str">
        <f t="shared" si="73"/>
        <v>1月</v>
      </c>
      <c r="C1083" s="4" t="str">
        <f t="shared" si="74"/>
        <v>W5</v>
      </c>
      <c r="D1083" s="2" t="s">
        <v>768</v>
      </c>
      <c r="E1083" s="2" t="s">
        <v>703</v>
      </c>
      <c r="F1083" s="2" t="str" cm="1">
        <f t="array" ref="F1083">INDEX(_xlfn.TEXTSPLIT(E1083,"-"),2)</f>
        <v>女装</v>
      </c>
      <c r="G1083" s="2" t="str" cm="1">
        <f t="array" ref="G1083">INDEX(_xlfn.TEXTSPLIT(E1083,"-"),3)</f>
        <v>T恤</v>
      </c>
      <c r="H1083" s="5">
        <v>974906</v>
      </c>
      <c r="I1083" s="5">
        <v>54854482.21</v>
      </c>
      <c r="J1083" s="6">
        <v>0.0244</v>
      </c>
      <c r="K1083" s="6">
        <v>-0.3051</v>
      </c>
    </row>
    <row r="1084" ht="14.5" spans="1:11">
      <c r="A1084" s="3" t="str">
        <f t="shared" si="72"/>
        <v>2026年</v>
      </c>
      <c r="B1084" s="3" t="str">
        <f t="shared" si="73"/>
        <v>1月</v>
      </c>
      <c r="C1084" s="4" t="str">
        <f t="shared" si="74"/>
        <v>W5</v>
      </c>
      <c r="D1084" s="2" t="s">
        <v>768</v>
      </c>
      <c r="E1084" s="2" t="s">
        <v>704</v>
      </c>
      <c r="F1084" s="2" t="str" cm="1">
        <f t="array" ref="F1084">INDEX(_xlfn.TEXTSPLIT(E1084,"-"),2)</f>
        <v>女装</v>
      </c>
      <c r="G1084" s="2" t="str" cm="1">
        <f t="array" ref="G1084">INDEX(_xlfn.TEXTSPLIT(E1084,"-"),3)</f>
        <v>中老年女装</v>
      </c>
      <c r="H1084" s="5">
        <v>347634</v>
      </c>
      <c r="I1084" s="5">
        <v>43416458.18</v>
      </c>
      <c r="J1084" s="6">
        <v>0.0193</v>
      </c>
      <c r="K1084" s="6">
        <v>-0.2829</v>
      </c>
    </row>
    <row r="1085" ht="14.5" spans="1:11">
      <c r="A1085" s="3" t="str">
        <f t="shared" si="72"/>
        <v>2026年</v>
      </c>
      <c r="B1085" s="3" t="str">
        <f t="shared" si="73"/>
        <v>1月</v>
      </c>
      <c r="C1085" s="4" t="str">
        <f t="shared" si="74"/>
        <v>W5</v>
      </c>
      <c r="D1085" s="2" t="s">
        <v>768</v>
      </c>
      <c r="E1085" s="2" t="s">
        <v>705</v>
      </c>
      <c r="F1085" s="2" t="str" cm="1">
        <f t="array" ref="F1085">INDEX(_xlfn.TEXTSPLIT(E1085,"-"),2)</f>
        <v>女装</v>
      </c>
      <c r="G1085" s="2" t="str" cm="1">
        <f t="array" ref="G1085">INDEX(_xlfn.TEXTSPLIT(E1085,"-"),3)</f>
        <v>半身裙</v>
      </c>
      <c r="H1085" s="5">
        <v>581693</v>
      </c>
      <c r="I1085" s="5">
        <v>45285212.93</v>
      </c>
      <c r="J1085" s="6">
        <v>0.0201</v>
      </c>
      <c r="K1085" s="6">
        <v>-0.3133</v>
      </c>
    </row>
    <row r="1086" ht="14.5" spans="1:11">
      <c r="A1086" s="3" t="str">
        <f t="shared" si="72"/>
        <v>2026年</v>
      </c>
      <c r="B1086" s="3" t="str">
        <f t="shared" si="73"/>
        <v>1月</v>
      </c>
      <c r="C1086" s="4" t="str">
        <f t="shared" si="74"/>
        <v>W5</v>
      </c>
      <c r="D1086" s="2" t="s">
        <v>768</v>
      </c>
      <c r="E1086" s="2" t="s">
        <v>706</v>
      </c>
      <c r="F1086" s="2" t="str" cm="1">
        <f t="array" ref="F1086">INDEX(_xlfn.TEXTSPLIT(E1086,"-"),2)</f>
        <v>女装</v>
      </c>
      <c r="G1086" s="2" t="str" cm="1">
        <f t="array" ref="G1086">INDEX(_xlfn.TEXTSPLIT(E1086,"-"),3)</f>
        <v>卫衣/绒衫</v>
      </c>
      <c r="H1086" s="5">
        <v>325100</v>
      </c>
      <c r="I1086" s="5">
        <v>26593969.32</v>
      </c>
      <c r="J1086" s="6">
        <v>0.0118</v>
      </c>
      <c r="K1086" s="6">
        <v>-0.2096</v>
      </c>
    </row>
    <row r="1087" ht="14.5" spans="1:11">
      <c r="A1087" s="3" t="str">
        <f t="shared" si="72"/>
        <v>2026年</v>
      </c>
      <c r="B1087" s="3" t="str">
        <f t="shared" si="73"/>
        <v>1月</v>
      </c>
      <c r="C1087" s="4" t="str">
        <f t="shared" si="74"/>
        <v>W5</v>
      </c>
      <c r="D1087" s="2" t="s">
        <v>768</v>
      </c>
      <c r="E1087" s="2" t="s">
        <v>707</v>
      </c>
      <c r="F1087" s="2" t="str" cm="1">
        <f t="array" ref="F1087">INDEX(_xlfn.TEXTSPLIT(E1087,"-"),2)</f>
        <v>女装</v>
      </c>
      <c r="G1087" s="2" t="str" cm="1">
        <f t="array" ref="G1087">INDEX(_xlfn.TEXTSPLIT(E1087,"-"),3)</f>
        <v>唐装/民族服装/舞台服装</v>
      </c>
      <c r="H1087" s="5">
        <v>145991</v>
      </c>
      <c r="I1087" s="5">
        <v>28584784.28</v>
      </c>
      <c r="J1087" s="6">
        <v>0.0127</v>
      </c>
      <c r="K1087" s="6">
        <v>-0.3968</v>
      </c>
    </row>
    <row r="1088" ht="14.5" spans="1:11">
      <c r="A1088" s="3" t="str">
        <f t="shared" si="72"/>
        <v>2026年</v>
      </c>
      <c r="B1088" s="3" t="str">
        <f t="shared" si="73"/>
        <v>1月</v>
      </c>
      <c r="C1088" s="4" t="str">
        <f t="shared" si="74"/>
        <v>W5</v>
      </c>
      <c r="D1088" s="2" t="s">
        <v>768</v>
      </c>
      <c r="E1088" s="2" t="s">
        <v>708</v>
      </c>
      <c r="F1088" s="2" t="str" cm="1">
        <f t="array" ref="F1088">INDEX(_xlfn.TEXTSPLIT(E1088,"-"),2)</f>
        <v>女装</v>
      </c>
      <c r="G1088" s="2" t="str" cm="1">
        <f t="array" ref="G1088">INDEX(_xlfn.TEXTSPLIT(E1088,"-"),3)</f>
        <v>大码女装</v>
      </c>
      <c r="H1088" s="5">
        <v>398500</v>
      </c>
      <c r="I1088" s="5">
        <v>35668446.19</v>
      </c>
      <c r="J1088" s="6">
        <v>0.0159</v>
      </c>
      <c r="K1088" s="6">
        <v>-0.3625</v>
      </c>
    </row>
    <row r="1089" ht="14.5" spans="1:11">
      <c r="A1089" s="3" t="str">
        <f t="shared" si="72"/>
        <v>2026年</v>
      </c>
      <c r="B1089" s="3" t="str">
        <f t="shared" si="73"/>
        <v>1月</v>
      </c>
      <c r="C1089" s="4" t="str">
        <f t="shared" si="74"/>
        <v>W5</v>
      </c>
      <c r="D1089" s="2" t="s">
        <v>768</v>
      </c>
      <c r="E1089" s="2" t="s">
        <v>709</v>
      </c>
      <c r="F1089" s="2" t="str" cm="1">
        <f t="array" ref="F1089">INDEX(_xlfn.TEXTSPLIT(E1089,"-"),2)</f>
        <v>女装</v>
      </c>
      <c r="G1089" s="2" t="str" cm="1">
        <f t="array" ref="G1089">INDEX(_xlfn.TEXTSPLIT(E1089,"-"),3)</f>
        <v>套装/学生校服/工作制服</v>
      </c>
      <c r="H1089" s="5">
        <v>502418</v>
      </c>
      <c r="I1089" s="5">
        <v>73738559.4</v>
      </c>
      <c r="J1089" s="6">
        <v>0.0328</v>
      </c>
      <c r="K1089" s="6">
        <v>-0.3779</v>
      </c>
    </row>
    <row r="1090" ht="14.5" spans="1:11">
      <c r="A1090" s="3" t="str">
        <f t="shared" si="72"/>
        <v>2026年</v>
      </c>
      <c r="B1090" s="3" t="str">
        <f t="shared" si="73"/>
        <v>1月</v>
      </c>
      <c r="C1090" s="4" t="str">
        <f t="shared" si="74"/>
        <v>W5</v>
      </c>
      <c r="D1090" s="2" t="s">
        <v>768</v>
      </c>
      <c r="E1090" s="2" t="s">
        <v>710</v>
      </c>
      <c r="F1090" s="2" t="str" cm="1">
        <f t="array" ref="F1090">INDEX(_xlfn.TEXTSPLIT(E1090,"-"),2)</f>
        <v>女装</v>
      </c>
      <c r="G1090" s="2" t="str" cm="1">
        <f t="array" ref="G1090">INDEX(_xlfn.TEXTSPLIT(E1090,"-"),3)</f>
        <v>婚纱/旗袍/礼服</v>
      </c>
      <c r="H1090" s="5">
        <v>29564</v>
      </c>
      <c r="I1090" s="5">
        <v>5164471.98</v>
      </c>
      <c r="J1090" s="6">
        <v>0.0023</v>
      </c>
      <c r="K1090" s="6">
        <v>-0.4439</v>
      </c>
    </row>
    <row r="1091" ht="14.5" spans="1:11">
      <c r="A1091" s="3" t="str">
        <f t="shared" si="72"/>
        <v>2026年</v>
      </c>
      <c r="B1091" s="3" t="str">
        <f t="shared" si="73"/>
        <v>1月</v>
      </c>
      <c r="C1091" s="4" t="str">
        <f t="shared" si="74"/>
        <v>W5</v>
      </c>
      <c r="D1091" s="2" t="s">
        <v>768</v>
      </c>
      <c r="E1091" s="2" t="s">
        <v>711</v>
      </c>
      <c r="F1091" s="2" t="str" cm="1">
        <f t="array" ref="F1091">INDEX(_xlfn.TEXTSPLIT(E1091,"-"),2)</f>
        <v>女装</v>
      </c>
      <c r="G1091" s="2" t="str" cm="1">
        <f t="array" ref="G1091">INDEX(_xlfn.TEXTSPLIT(E1091,"-"),3)</f>
        <v>新中式女装</v>
      </c>
      <c r="H1091" s="5">
        <v>73758</v>
      </c>
      <c r="I1091" s="5">
        <v>9835918.97</v>
      </c>
      <c r="J1091" s="6">
        <v>0.0044</v>
      </c>
      <c r="K1091" s="6">
        <v>-0.2956</v>
      </c>
    </row>
    <row r="1092" ht="14.5" spans="1:11">
      <c r="A1092" s="3" t="str">
        <f t="shared" si="72"/>
        <v>2026年</v>
      </c>
      <c r="B1092" s="3" t="str">
        <f t="shared" si="73"/>
        <v>1月</v>
      </c>
      <c r="C1092" s="4" t="str">
        <f t="shared" si="74"/>
        <v>W5</v>
      </c>
      <c r="D1092" s="2" t="s">
        <v>768</v>
      </c>
      <c r="E1092" s="2" t="s">
        <v>712</v>
      </c>
      <c r="F1092" s="2" t="str" cm="1">
        <f t="array" ref="F1092">INDEX(_xlfn.TEXTSPLIT(E1092,"-"),2)</f>
        <v>女装</v>
      </c>
      <c r="G1092" s="2" t="str" cm="1">
        <f t="array" ref="G1092">INDEX(_xlfn.TEXTSPLIT(E1092,"-"),3)</f>
        <v>时尚防晒服</v>
      </c>
      <c r="H1092" s="5">
        <v>350</v>
      </c>
      <c r="I1092" s="5">
        <v>27869.49</v>
      </c>
      <c r="J1092" s="2" t="s">
        <v>713</v>
      </c>
      <c r="K1092" s="6">
        <v>0.5587</v>
      </c>
    </row>
    <row r="1093" ht="14.5" spans="1:11">
      <c r="A1093" s="3" t="str">
        <f t="shared" si="72"/>
        <v>2026年</v>
      </c>
      <c r="B1093" s="3" t="str">
        <f t="shared" si="73"/>
        <v>1月</v>
      </c>
      <c r="C1093" s="4" t="str">
        <f t="shared" si="74"/>
        <v>W5</v>
      </c>
      <c r="D1093" s="2" t="s">
        <v>768</v>
      </c>
      <c r="E1093" s="2" t="s">
        <v>714</v>
      </c>
      <c r="F1093" s="2" t="str" cm="1">
        <f t="array" ref="F1093">INDEX(_xlfn.TEXTSPLIT(E1093,"-"),2)</f>
        <v>女装</v>
      </c>
      <c r="G1093" s="2" t="str" cm="1">
        <f t="array" ref="G1093">INDEX(_xlfn.TEXTSPLIT(E1093,"-"),3)</f>
        <v>棉衣/棉服</v>
      </c>
      <c r="H1093" s="5">
        <v>514891</v>
      </c>
      <c r="I1093" s="5">
        <v>58648232.76</v>
      </c>
      <c r="J1093" s="6">
        <v>0.0261</v>
      </c>
      <c r="K1093" s="6">
        <v>-0.2555</v>
      </c>
    </row>
    <row r="1094" ht="14.5" spans="1:11">
      <c r="A1094" s="3" t="str">
        <f t="shared" si="72"/>
        <v>2026年</v>
      </c>
      <c r="B1094" s="3" t="str">
        <f t="shared" si="73"/>
        <v>1月</v>
      </c>
      <c r="C1094" s="4" t="str">
        <f t="shared" si="74"/>
        <v>W5</v>
      </c>
      <c r="D1094" s="2" t="s">
        <v>768</v>
      </c>
      <c r="E1094" s="2" t="s">
        <v>715</v>
      </c>
      <c r="F1094" s="2" t="str" cm="1">
        <f t="array" ref="F1094">INDEX(_xlfn.TEXTSPLIT(E1094,"-"),2)</f>
        <v>女装</v>
      </c>
      <c r="G1094" s="2" t="str" cm="1">
        <f t="array" ref="G1094">INDEX(_xlfn.TEXTSPLIT(E1094,"-"),3)</f>
        <v>毛呢外套</v>
      </c>
      <c r="H1094" s="5">
        <v>601699</v>
      </c>
      <c r="I1094" s="5">
        <v>232725351.35</v>
      </c>
      <c r="J1094" s="6">
        <v>0.1034</v>
      </c>
      <c r="K1094" s="6">
        <v>-0.2124</v>
      </c>
    </row>
    <row r="1095" ht="14.5" spans="1:11">
      <c r="A1095" s="3" t="str">
        <f t="shared" si="72"/>
        <v>2026年</v>
      </c>
      <c r="B1095" s="3" t="str">
        <f t="shared" si="73"/>
        <v>1月</v>
      </c>
      <c r="C1095" s="4" t="str">
        <f t="shared" si="74"/>
        <v>W5</v>
      </c>
      <c r="D1095" s="2" t="s">
        <v>768</v>
      </c>
      <c r="E1095" s="2" t="s">
        <v>716</v>
      </c>
      <c r="F1095" s="2" t="str" cm="1">
        <f t="array" ref="F1095">INDEX(_xlfn.TEXTSPLIT(E1095,"-"),2)</f>
        <v>女装</v>
      </c>
      <c r="G1095" s="2" t="str" cm="1">
        <f t="array" ref="G1095">INDEX(_xlfn.TEXTSPLIT(E1095,"-"),3)</f>
        <v>毛衣</v>
      </c>
      <c r="H1095" s="5">
        <v>278301</v>
      </c>
      <c r="I1095" s="5">
        <v>23088487.87</v>
      </c>
      <c r="J1095" s="6">
        <v>0.0103</v>
      </c>
      <c r="K1095" s="6">
        <v>-0.4149</v>
      </c>
    </row>
    <row r="1096" ht="14.5" spans="1:11">
      <c r="A1096" s="3" t="str">
        <f t="shared" si="72"/>
        <v>2026年</v>
      </c>
      <c r="B1096" s="3" t="str">
        <f t="shared" si="73"/>
        <v>1月</v>
      </c>
      <c r="C1096" s="4" t="str">
        <f t="shared" si="74"/>
        <v>W5</v>
      </c>
      <c r="D1096" s="2" t="s">
        <v>768</v>
      </c>
      <c r="E1096" s="2" t="s">
        <v>717</v>
      </c>
      <c r="F1096" s="2" t="str" cm="1">
        <f t="array" ref="F1096">INDEX(_xlfn.TEXTSPLIT(E1096,"-"),2)</f>
        <v>女装</v>
      </c>
      <c r="G1096" s="2" t="str" cm="1">
        <f t="array" ref="G1096">INDEX(_xlfn.TEXTSPLIT(E1096,"-"),3)</f>
        <v>毛针织衫</v>
      </c>
      <c r="H1096" s="5">
        <v>1688478</v>
      </c>
      <c r="I1096" s="5">
        <v>131326585.58</v>
      </c>
      <c r="J1096" s="6">
        <v>0.0584</v>
      </c>
      <c r="K1096" s="6">
        <v>-0.2411</v>
      </c>
    </row>
    <row r="1097" ht="14.5" spans="1:11">
      <c r="A1097" s="3" t="str">
        <f t="shared" si="72"/>
        <v>2026年</v>
      </c>
      <c r="B1097" s="3" t="str">
        <f t="shared" si="73"/>
        <v>1月</v>
      </c>
      <c r="C1097" s="4" t="str">
        <f t="shared" si="74"/>
        <v>W5</v>
      </c>
      <c r="D1097" s="2" t="s">
        <v>768</v>
      </c>
      <c r="E1097" s="2" t="s">
        <v>718</v>
      </c>
      <c r="F1097" s="2" t="str" cm="1">
        <f t="array" ref="F1097">INDEX(_xlfn.TEXTSPLIT(E1097,"-"),2)</f>
        <v>女装</v>
      </c>
      <c r="G1097" s="2" t="str" cm="1">
        <f t="array" ref="G1097">INDEX(_xlfn.TEXTSPLIT(E1097,"-"),3)</f>
        <v>汉服</v>
      </c>
      <c r="H1097" s="5">
        <v>75534</v>
      </c>
      <c r="I1097" s="5">
        <v>43962020.65</v>
      </c>
      <c r="J1097" s="6">
        <v>0.0195</v>
      </c>
      <c r="K1097" s="6">
        <v>-0.2405</v>
      </c>
    </row>
    <row r="1098" ht="14.5" spans="1:11">
      <c r="A1098" s="3" t="str">
        <f t="shared" si="72"/>
        <v>2026年</v>
      </c>
      <c r="B1098" s="3" t="str">
        <f t="shared" si="73"/>
        <v>1月</v>
      </c>
      <c r="C1098" s="4" t="str">
        <f t="shared" si="74"/>
        <v>W5</v>
      </c>
      <c r="D1098" s="2" t="s">
        <v>768</v>
      </c>
      <c r="E1098" s="2" t="s">
        <v>719</v>
      </c>
      <c r="F1098" s="2" t="str" cm="1">
        <f t="array" ref="F1098">INDEX(_xlfn.TEXTSPLIT(E1098,"-"),2)</f>
        <v>女装</v>
      </c>
      <c r="G1098" s="2" t="str" cm="1">
        <f t="array" ref="G1098">INDEX(_xlfn.TEXTSPLIT(E1098,"-"),3)</f>
        <v>派克服</v>
      </c>
      <c r="H1098" s="5">
        <v>42779</v>
      </c>
      <c r="I1098" s="5">
        <v>9514286.76</v>
      </c>
      <c r="J1098" s="6">
        <v>0.0042</v>
      </c>
      <c r="K1098" s="6">
        <v>-0.3287</v>
      </c>
    </row>
    <row r="1099" ht="14.5" spans="1:11">
      <c r="A1099" s="3" t="str">
        <f t="shared" si="72"/>
        <v>2026年</v>
      </c>
      <c r="B1099" s="3" t="str">
        <f t="shared" si="73"/>
        <v>1月</v>
      </c>
      <c r="C1099" s="4" t="str">
        <f t="shared" si="74"/>
        <v>W5</v>
      </c>
      <c r="D1099" s="2" t="s">
        <v>768</v>
      </c>
      <c r="E1099" s="2" t="s">
        <v>720</v>
      </c>
      <c r="F1099" s="2" t="str" cm="1">
        <f t="array" ref="F1099">INDEX(_xlfn.TEXTSPLIT(E1099,"-"),2)</f>
        <v>女装</v>
      </c>
      <c r="G1099" s="2" t="str" cm="1">
        <f t="array" ref="G1099">INDEX(_xlfn.TEXTSPLIT(E1099,"-"),3)</f>
        <v>皮草</v>
      </c>
      <c r="H1099" s="5">
        <v>146444</v>
      </c>
      <c r="I1099" s="5">
        <v>252862153.83</v>
      </c>
      <c r="J1099" s="6">
        <v>0.1124</v>
      </c>
      <c r="K1099" s="6">
        <v>-0.2783</v>
      </c>
    </row>
    <row r="1100" ht="14.5" spans="1:11">
      <c r="A1100" s="3" t="str">
        <f t="shared" si="72"/>
        <v>2026年</v>
      </c>
      <c r="B1100" s="3" t="str">
        <f t="shared" si="73"/>
        <v>1月</v>
      </c>
      <c r="C1100" s="4" t="str">
        <f t="shared" si="74"/>
        <v>W5</v>
      </c>
      <c r="D1100" s="2" t="s">
        <v>768</v>
      </c>
      <c r="E1100" s="2" t="s">
        <v>721</v>
      </c>
      <c r="F1100" s="2" t="str" cm="1">
        <f t="array" ref="F1100">INDEX(_xlfn.TEXTSPLIT(E1100,"-"),2)</f>
        <v>女装</v>
      </c>
      <c r="G1100" s="2" t="str" cm="1">
        <f t="array" ref="G1100">INDEX(_xlfn.TEXTSPLIT(E1100,"-"),3)</f>
        <v>皮衣</v>
      </c>
      <c r="H1100" s="5">
        <v>110808</v>
      </c>
      <c r="I1100" s="5">
        <v>40148755.79</v>
      </c>
      <c r="J1100" s="6">
        <v>0.0178</v>
      </c>
      <c r="K1100" s="6">
        <v>-0.2939</v>
      </c>
    </row>
    <row r="1101" ht="14.5" spans="1:11">
      <c r="A1101" s="3" t="str">
        <f t="shared" si="72"/>
        <v>2026年</v>
      </c>
      <c r="B1101" s="3" t="str">
        <f t="shared" si="73"/>
        <v>1月</v>
      </c>
      <c r="C1101" s="4" t="str">
        <f t="shared" si="74"/>
        <v>W5</v>
      </c>
      <c r="D1101" s="2" t="s">
        <v>768</v>
      </c>
      <c r="E1101" s="2" t="s">
        <v>722</v>
      </c>
      <c r="F1101" s="2" t="str" cm="1">
        <f t="array" ref="F1101">INDEX(_xlfn.TEXTSPLIT(E1101,"-"),2)</f>
        <v>女装</v>
      </c>
      <c r="G1101" s="2" t="str" cm="1">
        <f t="array" ref="G1101">INDEX(_xlfn.TEXTSPLIT(E1101,"-"),3)</f>
        <v>短外套</v>
      </c>
      <c r="H1101" s="5">
        <v>828400</v>
      </c>
      <c r="I1101" s="5">
        <v>172590800.83</v>
      </c>
      <c r="J1101" s="6">
        <v>0.0767</v>
      </c>
      <c r="K1101" s="6">
        <v>-0.3268</v>
      </c>
    </row>
    <row r="1102" ht="14.5" spans="1:11">
      <c r="A1102" s="3" t="str">
        <f t="shared" si="72"/>
        <v>2026年</v>
      </c>
      <c r="B1102" s="3" t="str">
        <f t="shared" si="73"/>
        <v>1月</v>
      </c>
      <c r="C1102" s="4" t="str">
        <f t="shared" si="74"/>
        <v>W5</v>
      </c>
      <c r="D1102" s="2" t="s">
        <v>768</v>
      </c>
      <c r="E1102" s="2" t="s">
        <v>723</v>
      </c>
      <c r="F1102" s="2" t="str" cm="1">
        <f t="array" ref="F1102">INDEX(_xlfn.TEXTSPLIT(E1102,"-"),2)</f>
        <v>女装</v>
      </c>
      <c r="G1102" s="2" t="str" cm="1">
        <f t="array" ref="G1102">INDEX(_xlfn.TEXTSPLIT(E1102,"-"),3)</f>
        <v>短裤</v>
      </c>
      <c r="H1102" s="5">
        <v>94858</v>
      </c>
      <c r="I1102" s="5">
        <v>5362998.36</v>
      </c>
      <c r="J1102" s="6">
        <v>0.0024</v>
      </c>
      <c r="K1102" s="6">
        <v>-0.131</v>
      </c>
    </row>
    <row r="1103" ht="14.5" spans="1:11">
      <c r="A1103" s="3" t="str">
        <f t="shared" si="72"/>
        <v>2026年</v>
      </c>
      <c r="B1103" s="3" t="str">
        <f t="shared" si="73"/>
        <v>1月</v>
      </c>
      <c r="C1103" s="4" t="str">
        <f t="shared" si="74"/>
        <v>W5</v>
      </c>
      <c r="D1103" s="2" t="s">
        <v>768</v>
      </c>
      <c r="E1103" s="2" t="s">
        <v>724</v>
      </c>
      <c r="F1103" s="2" t="str" cm="1">
        <f t="array" ref="F1103">INDEX(_xlfn.TEXTSPLIT(E1103,"-"),2)</f>
        <v>女装</v>
      </c>
      <c r="G1103" s="2" t="str" cm="1">
        <f t="array" ref="G1103">INDEX(_xlfn.TEXTSPLIT(E1103,"-"),3)</f>
        <v>羊毛衫</v>
      </c>
      <c r="H1103" s="5">
        <v>304273</v>
      </c>
      <c r="I1103" s="5">
        <v>41376416.17</v>
      </c>
      <c r="J1103" s="6">
        <v>0.0184</v>
      </c>
      <c r="K1103" s="6">
        <v>-0.2683</v>
      </c>
    </row>
    <row r="1104" ht="14.5" spans="1:11">
      <c r="A1104" s="3" t="str">
        <f t="shared" si="72"/>
        <v>2026年</v>
      </c>
      <c r="B1104" s="3" t="str">
        <f t="shared" si="73"/>
        <v>1月</v>
      </c>
      <c r="C1104" s="4" t="str">
        <f t="shared" si="74"/>
        <v>W5</v>
      </c>
      <c r="D1104" s="2" t="s">
        <v>768</v>
      </c>
      <c r="E1104" s="2" t="s">
        <v>725</v>
      </c>
      <c r="F1104" s="2" t="str" cm="1">
        <f t="array" ref="F1104">INDEX(_xlfn.TEXTSPLIT(E1104,"-"),2)</f>
        <v>女装</v>
      </c>
      <c r="G1104" s="2" t="str" cm="1">
        <f t="array" ref="G1104">INDEX(_xlfn.TEXTSPLIT(E1104,"-"),3)</f>
        <v>羊绒大衣</v>
      </c>
      <c r="H1104" s="5">
        <v>4234</v>
      </c>
      <c r="I1104" s="5">
        <v>2095585.01</v>
      </c>
      <c r="J1104" s="6">
        <v>0.0009</v>
      </c>
      <c r="K1104" s="6">
        <v>-0.3834</v>
      </c>
    </row>
    <row r="1105" ht="14.5" spans="1:11">
      <c r="A1105" s="3" t="str">
        <f t="shared" si="72"/>
        <v>2026年</v>
      </c>
      <c r="B1105" s="3" t="str">
        <f t="shared" si="73"/>
        <v>1月</v>
      </c>
      <c r="C1105" s="4" t="str">
        <f t="shared" si="74"/>
        <v>W5</v>
      </c>
      <c r="D1105" s="2" t="s">
        <v>768</v>
      </c>
      <c r="E1105" s="2" t="s">
        <v>726</v>
      </c>
      <c r="F1105" s="2" t="str" cm="1">
        <f t="array" ref="F1105">INDEX(_xlfn.TEXTSPLIT(E1105,"-"),2)</f>
        <v>女装</v>
      </c>
      <c r="G1105" s="2" t="str" cm="1">
        <f t="array" ref="G1105">INDEX(_xlfn.TEXTSPLIT(E1105,"-"),3)</f>
        <v>羊绒衫</v>
      </c>
      <c r="H1105" s="5">
        <v>72700</v>
      </c>
      <c r="I1105" s="5">
        <v>27413175.98</v>
      </c>
      <c r="J1105" s="6">
        <v>0.0122</v>
      </c>
      <c r="K1105" s="6">
        <v>-0.3019</v>
      </c>
    </row>
    <row r="1106" ht="14.5" spans="1:11">
      <c r="A1106" s="3" t="str">
        <f t="shared" si="72"/>
        <v>2026年</v>
      </c>
      <c r="B1106" s="3" t="str">
        <f t="shared" si="73"/>
        <v>1月</v>
      </c>
      <c r="C1106" s="4" t="str">
        <f t="shared" si="74"/>
        <v>W5</v>
      </c>
      <c r="D1106" s="2" t="s">
        <v>768</v>
      </c>
      <c r="E1106" s="2" t="s">
        <v>727</v>
      </c>
      <c r="F1106" s="2" t="str" cm="1">
        <f t="array" ref="F1106">INDEX(_xlfn.TEXTSPLIT(E1106,"-"),2)</f>
        <v>女装</v>
      </c>
      <c r="G1106" s="2" t="str" cm="1">
        <f t="array" ref="G1106">INDEX(_xlfn.TEXTSPLIT(E1106,"-"),3)</f>
        <v>羽绒服</v>
      </c>
      <c r="H1106" s="5">
        <v>1064410</v>
      </c>
      <c r="I1106" s="5">
        <v>410814401.34</v>
      </c>
      <c r="J1106" s="6">
        <v>0.1826</v>
      </c>
      <c r="K1106" s="6">
        <v>-0.3636</v>
      </c>
    </row>
    <row r="1107" ht="14.5" spans="1:11">
      <c r="A1107" s="3" t="str">
        <f t="shared" si="72"/>
        <v>2026年</v>
      </c>
      <c r="B1107" s="3" t="str">
        <f t="shared" si="73"/>
        <v>1月</v>
      </c>
      <c r="C1107" s="4" t="str">
        <f t="shared" si="74"/>
        <v>W5</v>
      </c>
      <c r="D1107" s="2" t="s">
        <v>768</v>
      </c>
      <c r="E1107" s="2" t="s">
        <v>728</v>
      </c>
      <c r="F1107" s="2" t="str" cm="1">
        <f t="array" ref="F1107">INDEX(_xlfn.TEXTSPLIT(E1107,"-"),2)</f>
        <v>女装</v>
      </c>
      <c r="G1107" s="2" t="str" cm="1">
        <f t="array" ref="G1107">INDEX(_xlfn.TEXTSPLIT(E1107,"-"),3)</f>
        <v>肌底衣/肌肤衣</v>
      </c>
      <c r="H1107" s="5">
        <v>2767</v>
      </c>
      <c r="I1107" s="5">
        <v>160200.75</v>
      </c>
      <c r="J1107" s="6">
        <v>0.0001</v>
      </c>
      <c r="K1107" s="6">
        <v>-0.2222</v>
      </c>
    </row>
    <row r="1108" ht="14.5" spans="1:11">
      <c r="A1108" s="3" t="str">
        <f t="shared" si="72"/>
        <v>2026年</v>
      </c>
      <c r="B1108" s="3" t="str">
        <f t="shared" si="73"/>
        <v>1月</v>
      </c>
      <c r="C1108" s="4" t="str">
        <f t="shared" si="74"/>
        <v>W5</v>
      </c>
      <c r="D1108" s="2" t="s">
        <v>768</v>
      </c>
      <c r="E1108" s="2" t="s">
        <v>729</v>
      </c>
      <c r="F1108" s="2" t="str" cm="1">
        <f t="array" ref="F1108">INDEX(_xlfn.TEXTSPLIT(E1108,"-"),2)</f>
        <v>女装</v>
      </c>
      <c r="G1108" s="2" t="str" cm="1">
        <f t="array" ref="G1108">INDEX(_xlfn.TEXTSPLIT(E1108,"-"),3)</f>
        <v>背心吊带</v>
      </c>
      <c r="H1108" s="5">
        <v>138912</v>
      </c>
      <c r="I1108" s="5">
        <v>8452623.59</v>
      </c>
      <c r="J1108" s="6">
        <v>0.0038</v>
      </c>
      <c r="K1108" s="6">
        <v>-0.355</v>
      </c>
    </row>
    <row r="1109" ht="14.5" spans="1:11">
      <c r="A1109" s="3" t="str">
        <f t="shared" si="72"/>
        <v>2026年</v>
      </c>
      <c r="B1109" s="3" t="str">
        <f t="shared" si="73"/>
        <v>1月</v>
      </c>
      <c r="C1109" s="4" t="str">
        <f t="shared" si="74"/>
        <v>W5</v>
      </c>
      <c r="D1109" s="2" t="s">
        <v>768</v>
      </c>
      <c r="E1109" s="2" t="s">
        <v>730</v>
      </c>
      <c r="F1109" s="2" t="str" cm="1">
        <f t="array" ref="F1109">INDEX(_xlfn.TEXTSPLIT(E1109,"-"),2)</f>
        <v>女装</v>
      </c>
      <c r="G1109" s="2" t="str" cm="1">
        <f t="array" ref="G1109">INDEX(_xlfn.TEXTSPLIT(E1109,"-"),3)</f>
        <v>蕾丝衫/雪纺衫</v>
      </c>
      <c r="H1109" s="5">
        <v>118772</v>
      </c>
      <c r="I1109" s="5">
        <v>7681899.81</v>
      </c>
      <c r="J1109" s="6">
        <v>0.0034</v>
      </c>
      <c r="K1109" s="6">
        <v>-0.3384</v>
      </c>
    </row>
    <row r="1110" ht="14.5" spans="1:11">
      <c r="A1110" s="3" t="str">
        <f t="shared" si="72"/>
        <v>2026年</v>
      </c>
      <c r="B1110" s="3" t="str">
        <f t="shared" si="73"/>
        <v>1月</v>
      </c>
      <c r="C1110" s="4" t="str">
        <f t="shared" si="74"/>
        <v>W5</v>
      </c>
      <c r="D1110" s="2" t="s">
        <v>768</v>
      </c>
      <c r="E1110" s="2" t="s">
        <v>731</v>
      </c>
      <c r="F1110" s="2" t="str" cm="1">
        <f t="array" ref="F1110">INDEX(_xlfn.TEXTSPLIT(E1110,"-"),2)</f>
        <v>女装</v>
      </c>
      <c r="G1110" s="2" t="str" cm="1">
        <f t="array" ref="G1110">INDEX(_xlfn.TEXTSPLIT(E1110,"-"),3)</f>
        <v>衬衫</v>
      </c>
      <c r="H1110" s="5">
        <v>320207</v>
      </c>
      <c r="I1110" s="5">
        <v>36756319.34</v>
      </c>
      <c r="J1110" s="6">
        <v>0.0163</v>
      </c>
      <c r="K1110" s="6">
        <v>-0.2744</v>
      </c>
    </row>
    <row r="1111" ht="14.5" spans="1:11">
      <c r="A1111" s="3" t="str">
        <f t="shared" si="72"/>
        <v>2026年</v>
      </c>
      <c r="B1111" s="3" t="str">
        <f t="shared" si="73"/>
        <v>1月</v>
      </c>
      <c r="C1111" s="4" t="str">
        <f t="shared" si="74"/>
        <v>W5</v>
      </c>
      <c r="D1111" s="2" t="s">
        <v>768</v>
      </c>
      <c r="E1111" s="2" t="s">
        <v>732</v>
      </c>
      <c r="F1111" s="2" t="str" cm="1">
        <f t="array" ref="F1111">INDEX(_xlfn.TEXTSPLIT(E1111,"-"),2)</f>
        <v>女装</v>
      </c>
      <c r="G1111" s="2" t="str" cm="1">
        <f t="array" ref="G1111">INDEX(_xlfn.TEXTSPLIT(E1111,"-"),3)</f>
        <v>裤子</v>
      </c>
      <c r="H1111" s="5">
        <v>2912987</v>
      </c>
      <c r="I1111" s="5">
        <v>269134012.64</v>
      </c>
      <c r="J1111" s="6">
        <v>0.1196</v>
      </c>
      <c r="K1111" s="6">
        <v>-0.3015</v>
      </c>
    </row>
    <row r="1112" ht="14.5" spans="1:11">
      <c r="A1112" s="3" t="str">
        <f t="shared" si="72"/>
        <v>2026年</v>
      </c>
      <c r="B1112" s="3" t="str">
        <f t="shared" si="73"/>
        <v>1月</v>
      </c>
      <c r="C1112" s="4" t="str">
        <f t="shared" si="74"/>
        <v>W5</v>
      </c>
      <c r="D1112" s="2" t="s">
        <v>768</v>
      </c>
      <c r="E1112" s="2" t="s">
        <v>733</v>
      </c>
      <c r="F1112" s="2" t="str" cm="1">
        <f t="array" ref="F1112">INDEX(_xlfn.TEXTSPLIT(E1112,"-"),2)</f>
        <v>女装</v>
      </c>
      <c r="G1112" s="2" t="str" cm="1">
        <f t="array" ref="G1112">INDEX(_xlfn.TEXTSPLIT(E1112,"-"),3)</f>
        <v>西装</v>
      </c>
      <c r="H1112" s="5">
        <v>40190</v>
      </c>
      <c r="I1112" s="5">
        <v>11560382.58</v>
      </c>
      <c r="J1112" s="6">
        <v>0.0051</v>
      </c>
      <c r="K1112" s="6">
        <v>-0.1851</v>
      </c>
    </row>
    <row r="1113" ht="14.5" spans="1:11">
      <c r="A1113" s="3" t="str">
        <f t="shared" si="72"/>
        <v>2026年</v>
      </c>
      <c r="B1113" s="3" t="str">
        <f t="shared" si="73"/>
        <v>1月</v>
      </c>
      <c r="C1113" s="4" t="str">
        <f t="shared" si="74"/>
        <v>W5</v>
      </c>
      <c r="D1113" s="2" t="s">
        <v>768</v>
      </c>
      <c r="E1113" s="2" t="s">
        <v>734</v>
      </c>
      <c r="F1113" s="2" t="str" cm="1">
        <f t="array" ref="F1113">INDEX(_xlfn.TEXTSPLIT(E1113,"-"),2)</f>
        <v>女装</v>
      </c>
      <c r="G1113" s="2" t="str" cm="1">
        <f t="array" ref="G1113">INDEX(_xlfn.TEXTSPLIT(E1113,"-"),3)</f>
        <v>设计师/潮牌女装</v>
      </c>
      <c r="H1113" s="5">
        <v>247085</v>
      </c>
      <c r="I1113" s="5">
        <v>31039547.48</v>
      </c>
      <c r="J1113" s="6">
        <v>0.0138</v>
      </c>
      <c r="K1113" s="6">
        <v>-0.4588</v>
      </c>
    </row>
    <row r="1114" ht="14.5" spans="1:11">
      <c r="A1114" s="3" t="str">
        <f t="shared" si="72"/>
        <v>2026年</v>
      </c>
      <c r="B1114" s="3" t="str">
        <f t="shared" si="73"/>
        <v>1月</v>
      </c>
      <c r="C1114" s="4" t="str">
        <f t="shared" si="74"/>
        <v>W5</v>
      </c>
      <c r="D1114" s="2" t="s">
        <v>768</v>
      </c>
      <c r="E1114" s="2" t="s">
        <v>735</v>
      </c>
      <c r="F1114" s="2" t="str" cm="1">
        <f t="array" ref="F1114">INDEX(_xlfn.TEXTSPLIT(E1114,"-"),2)</f>
        <v>女装</v>
      </c>
      <c r="G1114" s="2" t="str" cm="1">
        <f t="array" ref="G1114">INDEX(_xlfn.TEXTSPLIT(E1114,"-"),3)</f>
        <v>连体衣/裤</v>
      </c>
      <c r="H1114" s="5">
        <v>10338</v>
      </c>
      <c r="I1114" s="5">
        <v>1648521.56</v>
      </c>
      <c r="J1114" s="6">
        <v>0.0007</v>
      </c>
      <c r="K1114" s="6">
        <v>-0.3174</v>
      </c>
    </row>
    <row r="1115" ht="14.5" spans="1:11">
      <c r="A1115" s="3" t="str">
        <f t="shared" si="72"/>
        <v>2026年</v>
      </c>
      <c r="B1115" s="3" t="str">
        <f t="shared" si="73"/>
        <v>1月</v>
      </c>
      <c r="C1115" s="4" t="str">
        <f t="shared" si="74"/>
        <v>W5</v>
      </c>
      <c r="D1115" s="2" t="s">
        <v>768</v>
      </c>
      <c r="E1115" s="2" t="s">
        <v>736</v>
      </c>
      <c r="F1115" s="2" t="str" cm="1">
        <f t="array" ref="F1115">INDEX(_xlfn.TEXTSPLIT(E1115,"-"),2)</f>
        <v>女装</v>
      </c>
      <c r="G1115" s="2" t="str" cm="1">
        <f t="array" ref="G1115">INDEX(_xlfn.TEXTSPLIT(E1115,"-"),3)</f>
        <v>连衣裙</v>
      </c>
      <c r="H1115" s="5">
        <v>427072</v>
      </c>
      <c r="I1115" s="5">
        <v>63771308.98</v>
      </c>
      <c r="J1115" s="6">
        <v>0.0283</v>
      </c>
      <c r="K1115" s="6">
        <v>-0.3851</v>
      </c>
    </row>
    <row r="1116" ht="14.5" spans="1:11">
      <c r="A1116" s="3" t="str">
        <f t="shared" si="72"/>
        <v>2026年</v>
      </c>
      <c r="B1116" s="3" t="str">
        <f t="shared" si="73"/>
        <v>1月</v>
      </c>
      <c r="C1116" s="4" t="str">
        <f t="shared" si="74"/>
        <v>W5</v>
      </c>
      <c r="D1116" s="2" t="s">
        <v>768</v>
      </c>
      <c r="E1116" s="2" t="s">
        <v>737</v>
      </c>
      <c r="F1116" s="2" t="str" cm="1">
        <f t="array" ref="F1116">INDEX(_xlfn.TEXTSPLIT(E1116,"-"),2)</f>
        <v>女装</v>
      </c>
      <c r="G1116" s="2" t="str" cm="1">
        <f t="array" ref="G1116">INDEX(_xlfn.TEXTSPLIT(E1116,"-"),3)</f>
        <v>风衣</v>
      </c>
      <c r="H1116" s="5">
        <v>46994</v>
      </c>
      <c r="I1116" s="5">
        <v>11165059.9</v>
      </c>
      <c r="J1116" s="6">
        <v>0.005</v>
      </c>
      <c r="K1116" s="6">
        <v>-0.3473</v>
      </c>
    </row>
    <row r="1117" ht="14.5" spans="1:11">
      <c r="A1117" s="3" t="str">
        <f t="shared" si="72"/>
        <v>2026年</v>
      </c>
      <c r="B1117" s="3" t="str">
        <f t="shared" si="73"/>
        <v>1月</v>
      </c>
      <c r="C1117" s="4" t="str">
        <f t="shared" si="74"/>
        <v>W5</v>
      </c>
      <c r="D1117" s="2" t="s">
        <v>768</v>
      </c>
      <c r="E1117" s="2" t="s">
        <v>738</v>
      </c>
      <c r="F1117" s="2" t="str" cm="1">
        <f t="array" ref="F1117">INDEX(_xlfn.TEXTSPLIT(E1117,"-"),2)</f>
        <v>女装</v>
      </c>
      <c r="G1117" s="2" t="str" cm="1">
        <f t="array" ref="G1117">INDEX(_xlfn.TEXTSPLIT(E1117,"-"),3)</f>
        <v>马夹</v>
      </c>
      <c r="H1117" s="5">
        <v>334870</v>
      </c>
      <c r="I1117" s="5">
        <v>32993609.77</v>
      </c>
      <c r="J1117" s="6">
        <v>0.0147</v>
      </c>
      <c r="K1117" s="6">
        <v>-0.2261</v>
      </c>
    </row>
    <row r="1118" ht="14.5" spans="1:11">
      <c r="A1118" s="3" t="str">
        <f t="shared" ref="A1118:A1181" si="75">TEXT(YEAR(D1118),"0")&amp;"年"</f>
        <v>2026年</v>
      </c>
      <c r="B1118" s="3" t="str">
        <f t="shared" ref="B1118:B1181" si="76">TEXT(MONTH(D1118),"0")&amp;"月"</f>
        <v>2月</v>
      </c>
      <c r="C1118" s="4" t="str">
        <f t="shared" ref="C1118:C1181" si="77">"W"&amp;TEXT(WEEKNUM(D1118,2),"0")</f>
        <v>W5</v>
      </c>
      <c r="D1118" s="2" t="s">
        <v>769</v>
      </c>
      <c r="E1118" s="2" t="s">
        <v>702</v>
      </c>
      <c r="F1118" s="2" t="str" cm="1">
        <f t="array" ref="F1118">INDEX(_xlfn.TEXTSPLIT(E1118,"-"),2)</f>
        <v>女装</v>
      </c>
      <c r="G1118" s="2" t="str" cm="1">
        <f t="array" ref="G1118">INDEX(_xlfn.TEXTSPLIT(E1118,"-"),3)</f>
        <v>POLO衫</v>
      </c>
      <c r="H1118" s="5">
        <v>15644</v>
      </c>
      <c r="I1118" s="5">
        <v>1008747.22</v>
      </c>
      <c r="J1118" s="6">
        <v>0.0003</v>
      </c>
      <c r="K1118" s="6">
        <v>-0.6922</v>
      </c>
    </row>
    <row r="1119" ht="14.5" spans="1:11">
      <c r="A1119" s="3" t="str">
        <f t="shared" si="75"/>
        <v>2026年</v>
      </c>
      <c r="B1119" s="3" t="str">
        <f t="shared" si="76"/>
        <v>2月</v>
      </c>
      <c r="C1119" s="4" t="str">
        <f t="shared" si="77"/>
        <v>W5</v>
      </c>
      <c r="D1119" s="2" t="s">
        <v>769</v>
      </c>
      <c r="E1119" s="2" t="s">
        <v>703</v>
      </c>
      <c r="F1119" s="2" t="str" cm="1">
        <f t="array" ref="F1119">INDEX(_xlfn.TEXTSPLIT(E1119,"-"),2)</f>
        <v>女装</v>
      </c>
      <c r="G1119" s="2" t="str" cm="1">
        <f t="array" ref="G1119">INDEX(_xlfn.TEXTSPLIT(E1119,"-"),3)</f>
        <v>T恤</v>
      </c>
      <c r="H1119" s="5">
        <v>1536438</v>
      </c>
      <c r="I1119" s="5">
        <v>91072227.53</v>
      </c>
      <c r="J1119" s="6">
        <v>0.0241</v>
      </c>
      <c r="K1119" s="6">
        <v>-0.0688</v>
      </c>
    </row>
    <row r="1120" ht="14.5" spans="1:11">
      <c r="A1120" s="3" t="str">
        <f t="shared" si="75"/>
        <v>2026年</v>
      </c>
      <c r="B1120" s="3" t="str">
        <f t="shared" si="76"/>
        <v>2月</v>
      </c>
      <c r="C1120" s="4" t="str">
        <f t="shared" si="77"/>
        <v>W5</v>
      </c>
      <c r="D1120" s="2" t="s">
        <v>769</v>
      </c>
      <c r="E1120" s="2" t="s">
        <v>704</v>
      </c>
      <c r="F1120" s="2" t="str" cm="1">
        <f t="array" ref="F1120">INDEX(_xlfn.TEXTSPLIT(E1120,"-"),2)</f>
        <v>女装</v>
      </c>
      <c r="G1120" s="2" t="str" cm="1">
        <f t="array" ref="G1120">INDEX(_xlfn.TEXTSPLIT(E1120,"-"),3)</f>
        <v>中老年女装</v>
      </c>
      <c r="H1120" s="5">
        <v>525633</v>
      </c>
      <c r="I1120" s="5">
        <v>65223281.01</v>
      </c>
      <c r="J1120" s="6">
        <v>0.0173</v>
      </c>
      <c r="K1120" s="6">
        <v>-0.0305</v>
      </c>
    </row>
    <row r="1121" ht="14.5" spans="1:11">
      <c r="A1121" s="3" t="str">
        <f t="shared" si="75"/>
        <v>2026年</v>
      </c>
      <c r="B1121" s="3" t="str">
        <f t="shared" si="76"/>
        <v>2月</v>
      </c>
      <c r="C1121" s="4" t="str">
        <f t="shared" si="77"/>
        <v>W5</v>
      </c>
      <c r="D1121" s="2" t="s">
        <v>769</v>
      </c>
      <c r="E1121" s="2" t="s">
        <v>705</v>
      </c>
      <c r="F1121" s="2" t="str" cm="1">
        <f t="array" ref="F1121">INDEX(_xlfn.TEXTSPLIT(E1121,"-"),2)</f>
        <v>女装</v>
      </c>
      <c r="G1121" s="2" t="str" cm="1">
        <f t="array" ref="G1121">INDEX(_xlfn.TEXTSPLIT(E1121,"-"),3)</f>
        <v>半身裙</v>
      </c>
      <c r="H1121" s="5">
        <v>842216</v>
      </c>
      <c r="I1121" s="5">
        <v>76713248.92</v>
      </c>
      <c r="J1121" s="6">
        <v>0.0203</v>
      </c>
      <c r="K1121" s="7">
        <v>-0.06</v>
      </c>
    </row>
    <row r="1122" ht="14.5" spans="1:11">
      <c r="A1122" s="3" t="str">
        <f t="shared" si="75"/>
        <v>2026年</v>
      </c>
      <c r="B1122" s="3" t="str">
        <f t="shared" si="76"/>
        <v>2月</v>
      </c>
      <c r="C1122" s="4" t="str">
        <f t="shared" si="77"/>
        <v>W5</v>
      </c>
      <c r="D1122" s="2" t="s">
        <v>769</v>
      </c>
      <c r="E1122" s="2" t="s">
        <v>706</v>
      </c>
      <c r="F1122" s="2" t="str" cm="1">
        <f t="array" ref="F1122">INDEX(_xlfn.TEXTSPLIT(E1122,"-"),2)</f>
        <v>女装</v>
      </c>
      <c r="G1122" s="2" t="str" cm="1">
        <f t="array" ref="G1122">INDEX(_xlfn.TEXTSPLIT(E1122,"-"),3)</f>
        <v>卫衣/绒衫</v>
      </c>
      <c r="H1122" s="5">
        <v>527139</v>
      </c>
      <c r="I1122" s="5">
        <v>40693645.18</v>
      </c>
      <c r="J1122" s="6">
        <v>0.0108</v>
      </c>
      <c r="K1122" s="6">
        <v>-0.091</v>
      </c>
    </row>
    <row r="1123" ht="14.5" spans="1:11">
      <c r="A1123" s="3" t="str">
        <f t="shared" si="75"/>
        <v>2026年</v>
      </c>
      <c r="B1123" s="3" t="str">
        <f t="shared" si="76"/>
        <v>2月</v>
      </c>
      <c r="C1123" s="4" t="str">
        <f t="shared" si="77"/>
        <v>W5</v>
      </c>
      <c r="D1123" s="2" t="s">
        <v>769</v>
      </c>
      <c r="E1123" s="2" t="s">
        <v>707</v>
      </c>
      <c r="F1123" s="2" t="str" cm="1">
        <f t="array" ref="F1123">INDEX(_xlfn.TEXTSPLIT(E1123,"-"),2)</f>
        <v>女装</v>
      </c>
      <c r="G1123" s="2" t="str" cm="1">
        <f t="array" ref="G1123">INDEX(_xlfn.TEXTSPLIT(E1123,"-"),3)</f>
        <v>唐装/民族服装/舞台服装</v>
      </c>
      <c r="H1123" s="5">
        <v>247490</v>
      </c>
      <c r="I1123" s="5">
        <v>50500998.13</v>
      </c>
      <c r="J1123" s="6">
        <v>0.0134</v>
      </c>
      <c r="K1123" s="6">
        <v>-0.0726</v>
      </c>
    </row>
    <row r="1124" ht="14.5" spans="1:11">
      <c r="A1124" s="3" t="str">
        <f t="shared" si="75"/>
        <v>2026年</v>
      </c>
      <c r="B1124" s="3" t="str">
        <f t="shared" si="76"/>
        <v>2月</v>
      </c>
      <c r="C1124" s="4" t="str">
        <f t="shared" si="77"/>
        <v>W5</v>
      </c>
      <c r="D1124" s="2" t="s">
        <v>769</v>
      </c>
      <c r="E1124" s="2" t="s">
        <v>708</v>
      </c>
      <c r="F1124" s="2" t="str" cm="1">
        <f t="array" ref="F1124">INDEX(_xlfn.TEXTSPLIT(E1124,"-"),2)</f>
        <v>女装</v>
      </c>
      <c r="G1124" s="2" t="str" cm="1">
        <f t="array" ref="G1124">INDEX(_xlfn.TEXTSPLIT(E1124,"-"),3)</f>
        <v>大码女装</v>
      </c>
      <c r="H1124" s="5">
        <v>675847</v>
      </c>
      <c r="I1124" s="5">
        <v>63214236.88</v>
      </c>
      <c r="J1124" s="6">
        <v>0.0167</v>
      </c>
      <c r="K1124" s="6">
        <v>-0.0581</v>
      </c>
    </row>
    <row r="1125" ht="14.5" spans="1:11">
      <c r="A1125" s="3" t="str">
        <f t="shared" si="75"/>
        <v>2026年</v>
      </c>
      <c r="B1125" s="3" t="str">
        <f t="shared" si="76"/>
        <v>2月</v>
      </c>
      <c r="C1125" s="4" t="str">
        <f t="shared" si="77"/>
        <v>W5</v>
      </c>
      <c r="D1125" s="2" t="s">
        <v>769</v>
      </c>
      <c r="E1125" s="2" t="s">
        <v>709</v>
      </c>
      <c r="F1125" s="2" t="str" cm="1">
        <f t="array" ref="F1125">INDEX(_xlfn.TEXTSPLIT(E1125,"-"),2)</f>
        <v>女装</v>
      </c>
      <c r="G1125" s="2" t="str" cm="1">
        <f t="array" ref="G1125">INDEX(_xlfn.TEXTSPLIT(E1125,"-"),3)</f>
        <v>套装/学生校服/工作制服</v>
      </c>
      <c r="H1125" s="5">
        <v>999409</v>
      </c>
      <c r="I1125" s="5">
        <v>139017883.75</v>
      </c>
      <c r="J1125" s="6">
        <v>0.0368</v>
      </c>
      <c r="K1125" s="6">
        <v>-0.0406</v>
      </c>
    </row>
    <row r="1126" ht="14.5" spans="1:11">
      <c r="A1126" s="3" t="str">
        <f t="shared" si="75"/>
        <v>2026年</v>
      </c>
      <c r="B1126" s="3" t="str">
        <f t="shared" si="76"/>
        <v>2月</v>
      </c>
      <c r="C1126" s="4" t="str">
        <f t="shared" si="77"/>
        <v>W5</v>
      </c>
      <c r="D1126" s="2" t="s">
        <v>769</v>
      </c>
      <c r="E1126" s="2" t="s">
        <v>710</v>
      </c>
      <c r="F1126" s="2" t="str" cm="1">
        <f t="array" ref="F1126">INDEX(_xlfn.TEXTSPLIT(E1126,"-"),2)</f>
        <v>女装</v>
      </c>
      <c r="G1126" s="2" t="str" cm="1">
        <f t="array" ref="G1126">INDEX(_xlfn.TEXTSPLIT(E1126,"-"),3)</f>
        <v>婚纱/旗袍/礼服</v>
      </c>
      <c r="H1126" s="5">
        <v>65803</v>
      </c>
      <c r="I1126" s="5">
        <v>10320585.81</v>
      </c>
      <c r="J1126" s="6">
        <v>0.0027</v>
      </c>
      <c r="K1126" s="6">
        <v>-0.0255</v>
      </c>
    </row>
    <row r="1127" ht="14.5" spans="1:11">
      <c r="A1127" s="3" t="str">
        <f t="shared" si="75"/>
        <v>2026年</v>
      </c>
      <c r="B1127" s="3" t="str">
        <f t="shared" si="76"/>
        <v>2月</v>
      </c>
      <c r="C1127" s="4" t="str">
        <f t="shared" si="77"/>
        <v>W5</v>
      </c>
      <c r="D1127" s="2" t="s">
        <v>769</v>
      </c>
      <c r="E1127" s="2" t="s">
        <v>711</v>
      </c>
      <c r="F1127" s="2" t="str" cm="1">
        <f t="array" ref="F1127">INDEX(_xlfn.TEXTSPLIT(E1127,"-"),2)</f>
        <v>女装</v>
      </c>
      <c r="G1127" s="2" t="str" cm="1">
        <f t="array" ref="G1127">INDEX(_xlfn.TEXTSPLIT(E1127,"-"),3)</f>
        <v>新中式女装</v>
      </c>
      <c r="H1127" s="5">
        <v>100161</v>
      </c>
      <c r="I1127" s="5">
        <v>12440226.21</v>
      </c>
      <c r="J1127" s="6">
        <v>0.0033</v>
      </c>
      <c r="K1127" s="6">
        <v>-0.1749</v>
      </c>
    </row>
    <row r="1128" ht="14.5" spans="1:11">
      <c r="A1128" s="3" t="str">
        <f t="shared" si="75"/>
        <v>2026年</v>
      </c>
      <c r="B1128" s="3" t="str">
        <f t="shared" si="76"/>
        <v>2月</v>
      </c>
      <c r="C1128" s="4" t="str">
        <f t="shared" si="77"/>
        <v>W5</v>
      </c>
      <c r="D1128" s="2" t="s">
        <v>769</v>
      </c>
      <c r="E1128" s="2" t="s">
        <v>712</v>
      </c>
      <c r="F1128" s="2" t="str" cm="1">
        <f t="array" ref="F1128">INDEX(_xlfn.TEXTSPLIT(E1128,"-"),2)</f>
        <v>女装</v>
      </c>
      <c r="G1128" s="2" t="str" cm="1">
        <f t="array" ref="G1128">INDEX(_xlfn.TEXTSPLIT(E1128,"-"),3)</f>
        <v>时尚防晒服</v>
      </c>
      <c r="H1128" s="5">
        <v>271</v>
      </c>
      <c r="I1128" s="5">
        <v>36185.92</v>
      </c>
      <c r="J1128" s="2" t="s">
        <v>713</v>
      </c>
      <c r="K1128" s="6">
        <v>-0.5262</v>
      </c>
    </row>
    <row r="1129" ht="14.5" spans="1:11">
      <c r="A1129" s="3" t="str">
        <f t="shared" si="75"/>
        <v>2026年</v>
      </c>
      <c r="B1129" s="3" t="str">
        <f t="shared" si="76"/>
        <v>2月</v>
      </c>
      <c r="C1129" s="4" t="str">
        <f t="shared" si="77"/>
        <v>W5</v>
      </c>
      <c r="D1129" s="2" t="s">
        <v>769</v>
      </c>
      <c r="E1129" s="2" t="s">
        <v>714</v>
      </c>
      <c r="F1129" s="2" t="str" cm="1">
        <f t="array" ref="F1129">INDEX(_xlfn.TEXTSPLIT(E1129,"-"),2)</f>
        <v>女装</v>
      </c>
      <c r="G1129" s="2" t="str" cm="1">
        <f t="array" ref="G1129">INDEX(_xlfn.TEXTSPLIT(E1129,"-"),3)</f>
        <v>棉衣/棉服</v>
      </c>
      <c r="H1129" s="5">
        <v>720627</v>
      </c>
      <c r="I1129" s="5">
        <v>88869621.83</v>
      </c>
      <c r="J1129" s="6">
        <v>0.0235</v>
      </c>
      <c r="K1129" s="6">
        <v>-0.0529</v>
      </c>
    </row>
    <row r="1130" ht="14.5" spans="1:11">
      <c r="A1130" s="3" t="str">
        <f t="shared" si="75"/>
        <v>2026年</v>
      </c>
      <c r="B1130" s="3" t="str">
        <f t="shared" si="76"/>
        <v>2月</v>
      </c>
      <c r="C1130" s="4" t="str">
        <f t="shared" si="77"/>
        <v>W5</v>
      </c>
      <c r="D1130" s="2" t="s">
        <v>769</v>
      </c>
      <c r="E1130" s="2" t="s">
        <v>715</v>
      </c>
      <c r="F1130" s="2" t="str" cm="1">
        <f t="array" ref="F1130">INDEX(_xlfn.TEXTSPLIT(E1130,"-"),2)</f>
        <v>女装</v>
      </c>
      <c r="G1130" s="2" t="str" cm="1">
        <f t="array" ref="G1130">INDEX(_xlfn.TEXTSPLIT(E1130,"-"),3)</f>
        <v>毛呢外套</v>
      </c>
      <c r="H1130" s="5">
        <v>984474</v>
      </c>
      <c r="I1130" s="5">
        <v>397708836.03</v>
      </c>
      <c r="J1130" s="6">
        <v>0.1053</v>
      </c>
      <c r="K1130" s="6">
        <v>0.0466</v>
      </c>
    </row>
    <row r="1131" ht="14.5" spans="1:11">
      <c r="A1131" s="3" t="str">
        <f t="shared" si="75"/>
        <v>2026年</v>
      </c>
      <c r="B1131" s="3" t="str">
        <f t="shared" si="76"/>
        <v>2月</v>
      </c>
      <c r="C1131" s="4" t="str">
        <f t="shared" si="77"/>
        <v>W5</v>
      </c>
      <c r="D1131" s="2" t="s">
        <v>769</v>
      </c>
      <c r="E1131" s="2" t="s">
        <v>716</v>
      </c>
      <c r="F1131" s="2" t="str" cm="1">
        <f t="array" ref="F1131">INDEX(_xlfn.TEXTSPLIT(E1131,"-"),2)</f>
        <v>女装</v>
      </c>
      <c r="G1131" s="2" t="str" cm="1">
        <f t="array" ref="G1131">INDEX(_xlfn.TEXTSPLIT(E1131,"-"),3)</f>
        <v>毛衣</v>
      </c>
      <c r="H1131" s="5">
        <v>548605</v>
      </c>
      <c r="I1131" s="5">
        <v>47616846.79</v>
      </c>
      <c r="J1131" s="6">
        <v>0.0126</v>
      </c>
      <c r="K1131" s="6">
        <v>-0.0359</v>
      </c>
    </row>
    <row r="1132" ht="14.5" spans="1:11">
      <c r="A1132" s="3" t="str">
        <f t="shared" si="75"/>
        <v>2026年</v>
      </c>
      <c r="B1132" s="3" t="str">
        <f t="shared" si="76"/>
        <v>2月</v>
      </c>
      <c r="C1132" s="4" t="str">
        <f t="shared" si="77"/>
        <v>W5</v>
      </c>
      <c r="D1132" s="2" t="s">
        <v>769</v>
      </c>
      <c r="E1132" s="2" t="s">
        <v>717</v>
      </c>
      <c r="F1132" s="2" t="str" cm="1">
        <f t="array" ref="F1132">INDEX(_xlfn.TEXTSPLIT(E1132,"-"),2)</f>
        <v>女装</v>
      </c>
      <c r="G1132" s="2" t="str" cm="1">
        <f t="array" ref="G1132">INDEX(_xlfn.TEXTSPLIT(E1132,"-"),3)</f>
        <v>毛针织衫</v>
      </c>
      <c r="H1132" s="5">
        <v>2501117</v>
      </c>
      <c r="I1132" s="5">
        <v>208449858.49</v>
      </c>
      <c r="J1132" s="6">
        <v>0.0552</v>
      </c>
      <c r="K1132" s="6">
        <v>-0.0525</v>
      </c>
    </row>
    <row r="1133" ht="14.5" spans="1:11">
      <c r="A1133" s="3" t="str">
        <f t="shared" si="75"/>
        <v>2026年</v>
      </c>
      <c r="B1133" s="3" t="str">
        <f t="shared" si="76"/>
        <v>2月</v>
      </c>
      <c r="C1133" s="4" t="str">
        <f t="shared" si="77"/>
        <v>W5</v>
      </c>
      <c r="D1133" s="2" t="s">
        <v>769</v>
      </c>
      <c r="E1133" s="2" t="s">
        <v>718</v>
      </c>
      <c r="F1133" s="2" t="str" cm="1">
        <f t="array" ref="F1133">INDEX(_xlfn.TEXTSPLIT(E1133,"-"),2)</f>
        <v>女装</v>
      </c>
      <c r="G1133" s="2" t="str" cm="1">
        <f t="array" ref="G1133">INDEX(_xlfn.TEXTSPLIT(E1133,"-"),3)</f>
        <v>汉服</v>
      </c>
      <c r="H1133" s="5">
        <v>147706</v>
      </c>
      <c r="I1133" s="5">
        <v>64867436.72</v>
      </c>
      <c r="J1133" s="6">
        <v>0.0172</v>
      </c>
      <c r="K1133" s="7">
        <v>-0.21</v>
      </c>
    </row>
    <row r="1134" ht="14.5" spans="1:11">
      <c r="A1134" s="3" t="str">
        <f t="shared" si="75"/>
        <v>2026年</v>
      </c>
      <c r="B1134" s="3" t="str">
        <f t="shared" si="76"/>
        <v>2月</v>
      </c>
      <c r="C1134" s="4" t="str">
        <f t="shared" si="77"/>
        <v>W5</v>
      </c>
      <c r="D1134" s="2" t="s">
        <v>769</v>
      </c>
      <c r="E1134" s="2" t="s">
        <v>719</v>
      </c>
      <c r="F1134" s="2" t="str" cm="1">
        <f t="array" ref="F1134">INDEX(_xlfn.TEXTSPLIT(E1134,"-"),2)</f>
        <v>女装</v>
      </c>
      <c r="G1134" s="2" t="str" cm="1">
        <f t="array" ref="G1134">INDEX(_xlfn.TEXTSPLIT(E1134,"-"),3)</f>
        <v>派克服</v>
      </c>
      <c r="H1134" s="5">
        <v>61935</v>
      </c>
      <c r="I1134" s="5">
        <v>15645580.37</v>
      </c>
      <c r="J1134" s="6">
        <v>0.0041</v>
      </c>
      <c r="K1134" s="6">
        <v>-0.0409</v>
      </c>
    </row>
    <row r="1135" ht="14.5" spans="1:11">
      <c r="A1135" s="3" t="str">
        <f t="shared" si="75"/>
        <v>2026年</v>
      </c>
      <c r="B1135" s="3" t="str">
        <f t="shared" si="76"/>
        <v>2月</v>
      </c>
      <c r="C1135" s="4" t="str">
        <f t="shared" si="77"/>
        <v>W5</v>
      </c>
      <c r="D1135" s="2" t="s">
        <v>769</v>
      </c>
      <c r="E1135" s="2" t="s">
        <v>720</v>
      </c>
      <c r="F1135" s="2" t="str" cm="1">
        <f t="array" ref="F1135">INDEX(_xlfn.TEXTSPLIT(E1135,"-"),2)</f>
        <v>女装</v>
      </c>
      <c r="G1135" s="2" t="str" cm="1">
        <f t="array" ref="G1135">INDEX(_xlfn.TEXTSPLIT(E1135,"-"),3)</f>
        <v>皮草</v>
      </c>
      <c r="H1135" s="5">
        <v>242000</v>
      </c>
      <c r="I1135" s="5">
        <v>382828287.63</v>
      </c>
      <c r="J1135" s="6">
        <v>0.1014</v>
      </c>
      <c r="K1135" s="6">
        <v>-0.1377</v>
      </c>
    </row>
    <row r="1136" ht="14.5" spans="1:11">
      <c r="A1136" s="3" t="str">
        <f t="shared" si="75"/>
        <v>2026年</v>
      </c>
      <c r="B1136" s="3" t="str">
        <f t="shared" si="76"/>
        <v>2月</v>
      </c>
      <c r="C1136" s="4" t="str">
        <f t="shared" si="77"/>
        <v>W5</v>
      </c>
      <c r="D1136" s="2" t="s">
        <v>769</v>
      </c>
      <c r="E1136" s="2" t="s">
        <v>721</v>
      </c>
      <c r="F1136" s="2" t="str" cm="1">
        <f t="array" ref="F1136">INDEX(_xlfn.TEXTSPLIT(E1136,"-"),2)</f>
        <v>女装</v>
      </c>
      <c r="G1136" s="2" t="str" cm="1">
        <f t="array" ref="G1136">INDEX(_xlfn.TEXTSPLIT(E1136,"-"),3)</f>
        <v>皮衣</v>
      </c>
      <c r="H1136" s="5">
        <v>164903</v>
      </c>
      <c r="I1136" s="5">
        <v>66032627.49</v>
      </c>
      <c r="J1136" s="6">
        <v>0.0175</v>
      </c>
      <c r="K1136" s="6">
        <v>-0.0652</v>
      </c>
    </row>
    <row r="1137" ht="14.5" spans="1:11">
      <c r="A1137" s="3" t="str">
        <f t="shared" si="75"/>
        <v>2026年</v>
      </c>
      <c r="B1137" s="3" t="str">
        <f t="shared" si="76"/>
        <v>2月</v>
      </c>
      <c r="C1137" s="4" t="str">
        <f t="shared" si="77"/>
        <v>W5</v>
      </c>
      <c r="D1137" s="2" t="s">
        <v>769</v>
      </c>
      <c r="E1137" s="2" t="s">
        <v>722</v>
      </c>
      <c r="F1137" s="2" t="str" cm="1">
        <f t="array" ref="F1137">INDEX(_xlfn.TEXTSPLIT(E1137,"-"),2)</f>
        <v>女装</v>
      </c>
      <c r="G1137" s="2" t="str" cm="1">
        <f t="array" ref="G1137">INDEX(_xlfn.TEXTSPLIT(E1137,"-"),3)</f>
        <v>短外套</v>
      </c>
      <c r="H1137" s="5">
        <v>1418315</v>
      </c>
      <c r="I1137" s="5">
        <v>309687430.8</v>
      </c>
      <c r="J1137" s="6">
        <v>0.082</v>
      </c>
      <c r="K1137" s="6">
        <v>-0.001</v>
      </c>
    </row>
    <row r="1138" ht="14.5" spans="1:11">
      <c r="A1138" s="3" t="str">
        <f t="shared" si="75"/>
        <v>2026年</v>
      </c>
      <c r="B1138" s="3" t="str">
        <f t="shared" si="76"/>
        <v>2月</v>
      </c>
      <c r="C1138" s="4" t="str">
        <f t="shared" si="77"/>
        <v>W5</v>
      </c>
      <c r="D1138" s="2" t="s">
        <v>769</v>
      </c>
      <c r="E1138" s="2" t="s">
        <v>723</v>
      </c>
      <c r="F1138" s="2" t="str" cm="1">
        <f t="array" ref="F1138">INDEX(_xlfn.TEXTSPLIT(E1138,"-"),2)</f>
        <v>女装</v>
      </c>
      <c r="G1138" s="2" t="str" cm="1">
        <f t="array" ref="G1138">INDEX(_xlfn.TEXTSPLIT(E1138,"-"),3)</f>
        <v>短裤</v>
      </c>
      <c r="H1138" s="5">
        <v>135466</v>
      </c>
      <c r="I1138" s="5">
        <v>7623839.72</v>
      </c>
      <c r="J1138" s="6">
        <v>0.002</v>
      </c>
      <c r="K1138" s="6">
        <v>-0.1363</v>
      </c>
    </row>
    <row r="1139" ht="14.5" spans="1:11">
      <c r="A1139" s="3" t="str">
        <f t="shared" si="75"/>
        <v>2026年</v>
      </c>
      <c r="B1139" s="3" t="str">
        <f t="shared" si="76"/>
        <v>2月</v>
      </c>
      <c r="C1139" s="4" t="str">
        <f t="shared" si="77"/>
        <v>W5</v>
      </c>
      <c r="D1139" s="2" t="s">
        <v>769</v>
      </c>
      <c r="E1139" s="2" t="s">
        <v>724</v>
      </c>
      <c r="F1139" s="2" t="str" cm="1">
        <f t="array" ref="F1139">INDEX(_xlfn.TEXTSPLIT(E1139,"-"),2)</f>
        <v>女装</v>
      </c>
      <c r="G1139" s="2" t="str" cm="1">
        <f t="array" ref="G1139">INDEX(_xlfn.TEXTSPLIT(E1139,"-"),3)</f>
        <v>羊毛衫</v>
      </c>
      <c r="H1139" s="5">
        <v>522015</v>
      </c>
      <c r="I1139" s="5">
        <v>70437689.34</v>
      </c>
      <c r="J1139" s="6">
        <v>0.0187</v>
      </c>
      <c r="K1139" s="6">
        <v>0.0592</v>
      </c>
    </row>
    <row r="1140" ht="14.5" spans="1:11">
      <c r="A1140" s="3" t="str">
        <f t="shared" si="75"/>
        <v>2026年</v>
      </c>
      <c r="B1140" s="3" t="str">
        <f t="shared" si="76"/>
        <v>2月</v>
      </c>
      <c r="C1140" s="4" t="str">
        <f t="shared" si="77"/>
        <v>W5</v>
      </c>
      <c r="D1140" s="2" t="s">
        <v>769</v>
      </c>
      <c r="E1140" s="2" t="s">
        <v>725</v>
      </c>
      <c r="F1140" s="2" t="str" cm="1">
        <f t="array" ref="F1140">INDEX(_xlfn.TEXTSPLIT(E1140,"-"),2)</f>
        <v>女装</v>
      </c>
      <c r="G1140" s="2" t="str" cm="1">
        <f t="array" ref="G1140">INDEX(_xlfn.TEXTSPLIT(E1140,"-"),3)</f>
        <v>羊绒大衣</v>
      </c>
      <c r="H1140" s="5">
        <v>6828</v>
      </c>
      <c r="I1140" s="5">
        <v>4020959.33</v>
      </c>
      <c r="J1140" s="6">
        <v>0.0011</v>
      </c>
      <c r="K1140" s="6">
        <v>0.0244</v>
      </c>
    </row>
    <row r="1141" ht="14.5" spans="1:11">
      <c r="A1141" s="3" t="str">
        <f t="shared" si="75"/>
        <v>2026年</v>
      </c>
      <c r="B1141" s="3" t="str">
        <f t="shared" si="76"/>
        <v>2月</v>
      </c>
      <c r="C1141" s="4" t="str">
        <f t="shared" si="77"/>
        <v>W5</v>
      </c>
      <c r="D1141" s="2" t="s">
        <v>769</v>
      </c>
      <c r="E1141" s="2" t="s">
        <v>726</v>
      </c>
      <c r="F1141" s="2" t="str" cm="1">
        <f t="array" ref="F1141">INDEX(_xlfn.TEXTSPLIT(E1141,"-"),2)</f>
        <v>女装</v>
      </c>
      <c r="G1141" s="2" t="str" cm="1">
        <f t="array" ref="G1141">INDEX(_xlfn.TEXTSPLIT(E1141,"-"),3)</f>
        <v>羊绒衫</v>
      </c>
      <c r="H1141" s="5">
        <v>113972</v>
      </c>
      <c r="I1141" s="5">
        <v>48560117.09</v>
      </c>
      <c r="J1141" s="6">
        <v>0.0129</v>
      </c>
      <c r="K1141" s="6">
        <v>-0.1012</v>
      </c>
    </row>
    <row r="1142" ht="14.5" spans="1:11">
      <c r="A1142" s="3" t="str">
        <f t="shared" si="75"/>
        <v>2026年</v>
      </c>
      <c r="B1142" s="3" t="str">
        <f t="shared" si="76"/>
        <v>2月</v>
      </c>
      <c r="C1142" s="4" t="str">
        <f t="shared" si="77"/>
        <v>W5</v>
      </c>
      <c r="D1142" s="2" t="s">
        <v>769</v>
      </c>
      <c r="E1142" s="2" t="s">
        <v>727</v>
      </c>
      <c r="F1142" s="2" t="str" cm="1">
        <f t="array" ref="F1142">INDEX(_xlfn.TEXTSPLIT(E1142,"-"),2)</f>
        <v>女装</v>
      </c>
      <c r="G1142" s="2" t="str" cm="1">
        <f t="array" ref="G1142">INDEX(_xlfn.TEXTSPLIT(E1142,"-"),3)</f>
        <v>羽绒服</v>
      </c>
      <c r="H1142" s="5">
        <v>1779691</v>
      </c>
      <c r="I1142" s="5">
        <v>717500351.47</v>
      </c>
      <c r="J1142" s="7">
        <v>0.19</v>
      </c>
      <c r="K1142" s="6">
        <v>-0.0049</v>
      </c>
    </row>
    <row r="1143" ht="14.5" spans="1:11">
      <c r="A1143" s="3" t="str">
        <f t="shared" si="75"/>
        <v>2026年</v>
      </c>
      <c r="B1143" s="3" t="str">
        <f t="shared" si="76"/>
        <v>2月</v>
      </c>
      <c r="C1143" s="4" t="str">
        <f t="shared" si="77"/>
        <v>W5</v>
      </c>
      <c r="D1143" s="2" t="s">
        <v>769</v>
      </c>
      <c r="E1143" s="2" t="s">
        <v>728</v>
      </c>
      <c r="F1143" s="2" t="str" cm="1">
        <f t="array" ref="F1143">INDEX(_xlfn.TEXTSPLIT(E1143,"-"),2)</f>
        <v>女装</v>
      </c>
      <c r="G1143" s="2" t="str" cm="1">
        <f t="array" ref="G1143">INDEX(_xlfn.TEXTSPLIT(E1143,"-"),3)</f>
        <v>肌底衣/肌肤衣</v>
      </c>
      <c r="H1143" s="5">
        <v>4874</v>
      </c>
      <c r="I1143" s="5">
        <v>232867.28</v>
      </c>
      <c r="J1143" s="6">
        <v>0.0001</v>
      </c>
      <c r="K1143" s="6">
        <v>-0.1568</v>
      </c>
    </row>
    <row r="1144" ht="14.5" spans="1:11">
      <c r="A1144" s="3" t="str">
        <f t="shared" si="75"/>
        <v>2026年</v>
      </c>
      <c r="B1144" s="3" t="str">
        <f t="shared" si="76"/>
        <v>2月</v>
      </c>
      <c r="C1144" s="4" t="str">
        <f t="shared" si="77"/>
        <v>W5</v>
      </c>
      <c r="D1144" s="2" t="s">
        <v>769</v>
      </c>
      <c r="E1144" s="2" t="s">
        <v>729</v>
      </c>
      <c r="F1144" s="2" t="str" cm="1">
        <f t="array" ref="F1144">INDEX(_xlfn.TEXTSPLIT(E1144,"-"),2)</f>
        <v>女装</v>
      </c>
      <c r="G1144" s="2" t="str" cm="1">
        <f t="array" ref="G1144">INDEX(_xlfn.TEXTSPLIT(E1144,"-"),3)</f>
        <v>背心吊带</v>
      </c>
      <c r="H1144" s="5">
        <v>277065</v>
      </c>
      <c r="I1144" s="5">
        <v>15851909.8</v>
      </c>
      <c r="J1144" s="6">
        <v>0.0042</v>
      </c>
      <c r="K1144" s="6">
        <v>-0.027</v>
      </c>
    </row>
    <row r="1145" ht="14.5" spans="1:11">
      <c r="A1145" s="3" t="str">
        <f t="shared" si="75"/>
        <v>2026年</v>
      </c>
      <c r="B1145" s="3" t="str">
        <f t="shared" si="76"/>
        <v>2月</v>
      </c>
      <c r="C1145" s="4" t="str">
        <f t="shared" si="77"/>
        <v>W5</v>
      </c>
      <c r="D1145" s="2" t="s">
        <v>769</v>
      </c>
      <c r="E1145" s="2" t="s">
        <v>730</v>
      </c>
      <c r="F1145" s="2" t="str" cm="1">
        <f t="array" ref="F1145">INDEX(_xlfn.TEXTSPLIT(E1145,"-"),2)</f>
        <v>女装</v>
      </c>
      <c r="G1145" s="2" t="str" cm="1">
        <f t="array" ref="G1145">INDEX(_xlfn.TEXTSPLIT(E1145,"-"),3)</f>
        <v>蕾丝衫/雪纺衫</v>
      </c>
      <c r="H1145" s="5">
        <v>190993</v>
      </c>
      <c r="I1145" s="5">
        <v>13420728.92</v>
      </c>
      <c r="J1145" s="6">
        <v>0.0036</v>
      </c>
      <c r="K1145" s="6">
        <v>-0.1085</v>
      </c>
    </row>
    <row r="1146" ht="14.5" spans="1:11">
      <c r="A1146" s="3" t="str">
        <f t="shared" si="75"/>
        <v>2026年</v>
      </c>
      <c r="B1146" s="3" t="str">
        <f t="shared" si="76"/>
        <v>2月</v>
      </c>
      <c r="C1146" s="4" t="str">
        <f t="shared" si="77"/>
        <v>W5</v>
      </c>
      <c r="D1146" s="2" t="s">
        <v>769</v>
      </c>
      <c r="E1146" s="2" t="s">
        <v>731</v>
      </c>
      <c r="F1146" s="2" t="str" cm="1">
        <f t="array" ref="F1146">INDEX(_xlfn.TEXTSPLIT(E1146,"-"),2)</f>
        <v>女装</v>
      </c>
      <c r="G1146" s="2" t="str" cm="1">
        <f t="array" ref="G1146">INDEX(_xlfn.TEXTSPLIT(E1146,"-"),3)</f>
        <v>衬衫</v>
      </c>
      <c r="H1146" s="5">
        <v>484704</v>
      </c>
      <c r="I1146" s="5">
        <v>57039830.37</v>
      </c>
      <c r="J1146" s="6">
        <v>0.0151</v>
      </c>
      <c r="K1146" s="6">
        <v>-0.2157</v>
      </c>
    </row>
    <row r="1147" ht="14.5" spans="1:11">
      <c r="A1147" s="3" t="str">
        <f t="shared" si="75"/>
        <v>2026年</v>
      </c>
      <c r="B1147" s="3" t="str">
        <f t="shared" si="76"/>
        <v>2月</v>
      </c>
      <c r="C1147" s="4" t="str">
        <f t="shared" si="77"/>
        <v>W5</v>
      </c>
      <c r="D1147" s="2" t="s">
        <v>769</v>
      </c>
      <c r="E1147" s="2" t="s">
        <v>732</v>
      </c>
      <c r="F1147" s="2" t="str" cm="1">
        <f t="array" ref="F1147">INDEX(_xlfn.TEXTSPLIT(E1147,"-"),2)</f>
        <v>女装</v>
      </c>
      <c r="G1147" s="2" t="str" cm="1">
        <f t="array" ref="G1147">INDEX(_xlfn.TEXTSPLIT(E1147,"-"),3)</f>
        <v>裤子</v>
      </c>
      <c r="H1147" s="5">
        <v>4575693</v>
      </c>
      <c r="I1147" s="5">
        <v>446438047.34</v>
      </c>
      <c r="J1147" s="6">
        <v>0.1182</v>
      </c>
      <c r="K1147" s="6">
        <v>-0.0361</v>
      </c>
    </row>
    <row r="1148" ht="14.5" spans="1:11">
      <c r="A1148" s="3" t="str">
        <f t="shared" si="75"/>
        <v>2026年</v>
      </c>
      <c r="B1148" s="3" t="str">
        <f t="shared" si="76"/>
        <v>2月</v>
      </c>
      <c r="C1148" s="4" t="str">
        <f t="shared" si="77"/>
        <v>W5</v>
      </c>
      <c r="D1148" s="2" t="s">
        <v>769</v>
      </c>
      <c r="E1148" s="2" t="s">
        <v>733</v>
      </c>
      <c r="F1148" s="2" t="str" cm="1">
        <f t="array" ref="F1148">INDEX(_xlfn.TEXTSPLIT(E1148,"-"),2)</f>
        <v>女装</v>
      </c>
      <c r="G1148" s="2" t="str" cm="1">
        <f t="array" ref="G1148">INDEX(_xlfn.TEXTSPLIT(E1148,"-"),3)</f>
        <v>西装</v>
      </c>
      <c r="H1148" s="5">
        <v>70141</v>
      </c>
      <c r="I1148" s="5">
        <v>20252685.64</v>
      </c>
      <c r="J1148" s="6">
        <v>0.0054</v>
      </c>
      <c r="K1148" s="6">
        <v>-0.0215</v>
      </c>
    </row>
    <row r="1149" ht="14.5" spans="1:11">
      <c r="A1149" s="3" t="str">
        <f t="shared" si="75"/>
        <v>2026年</v>
      </c>
      <c r="B1149" s="3" t="str">
        <f t="shared" si="76"/>
        <v>2月</v>
      </c>
      <c r="C1149" s="4" t="str">
        <f t="shared" si="77"/>
        <v>W5</v>
      </c>
      <c r="D1149" s="2" t="s">
        <v>769</v>
      </c>
      <c r="E1149" s="2" t="s">
        <v>734</v>
      </c>
      <c r="F1149" s="2" t="str" cm="1">
        <f t="array" ref="F1149">INDEX(_xlfn.TEXTSPLIT(E1149,"-"),2)</f>
        <v>女装</v>
      </c>
      <c r="G1149" s="2" t="str" cm="1">
        <f t="array" ref="G1149">INDEX(_xlfn.TEXTSPLIT(E1149,"-"),3)</f>
        <v>设计师/潮牌女装</v>
      </c>
      <c r="H1149" s="5">
        <v>495243</v>
      </c>
      <c r="I1149" s="5">
        <v>58176749.25</v>
      </c>
      <c r="J1149" s="6">
        <v>0.0154</v>
      </c>
      <c r="K1149" s="6">
        <v>-0.0961</v>
      </c>
    </row>
    <row r="1150" ht="14.5" spans="1:11">
      <c r="A1150" s="3" t="str">
        <f t="shared" si="75"/>
        <v>2026年</v>
      </c>
      <c r="B1150" s="3" t="str">
        <f t="shared" si="76"/>
        <v>2月</v>
      </c>
      <c r="C1150" s="4" t="str">
        <f t="shared" si="77"/>
        <v>W5</v>
      </c>
      <c r="D1150" s="2" t="s">
        <v>769</v>
      </c>
      <c r="E1150" s="2" t="s">
        <v>735</v>
      </c>
      <c r="F1150" s="2" t="str" cm="1">
        <f t="array" ref="F1150">INDEX(_xlfn.TEXTSPLIT(E1150,"-"),2)</f>
        <v>女装</v>
      </c>
      <c r="G1150" s="2" t="str" cm="1">
        <f t="array" ref="G1150">INDEX(_xlfn.TEXTSPLIT(E1150,"-"),3)</f>
        <v>连体衣/裤</v>
      </c>
      <c r="H1150" s="5">
        <v>13843</v>
      </c>
      <c r="I1150" s="5">
        <v>2099579.97</v>
      </c>
      <c r="J1150" s="6">
        <v>0.0006</v>
      </c>
      <c r="K1150" s="6">
        <v>-0.0656</v>
      </c>
    </row>
    <row r="1151" ht="14.5" spans="1:11">
      <c r="A1151" s="3" t="str">
        <f t="shared" si="75"/>
        <v>2026年</v>
      </c>
      <c r="B1151" s="3" t="str">
        <f t="shared" si="76"/>
        <v>2月</v>
      </c>
      <c r="C1151" s="4" t="str">
        <f t="shared" si="77"/>
        <v>W5</v>
      </c>
      <c r="D1151" s="2" t="s">
        <v>769</v>
      </c>
      <c r="E1151" s="2" t="s">
        <v>736</v>
      </c>
      <c r="F1151" s="2" t="str" cm="1">
        <f t="array" ref="F1151">INDEX(_xlfn.TEXTSPLIT(E1151,"-"),2)</f>
        <v>女装</v>
      </c>
      <c r="G1151" s="2" t="str" cm="1">
        <f t="array" ref="G1151">INDEX(_xlfn.TEXTSPLIT(E1151,"-"),3)</f>
        <v>连衣裙</v>
      </c>
      <c r="H1151" s="5">
        <v>830211</v>
      </c>
      <c r="I1151" s="5">
        <v>116220821.04</v>
      </c>
      <c r="J1151" s="6">
        <v>0.0308</v>
      </c>
      <c r="K1151" s="6">
        <v>-0.0401</v>
      </c>
    </row>
    <row r="1152" ht="14.5" spans="1:11">
      <c r="A1152" s="3" t="str">
        <f t="shared" si="75"/>
        <v>2026年</v>
      </c>
      <c r="B1152" s="3" t="str">
        <f t="shared" si="76"/>
        <v>2月</v>
      </c>
      <c r="C1152" s="4" t="str">
        <f t="shared" si="77"/>
        <v>W5</v>
      </c>
      <c r="D1152" s="2" t="s">
        <v>769</v>
      </c>
      <c r="E1152" s="2" t="s">
        <v>737</v>
      </c>
      <c r="F1152" s="2" t="str" cm="1">
        <f t="array" ref="F1152">INDEX(_xlfn.TEXTSPLIT(E1152,"-"),2)</f>
        <v>女装</v>
      </c>
      <c r="G1152" s="2" t="str" cm="1">
        <f t="array" ref="G1152">INDEX(_xlfn.TEXTSPLIT(E1152,"-"),3)</f>
        <v>风衣</v>
      </c>
      <c r="H1152" s="5">
        <v>120326</v>
      </c>
      <c r="I1152" s="5">
        <v>19798661.21</v>
      </c>
      <c r="J1152" s="6">
        <v>0.0052</v>
      </c>
      <c r="K1152" s="6">
        <v>-0.2034</v>
      </c>
    </row>
    <row r="1153" ht="14.5" spans="1:11">
      <c r="A1153" s="3" t="str">
        <f t="shared" si="75"/>
        <v>2026年</v>
      </c>
      <c r="B1153" s="3" t="str">
        <f t="shared" si="76"/>
        <v>2月</v>
      </c>
      <c r="C1153" s="4" t="str">
        <f t="shared" si="77"/>
        <v>W5</v>
      </c>
      <c r="D1153" s="2" t="s">
        <v>769</v>
      </c>
      <c r="E1153" s="2" t="s">
        <v>738</v>
      </c>
      <c r="F1153" s="2" t="str" cm="1">
        <f t="array" ref="F1153">INDEX(_xlfn.TEXTSPLIT(E1153,"-"),2)</f>
        <v>女装</v>
      </c>
      <c r="G1153" s="2" t="str" cm="1">
        <f t="array" ref="G1153">INDEX(_xlfn.TEXTSPLIT(E1153,"-"),3)</f>
        <v>马夹</v>
      </c>
      <c r="H1153" s="5">
        <v>439319</v>
      </c>
      <c r="I1153" s="5">
        <v>47012295.94</v>
      </c>
      <c r="J1153" s="6">
        <v>0.0124</v>
      </c>
      <c r="K1153" s="6">
        <v>-0.1204</v>
      </c>
    </row>
    <row r="1154" ht="14.5" spans="1:11">
      <c r="A1154" s="3" t="str">
        <f t="shared" si="75"/>
        <v>2026年</v>
      </c>
      <c r="B1154" s="3" t="str">
        <f t="shared" si="76"/>
        <v>2月</v>
      </c>
      <c r="C1154" s="4" t="str">
        <f t="shared" si="77"/>
        <v>W6</v>
      </c>
      <c r="D1154" s="2" t="s">
        <v>770</v>
      </c>
      <c r="E1154" s="2" t="s">
        <v>702</v>
      </c>
      <c r="F1154" s="2" t="str" cm="1">
        <f t="array" ref="F1154">INDEX(_xlfn.TEXTSPLIT(E1154,"-"),2)</f>
        <v>女装</v>
      </c>
      <c r="G1154" s="2" t="str" cm="1">
        <f t="array" ref="G1154">INDEX(_xlfn.TEXTSPLIT(E1154,"-"),3)</f>
        <v>POLO衫</v>
      </c>
      <c r="H1154" s="5">
        <v>9830</v>
      </c>
      <c r="I1154" s="5">
        <v>810884.11</v>
      </c>
      <c r="J1154" s="6">
        <v>0.0003</v>
      </c>
      <c r="K1154" s="6">
        <v>-0.1961</v>
      </c>
    </row>
    <row r="1155" ht="14.5" spans="1:11">
      <c r="A1155" s="3" t="str">
        <f t="shared" si="75"/>
        <v>2026年</v>
      </c>
      <c r="B1155" s="3" t="str">
        <f t="shared" si="76"/>
        <v>2月</v>
      </c>
      <c r="C1155" s="4" t="str">
        <f t="shared" si="77"/>
        <v>W6</v>
      </c>
      <c r="D1155" s="2" t="s">
        <v>770</v>
      </c>
      <c r="E1155" s="2" t="s">
        <v>703</v>
      </c>
      <c r="F1155" s="2" t="str" cm="1">
        <f t="array" ref="F1155">INDEX(_xlfn.TEXTSPLIT(E1155,"-"),2)</f>
        <v>女装</v>
      </c>
      <c r="G1155" s="2" t="str" cm="1">
        <f t="array" ref="G1155">INDEX(_xlfn.TEXTSPLIT(E1155,"-"),3)</f>
        <v>T恤</v>
      </c>
      <c r="H1155" s="5">
        <v>1443203</v>
      </c>
      <c r="I1155" s="5">
        <v>81764235.23</v>
      </c>
      <c r="J1155" s="6">
        <v>0.0258</v>
      </c>
      <c r="K1155" s="6">
        <v>-0.1022</v>
      </c>
    </row>
    <row r="1156" ht="14.5" spans="1:11">
      <c r="A1156" s="3" t="str">
        <f t="shared" si="75"/>
        <v>2026年</v>
      </c>
      <c r="B1156" s="3" t="str">
        <f t="shared" si="76"/>
        <v>2月</v>
      </c>
      <c r="C1156" s="4" t="str">
        <f t="shared" si="77"/>
        <v>W6</v>
      </c>
      <c r="D1156" s="2" t="s">
        <v>770</v>
      </c>
      <c r="E1156" s="2" t="s">
        <v>704</v>
      </c>
      <c r="F1156" s="2" t="str" cm="1">
        <f t="array" ref="F1156">INDEX(_xlfn.TEXTSPLIT(E1156,"-"),2)</f>
        <v>女装</v>
      </c>
      <c r="G1156" s="2" t="str" cm="1">
        <f t="array" ref="G1156">INDEX(_xlfn.TEXTSPLIT(E1156,"-"),3)</f>
        <v>中老年女装</v>
      </c>
      <c r="H1156" s="5">
        <v>525766</v>
      </c>
      <c r="I1156" s="5">
        <v>62293097.4</v>
      </c>
      <c r="J1156" s="6">
        <v>0.0196</v>
      </c>
      <c r="K1156" s="6">
        <v>-0.0449</v>
      </c>
    </row>
    <row r="1157" ht="14.5" spans="1:11">
      <c r="A1157" s="3" t="str">
        <f t="shared" si="75"/>
        <v>2026年</v>
      </c>
      <c r="B1157" s="3" t="str">
        <f t="shared" si="76"/>
        <v>2月</v>
      </c>
      <c r="C1157" s="4" t="str">
        <f t="shared" si="77"/>
        <v>W6</v>
      </c>
      <c r="D1157" s="2" t="s">
        <v>770</v>
      </c>
      <c r="E1157" s="2" t="s">
        <v>705</v>
      </c>
      <c r="F1157" s="2" t="str" cm="1">
        <f t="array" ref="F1157">INDEX(_xlfn.TEXTSPLIT(E1157,"-"),2)</f>
        <v>女装</v>
      </c>
      <c r="G1157" s="2" t="str" cm="1">
        <f t="array" ref="G1157">INDEX(_xlfn.TEXTSPLIT(E1157,"-"),3)</f>
        <v>半身裙</v>
      </c>
      <c r="H1157" s="5">
        <v>763773</v>
      </c>
      <c r="I1157" s="5">
        <v>64897998.89</v>
      </c>
      <c r="J1157" s="6">
        <v>0.0204</v>
      </c>
      <c r="K1157" s="6">
        <v>-0.154</v>
      </c>
    </row>
    <row r="1158" ht="14.5" spans="1:11">
      <c r="A1158" s="3" t="str">
        <f t="shared" si="75"/>
        <v>2026年</v>
      </c>
      <c r="B1158" s="3" t="str">
        <f t="shared" si="76"/>
        <v>2月</v>
      </c>
      <c r="C1158" s="4" t="str">
        <f t="shared" si="77"/>
        <v>W6</v>
      </c>
      <c r="D1158" s="2" t="s">
        <v>770</v>
      </c>
      <c r="E1158" s="2" t="s">
        <v>706</v>
      </c>
      <c r="F1158" s="2" t="str" cm="1">
        <f t="array" ref="F1158">INDEX(_xlfn.TEXTSPLIT(E1158,"-"),2)</f>
        <v>女装</v>
      </c>
      <c r="G1158" s="2" t="str" cm="1">
        <f t="array" ref="G1158">INDEX(_xlfn.TEXTSPLIT(E1158,"-"),3)</f>
        <v>卫衣/绒衫</v>
      </c>
      <c r="H1158" s="5">
        <v>415015</v>
      </c>
      <c r="I1158" s="5">
        <v>31438896.11</v>
      </c>
      <c r="J1158" s="6">
        <v>0.0099</v>
      </c>
      <c r="K1158" s="6">
        <v>-0.2274</v>
      </c>
    </row>
    <row r="1159" ht="14.5" spans="1:11">
      <c r="A1159" s="3" t="str">
        <f t="shared" si="75"/>
        <v>2026年</v>
      </c>
      <c r="B1159" s="3" t="str">
        <f t="shared" si="76"/>
        <v>2月</v>
      </c>
      <c r="C1159" s="4" t="str">
        <f t="shared" si="77"/>
        <v>W6</v>
      </c>
      <c r="D1159" s="2" t="s">
        <v>770</v>
      </c>
      <c r="E1159" s="2" t="s">
        <v>707</v>
      </c>
      <c r="F1159" s="2" t="str" cm="1">
        <f t="array" ref="F1159">INDEX(_xlfn.TEXTSPLIT(E1159,"-"),2)</f>
        <v>女装</v>
      </c>
      <c r="G1159" s="2" t="str" cm="1">
        <f t="array" ref="G1159">INDEX(_xlfn.TEXTSPLIT(E1159,"-"),3)</f>
        <v>唐装/民族服装/舞台服装</v>
      </c>
      <c r="H1159" s="5">
        <v>209968</v>
      </c>
      <c r="I1159" s="5">
        <v>40796211.76</v>
      </c>
      <c r="J1159" s="6">
        <v>0.0128</v>
      </c>
      <c r="K1159" s="6">
        <v>-0.1922</v>
      </c>
    </row>
    <row r="1160" ht="14.5" spans="1:11">
      <c r="A1160" s="3" t="str">
        <f t="shared" si="75"/>
        <v>2026年</v>
      </c>
      <c r="B1160" s="3" t="str">
        <f t="shared" si="76"/>
        <v>2月</v>
      </c>
      <c r="C1160" s="4" t="str">
        <f t="shared" si="77"/>
        <v>W6</v>
      </c>
      <c r="D1160" s="2" t="s">
        <v>770</v>
      </c>
      <c r="E1160" s="2" t="s">
        <v>708</v>
      </c>
      <c r="F1160" s="2" t="str" cm="1">
        <f t="array" ref="F1160">INDEX(_xlfn.TEXTSPLIT(E1160,"-"),2)</f>
        <v>女装</v>
      </c>
      <c r="G1160" s="2" t="str" cm="1">
        <f t="array" ref="G1160">INDEX(_xlfn.TEXTSPLIT(E1160,"-"),3)</f>
        <v>大码女装</v>
      </c>
      <c r="H1160" s="5">
        <v>652707</v>
      </c>
      <c r="I1160" s="5">
        <v>57000894.94</v>
      </c>
      <c r="J1160" s="6">
        <v>0.018</v>
      </c>
      <c r="K1160" s="6">
        <v>-0.0983</v>
      </c>
    </row>
    <row r="1161" ht="14.5" spans="1:11">
      <c r="A1161" s="3" t="str">
        <f t="shared" si="75"/>
        <v>2026年</v>
      </c>
      <c r="B1161" s="3" t="str">
        <f t="shared" si="76"/>
        <v>2月</v>
      </c>
      <c r="C1161" s="4" t="str">
        <f t="shared" si="77"/>
        <v>W6</v>
      </c>
      <c r="D1161" s="2" t="s">
        <v>770</v>
      </c>
      <c r="E1161" s="2" t="s">
        <v>709</v>
      </c>
      <c r="F1161" s="2" t="str" cm="1">
        <f t="array" ref="F1161">INDEX(_xlfn.TEXTSPLIT(E1161,"-"),2)</f>
        <v>女装</v>
      </c>
      <c r="G1161" s="2" t="str" cm="1">
        <f t="array" ref="G1161">INDEX(_xlfn.TEXTSPLIT(E1161,"-"),3)</f>
        <v>套装/学生校服/工作制服</v>
      </c>
      <c r="H1161" s="5">
        <v>891696</v>
      </c>
      <c r="I1161" s="5">
        <v>121142135.39</v>
      </c>
      <c r="J1161" s="6">
        <v>0.0382</v>
      </c>
      <c r="K1161" s="6">
        <v>-0.1286</v>
      </c>
    </row>
    <row r="1162" ht="14.5" spans="1:11">
      <c r="A1162" s="3" t="str">
        <f t="shared" si="75"/>
        <v>2026年</v>
      </c>
      <c r="B1162" s="3" t="str">
        <f t="shared" si="76"/>
        <v>2月</v>
      </c>
      <c r="C1162" s="4" t="str">
        <f t="shared" si="77"/>
        <v>W6</v>
      </c>
      <c r="D1162" s="2" t="s">
        <v>770</v>
      </c>
      <c r="E1162" s="2" t="s">
        <v>710</v>
      </c>
      <c r="F1162" s="2" t="str" cm="1">
        <f t="array" ref="F1162">INDEX(_xlfn.TEXTSPLIT(E1162,"-"),2)</f>
        <v>女装</v>
      </c>
      <c r="G1162" s="2" t="str" cm="1">
        <f t="array" ref="G1162">INDEX(_xlfn.TEXTSPLIT(E1162,"-"),3)</f>
        <v>婚纱/旗袍/礼服</v>
      </c>
      <c r="H1162" s="5">
        <v>56474</v>
      </c>
      <c r="I1162" s="5">
        <v>9216902.88</v>
      </c>
      <c r="J1162" s="6">
        <v>0.0029</v>
      </c>
      <c r="K1162" s="6">
        <v>-0.1069</v>
      </c>
    </row>
    <row r="1163" ht="14.5" spans="1:11">
      <c r="A1163" s="3" t="str">
        <f t="shared" si="75"/>
        <v>2026年</v>
      </c>
      <c r="B1163" s="3" t="str">
        <f t="shared" si="76"/>
        <v>2月</v>
      </c>
      <c r="C1163" s="4" t="str">
        <f t="shared" si="77"/>
        <v>W6</v>
      </c>
      <c r="D1163" s="2" t="s">
        <v>770</v>
      </c>
      <c r="E1163" s="2" t="s">
        <v>711</v>
      </c>
      <c r="F1163" s="2" t="str" cm="1">
        <f t="array" ref="F1163">INDEX(_xlfn.TEXTSPLIT(E1163,"-"),2)</f>
        <v>女装</v>
      </c>
      <c r="G1163" s="2" t="str" cm="1">
        <f t="array" ref="G1163">INDEX(_xlfn.TEXTSPLIT(E1163,"-"),3)</f>
        <v>新中式女装</v>
      </c>
      <c r="H1163" s="5">
        <v>69211</v>
      </c>
      <c r="I1163" s="5">
        <v>7973548.12</v>
      </c>
      <c r="J1163" s="6">
        <v>0.0025</v>
      </c>
      <c r="K1163" s="6">
        <v>-0.3591</v>
      </c>
    </row>
    <row r="1164" ht="14.5" spans="1:11">
      <c r="A1164" s="3" t="str">
        <f t="shared" si="75"/>
        <v>2026年</v>
      </c>
      <c r="B1164" s="3" t="str">
        <f t="shared" si="76"/>
        <v>2月</v>
      </c>
      <c r="C1164" s="4" t="str">
        <f t="shared" si="77"/>
        <v>W6</v>
      </c>
      <c r="D1164" s="2" t="s">
        <v>770</v>
      </c>
      <c r="E1164" s="2" t="s">
        <v>712</v>
      </c>
      <c r="F1164" s="2" t="str" cm="1">
        <f t="array" ref="F1164">INDEX(_xlfn.TEXTSPLIT(E1164,"-"),2)</f>
        <v>女装</v>
      </c>
      <c r="G1164" s="2" t="str" cm="1">
        <f t="array" ref="G1164">INDEX(_xlfn.TEXTSPLIT(E1164,"-"),3)</f>
        <v>时尚防晒服</v>
      </c>
      <c r="H1164" s="5">
        <v>775</v>
      </c>
      <c r="I1164" s="5">
        <v>56114.83</v>
      </c>
      <c r="J1164" s="2" t="s">
        <v>713</v>
      </c>
      <c r="K1164" s="6">
        <v>0.5507</v>
      </c>
    </row>
    <row r="1165" ht="14.5" spans="1:11">
      <c r="A1165" s="3" t="str">
        <f t="shared" si="75"/>
        <v>2026年</v>
      </c>
      <c r="B1165" s="3" t="str">
        <f t="shared" si="76"/>
        <v>2月</v>
      </c>
      <c r="C1165" s="4" t="str">
        <f t="shared" si="77"/>
        <v>W6</v>
      </c>
      <c r="D1165" s="2" t="s">
        <v>770</v>
      </c>
      <c r="E1165" s="2" t="s">
        <v>714</v>
      </c>
      <c r="F1165" s="2" t="str" cm="1">
        <f t="array" ref="F1165">INDEX(_xlfn.TEXTSPLIT(E1165,"-"),2)</f>
        <v>女装</v>
      </c>
      <c r="G1165" s="2" t="str" cm="1">
        <f t="array" ref="G1165">INDEX(_xlfn.TEXTSPLIT(E1165,"-"),3)</f>
        <v>棉衣/棉服</v>
      </c>
      <c r="H1165" s="5">
        <v>692891</v>
      </c>
      <c r="I1165" s="5">
        <v>77626181.22</v>
      </c>
      <c r="J1165" s="6">
        <v>0.0244</v>
      </c>
      <c r="K1165" s="6">
        <v>-0.1265</v>
      </c>
    </row>
    <row r="1166" ht="14.5" spans="1:11">
      <c r="A1166" s="3" t="str">
        <f t="shared" si="75"/>
        <v>2026年</v>
      </c>
      <c r="B1166" s="3" t="str">
        <f t="shared" si="76"/>
        <v>2月</v>
      </c>
      <c r="C1166" s="4" t="str">
        <f t="shared" si="77"/>
        <v>W6</v>
      </c>
      <c r="D1166" s="2" t="s">
        <v>770</v>
      </c>
      <c r="E1166" s="2" t="s">
        <v>715</v>
      </c>
      <c r="F1166" s="2" t="str" cm="1">
        <f t="array" ref="F1166">INDEX(_xlfn.TEXTSPLIT(E1166,"-"),2)</f>
        <v>女装</v>
      </c>
      <c r="G1166" s="2" t="str" cm="1">
        <f t="array" ref="G1166">INDEX(_xlfn.TEXTSPLIT(E1166,"-"),3)</f>
        <v>毛呢外套</v>
      </c>
      <c r="H1166" s="5">
        <v>847828</v>
      </c>
      <c r="I1166" s="5">
        <v>324514542.75</v>
      </c>
      <c r="J1166" s="6">
        <v>0.1022</v>
      </c>
      <c r="K1166" s="6">
        <v>-0.184</v>
      </c>
    </row>
    <row r="1167" ht="14.5" spans="1:11">
      <c r="A1167" s="3" t="str">
        <f t="shared" si="75"/>
        <v>2026年</v>
      </c>
      <c r="B1167" s="3" t="str">
        <f t="shared" si="76"/>
        <v>2月</v>
      </c>
      <c r="C1167" s="4" t="str">
        <f t="shared" si="77"/>
        <v>W6</v>
      </c>
      <c r="D1167" s="2" t="s">
        <v>770</v>
      </c>
      <c r="E1167" s="2" t="s">
        <v>716</v>
      </c>
      <c r="F1167" s="2" t="str" cm="1">
        <f t="array" ref="F1167">INDEX(_xlfn.TEXTSPLIT(E1167,"-"),2)</f>
        <v>女装</v>
      </c>
      <c r="G1167" s="2" t="str" cm="1">
        <f t="array" ref="G1167">INDEX(_xlfn.TEXTSPLIT(E1167,"-"),3)</f>
        <v>毛衣</v>
      </c>
      <c r="H1167" s="5">
        <v>447738</v>
      </c>
      <c r="I1167" s="5">
        <v>39404676.82</v>
      </c>
      <c r="J1167" s="6">
        <v>0.0124</v>
      </c>
      <c r="K1167" s="6">
        <v>-0.1725</v>
      </c>
    </row>
    <row r="1168" ht="14.5" spans="1:11">
      <c r="A1168" s="3" t="str">
        <f t="shared" si="75"/>
        <v>2026年</v>
      </c>
      <c r="B1168" s="3" t="str">
        <f t="shared" si="76"/>
        <v>2月</v>
      </c>
      <c r="C1168" s="4" t="str">
        <f t="shared" si="77"/>
        <v>W6</v>
      </c>
      <c r="D1168" s="2" t="s">
        <v>770</v>
      </c>
      <c r="E1168" s="2" t="s">
        <v>717</v>
      </c>
      <c r="F1168" s="2" t="str" cm="1">
        <f t="array" ref="F1168">INDEX(_xlfn.TEXTSPLIT(E1168,"-"),2)</f>
        <v>女装</v>
      </c>
      <c r="G1168" s="2" t="str" cm="1">
        <f t="array" ref="G1168">INDEX(_xlfn.TEXTSPLIT(E1168,"-"),3)</f>
        <v>毛针织衫</v>
      </c>
      <c r="H1168" s="5">
        <v>2220050</v>
      </c>
      <c r="I1168" s="5">
        <v>179150229.42</v>
      </c>
      <c r="J1168" s="6">
        <v>0.0564</v>
      </c>
      <c r="K1168" s="6">
        <v>-0.1406</v>
      </c>
    </row>
    <row r="1169" ht="14.5" spans="1:11">
      <c r="A1169" s="3" t="str">
        <f t="shared" si="75"/>
        <v>2026年</v>
      </c>
      <c r="B1169" s="3" t="str">
        <f t="shared" si="76"/>
        <v>2月</v>
      </c>
      <c r="C1169" s="4" t="str">
        <f t="shared" si="77"/>
        <v>W6</v>
      </c>
      <c r="D1169" s="2" t="s">
        <v>770</v>
      </c>
      <c r="E1169" s="2" t="s">
        <v>718</v>
      </c>
      <c r="F1169" s="2" t="str" cm="1">
        <f t="array" ref="F1169">INDEX(_xlfn.TEXTSPLIT(E1169,"-"),2)</f>
        <v>女装</v>
      </c>
      <c r="G1169" s="2" t="str" cm="1">
        <f t="array" ref="G1169">INDEX(_xlfn.TEXTSPLIT(E1169,"-"),3)</f>
        <v>汉服</v>
      </c>
      <c r="H1169" s="5">
        <v>85988</v>
      </c>
      <c r="I1169" s="5">
        <v>39339083.73</v>
      </c>
      <c r="J1169" s="6">
        <v>0.0124</v>
      </c>
      <c r="K1169" s="6">
        <v>-0.3935</v>
      </c>
    </row>
    <row r="1170" ht="14.5" spans="1:11">
      <c r="A1170" s="3" t="str">
        <f t="shared" si="75"/>
        <v>2026年</v>
      </c>
      <c r="B1170" s="3" t="str">
        <f t="shared" si="76"/>
        <v>2月</v>
      </c>
      <c r="C1170" s="4" t="str">
        <f t="shared" si="77"/>
        <v>W6</v>
      </c>
      <c r="D1170" s="2" t="s">
        <v>770</v>
      </c>
      <c r="E1170" s="2" t="s">
        <v>719</v>
      </c>
      <c r="F1170" s="2" t="str" cm="1">
        <f t="array" ref="F1170">INDEX(_xlfn.TEXTSPLIT(E1170,"-"),2)</f>
        <v>女装</v>
      </c>
      <c r="G1170" s="2" t="str" cm="1">
        <f t="array" ref="G1170">INDEX(_xlfn.TEXTSPLIT(E1170,"-"),3)</f>
        <v>派克服</v>
      </c>
      <c r="H1170" s="5">
        <v>49458</v>
      </c>
      <c r="I1170" s="5">
        <v>11772293.33</v>
      </c>
      <c r="J1170" s="6">
        <v>0.0037</v>
      </c>
      <c r="K1170" s="6">
        <v>-0.2476</v>
      </c>
    </row>
    <row r="1171" ht="14.5" spans="1:11">
      <c r="A1171" s="3" t="str">
        <f t="shared" si="75"/>
        <v>2026年</v>
      </c>
      <c r="B1171" s="3" t="str">
        <f t="shared" si="76"/>
        <v>2月</v>
      </c>
      <c r="C1171" s="4" t="str">
        <f t="shared" si="77"/>
        <v>W6</v>
      </c>
      <c r="D1171" s="2" t="s">
        <v>770</v>
      </c>
      <c r="E1171" s="2" t="s">
        <v>720</v>
      </c>
      <c r="F1171" s="2" t="str" cm="1">
        <f t="array" ref="F1171">INDEX(_xlfn.TEXTSPLIT(E1171,"-"),2)</f>
        <v>女装</v>
      </c>
      <c r="G1171" s="2" t="str" cm="1">
        <f t="array" ref="G1171">INDEX(_xlfn.TEXTSPLIT(E1171,"-"),3)</f>
        <v>皮草</v>
      </c>
      <c r="H1171" s="5">
        <v>210858</v>
      </c>
      <c r="I1171" s="5">
        <v>326680682.81</v>
      </c>
      <c r="J1171" s="6">
        <v>0.1029</v>
      </c>
      <c r="K1171" s="6">
        <v>-0.1467</v>
      </c>
    </row>
    <row r="1172" ht="14.5" spans="1:11">
      <c r="A1172" s="3" t="str">
        <f t="shared" si="75"/>
        <v>2026年</v>
      </c>
      <c r="B1172" s="3" t="str">
        <f t="shared" si="76"/>
        <v>2月</v>
      </c>
      <c r="C1172" s="4" t="str">
        <f t="shared" si="77"/>
        <v>W6</v>
      </c>
      <c r="D1172" s="2" t="s">
        <v>770</v>
      </c>
      <c r="E1172" s="2" t="s">
        <v>721</v>
      </c>
      <c r="F1172" s="2" t="str" cm="1">
        <f t="array" ref="F1172">INDEX(_xlfn.TEXTSPLIT(E1172,"-"),2)</f>
        <v>女装</v>
      </c>
      <c r="G1172" s="2" t="str" cm="1">
        <f t="array" ref="G1172">INDEX(_xlfn.TEXTSPLIT(E1172,"-"),3)</f>
        <v>皮衣</v>
      </c>
      <c r="H1172" s="5">
        <v>148773</v>
      </c>
      <c r="I1172" s="5">
        <v>51723533.91</v>
      </c>
      <c r="J1172" s="6">
        <v>0.0163</v>
      </c>
      <c r="K1172" s="6">
        <v>-0.2167</v>
      </c>
    </row>
    <row r="1173" ht="14.5" spans="1:11">
      <c r="A1173" s="3" t="str">
        <f t="shared" si="75"/>
        <v>2026年</v>
      </c>
      <c r="B1173" s="3" t="str">
        <f t="shared" si="76"/>
        <v>2月</v>
      </c>
      <c r="C1173" s="4" t="str">
        <f t="shared" si="77"/>
        <v>W6</v>
      </c>
      <c r="D1173" s="2" t="s">
        <v>770</v>
      </c>
      <c r="E1173" s="2" t="s">
        <v>722</v>
      </c>
      <c r="F1173" s="2" t="str" cm="1">
        <f t="array" ref="F1173">INDEX(_xlfn.TEXTSPLIT(E1173,"-"),2)</f>
        <v>女装</v>
      </c>
      <c r="G1173" s="2" t="str" cm="1">
        <f t="array" ref="G1173">INDEX(_xlfn.TEXTSPLIT(E1173,"-"),3)</f>
        <v>短外套</v>
      </c>
      <c r="H1173" s="5">
        <v>1235835</v>
      </c>
      <c r="I1173" s="5">
        <v>255448380.43</v>
      </c>
      <c r="J1173" s="6">
        <v>0.0805</v>
      </c>
      <c r="K1173" s="6">
        <v>-0.1751</v>
      </c>
    </row>
    <row r="1174" ht="14.5" spans="1:11">
      <c r="A1174" s="3" t="str">
        <f t="shared" si="75"/>
        <v>2026年</v>
      </c>
      <c r="B1174" s="3" t="str">
        <f t="shared" si="76"/>
        <v>2月</v>
      </c>
      <c r="C1174" s="4" t="str">
        <f t="shared" si="77"/>
        <v>W6</v>
      </c>
      <c r="D1174" s="2" t="s">
        <v>770</v>
      </c>
      <c r="E1174" s="2" t="s">
        <v>723</v>
      </c>
      <c r="F1174" s="2" t="str" cm="1">
        <f t="array" ref="F1174">INDEX(_xlfn.TEXTSPLIT(E1174,"-"),2)</f>
        <v>女装</v>
      </c>
      <c r="G1174" s="2" t="str" cm="1">
        <f t="array" ref="G1174">INDEX(_xlfn.TEXTSPLIT(E1174,"-"),3)</f>
        <v>短裤</v>
      </c>
      <c r="H1174" s="5">
        <v>117474</v>
      </c>
      <c r="I1174" s="5">
        <v>7073727.47</v>
      </c>
      <c r="J1174" s="6">
        <v>0.0022</v>
      </c>
      <c r="K1174" s="6">
        <v>-0.0722</v>
      </c>
    </row>
    <row r="1175" ht="14.5" spans="1:11">
      <c r="A1175" s="3" t="str">
        <f t="shared" si="75"/>
        <v>2026年</v>
      </c>
      <c r="B1175" s="3" t="str">
        <f t="shared" si="76"/>
        <v>2月</v>
      </c>
      <c r="C1175" s="4" t="str">
        <f t="shared" si="77"/>
        <v>W6</v>
      </c>
      <c r="D1175" s="2" t="s">
        <v>770</v>
      </c>
      <c r="E1175" s="2" t="s">
        <v>724</v>
      </c>
      <c r="F1175" s="2" t="str" cm="1">
        <f t="array" ref="F1175">INDEX(_xlfn.TEXTSPLIT(E1175,"-"),2)</f>
        <v>女装</v>
      </c>
      <c r="G1175" s="2" t="str" cm="1">
        <f t="array" ref="G1175">INDEX(_xlfn.TEXTSPLIT(E1175,"-"),3)</f>
        <v>羊毛衫</v>
      </c>
      <c r="H1175" s="5">
        <v>435717</v>
      </c>
      <c r="I1175" s="5">
        <v>53713458.94</v>
      </c>
      <c r="J1175" s="6">
        <v>0.0169</v>
      </c>
      <c r="K1175" s="6">
        <v>-0.2374</v>
      </c>
    </row>
    <row r="1176" ht="14.5" spans="1:11">
      <c r="A1176" s="3" t="str">
        <f t="shared" si="75"/>
        <v>2026年</v>
      </c>
      <c r="B1176" s="3" t="str">
        <f t="shared" si="76"/>
        <v>2月</v>
      </c>
      <c r="C1176" s="4" t="str">
        <f t="shared" si="77"/>
        <v>W6</v>
      </c>
      <c r="D1176" s="2" t="s">
        <v>770</v>
      </c>
      <c r="E1176" s="2" t="s">
        <v>725</v>
      </c>
      <c r="F1176" s="2" t="str" cm="1">
        <f t="array" ref="F1176">INDEX(_xlfn.TEXTSPLIT(E1176,"-"),2)</f>
        <v>女装</v>
      </c>
      <c r="G1176" s="2" t="str" cm="1">
        <f t="array" ref="G1176">INDEX(_xlfn.TEXTSPLIT(E1176,"-"),3)</f>
        <v>羊绒大衣</v>
      </c>
      <c r="H1176" s="5">
        <v>7734</v>
      </c>
      <c r="I1176" s="5">
        <v>3515989.36</v>
      </c>
      <c r="J1176" s="6">
        <v>0.0011</v>
      </c>
      <c r="K1176" s="6">
        <v>-0.1256</v>
      </c>
    </row>
    <row r="1177" ht="14.5" spans="1:11">
      <c r="A1177" s="3" t="str">
        <f t="shared" si="75"/>
        <v>2026年</v>
      </c>
      <c r="B1177" s="3" t="str">
        <f t="shared" si="76"/>
        <v>2月</v>
      </c>
      <c r="C1177" s="4" t="str">
        <f t="shared" si="77"/>
        <v>W6</v>
      </c>
      <c r="D1177" s="2" t="s">
        <v>770</v>
      </c>
      <c r="E1177" s="2" t="s">
        <v>726</v>
      </c>
      <c r="F1177" s="2" t="str" cm="1">
        <f t="array" ref="F1177">INDEX(_xlfn.TEXTSPLIT(E1177,"-"),2)</f>
        <v>女装</v>
      </c>
      <c r="G1177" s="2" t="str" cm="1">
        <f t="array" ref="G1177">INDEX(_xlfn.TEXTSPLIT(E1177,"-"),3)</f>
        <v>羊绒衫</v>
      </c>
      <c r="H1177" s="5">
        <v>120205</v>
      </c>
      <c r="I1177" s="5">
        <v>34672344.65</v>
      </c>
      <c r="J1177" s="6">
        <v>0.0109</v>
      </c>
      <c r="K1177" s="6">
        <v>-0.286</v>
      </c>
    </row>
    <row r="1178" ht="14.5" spans="1:11">
      <c r="A1178" s="3" t="str">
        <f t="shared" si="75"/>
        <v>2026年</v>
      </c>
      <c r="B1178" s="3" t="str">
        <f t="shared" si="76"/>
        <v>2月</v>
      </c>
      <c r="C1178" s="4" t="str">
        <f t="shared" si="77"/>
        <v>W6</v>
      </c>
      <c r="D1178" s="2" t="s">
        <v>770</v>
      </c>
      <c r="E1178" s="2" t="s">
        <v>727</v>
      </c>
      <c r="F1178" s="2" t="str" cm="1">
        <f t="array" ref="F1178">INDEX(_xlfn.TEXTSPLIT(E1178,"-"),2)</f>
        <v>女装</v>
      </c>
      <c r="G1178" s="2" t="str" cm="1">
        <f t="array" ref="G1178">INDEX(_xlfn.TEXTSPLIT(E1178,"-"),3)</f>
        <v>羽绒服</v>
      </c>
      <c r="H1178" s="5">
        <v>1500786</v>
      </c>
      <c r="I1178" s="5">
        <v>594708516.1</v>
      </c>
      <c r="J1178" s="6">
        <v>0.1873</v>
      </c>
      <c r="K1178" s="6">
        <v>-0.1711</v>
      </c>
    </row>
    <row r="1179" ht="14.5" spans="1:11">
      <c r="A1179" s="3" t="str">
        <f t="shared" si="75"/>
        <v>2026年</v>
      </c>
      <c r="B1179" s="3" t="str">
        <f t="shared" si="76"/>
        <v>2月</v>
      </c>
      <c r="C1179" s="4" t="str">
        <f t="shared" si="77"/>
        <v>W6</v>
      </c>
      <c r="D1179" s="2" t="s">
        <v>770</v>
      </c>
      <c r="E1179" s="2" t="s">
        <v>728</v>
      </c>
      <c r="F1179" s="2" t="str" cm="1">
        <f t="array" ref="F1179">INDEX(_xlfn.TEXTSPLIT(E1179,"-"),2)</f>
        <v>女装</v>
      </c>
      <c r="G1179" s="2" t="str" cm="1">
        <f t="array" ref="G1179">INDEX(_xlfn.TEXTSPLIT(E1179,"-"),3)</f>
        <v>肌底衣/肌肤衣</v>
      </c>
      <c r="H1179" s="5">
        <v>4763</v>
      </c>
      <c r="I1179" s="5">
        <v>210568.79</v>
      </c>
      <c r="J1179" s="6">
        <v>0.0001</v>
      </c>
      <c r="K1179" s="6">
        <v>-0.0958</v>
      </c>
    </row>
    <row r="1180" ht="14.5" spans="1:11">
      <c r="A1180" s="3" t="str">
        <f t="shared" si="75"/>
        <v>2026年</v>
      </c>
      <c r="B1180" s="3" t="str">
        <f t="shared" si="76"/>
        <v>2月</v>
      </c>
      <c r="C1180" s="4" t="str">
        <f t="shared" si="77"/>
        <v>W6</v>
      </c>
      <c r="D1180" s="2" t="s">
        <v>770</v>
      </c>
      <c r="E1180" s="2" t="s">
        <v>729</v>
      </c>
      <c r="F1180" s="2" t="str" cm="1">
        <f t="array" ref="F1180">INDEX(_xlfn.TEXTSPLIT(E1180,"-"),2)</f>
        <v>女装</v>
      </c>
      <c r="G1180" s="2" t="str" cm="1">
        <f t="array" ref="G1180">INDEX(_xlfn.TEXTSPLIT(E1180,"-"),3)</f>
        <v>背心吊带</v>
      </c>
      <c r="H1180" s="5">
        <v>234654</v>
      </c>
      <c r="I1180" s="5">
        <v>13514710.62</v>
      </c>
      <c r="J1180" s="6">
        <v>0.0043</v>
      </c>
      <c r="K1180" s="6">
        <v>-0.1474</v>
      </c>
    </row>
    <row r="1181" ht="14.5" spans="1:11">
      <c r="A1181" s="3" t="str">
        <f t="shared" si="75"/>
        <v>2026年</v>
      </c>
      <c r="B1181" s="3" t="str">
        <f t="shared" si="76"/>
        <v>2月</v>
      </c>
      <c r="C1181" s="4" t="str">
        <f t="shared" si="77"/>
        <v>W6</v>
      </c>
      <c r="D1181" s="2" t="s">
        <v>770</v>
      </c>
      <c r="E1181" s="2" t="s">
        <v>730</v>
      </c>
      <c r="F1181" s="2" t="str" cm="1">
        <f t="array" ref="F1181">INDEX(_xlfn.TEXTSPLIT(E1181,"-"),2)</f>
        <v>女装</v>
      </c>
      <c r="G1181" s="2" t="str" cm="1">
        <f t="array" ref="G1181">INDEX(_xlfn.TEXTSPLIT(E1181,"-"),3)</f>
        <v>蕾丝衫/雪纺衫</v>
      </c>
      <c r="H1181" s="5">
        <v>183753</v>
      </c>
      <c r="I1181" s="5">
        <v>11841067.9</v>
      </c>
      <c r="J1181" s="6">
        <v>0.0037</v>
      </c>
      <c r="K1181" s="6">
        <v>-0.1177</v>
      </c>
    </row>
    <row r="1182" ht="14.5" spans="1:11">
      <c r="A1182" s="3" t="str">
        <f t="shared" ref="A1182:A1245" si="78">TEXT(YEAR(D1182),"0")&amp;"年"</f>
        <v>2026年</v>
      </c>
      <c r="B1182" s="3" t="str">
        <f t="shared" ref="B1182:B1245" si="79">TEXT(MONTH(D1182),"0")&amp;"月"</f>
        <v>2月</v>
      </c>
      <c r="C1182" s="4" t="str">
        <f t="shared" ref="C1182:C1245" si="80">"W"&amp;TEXT(WEEKNUM(D1182,2),"0")</f>
        <v>W6</v>
      </c>
      <c r="D1182" s="2" t="s">
        <v>770</v>
      </c>
      <c r="E1182" s="2" t="s">
        <v>731</v>
      </c>
      <c r="F1182" s="2" t="str" cm="1">
        <f t="array" ref="F1182">INDEX(_xlfn.TEXTSPLIT(E1182,"-"),2)</f>
        <v>女装</v>
      </c>
      <c r="G1182" s="2" t="str" cm="1">
        <f t="array" ref="G1182">INDEX(_xlfn.TEXTSPLIT(E1182,"-"),3)</f>
        <v>衬衫</v>
      </c>
      <c r="H1182" s="5">
        <v>455560</v>
      </c>
      <c r="I1182" s="5">
        <v>51610381.45</v>
      </c>
      <c r="J1182" s="6">
        <v>0.0163</v>
      </c>
      <c r="K1182" s="6">
        <v>-0.0952</v>
      </c>
    </row>
    <row r="1183" ht="14.5" spans="1:11">
      <c r="A1183" s="3" t="str">
        <f t="shared" si="78"/>
        <v>2026年</v>
      </c>
      <c r="B1183" s="3" t="str">
        <f t="shared" si="79"/>
        <v>2月</v>
      </c>
      <c r="C1183" s="4" t="str">
        <f t="shared" si="80"/>
        <v>W6</v>
      </c>
      <c r="D1183" s="2" t="s">
        <v>770</v>
      </c>
      <c r="E1183" s="2" t="s">
        <v>732</v>
      </c>
      <c r="F1183" s="2" t="str" cm="1">
        <f t="array" ref="F1183">INDEX(_xlfn.TEXTSPLIT(E1183,"-"),2)</f>
        <v>女装</v>
      </c>
      <c r="G1183" s="2" t="str" cm="1">
        <f t="array" ref="G1183">INDEX(_xlfn.TEXTSPLIT(E1183,"-"),3)</f>
        <v>裤子</v>
      </c>
      <c r="H1183" s="5">
        <v>4129838</v>
      </c>
      <c r="I1183" s="5">
        <v>391049215.52</v>
      </c>
      <c r="J1183" s="6">
        <v>0.1232</v>
      </c>
      <c r="K1183" s="6">
        <v>-0.1241</v>
      </c>
    </row>
    <row r="1184" ht="14.5" spans="1:11">
      <c r="A1184" s="3" t="str">
        <f t="shared" si="78"/>
        <v>2026年</v>
      </c>
      <c r="B1184" s="3" t="str">
        <f t="shared" si="79"/>
        <v>2月</v>
      </c>
      <c r="C1184" s="4" t="str">
        <f t="shared" si="80"/>
        <v>W6</v>
      </c>
      <c r="D1184" s="2" t="s">
        <v>770</v>
      </c>
      <c r="E1184" s="2" t="s">
        <v>733</v>
      </c>
      <c r="F1184" s="2" t="str" cm="1">
        <f t="array" ref="F1184">INDEX(_xlfn.TEXTSPLIT(E1184,"-"),2)</f>
        <v>女装</v>
      </c>
      <c r="G1184" s="2" t="str" cm="1">
        <f t="array" ref="G1184">INDEX(_xlfn.TEXTSPLIT(E1184,"-"),3)</f>
        <v>西装</v>
      </c>
      <c r="H1184" s="5">
        <v>58447</v>
      </c>
      <c r="I1184" s="5">
        <v>15492852.74</v>
      </c>
      <c r="J1184" s="6">
        <v>0.0049</v>
      </c>
      <c r="K1184" s="6">
        <v>-0.235</v>
      </c>
    </row>
    <row r="1185" ht="14.5" spans="1:11">
      <c r="A1185" s="3" t="str">
        <f t="shared" si="78"/>
        <v>2026年</v>
      </c>
      <c r="B1185" s="3" t="str">
        <f t="shared" si="79"/>
        <v>2月</v>
      </c>
      <c r="C1185" s="4" t="str">
        <f t="shared" si="80"/>
        <v>W6</v>
      </c>
      <c r="D1185" s="2" t="s">
        <v>770</v>
      </c>
      <c r="E1185" s="2" t="s">
        <v>734</v>
      </c>
      <c r="F1185" s="2" t="str" cm="1">
        <f t="array" ref="F1185">INDEX(_xlfn.TEXTSPLIT(E1185,"-"),2)</f>
        <v>女装</v>
      </c>
      <c r="G1185" s="2" t="str" cm="1">
        <f t="array" ref="G1185">INDEX(_xlfn.TEXTSPLIT(E1185,"-"),3)</f>
        <v>设计师/潮牌女装</v>
      </c>
      <c r="H1185" s="5">
        <v>451286</v>
      </c>
      <c r="I1185" s="5">
        <v>52982388.13</v>
      </c>
      <c r="J1185" s="6">
        <v>0.0167</v>
      </c>
      <c r="K1185" s="6">
        <v>-0.0893</v>
      </c>
    </row>
    <row r="1186" ht="14.5" spans="1:11">
      <c r="A1186" s="3" t="str">
        <f t="shared" si="78"/>
        <v>2026年</v>
      </c>
      <c r="B1186" s="3" t="str">
        <f t="shared" si="79"/>
        <v>2月</v>
      </c>
      <c r="C1186" s="4" t="str">
        <f t="shared" si="80"/>
        <v>W6</v>
      </c>
      <c r="D1186" s="2" t="s">
        <v>770</v>
      </c>
      <c r="E1186" s="2" t="s">
        <v>735</v>
      </c>
      <c r="F1186" s="2" t="str" cm="1">
        <f t="array" ref="F1186">INDEX(_xlfn.TEXTSPLIT(E1186,"-"),2)</f>
        <v>女装</v>
      </c>
      <c r="G1186" s="2" t="str" cm="1">
        <f t="array" ref="G1186">INDEX(_xlfn.TEXTSPLIT(E1186,"-"),3)</f>
        <v>连体衣/裤</v>
      </c>
      <c r="H1186" s="5">
        <v>10531</v>
      </c>
      <c r="I1186" s="5">
        <v>1919893.07</v>
      </c>
      <c r="J1186" s="6">
        <v>0.0006</v>
      </c>
      <c r="K1186" s="6">
        <v>-0.0856</v>
      </c>
    </row>
    <row r="1187" ht="14.5" spans="1:11">
      <c r="A1187" s="3" t="str">
        <f t="shared" si="78"/>
        <v>2026年</v>
      </c>
      <c r="B1187" s="3" t="str">
        <f t="shared" si="79"/>
        <v>2月</v>
      </c>
      <c r="C1187" s="4" t="str">
        <f t="shared" si="80"/>
        <v>W6</v>
      </c>
      <c r="D1187" s="2" t="s">
        <v>770</v>
      </c>
      <c r="E1187" s="2" t="s">
        <v>736</v>
      </c>
      <c r="F1187" s="2" t="str" cm="1">
        <f t="array" ref="F1187">INDEX(_xlfn.TEXTSPLIT(E1187,"-"),2)</f>
        <v>女装</v>
      </c>
      <c r="G1187" s="2" t="str" cm="1">
        <f t="array" ref="G1187">INDEX(_xlfn.TEXTSPLIT(E1187,"-"),3)</f>
        <v>连衣裙</v>
      </c>
      <c r="H1187" s="5">
        <v>695294</v>
      </c>
      <c r="I1187" s="5">
        <v>102763147.93</v>
      </c>
      <c r="J1187" s="6">
        <v>0.0324</v>
      </c>
      <c r="K1187" s="6">
        <v>-0.1158</v>
      </c>
    </row>
    <row r="1188" ht="14.5" spans="1:11">
      <c r="A1188" s="3" t="str">
        <f t="shared" si="78"/>
        <v>2026年</v>
      </c>
      <c r="B1188" s="3" t="str">
        <f t="shared" si="79"/>
        <v>2月</v>
      </c>
      <c r="C1188" s="4" t="str">
        <f t="shared" si="80"/>
        <v>W6</v>
      </c>
      <c r="D1188" s="2" t="s">
        <v>770</v>
      </c>
      <c r="E1188" s="2" t="s">
        <v>737</v>
      </c>
      <c r="F1188" s="2" t="str" cm="1">
        <f t="array" ref="F1188">INDEX(_xlfn.TEXTSPLIT(E1188,"-"),2)</f>
        <v>女装</v>
      </c>
      <c r="G1188" s="2" t="str" cm="1">
        <f t="array" ref="G1188">INDEX(_xlfn.TEXTSPLIT(E1188,"-"),3)</f>
        <v>风衣</v>
      </c>
      <c r="H1188" s="5">
        <v>109765</v>
      </c>
      <c r="I1188" s="5">
        <v>16020488.9</v>
      </c>
      <c r="J1188" s="6">
        <v>0.005</v>
      </c>
      <c r="K1188" s="6">
        <v>-0.1908</v>
      </c>
    </row>
    <row r="1189" ht="14.5" spans="1:11">
      <c r="A1189" s="3" t="str">
        <f t="shared" si="78"/>
        <v>2026年</v>
      </c>
      <c r="B1189" s="3" t="str">
        <f t="shared" si="79"/>
        <v>2月</v>
      </c>
      <c r="C1189" s="4" t="str">
        <f t="shared" si="80"/>
        <v>W6</v>
      </c>
      <c r="D1189" s="2" t="s">
        <v>770</v>
      </c>
      <c r="E1189" s="2" t="s">
        <v>738</v>
      </c>
      <c r="F1189" s="2" t="str" cm="1">
        <f t="array" ref="F1189">INDEX(_xlfn.TEXTSPLIT(E1189,"-"),2)</f>
        <v>女装</v>
      </c>
      <c r="G1189" s="2" t="str" cm="1">
        <f t="array" ref="G1189">INDEX(_xlfn.TEXTSPLIT(E1189,"-"),3)</f>
        <v>马夹</v>
      </c>
      <c r="H1189" s="5">
        <v>392571</v>
      </c>
      <c r="I1189" s="5">
        <v>40770023.48</v>
      </c>
      <c r="J1189" s="6">
        <v>0.0128</v>
      </c>
      <c r="K1189" s="6">
        <v>-0.1328</v>
      </c>
    </row>
    <row r="1190" ht="14.5" spans="1:11">
      <c r="A1190" s="3" t="str">
        <f t="shared" si="78"/>
        <v>2026年</v>
      </c>
      <c r="B1190" s="3" t="str">
        <f t="shared" si="79"/>
        <v>2月</v>
      </c>
      <c r="C1190" s="4" t="str">
        <f t="shared" si="80"/>
        <v>W6</v>
      </c>
      <c r="D1190" s="2" t="s">
        <v>771</v>
      </c>
      <c r="E1190" s="2" t="s">
        <v>702</v>
      </c>
      <c r="F1190" s="2" t="str" cm="1">
        <f t="array" ref="F1190">INDEX(_xlfn.TEXTSPLIT(E1190,"-"),2)</f>
        <v>女装</v>
      </c>
      <c r="G1190" s="2" t="str" cm="1">
        <f t="array" ref="G1190">INDEX(_xlfn.TEXTSPLIT(E1190,"-"),3)</f>
        <v>POLO衫</v>
      </c>
      <c r="H1190" s="5">
        <v>14060</v>
      </c>
      <c r="I1190" s="5">
        <v>1011399.74</v>
      </c>
      <c r="J1190" s="6">
        <v>0.0003</v>
      </c>
      <c r="K1190" s="6">
        <v>0.2473</v>
      </c>
    </row>
    <row r="1191" ht="14.5" spans="1:11">
      <c r="A1191" s="3" t="str">
        <f t="shared" si="78"/>
        <v>2026年</v>
      </c>
      <c r="B1191" s="3" t="str">
        <f t="shared" si="79"/>
        <v>2月</v>
      </c>
      <c r="C1191" s="4" t="str">
        <f t="shared" si="80"/>
        <v>W6</v>
      </c>
      <c r="D1191" s="2" t="s">
        <v>771</v>
      </c>
      <c r="E1191" s="2" t="s">
        <v>703</v>
      </c>
      <c r="F1191" s="2" t="str" cm="1">
        <f t="array" ref="F1191">INDEX(_xlfn.TEXTSPLIT(E1191,"-"),2)</f>
        <v>女装</v>
      </c>
      <c r="G1191" s="2" t="str" cm="1">
        <f t="array" ref="G1191">INDEX(_xlfn.TEXTSPLIT(E1191,"-"),3)</f>
        <v>T恤</v>
      </c>
      <c r="H1191" s="5">
        <v>1451598</v>
      </c>
      <c r="I1191" s="5">
        <v>83375795.89</v>
      </c>
      <c r="J1191" s="6">
        <v>0.0255</v>
      </c>
      <c r="K1191" s="6">
        <v>0.0197</v>
      </c>
    </row>
    <row r="1192" ht="14.5" spans="1:11">
      <c r="A1192" s="3" t="str">
        <f t="shared" si="78"/>
        <v>2026年</v>
      </c>
      <c r="B1192" s="3" t="str">
        <f t="shared" si="79"/>
        <v>2月</v>
      </c>
      <c r="C1192" s="4" t="str">
        <f t="shared" si="80"/>
        <v>W6</v>
      </c>
      <c r="D1192" s="2" t="s">
        <v>771</v>
      </c>
      <c r="E1192" s="2" t="s">
        <v>704</v>
      </c>
      <c r="F1192" s="2" t="str" cm="1">
        <f t="array" ref="F1192">INDEX(_xlfn.TEXTSPLIT(E1192,"-"),2)</f>
        <v>女装</v>
      </c>
      <c r="G1192" s="2" t="str" cm="1">
        <f t="array" ref="G1192">INDEX(_xlfn.TEXTSPLIT(E1192,"-"),3)</f>
        <v>中老年女装</v>
      </c>
      <c r="H1192" s="5">
        <v>508781</v>
      </c>
      <c r="I1192" s="5">
        <v>62615708.37</v>
      </c>
      <c r="J1192" s="6">
        <v>0.0192</v>
      </c>
      <c r="K1192" s="6">
        <v>0.0052</v>
      </c>
    </row>
    <row r="1193" ht="14.5" spans="1:11">
      <c r="A1193" s="3" t="str">
        <f t="shared" si="78"/>
        <v>2026年</v>
      </c>
      <c r="B1193" s="3" t="str">
        <f t="shared" si="79"/>
        <v>2月</v>
      </c>
      <c r="C1193" s="4" t="str">
        <f t="shared" si="80"/>
        <v>W6</v>
      </c>
      <c r="D1193" s="2" t="s">
        <v>771</v>
      </c>
      <c r="E1193" s="2" t="s">
        <v>705</v>
      </c>
      <c r="F1193" s="2" t="str" cm="1">
        <f t="array" ref="F1193">INDEX(_xlfn.TEXTSPLIT(E1193,"-"),2)</f>
        <v>女装</v>
      </c>
      <c r="G1193" s="2" t="str" cm="1">
        <f t="array" ref="G1193">INDEX(_xlfn.TEXTSPLIT(E1193,"-"),3)</f>
        <v>半身裙</v>
      </c>
      <c r="H1193" s="5">
        <v>779104</v>
      </c>
      <c r="I1193" s="5">
        <v>72626324.64</v>
      </c>
      <c r="J1193" s="6">
        <v>0.0222</v>
      </c>
      <c r="K1193" s="6">
        <v>0.1191</v>
      </c>
    </row>
    <row r="1194" ht="14.5" spans="1:11">
      <c r="A1194" s="3" t="str">
        <f t="shared" si="78"/>
        <v>2026年</v>
      </c>
      <c r="B1194" s="3" t="str">
        <f t="shared" si="79"/>
        <v>2月</v>
      </c>
      <c r="C1194" s="4" t="str">
        <f t="shared" si="80"/>
        <v>W6</v>
      </c>
      <c r="D1194" s="2" t="s">
        <v>771</v>
      </c>
      <c r="E1194" s="2" t="s">
        <v>706</v>
      </c>
      <c r="F1194" s="2" t="str" cm="1">
        <f t="array" ref="F1194">INDEX(_xlfn.TEXTSPLIT(E1194,"-"),2)</f>
        <v>女装</v>
      </c>
      <c r="G1194" s="2" t="str" cm="1">
        <f t="array" ref="G1194">INDEX(_xlfn.TEXTSPLIT(E1194,"-"),3)</f>
        <v>卫衣/绒衫</v>
      </c>
      <c r="H1194" s="5">
        <v>424490</v>
      </c>
      <c r="I1194" s="5">
        <v>34454248.84</v>
      </c>
      <c r="J1194" s="6">
        <v>0.0105</v>
      </c>
      <c r="K1194" s="6">
        <v>0.0959</v>
      </c>
    </row>
    <row r="1195" ht="14.5" spans="1:11">
      <c r="A1195" s="3" t="str">
        <f t="shared" si="78"/>
        <v>2026年</v>
      </c>
      <c r="B1195" s="3" t="str">
        <f t="shared" si="79"/>
        <v>2月</v>
      </c>
      <c r="C1195" s="4" t="str">
        <f t="shared" si="80"/>
        <v>W6</v>
      </c>
      <c r="D1195" s="2" t="s">
        <v>771</v>
      </c>
      <c r="E1195" s="2" t="s">
        <v>707</v>
      </c>
      <c r="F1195" s="2" t="str" cm="1">
        <f t="array" ref="F1195">INDEX(_xlfn.TEXTSPLIT(E1195,"-"),2)</f>
        <v>女装</v>
      </c>
      <c r="G1195" s="2" t="str" cm="1">
        <f t="array" ref="G1195">INDEX(_xlfn.TEXTSPLIT(E1195,"-"),3)</f>
        <v>唐装/民族服装/舞台服装</v>
      </c>
      <c r="H1195" s="5">
        <v>234654</v>
      </c>
      <c r="I1195" s="5">
        <v>48185540.73</v>
      </c>
      <c r="J1195" s="6">
        <v>0.0147</v>
      </c>
      <c r="K1195" s="6">
        <v>0.1811</v>
      </c>
    </row>
    <row r="1196" ht="14.5" spans="1:11">
      <c r="A1196" s="3" t="str">
        <f t="shared" si="78"/>
        <v>2026年</v>
      </c>
      <c r="B1196" s="3" t="str">
        <f t="shared" si="79"/>
        <v>2月</v>
      </c>
      <c r="C1196" s="4" t="str">
        <f t="shared" si="80"/>
        <v>W6</v>
      </c>
      <c r="D1196" s="2" t="s">
        <v>771</v>
      </c>
      <c r="E1196" s="2" t="s">
        <v>708</v>
      </c>
      <c r="F1196" s="2" t="str" cm="1">
        <f t="array" ref="F1196">INDEX(_xlfn.TEXTSPLIT(E1196,"-"),2)</f>
        <v>女装</v>
      </c>
      <c r="G1196" s="2" t="str" cm="1">
        <f t="array" ref="G1196">INDEX(_xlfn.TEXTSPLIT(E1196,"-"),3)</f>
        <v>大码女装</v>
      </c>
      <c r="H1196" s="5">
        <v>621704</v>
      </c>
      <c r="I1196" s="5">
        <v>53980732.21</v>
      </c>
      <c r="J1196" s="6">
        <v>0.0165</v>
      </c>
      <c r="K1196" s="6">
        <v>-0.053</v>
      </c>
    </row>
    <row r="1197" ht="14.5" spans="1:11">
      <c r="A1197" s="3" t="str">
        <f t="shared" si="78"/>
        <v>2026年</v>
      </c>
      <c r="B1197" s="3" t="str">
        <f t="shared" si="79"/>
        <v>2月</v>
      </c>
      <c r="C1197" s="4" t="str">
        <f t="shared" si="80"/>
        <v>W6</v>
      </c>
      <c r="D1197" s="2" t="s">
        <v>771</v>
      </c>
      <c r="E1197" s="2" t="s">
        <v>709</v>
      </c>
      <c r="F1197" s="2" t="str" cm="1">
        <f t="array" ref="F1197">INDEX(_xlfn.TEXTSPLIT(E1197,"-"),2)</f>
        <v>女装</v>
      </c>
      <c r="G1197" s="2" t="str" cm="1">
        <f t="array" ref="G1197">INDEX(_xlfn.TEXTSPLIT(E1197,"-"),3)</f>
        <v>套装/学生校服/工作制服</v>
      </c>
      <c r="H1197" s="5">
        <v>899169</v>
      </c>
      <c r="I1197" s="5">
        <v>127784859.21</v>
      </c>
      <c r="J1197" s="6">
        <v>0.0391</v>
      </c>
      <c r="K1197" s="6">
        <v>0.0548</v>
      </c>
    </row>
    <row r="1198" ht="14.5" spans="1:11">
      <c r="A1198" s="3" t="str">
        <f t="shared" si="78"/>
        <v>2026年</v>
      </c>
      <c r="B1198" s="3" t="str">
        <f t="shared" si="79"/>
        <v>2月</v>
      </c>
      <c r="C1198" s="4" t="str">
        <f t="shared" si="80"/>
        <v>W6</v>
      </c>
      <c r="D1198" s="2" t="s">
        <v>771</v>
      </c>
      <c r="E1198" s="2" t="s">
        <v>710</v>
      </c>
      <c r="F1198" s="2" t="str" cm="1">
        <f t="array" ref="F1198">INDEX(_xlfn.TEXTSPLIT(E1198,"-"),2)</f>
        <v>女装</v>
      </c>
      <c r="G1198" s="2" t="str" cm="1">
        <f t="array" ref="G1198">INDEX(_xlfn.TEXTSPLIT(E1198,"-"),3)</f>
        <v>婚纱/旗袍/礼服</v>
      </c>
      <c r="H1198" s="5">
        <v>54113</v>
      </c>
      <c r="I1198" s="5">
        <v>9224524.95</v>
      </c>
      <c r="J1198" s="6">
        <v>0.0028</v>
      </c>
      <c r="K1198" s="6">
        <v>0.0008</v>
      </c>
    </row>
    <row r="1199" ht="14.5" spans="1:11">
      <c r="A1199" s="3" t="str">
        <f t="shared" si="78"/>
        <v>2026年</v>
      </c>
      <c r="B1199" s="3" t="str">
        <f t="shared" si="79"/>
        <v>2月</v>
      </c>
      <c r="C1199" s="4" t="str">
        <f t="shared" si="80"/>
        <v>W6</v>
      </c>
      <c r="D1199" s="2" t="s">
        <v>771</v>
      </c>
      <c r="E1199" s="2" t="s">
        <v>711</v>
      </c>
      <c r="F1199" s="2" t="str" cm="1">
        <f t="array" ref="F1199">INDEX(_xlfn.TEXTSPLIT(E1199,"-"),2)</f>
        <v>女装</v>
      </c>
      <c r="G1199" s="2" t="str" cm="1">
        <f t="array" ref="G1199">INDEX(_xlfn.TEXTSPLIT(E1199,"-"),3)</f>
        <v>新中式女装</v>
      </c>
      <c r="H1199" s="5">
        <v>119300</v>
      </c>
      <c r="I1199" s="5">
        <v>13413546.2</v>
      </c>
      <c r="J1199" s="6">
        <v>0.0041</v>
      </c>
      <c r="K1199" s="6">
        <v>0.6823</v>
      </c>
    </row>
    <row r="1200" ht="14.5" spans="1:11">
      <c r="A1200" s="3" t="str">
        <f t="shared" si="78"/>
        <v>2026年</v>
      </c>
      <c r="B1200" s="3" t="str">
        <f t="shared" si="79"/>
        <v>2月</v>
      </c>
      <c r="C1200" s="4" t="str">
        <f t="shared" si="80"/>
        <v>W6</v>
      </c>
      <c r="D1200" s="2" t="s">
        <v>771</v>
      </c>
      <c r="E1200" s="2" t="s">
        <v>712</v>
      </c>
      <c r="F1200" s="2" t="str" cm="1">
        <f t="array" ref="F1200">INDEX(_xlfn.TEXTSPLIT(E1200,"-"),2)</f>
        <v>女装</v>
      </c>
      <c r="G1200" s="2" t="str" cm="1">
        <f t="array" ref="G1200">INDEX(_xlfn.TEXTSPLIT(E1200,"-"),3)</f>
        <v>时尚防晒服</v>
      </c>
      <c r="H1200" s="5">
        <v>273</v>
      </c>
      <c r="I1200" s="5">
        <v>35904.8</v>
      </c>
      <c r="J1200" s="2" t="s">
        <v>713</v>
      </c>
      <c r="K1200" s="6">
        <v>-0.3602</v>
      </c>
    </row>
    <row r="1201" ht="14.5" spans="1:11">
      <c r="A1201" s="3" t="str">
        <f t="shared" si="78"/>
        <v>2026年</v>
      </c>
      <c r="B1201" s="3" t="str">
        <f t="shared" si="79"/>
        <v>2月</v>
      </c>
      <c r="C1201" s="4" t="str">
        <f t="shared" si="80"/>
        <v>W6</v>
      </c>
      <c r="D1201" s="2" t="s">
        <v>771</v>
      </c>
      <c r="E1201" s="2" t="s">
        <v>714</v>
      </c>
      <c r="F1201" s="2" t="str" cm="1">
        <f t="array" ref="F1201">INDEX(_xlfn.TEXTSPLIT(E1201,"-"),2)</f>
        <v>女装</v>
      </c>
      <c r="G1201" s="2" t="str" cm="1">
        <f t="array" ref="G1201">INDEX(_xlfn.TEXTSPLIT(E1201,"-"),3)</f>
        <v>棉衣/棉服</v>
      </c>
      <c r="H1201" s="5">
        <v>657656</v>
      </c>
      <c r="I1201" s="5">
        <v>76788478.55</v>
      </c>
      <c r="J1201" s="6">
        <v>0.0235</v>
      </c>
      <c r="K1201" s="6">
        <v>-0.0108</v>
      </c>
    </row>
    <row r="1202" ht="14.5" spans="1:11">
      <c r="A1202" s="3" t="str">
        <f t="shared" si="78"/>
        <v>2026年</v>
      </c>
      <c r="B1202" s="3" t="str">
        <f t="shared" si="79"/>
        <v>2月</v>
      </c>
      <c r="C1202" s="4" t="str">
        <f t="shared" si="80"/>
        <v>W6</v>
      </c>
      <c r="D1202" s="2" t="s">
        <v>771</v>
      </c>
      <c r="E1202" s="2" t="s">
        <v>715</v>
      </c>
      <c r="F1202" s="2" t="str" cm="1">
        <f t="array" ref="F1202">INDEX(_xlfn.TEXTSPLIT(E1202,"-"),2)</f>
        <v>女装</v>
      </c>
      <c r="G1202" s="2" t="str" cm="1">
        <f t="array" ref="G1202">INDEX(_xlfn.TEXTSPLIT(E1202,"-"),3)</f>
        <v>毛呢外套</v>
      </c>
      <c r="H1202" s="5">
        <v>917175</v>
      </c>
      <c r="I1202" s="5">
        <v>350981142.89</v>
      </c>
      <c r="J1202" s="6">
        <v>0.1074</v>
      </c>
      <c r="K1202" s="6">
        <v>0.0816</v>
      </c>
    </row>
    <row r="1203" ht="14.5" spans="1:11">
      <c r="A1203" s="3" t="str">
        <f t="shared" si="78"/>
        <v>2026年</v>
      </c>
      <c r="B1203" s="3" t="str">
        <f t="shared" si="79"/>
        <v>2月</v>
      </c>
      <c r="C1203" s="4" t="str">
        <f t="shared" si="80"/>
        <v>W6</v>
      </c>
      <c r="D1203" s="2" t="s">
        <v>771</v>
      </c>
      <c r="E1203" s="2" t="s">
        <v>716</v>
      </c>
      <c r="F1203" s="2" t="str" cm="1">
        <f t="array" ref="F1203">INDEX(_xlfn.TEXTSPLIT(E1203,"-"),2)</f>
        <v>女装</v>
      </c>
      <c r="G1203" s="2" t="str" cm="1">
        <f t="array" ref="G1203">INDEX(_xlfn.TEXTSPLIT(E1203,"-"),3)</f>
        <v>毛衣</v>
      </c>
      <c r="H1203" s="5">
        <v>466287</v>
      </c>
      <c r="I1203" s="5">
        <v>43651314.93</v>
      </c>
      <c r="J1203" s="6">
        <v>0.0134</v>
      </c>
      <c r="K1203" s="6">
        <v>0.1078</v>
      </c>
    </row>
    <row r="1204" ht="14.5" spans="1:11">
      <c r="A1204" s="3" t="str">
        <f t="shared" si="78"/>
        <v>2026年</v>
      </c>
      <c r="B1204" s="3" t="str">
        <f t="shared" si="79"/>
        <v>2月</v>
      </c>
      <c r="C1204" s="4" t="str">
        <f t="shared" si="80"/>
        <v>W6</v>
      </c>
      <c r="D1204" s="2" t="s">
        <v>771</v>
      </c>
      <c r="E1204" s="2" t="s">
        <v>717</v>
      </c>
      <c r="F1204" s="2" t="str" cm="1">
        <f t="array" ref="F1204">INDEX(_xlfn.TEXTSPLIT(E1204,"-"),2)</f>
        <v>女装</v>
      </c>
      <c r="G1204" s="2" t="str" cm="1">
        <f t="array" ref="G1204">INDEX(_xlfn.TEXTSPLIT(E1204,"-"),3)</f>
        <v>毛针织衫</v>
      </c>
      <c r="H1204" s="5">
        <v>2315303</v>
      </c>
      <c r="I1204" s="5">
        <v>187587084.74</v>
      </c>
      <c r="J1204" s="6">
        <v>0.0574</v>
      </c>
      <c r="K1204" s="6">
        <v>0.0471</v>
      </c>
    </row>
    <row r="1205" ht="14.5" spans="1:11">
      <c r="A1205" s="3" t="str">
        <f t="shared" si="78"/>
        <v>2026年</v>
      </c>
      <c r="B1205" s="3" t="str">
        <f t="shared" si="79"/>
        <v>2月</v>
      </c>
      <c r="C1205" s="4" t="str">
        <f t="shared" si="80"/>
        <v>W6</v>
      </c>
      <c r="D1205" s="2" t="s">
        <v>771</v>
      </c>
      <c r="E1205" s="2" t="s">
        <v>718</v>
      </c>
      <c r="F1205" s="2" t="str" cm="1">
        <f t="array" ref="F1205">INDEX(_xlfn.TEXTSPLIT(E1205,"-"),2)</f>
        <v>女装</v>
      </c>
      <c r="G1205" s="2" t="str" cm="1">
        <f t="array" ref="G1205">INDEX(_xlfn.TEXTSPLIT(E1205,"-"),3)</f>
        <v>汉服</v>
      </c>
      <c r="H1205" s="5">
        <v>103559</v>
      </c>
      <c r="I1205" s="5">
        <v>48877618.58</v>
      </c>
      <c r="J1205" s="6">
        <v>0.0149</v>
      </c>
      <c r="K1205" s="6">
        <v>0.2425</v>
      </c>
    </row>
    <row r="1206" ht="14.5" spans="1:11">
      <c r="A1206" s="3" t="str">
        <f t="shared" si="78"/>
        <v>2026年</v>
      </c>
      <c r="B1206" s="3" t="str">
        <f t="shared" si="79"/>
        <v>2月</v>
      </c>
      <c r="C1206" s="4" t="str">
        <f t="shared" si="80"/>
        <v>W6</v>
      </c>
      <c r="D1206" s="2" t="s">
        <v>771</v>
      </c>
      <c r="E1206" s="2" t="s">
        <v>719</v>
      </c>
      <c r="F1206" s="2" t="str" cm="1">
        <f t="array" ref="F1206">INDEX(_xlfn.TEXTSPLIT(E1206,"-"),2)</f>
        <v>女装</v>
      </c>
      <c r="G1206" s="2" t="str" cm="1">
        <f t="array" ref="G1206">INDEX(_xlfn.TEXTSPLIT(E1206,"-"),3)</f>
        <v>派克服</v>
      </c>
      <c r="H1206" s="5">
        <v>45622</v>
      </c>
      <c r="I1206" s="5">
        <v>11690657.42</v>
      </c>
      <c r="J1206" s="6">
        <v>0.0036</v>
      </c>
      <c r="K1206" s="6">
        <v>-0.0069</v>
      </c>
    </row>
    <row r="1207" ht="14.5" spans="1:11">
      <c r="A1207" s="3" t="str">
        <f t="shared" si="78"/>
        <v>2026年</v>
      </c>
      <c r="B1207" s="3" t="str">
        <f t="shared" si="79"/>
        <v>2月</v>
      </c>
      <c r="C1207" s="4" t="str">
        <f t="shared" si="80"/>
        <v>W6</v>
      </c>
      <c r="D1207" s="2" t="s">
        <v>771</v>
      </c>
      <c r="E1207" s="2" t="s">
        <v>720</v>
      </c>
      <c r="F1207" s="2" t="str" cm="1">
        <f t="array" ref="F1207">INDEX(_xlfn.TEXTSPLIT(E1207,"-"),2)</f>
        <v>女装</v>
      </c>
      <c r="G1207" s="2" t="str" cm="1">
        <f t="array" ref="G1207">INDEX(_xlfn.TEXTSPLIT(E1207,"-"),3)</f>
        <v>皮草</v>
      </c>
      <c r="H1207" s="5">
        <v>206664</v>
      </c>
      <c r="I1207" s="5">
        <v>312834901.93</v>
      </c>
      <c r="J1207" s="6">
        <v>0.0957</v>
      </c>
      <c r="K1207" s="6">
        <v>-0.0424</v>
      </c>
    </row>
    <row r="1208" ht="14.5" spans="1:11">
      <c r="A1208" s="3" t="str">
        <f t="shared" si="78"/>
        <v>2026年</v>
      </c>
      <c r="B1208" s="3" t="str">
        <f t="shared" si="79"/>
        <v>2月</v>
      </c>
      <c r="C1208" s="4" t="str">
        <f t="shared" si="80"/>
        <v>W6</v>
      </c>
      <c r="D1208" s="2" t="s">
        <v>771</v>
      </c>
      <c r="E1208" s="2" t="s">
        <v>721</v>
      </c>
      <c r="F1208" s="2" t="str" cm="1">
        <f t="array" ref="F1208">INDEX(_xlfn.TEXTSPLIT(E1208,"-"),2)</f>
        <v>女装</v>
      </c>
      <c r="G1208" s="2" t="str" cm="1">
        <f t="array" ref="G1208">INDEX(_xlfn.TEXTSPLIT(E1208,"-"),3)</f>
        <v>皮衣</v>
      </c>
      <c r="H1208" s="5">
        <v>176312</v>
      </c>
      <c r="I1208" s="5">
        <v>54450909.68</v>
      </c>
      <c r="J1208" s="6">
        <v>0.0167</v>
      </c>
      <c r="K1208" s="6">
        <v>0.0527</v>
      </c>
    </row>
    <row r="1209" ht="14.5" spans="1:11">
      <c r="A1209" s="3" t="str">
        <f t="shared" si="78"/>
        <v>2026年</v>
      </c>
      <c r="B1209" s="3" t="str">
        <f t="shared" si="79"/>
        <v>2月</v>
      </c>
      <c r="C1209" s="4" t="str">
        <f t="shared" si="80"/>
        <v>W6</v>
      </c>
      <c r="D1209" s="2" t="s">
        <v>771</v>
      </c>
      <c r="E1209" s="2" t="s">
        <v>722</v>
      </c>
      <c r="F1209" s="2" t="str" cm="1">
        <f t="array" ref="F1209">INDEX(_xlfn.TEXTSPLIT(E1209,"-"),2)</f>
        <v>女装</v>
      </c>
      <c r="G1209" s="2" t="str" cm="1">
        <f t="array" ref="G1209">INDEX(_xlfn.TEXTSPLIT(E1209,"-"),3)</f>
        <v>短外套</v>
      </c>
      <c r="H1209" s="5">
        <v>1256676</v>
      </c>
      <c r="I1209" s="5">
        <v>261899053.58</v>
      </c>
      <c r="J1209" s="6">
        <v>0.0801</v>
      </c>
      <c r="K1209" s="6">
        <v>0.0253</v>
      </c>
    </row>
    <row r="1210" ht="14.5" spans="1:11">
      <c r="A1210" s="3" t="str">
        <f t="shared" si="78"/>
        <v>2026年</v>
      </c>
      <c r="B1210" s="3" t="str">
        <f t="shared" si="79"/>
        <v>2月</v>
      </c>
      <c r="C1210" s="4" t="str">
        <f t="shared" si="80"/>
        <v>W6</v>
      </c>
      <c r="D1210" s="2" t="s">
        <v>771</v>
      </c>
      <c r="E1210" s="2" t="s">
        <v>723</v>
      </c>
      <c r="F1210" s="2" t="str" cm="1">
        <f t="array" ref="F1210">INDEX(_xlfn.TEXTSPLIT(E1210,"-"),2)</f>
        <v>女装</v>
      </c>
      <c r="G1210" s="2" t="str" cm="1">
        <f t="array" ref="G1210">INDEX(_xlfn.TEXTSPLIT(E1210,"-"),3)</f>
        <v>短裤</v>
      </c>
      <c r="H1210" s="5">
        <v>124707</v>
      </c>
      <c r="I1210" s="5">
        <v>6622657.35</v>
      </c>
      <c r="J1210" s="6">
        <v>0.002</v>
      </c>
      <c r="K1210" s="6">
        <v>-0.0638</v>
      </c>
    </row>
    <row r="1211" ht="14.5" spans="1:11">
      <c r="A1211" s="3" t="str">
        <f t="shared" si="78"/>
        <v>2026年</v>
      </c>
      <c r="B1211" s="3" t="str">
        <f t="shared" si="79"/>
        <v>2月</v>
      </c>
      <c r="C1211" s="4" t="str">
        <f t="shared" si="80"/>
        <v>W6</v>
      </c>
      <c r="D1211" s="2" t="s">
        <v>771</v>
      </c>
      <c r="E1211" s="2" t="s">
        <v>724</v>
      </c>
      <c r="F1211" s="2" t="str" cm="1">
        <f t="array" ref="F1211">INDEX(_xlfn.TEXTSPLIT(E1211,"-"),2)</f>
        <v>女装</v>
      </c>
      <c r="G1211" s="2" t="str" cm="1">
        <f t="array" ref="G1211">INDEX(_xlfn.TEXTSPLIT(E1211,"-"),3)</f>
        <v>羊毛衫</v>
      </c>
      <c r="H1211" s="5">
        <v>414017</v>
      </c>
      <c r="I1211" s="5">
        <v>52459832.68</v>
      </c>
      <c r="J1211" s="6">
        <v>0.016</v>
      </c>
      <c r="K1211" s="6">
        <v>-0.0233</v>
      </c>
    </row>
    <row r="1212" ht="14.5" spans="1:11">
      <c r="A1212" s="3" t="str">
        <f t="shared" si="78"/>
        <v>2026年</v>
      </c>
      <c r="B1212" s="3" t="str">
        <f t="shared" si="79"/>
        <v>2月</v>
      </c>
      <c r="C1212" s="4" t="str">
        <f t="shared" si="80"/>
        <v>W6</v>
      </c>
      <c r="D1212" s="2" t="s">
        <v>771</v>
      </c>
      <c r="E1212" s="2" t="s">
        <v>725</v>
      </c>
      <c r="F1212" s="2" t="str" cm="1">
        <f t="array" ref="F1212">INDEX(_xlfn.TEXTSPLIT(E1212,"-"),2)</f>
        <v>女装</v>
      </c>
      <c r="G1212" s="2" t="str" cm="1">
        <f t="array" ref="G1212">INDEX(_xlfn.TEXTSPLIT(E1212,"-"),3)</f>
        <v>羊绒大衣</v>
      </c>
      <c r="H1212" s="5">
        <v>17021</v>
      </c>
      <c r="I1212" s="5">
        <v>4048681.04</v>
      </c>
      <c r="J1212" s="6">
        <v>0.0012</v>
      </c>
      <c r="K1212" s="6">
        <v>0.1515</v>
      </c>
    </row>
    <row r="1213" ht="14.5" spans="1:11">
      <c r="A1213" s="3" t="str">
        <f t="shared" si="78"/>
        <v>2026年</v>
      </c>
      <c r="B1213" s="3" t="str">
        <f t="shared" si="79"/>
        <v>2月</v>
      </c>
      <c r="C1213" s="4" t="str">
        <f t="shared" si="80"/>
        <v>W6</v>
      </c>
      <c r="D1213" s="2" t="s">
        <v>771</v>
      </c>
      <c r="E1213" s="2" t="s">
        <v>726</v>
      </c>
      <c r="F1213" s="2" t="str" cm="1">
        <f t="array" ref="F1213">INDEX(_xlfn.TEXTSPLIT(E1213,"-"),2)</f>
        <v>女装</v>
      </c>
      <c r="G1213" s="2" t="str" cm="1">
        <f t="array" ref="G1213">INDEX(_xlfn.TEXTSPLIT(E1213,"-"),3)</f>
        <v>羊绒衫</v>
      </c>
      <c r="H1213" s="5">
        <v>105284</v>
      </c>
      <c r="I1213" s="5">
        <v>41482512.08</v>
      </c>
      <c r="J1213" s="6">
        <v>0.0127</v>
      </c>
      <c r="K1213" s="6">
        <v>0.1964</v>
      </c>
    </row>
    <row r="1214" ht="14.5" spans="1:11">
      <c r="A1214" s="3" t="str">
        <f t="shared" si="78"/>
        <v>2026年</v>
      </c>
      <c r="B1214" s="3" t="str">
        <f t="shared" si="79"/>
        <v>2月</v>
      </c>
      <c r="C1214" s="4" t="str">
        <f t="shared" si="80"/>
        <v>W6</v>
      </c>
      <c r="D1214" s="2" t="s">
        <v>771</v>
      </c>
      <c r="E1214" s="2" t="s">
        <v>727</v>
      </c>
      <c r="F1214" s="2" t="str" cm="1">
        <f t="array" ref="F1214">INDEX(_xlfn.TEXTSPLIT(E1214,"-"),2)</f>
        <v>女装</v>
      </c>
      <c r="G1214" s="2" t="str" cm="1">
        <f t="array" ref="G1214">INDEX(_xlfn.TEXTSPLIT(E1214,"-"),3)</f>
        <v>羽绒服</v>
      </c>
      <c r="H1214" s="5">
        <v>1564192</v>
      </c>
      <c r="I1214" s="5">
        <v>586968857.55</v>
      </c>
      <c r="J1214" s="6">
        <v>0.1795</v>
      </c>
      <c r="K1214" s="6">
        <v>-0.013</v>
      </c>
    </row>
    <row r="1215" ht="14.5" spans="1:11">
      <c r="A1215" s="3" t="str">
        <f t="shared" si="78"/>
        <v>2026年</v>
      </c>
      <c r="B1215" s="3" t="str">
        <f t="shared" si="79"/>
        <v>2月</v>
      </c>
      <c r="C1215" s="4" t="str">
        <f t="shared" si="80"/>
        <v>W6</v>
      </c>
      <c r="D1215" s="2" t="s">
        <v>771</v>
      </c>
      <c r="E1215" s="2" t="s">
        <v>728</v>
      </c>
      <c r="F1215" s="2" t="str" cm="1">
        <f t="array" ref="F1215">INDEX(_xlfn.TEXTSPLIT(E1215,"-"),2)</f>
        <v>女装</v>
      </c>
      <c r="G1215" s="2" t="str" cm="1">
        <f t="array" ref="G1215">INDEX(_xlfn.TEXTSPLIT(E1215,"-"),3)</f>
        <v>肌底衣/肌肤衣</v>
      </c>
      <c r="H1215" s="5">
        <v>5311</v>
      </c>
      <c r="I1215" s="5">
        <v>321062.15</v>
      </c>
      <c r="J1215" s="6">
        <v>0.0001</v>
      </c>
      <c r="K1215" s="6">
        <v>0.5247</v>
      </c>
    </row>
    <row r="1216" ht="14.5" spans="1:11">
      <c r="A1216" s="3" t="str">
        <f t="shared" si="78"/>
        <v>2026年</v>
      </c>
      <c r="B1216" s="3" t="str">
        <f t="shared" si="79"/>
        <v>2月</v>
      </c>
      <c r="C1216" s="4" t="str">
        <f t="shared" si="80"/>
        <v>W6</v>
      </c>
      <c r="D1216" s="2" t="s">
        <v>771</v>
      </c>
      <c r="E1216" s="2" t="s">
        <v>729</v>
      </c>
      <c r="F1216" s="2" t="str" cm="1">
        <f t="array" ref="F1216">INDEX(_xlfn.TEXTSPLIT(E1216,"-"),2)</f>
        <v>女装</v>
      </c>
      <c r="G1216" s="2" t="str" cm="1">
        <f t="array" ref="G1216">INDEX(_xlfn.TEXTSPLIT(E1216,"-"),3)</f>
        <v>背心吊带</v>
      </c>
      <c r="H1216" s="5">
        <v>257943</v>
      </c>
      <c r="I1216" s="5">
        <v>13456702.76</v>
      </c>
      <c r="J1216" s="6">
        <v>0.0041</v>
      </c>
      <c r="K1216" s="6">
        <v>-0.0043</v>
      </c>
    </row>
    <row r="1217" ht="14.5" spans="1:11">
      <c r="A1217" s="3" t="str">
        <f t="shared" si="78"/>
        <v>2026年</v>
      </c>
      <c r="B1217" s="3" t="str">
        <f t="shared" si="79"/>
        <v>2月</v>
      </c>
      <c r="C1217" s="4" t="str">
        <f t="shared" si="80"/>
        <v>W6</v>
      </c>
      <c r="D1217" s="2" t="s">
        <v>771</v>
      </c>
      <c r="E1217" s="2" t="s">
        <v>730</v>
      </c>
      <c r="F1217" s="2" t="str" cm="1">
        <f t="array" ref="F1217">INDEX(_xlfn.TEXTSPLIT(E1217,"-"),2)</f>
        <v>女装</v>
      </c>
      <c r="G1217" s="2" t="str" cm="1">
        <f t="array" ref="G1217">INDEX(_xlfn.TEXTSPLIT(E1217,"-"),3)</f>
        <v>蕾丝衫/雪纺衫</v>
      </c>
      <c r="H1217" s="5">
        <v>174183</v>
      </c>
      <c r="I1217" s="5">
        <v>11821297.88</v>
      </c>
      <c r="J1217" s="6">
        <v>0.0036</v>
      </c>
      <c r="K1217" s="6">
        <v>-0.0017</v>
      </c>
    </row>
    <row r="1218" ht="14.5" spans="1:11">
      <c r="A1218" s="3" t="str">
        <f t="shared" si="78"/>
        <v>2026年</v>
      </c>
      <c r="B1218" s="3" t="str">
        <f t="shared" si="79"/>
        <v>2月</v>
      </c>
      <c r="C1218" s="4" t="str">
        <f t="shared" si="80"/>
        <v>W6</v>
      </c>
      <c r="D1218" s="2" t="s">
        <v>771</v>
      </c>
      <c r="E1218" s="2" t="s">
        <v>731</v>
      </c>
      <c r="F1218" s="2" t="str" cm="1">
        <f t="array" ref="F1218">INDEX(_xlfn.TEXTSPLIT(E1218,"-"),2)</f>
        <v>女装</v>
      </c>
      <c r="G1218" s="2" t="str" cm="1">
        <f t="array" ref="G1218">INDEX(_xlfn.TEXTSPLIT(E1218,"-"),3)</f>
        <v>衬衫</v>
      </c>
      <c r="H1218" s="5">
        <v>500059</v>
      </c>
      <c r="I1218" s="5">
        <v>55416363.94</v>
      </c>
      <c r="J1218" s="6">
        <v>0.0169</v>
      </c>
      <c r="K1218" s="6">
        <v>0.0737</v>
      </c>
    </row>
    <row r="1219" ht="14.5" spans="1:11">
      <c r="A1219" s="3" t="str">
        <f t="shared" si="78"/>
        <v>2026年</v>
      </c>
      <c r="B1219" s="3" t="str">
        <f t="shared" si="79"/>
        <v>2月</v>
      </c>
      <c r="C1219" s="4" t="str">
        <f t="shared" si="80"/>
        <v>W6</v>
      </c>
      <c r="D1219" s="2" t="s">
        <v>771</v>
      </c>
      <c r="E1219" s="2" t="s">
        <v>732</v>
      </c>
      <c r="F1219" s="2" t="str" cm="1">
        <f t="array" ref="F1219">INDEX(_xlfn.TEXTSPLIT(E1219,"-"),2)</f>
        <v>女装</v>
      </c>
      <c r="G1219" s="2" t="str" cm="1">
        <f t="array" ref="G1219">INDEX(_xlfn.TEXTSPLIT(E1219,"-"),3)</f>
        <v>裤子</v>
      </c>
      <c r="H1219" s="5">
        <v>4084327</v>
      </c>
      <c r="I1219" s="5">
        <v>389600144.69</v>
      </c>
      <c r="J1219" s="6">
        <v>0.1192</v>
      </c>
      <c r="K1219" s="6">
        <v>-0.0037</v>
      </c>
    </row>
    <row r="1220" ht="14.5" spans="1:11">
      <c r="A1220" s="3" t="str">
        <f t="shared" si="78"/>
        <v>2026年</v>
      </c>
      <c r="B1220" s="3" t="str">
        <f t="shared" si="79"/>
        <v>2月</v>
      </c>
      <c r="C1220" s="4" t="str">
        <f t="shared" si="80"/>
        <v>W6</v>
      </c>
      <c r="D1220" s="2" t="s">
        <v>771</v>
      </c>
      <c r="E1220" s="2" t="s">
        <v>733</v>
      </c>
      <c r="F1220" s="2" t="str" cm="1">
        <f t="array" ref="F1220">INDEX(_xlfn.TEXTSPLIT(E1220,"-"),2)</f>
        <v>女装</v>
      </c>
      <c r="G1220" s="2" t="str" cm="1">
        <f t="array" ref="G1220">INDEX(_xlfn.TEXTSPLIT(E1220,"-"),3)</f>
        <v>西装</v>
      </c>
      <c r="H1220" s="5">
        <v>73277</v>
      </c>
      <c r="I1220" s="5">
        <v>18797142.13</v>
      </c>
      <c r="J1220" s="6">
        <v>0.0057</v>
      </c>
      <c r="K1220" s="6">
        <v>0.2133</v>
      </c>
    </row>
    <row r="1221" ht="14.5" spans="1:11">
      <c r="A1221" s="3" t="str">
        <f t="shared" si="78"/>
        <v>2026年</v>
      </c>
      <c r="B1221" s="3" t="str">
        <f t="shared" si="79"/>
        <v>2月</v>
      </c>
      <c r="C1221" s="4" t="str">
        <f t="shared" si="80"/>
        <v>W6</v>
      </c>
      <c r="D1221" s="2" t="s">
        <v>771</v>
      </c>
      <c r="E1221" s="2" t="s">
        <v>734</v>
      </c>
      <c r="F1221" s="2" t="str" cm="1">
        <f t="array" ref="F1221">INDEX(_xlfn.TEXTSPLIT(E1221,"-"),2)</f>
        <v>女装</v>
      </c>
      <c r="G1221" s="2" t="str" cm="1">
        <f t="array" ref="G1221">INDEX(_xlfn.TEXTSPLIT(E1221,"-"),3)</f>
        <v>设计师/潮牌女装</v>
      </c>
      <c r="H1221" s="5">
        <v>442251</v>
      </c>
      <c r="I1221" s="5">
        <v>55465244.71</v>
      </c>
      <c r="J1221" s="6">
        <v>0.017</v>
      </c>
      <c r="K1221" s="6">
        <v>0.0469</v>
      </c>
    </row>
    <row r="1222" ht="14.5" spans="1:11">
      <c r="A1222" s="3" t="str">
        <f t="shared" si="78"/>
        <v>2026年</v>
      </c>
      <c r="B1222" s="3" t="str">
        <f t="shared" si="79"/>
        <v>2月</v>
      </c>
      <c r="C1222" s="4" t="str">
        <f t="shared" si="80"/>
        <v>W6</v>
      </c>
      <c r="D1222" s="2" t="s">
        <v>771</v>
      </c>
      <c r="E1222" s="2" t="s">
        <v>735</v>
      </c>
      <c r="F1222" s="2" t="str" cm="1">
        <f t="array" ref="F1222">INDEX(_xlfn.TEXTSPLIT(E1222,"-"),2)</f>
        <v>女装</v>
      </c>
      <c r="G1222" s="2" t="str" cm="1">
        <f t="array" ref="G1222">INDEX(_xlfn.TEXTSPLIT(E1222,"-"),3)</f>
        <v>连体衣/裤</v>
      </c>
      <c r="H1222" s="5">
        <v>11303</v>
      </c>
      <c r="I1222" s="5">
        <v>2133583.82</v>
      </c>
      <c r="J1222" s="6">
        <v>0.0007</v>
      </c>
      <c r="K1222" s="6">
        <v>0.1113</v>
      </c>
    </row>
    <row r="1223" ht="14.5" spans="1:11">
      <c r="A1223" s="3" t="str">
        <f t="shared" si="78"/>
        <v>2026年</v>
      </c>
      <c r="B1223" s="3" t="str">
        <f t="shared" si="79"/>
        <v>2月</v>
      </c>
      <c r="C1223" s="4" t="str">
        <f t="shared" si="80"/>
        <v>W6</v>
      </c>
      <c r="D1223" s="2" t="s">
        <v>771</v>
      </c>
      <c r="E1223" s="2" t="s">
        <v>736</v>
      </c>
      <c r="F1223" s="2" t="str" cm="1">
        <f t="array" ref="F1223">INDEX(_xlfn.TEXTSPLIT(E1223,"-"),2)</f>
        <v>女装</v>
      </c>
      <c r="G1223" s="2" t="str" cm="1">
        <f t="array" ref="G1223">INDEX(_xlfn.TEXTSPLIT(E1223,"-"),3)</f>
        <v>连衣裙</v>
      </c>
      <c r="H1223" s="5">
        <v>728543</v>
      </c>
      <c r="I1223" s="5">
        <v>112824857.86</v>
      </c>
      <c r="J1223" s="6">
        <v>0.0345</v>
      </c>
      <c r="K1223" s="6">
        <v>0.0979</v>
      </c>
    </row>
    <row r="1224" ht="14.5" spans="1:11">
      <c r="A1224" s="3" t="str">
        <f t="shared" si="78"/>
        <v>2026年</v>
      </c>
      <c r="B1224" s="3" t="str">
        <f t="shared" si="79"/>
        <v>2月</v>
      </c>
      <c r="C1224" s="4" t="str">
        <f t="shared" si="80"/>
        <v>W6</v>
      </c>
      <c r="D1224" s="2" t="s">
        <v>771</v>
      </c>
      <c r="E1224" s="2" t="s">
        <v>737</v>
      </c>
      <c r="F1224" s="2" t="str" cm="1">
        <f t="array" ref="F1224">INDEX(_xlfn.TEXTSPLIT(E1224,"-"),2)</f>
        <v>女装</v>
      </c>
      <c r="G1224" s="2" t="str" cm="1">
        <f t="array" ref="G1224">INDEX(_xlfn.TEXTSPLIT(E1224,"-"),3)</f>
        <v>风衣</v>
      </c>
      <c r="H1224" s="5">
        <v>107153</v>
      </c>
      <c r="I1224" s="5">
        <v>19568112.13</v>
      </c>
      <c r="J1224" s="6">
        <v>0.006</v>
      </c>
      <c r="K1224" s="6">
        <v>0.2214</v>
      </c>
    </row>
    <row r="1225" ht="14.5" spans="1:11">
      <c r="A1225" s="3" t="str">
        <f t="shared" si="78"/>
        <v>2026年</v>
      </c>
      <c r="B1225" s="3" t="str">
        <f t="shared" si="79"/>
        <v>2月</v>
      </c>
      <c r="C1225" s="4" t="str">
        <f t="shared" si="80"/>
        <v>W6</v>
      </c>
      <c r="D1225" s="2" t="s">
        <v>771</v>
      </c>
      <c r="E1225" s="2" t="s">
        <v>738</v>
      </c>
      <c r="F1225" s="2" t="str" cm="1">
        <f t="array" ref="F1225">INDEX(_xlfn.TEXTSPLIT(E1225,"-"),2)</f>
        <v>女装</v>
      </c>
      <c r="G1225" s="2" t="str" cm="1">
        <f t="array" ref="G1225">INDEX(_xlfn.TEXTSPLIT(E1225,"-"),3)</f>
        <v>马夹</v>
      </c>
      <c r="H1225" s="5">
        <v>406669</v>
      </c>
      <c r="I1225" s="5">
        <v>43018983.69</v>
      </c>
      <c r="J1225" s="6">
        <v>0.0132</v>
      </c>
      <c r="K1225" s="6">
        <v>0.0552</v>
      </c>
    </row>
    <row r="1226" ht="14.5" spans="1:11">
      <c r="A1226" s="3" t="str">
        <f t="shared" si="78"/>
        <v>2026年</v>
      </c>
      <c r="B1226" s="3" t="str">
        <f t="shared" si="79"/>
        <v>2月</v>
      </c>
      <c r="C1226" s="4" t="str">
        <f t="shared" si="80"/>
        <v>W6</v>
      </c>
      <c r="D1226" s="2" t="s">
        <v>772</v>
      </c>
      <c r="E1226" s="2" t="s">
        <v>702</v>
      </c>
      <c r="F1226" s="2" t="str" cm="1">
        <f t="array" ref="F1226">INDEX(_xlfn.TEXTSPLIT(E1226,"-"),2)</f>
        <v>女装</v>
      </c>
      <c r="G1226" s="2" t="str" cm="1">
        <f t="array" ref="G1226">INDEX(_xlfn.TEXTSPLIT(E1226,"-"),3)</f>
        <v>POLO衫</v>
      </c>
      <c r="H1226" s="5">
        <v>19002</v>
      </c>
      <c r="I1226" s="5">
        <v>1088601.99</v>
      </c>
      <c r="J1226" s="6">
        <v>0.0003</v>
      </c>
      <c r="K1226" s="6">
        <v>0.0763</v>
      </c>
    </row>
    <row r="1227" ht="14.5" spans="1:11">
      <c r="A1227" s="3" t="str">
        <f t="shared" si="78"/>
        <v>2026年</v>
      </c>
      <c r="B1227" s="3" t="str">
        <f t="shared" si="79"/>
        <v>2月</v>
      </c>
      <c r="C1227" s="4" t="str">
        <f t="shared" si="80"/>
        <v>W6</v>
      </c>
      <c r="D1227" s="2" t="s">
        <v>772</v>
      </c>
      <c r="E1227" s="2" t="s">
        <v>703</v>
      </c>
      <c r="F1227" s="2" t="str" cm="1">
        <f t="array" ref="F1227">INDEX(_xlfn.TEXTSPLIT(E1227,"-"),2)</f>
        <v>女装</v>
      </c>
      <c r="G1227" s="2" t="str" cm="1">
        <f t="array" ref="G1227">INDEX(_xlfn.TEXTSPLIT(E1227,"-"),3)</f>
        <v>T恤</v>
      </c>
      <c r="H1227" s="5">
        <v>1437294</v>
      </c>
      <c r="I1227" s="5">
        <v>80721442.09</v>
      </c>
      <c r="J1227" s="6">
        <v>0.0259</v>
      </c>
      <c r="K1227" s="6">
        <v>-0.0318</v>
      </c>
    </row>
    <row r="1228" ht="14.5" spans="1:11">
      <c r="A1228" s="3" t="str">
        <f t="shared" si="78"/>
        <v>2026年</v>
      </c>
      <c r="B1228" s="3" t="str">
        <f t="shared" si="79"/>
        <v>2月</v>
      </c>
      <c r="C1228" s="4" t="str">
        <f t="shared" si="80"/>
        <v>W6</v>
      </c>
      <c r="D1228" s="2" t="s">
        <v>772</v>
      </c>
      <c r="E1228" s="2" t="s">
        <v>704</v>
      </c>
      <c r="F1228" s="2" t="str" cm="1">
        <f t="array" ref="F1228">INDEX(_xlfn.TEXTSPLIT(E1228,"-"),2)</f>
        <v>女装</v>
      </c>
      <c r="G1228" s="2" t="str" cm="1">
        <f t="array" ref="G1228">INDEX(_xlfn.TEXTSPLIT(E1228,"-"),3)</f>
        <v>中老年女装</v>
      </c>
      <c r="H1228" s="5">
        <v>465266</v>
      </c>
      <c r="I1228" s="5">
        <v>58638017.23</v>
      </c>
      <c r="J1228" s="6">
        <v>0.0188</v>
      </c>
      <c r="K1228" s="6">
        <v>-0.0635</v>
      </c>
    </row>
    <row r="1229" ht="14.5" spans="1:11">
      <c r="A1229" s="3" t="str">
        <f t="shared" si="78"/>
        <v>2026年</v>
      </c>
      <c r="B1229" s="3" t="str">
        <f t="shared" si="79"/>
        <v>2月</v>
      </c>
      <c r="C1229" s="4" t="str">
        <f t="shared" si="80"/>
        <v>W6</v>
      </c>
      <c r="D1229" s="2" t="s">
        <v>772</v>
      </c>
      <c r="E1229" s="2" t="s">
        <v>705</v>
      </c>
      <c r="F1229" s="2" t="str" cm="1">
        <f t="array" ref="F1229">INDEX(_xlfn.TEXTSPLIT(E1229,"-"),2)</f>
        <v>女装</v>
      </c>
      <c r="G1229" s="2" t="str" cm="1">
        <f t="array" ref="G1229">INDEX(_xlfn.TEXTSPLIT(E1229,"-"),3)</f>
        <v>半身裙</v>
      </c>
      <c r="H1229" s="5">
        <v>767043</v>
      </c>
      <c r="I1229" s="5">
        <v>67944209.79</v>
      </c>
      <c r="J1229" s="6">
        <v>0.0218</v>
      </c>
      <c r="K1229" s="6">
        <v>-0.0645</v>
      </c>
    </row>
    <row r="1230" ht="14.5" spans="1:11">
      <c r="A1230" s="3" t="str">
        <f t="shared" si="78"/>
        <v>2026年</v>
      </c>
      <c r="B1230" s="3" t="str">
        <f t="shared" si="79"/>
        <v>2月</v>
      </c>
      <c r="C1230" s="4" t="str">
        <f t="shared" si="80"/>
        <v>W6</v>
      </c>
      <c r="D1230" s="2" t="s">
        <v>772</v>
      </c>
      <c r="E1230" s="2" t="s">
        <v>706</v>
      </c>
      <c r="F1230" s="2" t="str" cm="1">
        <f t="array" ref="F1230">INDEX(_xlfn.TEXTSPLIT(E1230,"-"),2)</f>
        <v>女装</v>
      </c>
      <c r="G1230" s="2" t="str" cm="1">
        <f t="array" ref="G1230">INDEX(_xlfn.TEXTSPLIT(E1230,"-"),3)</f>
        <v>卫衣/绒衫</v>
      </c>
      <c r="H1230" s="5">
        <v>423549</v>
      </c>
      <c r="I1230" s="5">
        <v>32710874.88</v>
      </c>
      <c r="J1230" s="6">
        <v>0.0105</v>
      </c>
      <c r="K1230" s="6">
        <v>-0.0506</v>
      </c>
    </row>
    <row r="1231" ht="14.5" spans="1:11">
      <c r="A1231" s="3" t="str">
        <f t="shared" si="78"/>
        <v>2026年</v>
      </c>
      <c r="B1231" s="3" t="str">
        <f t="shared" si="79"/>
        <v>2月</v>
      </c>
      <c r="C1231" s="4" t="str">
        <f t="shared" si="80"/>
        <v>W6</v>
      </c>
      <c r="D1231" s="2" t="s">
        <v>772</v>
      </c>
      <c r="E1231" s="2" t="s">
        <v>707</v>
      </c>
      <c r="F1231" s="2" t="str" cm="1">
        <f t="array" ref="F1231">INDEX(_xlfn.TEXTSPLIT(E1231,"-"),2)</f>
        <v>女装</v>
      </c>
      <c r="G1231" s="2" t="str" cm="1">
        <f t="array" ref="G1231">INDEX(_xlfn.TEXTSPLIT(E1231,"-"),3)</f>
        <v>唐装/民族服装/舞台服装</v>
      </c>
      <c r="H1231" s="5">
        <v>275866</v>
      </c>
      <c r="I1231" s="5">
        <v>52340991.88</v>
      </c>
      <c r="J1231" s="6">
        <v>0.0168</v>
      </c>
      <c r="K1231" s="6">
        <v>0.0862</v>
      </c>
    </row>
    <row r="1232" ht="14.5" spans="1:11">
      <c r="A1232" s="3" t="str">
        <f t="shared" si="78"/>
        <v>2026年</v>
      </c>
      <c r="B1232" s="3" t="str">
        <f t="shared" si="79"/>
        <v>2月</v>
      </c>
      <c r="C1232" s="4" t="str">
        <f t="shared" si="80"/>
        <v>W6</v>
      </c>
      <c r="D1232" s="2" t="s">
        <v>772</v>
      </c>
      <c r="E1232" s="2" t="s">
        <v>708</v>
      </c>
      <c r="F1232" s="2" t="str" cm="1">
        <f t="array" ref="F1232">INDEX(_xlfn.TEXTSPLIT(E1232,"-"),2)</f>
        <v>女装</v>
      </c>
      <c r="G1232" s="2" t="str" cm="1">
        <f t="array" ref="G1232">INDEX(_xlfn.TEXTSPLIT(E1232,"-"),3)</f>
        <v>大码女装</v>
      </c>
      <c r="H1232" s="5">
        <v>583635</v>
      </c>
      <c r="I1232" s="5">
        <v>49832045.42</v>
      </c>
      <c r="J1232" s="6">
        <v>0.016</v>
      </c>
      <c r="K1232" s="6">
        <v>-0.0769</v>
      </c>
    </row>
    <row r="1233" ht="14.5" spans="1:11">
      <c r="A1233" s="3" t="str">
        <f t="shared" si="78"/>
        <v>2026年</v>
      </c>
      <c r="B1233" s="3" t="str">
        <f t="shared" si="79"/>
        <v>2月</v>
      </c>
      <c r="C1233" s="4" t="str">
        <f t="shared" si="80"/>
        <v>W6</v>
      </c>
      <c r="D1233" s="2" t="s">
        <v>772</v>
      </c>
      <c r="E1233" s="2" t="s">
        <v>709</v>
      </c>
      <c r="F1233" s="2" t="str" cm="1">
        <f t="array" ref="F1233">INDEX(_xlfn.TEXTSPLIT(E1233,"-"),2)</f>
        <v>女装</v>
      </c>
      <c r="G1233" s="2" t="str" cm="1">
        <f t="array" ref="G1233">INDEX(_xlfn.TEXTSPLIT(E1233,"-"),3)</f>
        <v>套装/学生校服/工作制服</v>
      </c>
      <c r="H1233" s="5">
        <v>893434</v>
      </c>
      <c r="I1233" s="5">
        <v>126401606.45</v>
      </c>
      <c r="J1233" s="6">
        <v>0.0406</v>
      </c>
      <c r="K1233" s="6">
        <v>-0.0108</v>
      </c>
    </row>
    <row r="1234" ht="14.5" spans="1:11">
      <c r="A1234" s="3" t="str">
        <f t="shared" si="78"/>
        <v>2026年</v>
      </c>
      <c r="B1234" s="3" t="str">
        <f t="shared" si="79"/>
        <v>2月</v>
      </c>
      <c r="C1234" s="4" t="str">
        <f t="shared" si="80"/>
        <v>W6</v>
      </c>
      <c r="D1234" s="2" t="s">
        <v>772</v>
      </c>
      <c r="E1234" s="2" t="s">
        <v>710</v>
      </c>
      <c r="F1234" s="2" t="str" cm="1">
        <f t="array" ref="F1234">INDEX(_xlfn.TEXTSPLIT(E1234,"-"),2)</f>
        <v>女装</v>
      </c>
      <c r="G1234" s="2" t="str" cm="1">
        <f t="array" ref="G1234">INDEX(_xlfn.TEXTSPLIT(E1234,"-"),3)</f>
        <v>婚纱/旗袍/礼服</v>
      </c>
      <c r="H1234" s="5">
        <v>54633</v>
      </c>
      <c r="I1234" s="5">
        <v>9330686.15</v>
      </c>
      <c r="J1234" s="6">
        <v>0.003</v>
      </c>
      <c r="K1234" s="6">
        <v>0.0115</v>
      </c>
    </row>
    <row r="1235" ht="14.5" spans="1:11">
      <c r="A1235" s="3" t="str">
        <f t="shared" si="78"/>
        <v>2026年</v>
      </c>
      <c r="B1235" s="3" t="str">
        <f t="shared" si="79"/>
        <v>2月</v>
      </c>
      <c r="C1235" s="4" t="str">
        <f t="shared" si="80"/>
        <v>W6</v>
      </c>
      <c r="D1235" s="2" t="s">
        <v>772</v>
      </c>
      <c r="E1235" s="2" t="s">
        <v>711</v>
      </c>
      <c r="F1235" s="2" t="str" cm="1">
        <f t="array" ref="F1235">INDEX(_xlfn.TEXTSPLIT(E1235,"-"),2)</f>
        <v>女装</v>
      </c>
      <c r="G1235" s="2" t="str" cm="1">
        <f t="array" ref="G1235">INDEX(_xlfn.TEXTSPLIT(E1235,"-"),3)</f>
        <v>新中式女装</v>
      </c>
      <c r="H1235" s="5">
        <v>94423</v>
      </c>
      <c r="I1235" s="5">
        <v>17767790.03</v>
      </c>
      <c r="J1235" s="6">
        <v>0.0057</v>
      </c>
      <c r="K1235" s="6">
        <v>0.3246</v>
      </c>
    </row>
    <row r="1236" ht="14.5" spans="1:11">
      <c r="A1236" s="3" t="str">
        <f t="shared" si="78"/>
        <v>2026年</v>
      </c>
      <c r="B1236" s="3" t="str">
        <f t="shared" si="79"/>
        <v>2月</v>
      </c>
      <c r="C1236" s="4" t="str">
        <f t="shared" si="80"/>
        <v>W6</v>
      </c>
      <c r="D1236" s="2" t="s">
        <v>772</v>
      </c>
      <c r="E1236" s="2" t="s">
        <v>712</v>
      </c>
      <c r="F1236" s="2" t="str" cm="1">
        <f t="array" ref="F1236">INDEX(_xlfn.TEXTSPLIT(E1236,"-"),2)</f>
        <v>女装</v>
      </c>
      <c r="G1236" s="2" t="str" cm="1">
        <f t="array" ref="G1236">INDEX(_xlfn.TEXTSPLIT(E1236,"-"),3)</f>
        <v>时尚防晒服</v>
      </c>
      <c r="H1236" s="5">
        <v>375</v>
      </c>
      <c r="I1236" s="5">
        <v>73400.96</v>
      </c>
      <c r="J1236" s="2" t="s">
        <v>713</v>
      </c>
      <c r="K1236" s="6">
        <v>1.0443</v>
      </c>
    </row>
    <row r="1237" ht="14.5" spans="1:11">
      <c r="A1237" s="3" t="str">
        <f t="shared" si="78"/>
        <v>2026年</v>
      </c>
      <c r="B1237" s="3" t="str">
        <f t="shared" si="79"/>
        <v>2月</v>
      </c>
      <c r="C1237" s="4" t="str">
        <f t="shared" si="80"/>
        <v>W6</v>
      </c>
      <c r="D1237" s="2" t="s">
        <v>772</v>
      </c>
      <c r="E1237" s="2" t="s">
        <v>714</v>
      </c>
      <c r="F1237" s="2" t="str" cm="1">
        <f t="array" ref="F1237">INDEX(_xlfn.TEXTSPLIT(E1237,"-"),2)</f>
        <v>女装</v>
      </c>
      <c r="G1237" s="2" t="str" cm="1">
        <f t="array" ref="G1237">INDEX(_xlfn.TEXTSPLIT(E1237,"-"),3)</f>
        <v>棉衣/棉服</v>
      </c>
      <c r="H1237" s="5">
        <v>614461</v>
      </c>
      <c r="I1237" s="5">
        <v>72589009.42</v>
      </c>
      <c r="J1237" s="6">
        <v>0.0233</v>
      </c>
      <c r="K1237" s="6">
        <v>-0.0547</v>
      </c>
    </row>
    <row r="1238" ht="14.5" spans="1:11">
      <c r="A1238" s="3" t="str">
        <f t="shared" si="78"/>
        <v>2026年</v>
      </c>
      <c r="B1238" s="3" t="str">
        <f t="shared" si="79"/>
        <v>2月</v>
      </c>
      <c r="C1238" s="4" t="str">
        <f t="shared" si="80"/>
        <v>W6</v>
      </c>
      <c r="D1238" s="2" t="s">
        <v>772</v>
      </c>
      <c r="E1238" s="2" t="s">
        <v>715</v>
      </c>
      <c r="F1238" s="2" t="str" cm="1">
        <f t="array" ref="F1238">INDEX(_xlfn.TEXTSPLIT(E1238,"-"),2)</f>
        <v>女装</v>
      </c>
      <c r="G1238" s="2" t="str" cm="1">
        <f t="array" ref="G1238">INDEX(_xlfn.TEXTSPLIT(E1238,"-"),3)</f>
        <v>毛呢外套</v>
      </c>
      <c r="H1238" s="5">
        <v>885916</v>
      </c>
      <c r="I1238" s="5">
        <v>346067646.05</v>
      </c>
      <c r="J1238" s="6">
        <v>0.1112</v>
      </c>
      <c r="K1238" s="6">
        <v>-0.014</v>
      </c>
    </row>
    <row r="1239" ht="14.5" spans="1:11">
      <c r="A1239" s="3" t="str">
        <f t="shared" si="78"/>
        <v>2026年</v>
      </c>
      <c r="B1239" s="3" t="str">
        <f t="shared" si="79"/>
        <v>2月</v>
      </c>
      <c r="C1239" s="4" t="str">
        <f t="shared" si="80"/>
        <v>W6</v>
      </c>
      <c r="D1239" s="2" t="s">
        <v>772</v>
      </c>
      <c r="E1239" s="2" t="s">
        <v>716</v>
      </c>
      <c r="F1239" s="2" t="str" cm="1">
        <f t="array" ref="F1239">INDEX(_xlfn.TEXTSPLIT(E1239,"-"),2)</f>
        <v>女装</v>
      </c>
      <c r="G1239" s="2" t="str" cm="1">
        <f t="array" ref="G1239">INDEX(_xlfn.TEXTSPLIT(E1239,"-"),3)</f>
        <v>毛衣</v>
      </c>
      <c r="H1239" s="5">
        <v>408574</v>
      </c>
      <c r="I1239" s="5">
        <v>33541464.54</v>
      </c>
      <c r="J1239" s="6">
        <v>0.0108</v>
      </c>
      <c r="K1239" s="6">
        <v>-0.2316</v>
      </c>
    </row>
    <row r="1240" ht="14.5" spans="1:11">
      <c r="A1240" s="3" t="str">
        <f t="shared" si="78"/>
        <v>2026年</v>
      </c>
      <c r="B1240" s="3" t="str">
        <f t="shared" si="79"/>
        <v>2月</v>
      </c>
      <c r="C1240" s="4" t="str">
        <f t="shared" si="80"/>
        <v>W6</v>
      </c>
      <c r="D1240" s="2" t="s">
        <v>772</v>
      </c>
      <c r="E1240" s="2" t="s">
        <v>717</v>
      </c>
      <c r="F1240" s="2" t="str" cm="1">
        <f t="array" ref="F1240">INDEX(_xlfn.TEXTSPLIT(E1240,"-"),2)</f>
        <v>女装</v>
      </c>
      <c r="G1240" s="2" t="str" cm="1">
        <f t="array" ref="G1240">INDEX(_xlfn.TEXTSPLIT(E1240,"-"),3)</f>
        <v>毛针织衫</v>
      </c>
      <c r="H1240" s="5">
        <v>2286746</v>
      </c>
      <c r="I1240" s="5">
        <v>182333561.21</v>
      </c>
      <c r="J1240" s="6">
        <v>0.0586</v>
      </c>
      <c r="K1240" s="6">
        <v>-0.028</v>
      </c>
    </row>
    <row r="1241" ht="14.5" spans="1:11">
      <c r="A1241" s="3" t="str">
        <f t="shared" si="78"/>
        <v>2026年</v>
      </c>
      <c r="B1241" s="3" t="str">
        <f t="shared" si="79"/>
        <v>2月</v>
      </c>
      <c r="C1241" s="4" t="str">
        <f t="shared" si="80"/>
        <v>W6</v>
      </c>
      <c r="D1241" s="2" t="s">
        <v>772</v>
      </c>
      <c r="E1241" s="2" t="s">
        <v>718</v>
      </c>
      <c r="F1241" s="2" t="str" cm="1">
        <f t="array" ref="F1241">INDEX(_xlfn.TEXTSPLIT(E1241,"-"),2)</f>
        <v>女装</v>
      </c>
      <c r="G1241" s="2" t="str" cm="1">
        <f t="array" ref="G1241">INDEX(_xlfn.TEXTSPLIT(E1241,"-"),3)</f>
        <v>汉服</v>
      </c>
      <c r="H1241" s="5">
        <v>98329</v>
      </c>
      <c r="I1241" s="5">
        <v>51671613.63</v>
      </c>
      <c r="J1241" s="6">
        <v>0.0166</v>
      </c>
      <c r="K1241" s="6">
        <v>0.0572</v>
      </c>
    </row>
    <row r="1242" ht="14.5" spans="1:11">
      <c r="A1242" s="3" t="str">
        <f t="shared" si="78"/>
        <v>2026年</v>
      </c>
      <c r="B1242" s="3" t="str">
        <f t="shared" si="79"/>
        <v>2月</v>
      </c>
      <c r="C1242" s="4" t="str">
        <f t="shared" si="80"/>
        <v>W6</v>
      </c>
      <c r="D1242" s="2" t="s">
        <v>772</v>
      </c>
      <c r="E1242" s="2" t="s">
        <v>719</v>
      </c>
      <c r="F1242" s="2" t="str" cm="1">
        <f t="array" ref="F1242">INDEX(_xlfn.TEXTSPLIT(E1242,"-"),2)</f>
        <v>女装</v>
      </c>
      <c r="G1242" s="2" t="str" cm="1">
        <f t="array" ref="G1242">INDEX(_xlfn.TEXTSPLIT(E1242,"-"),3)</f>
        <v>派克服</v>
      </c>
      <c r="H1242" s="5">
        <v>38560</v>
      </c>
      <c r="I1242" s="5">
        <v>10560815.15</v>
      </c>
      <c r="J1242" s="6">
        <v>0.0034</v>
      </c>
      <c r="K1242" s="6">
        <v>-0.0966</v>
      </c>
    </row>
    <row r="1243" ht="14.5" spans="1:11">
      <c r="A1243" s="3" t="str">
        <f t="shared" si="78"/>
        <v>2026年</v>
      </c>
      <c r="B1243" s="3" t="str">
        <f t="shared" si="79"/>
        <v>2月</v>
      </c>
      <c r="C1243" s="4" t="str">
        <f t="shared" si="80"/>
        <v>W6</v>
      </c>
      <c r="D1243" s="2" t="s">
        <v>772</v>
      </c>
      <c r="E1243" s="2" t="s">
        <v>720</v>
      </c>
      <c r="F1243" s="2" t="str" cm="1">
        <f t="array" ref="F1243">INDEX(_xlfn.TEXTSPLIT(E1243,"-"),2)</f>
        <v>女装</v>
      </c>
      <c r="G1243" s="2" t="str" cm="1">
        <f t="array" ref="G1243">INDEX(_xlfn.TEXTSPLIT(E1243,"-"),3)</f>
        <v>皮草</v>
      </c>
      <c r="H1243" s="5">
        <v>190474</v>
      </c>
      <c r="I1243" s="5">
        <v>312565218.37</v>
      </c>
      <c r="J1243" s="6">
        <v>0.1005</v>
      </c>
      <c r="K1243" s="6">
        <v>-0.0009</v>
      </c>
    </row>
    <row r="1244" ht="14.5" spans="1:11">
      <c r="A1244" s="3" t="str">
        <f t="shared" si="78"/>
        <v>2026年</v>
      </c>
      <c r="B1244" s="3" t="str">
        <f t="shared" si="79"/>
        <v>2月</v>
      </c>
      <c r="C1244" s="4" t="str">
        <f t="shared" si="80"/>
        <v>W6</v>
      </c>
      <c r="D1244" s="2" t="s">
        <v>772</v>
      </c>
      <c r="E1244" s="2" t="s">
        <v>721</v>
      </c>
      <c r="F1244" s="2" t="str" cm="1">
        <f t="array" ref="F1244">INDEX(_xlfn.TEXTSPLIT(E1244,"-"),2)</f>
        <v>女装</v>
      </c>
      <c r="G1244" s="2" t="str" cm="1">
        <f t="array" ref="G1244">INDEX(_xlfn.TEXTSPLIT(E1244,"-"),3)</f>
        <v>皮衣</v>
      </c>
      <c r="H1244" s="5">
        <v>170696</v>
      </c>
      <c r="I1244" s="5">
        <v>62161678.17</v>
      </c>
      <c r="J1244" s="7">
        <v>0.02</v>
      </c>
      <c r="K1244" s="6">
        <v>0.1416</v>
      </c>
    </row>
    <row r="1245" ht="14.5" spans="1:11">
      <c r="A1245" s="3" t="str">
        <f t="shared" si="78"/>
        <v>2026年</v>
      </c>
      <c r="B1245" s="3" t="str">
        <f t="shared" si="79"/>
        <v>2月</v>
      </c>
      <c r="C1245" s="4" t="str">
        <f t="shared" si="80"/>
        <v>W6</v>
      </c>
      <c r="D1245" s="2" t="s">
        <v>772</v>
      </c>
      <c r="E1245" s="2" t="s">
        <v>722</v>
      </c>
      <c r="F1245" s="2" t="str" cm="1">
        <f t="array" ref="F1245">INDEX(_xlfn.TEXTSPLIT(E1245,"-"),2)</f>
        <v>女装</v>
      </c>
      <c r="G1245" s="2" t="str" cm="1">
        <f t="array" ref="G1245">INDEX(_xlfn.TEXTSPLIT(E1245,"-"),3)</f>
        <v>短外套</v>
      </c>
      <c r="H1245" s="5">
        <v>1218160</v>
      </c>
      <c r="I1245" s="5">
        <v>260093852.11</v>
      </c>
      <c r="J1245" s="6">
        <v>0.0836</v>
      </c>
      <c r="K1245" s="6">
        <v>-0.0069</v>
      </c>
    </row>
    <row r="1246" ht="14.5" spans="1:11">
      <c r="A1246" s="3" t="str">
        <f t="shared" ref="A1246:A1309" si="81">TEXT(YEAR(D1246),"0")&amp;"年"</f>
        <v>2026年</v>
      </c>
      <c r="B1246" s="3" t="str">
        <f t="shared" ref="B1246:B1309" si="82">TEXT(MONTH(D1246),"0")&amp;"月"</f>
        <v>2月</v>
      </c>
      <c r="C1246" s="4" t="str">
        <f t="shared" ref="C1246:C1309" si="83">"W"&amp;TEXT(WEEKNUM(D1246,2),"0")</f>
        <v>W6</v>
      </c>
      <c r="D1246" s="2" t="s">
        <v>772</v>
      </c>
      <c r="E1246" s="2" t="s">
        <v>723</v>
      </c>
      <c r="F1246" s="2" t="str" cm="1">
        <f t="array" ref="F1246">INDEX(_xlfn.TEXTSPLIT(E1246,"-"),2)</f>
        <v>女装</v>
      </c>
      <c r="G1246" s="2" t="str" cm="1">
        <f t="array" ref="G1246">INDEX(_xlfn.TEXTSPLIT(E1246,"-"),3)</f>
        <v>短裤</v>
      </c>
      <c r="H1246" s="5">
        <v>116974</v>
      </c>
      <c r="I1246" s="5">
        <v>6392429.87</v>
      </c>
      <c r="J1246" s="6">
        <v>0.0021</v>
      </c>
      <c r="K1246" s="6">
        <v>-0.0348</v>
      </c>
    </row>
    <row r="1247" ht="14.5" spans="1:11">
      <c r="A1247" s="3" t="str">
        <f t="shared" si="81"/>
        <v>2026年</v>
      </c>
      <c r="B1247" s="3" t="str">
        <f t="shared" si="82"/>
        <v>2月</v>
      </c>
      <c r="C1247" s="4" t="str">
        <f t="shared" si="83"/>
        <v>W6</v>
      </c>
      <c r="D1247" s="2" t="s">
        <v>772</v>
      </c>
      <c r="E1247" s="2" t="s">
        <v>724</v>
      </c>
      <c r="F1247" s="2" t="str" cm="1">
        <f t="array" ref="F1247">INDEX(_xlfn.TEXTSPLIT(E1247,"-"),2)</f>
        <v>女装</v>
      </c>
      <c r="G1247" s="2" t="str" cm="1">
        <f t="array" ref="G1247">INDEX(_xlfn.TEXTSPLIT(E1247,"-"),3)</f>
        <v>羊毛衫</v>
      </c>
      <c r="H1247" s="5">
        <v>440181</v>
      </c>
      <c r="I1247" s="5">
        <v>57115324.45</v>
      </c>
      <c r="J1247" s="6">
        <v>0.0184</v>
      </c>
      <c r="K1247" s="6">
        <v>0.0887</v>
      </c>
    </row>
    <row r="1248" ht="14.5" spans="1:11">
      <c r="A1248" s="3" t="str">
        <f t="shared" si="81"/>
        <v>2026年</v>
      </c>
      <c r="B1248" s="3" t="str">
        <f t="shared" si="82"/>
        <v>2月</v>
      </c>
      <c r="C1248" s="4" t="str">
        <f t="shared" si="83"/>
        <v>W6</v>
      </c>
      <c r="D1248" s="2" t="s">
        <v>772</v>
      </c>
      <c r="E1248" s="2" t="s">
        <v>725</v>
      </c>
      <c r="F1248" s="2" t="str" cm="1">
        <f t="array" ref="F1248">INDEX(_xlfn.TEXTSPLIT(E1248,"-"),2)</f>
        <v>女装</v>
      </c>
      <c r="G1248" s="2" t="str" cm="1">
        <f t="array" ref="G1248">INDEX(_xlfn.TEXTSPLIT(E1248,"-"),3)</f>
        <v>羊绒大衣</v>
      </c>
      <c r="H1248" s="5">
        <v>5526</v>
      </c>
      <c r="I1248" s="5">
        <v>2997148.68</v>
      </c>
      <c r="J1248" s="6">
        <v>0.001</v>
      </c>
      <c r="K1248" s="6">
        <v>-0.2597</v>
      </c>
    </row>
    <row r="1249" ht="14.5" spans="1:11">
      <c r="A1249" s="3" t="str">
        <f t="shared" si="81"/>
        <v>2026年</v>
      </c>
      <c r="B1249" s="3" t="str">
        <f t="shared" si="82"/>
        <v>2月</v>
      </c>
      <c r="C1249" s="4" t="str">
        <f t="shared" si="83"/>
        <v>W6</v>
      </c>
      <c r="D1249" s="2" t="s">
        <v>772</v>
      </c>
      <c r="E1249" s="2" t="s">
        <v>726</v>
      </c>
      <c r="F1249" s="2" t="str" cm="1">
        <f t="array" ref="F1249">INDEX(_xlfn.TEXTSPLIT(E1249,"-"),2)</f>
        <v>女装</v>
      </c>
      <c r="G1249" s="2" t="str" cm="1">
        <f t="array" ref="G1249">INDEX(_xlfn.TEXTSPLIT(E1249,"-"),3)</f>
        <v>羊绒衫</v>
      </c>
      <c r="H1249" s="5">
        <v>108641</v>
      </c>
      <c r="I1249" s="5">
        <v>36416208.9</v>
      </c>
      <c r="J1249" s="6">
        <v>0.0117</v>
      </c>
      <c r="K1249" s="6">
        <v>-0.1221</v>
      </c>
    </row>
    <row r="1250" ht="14.5" spans="1:11">
      <c r="A1250" s="3" t="str">
        <f t="shared" si="81"/>
        <v>2026年</v>
      </c>
      <c r="B1250" s="3" t="str">
        <f t="shared" si="82"/>
        <v>2月</v>
      </c>
      <c r="C1250" s="4" t="str">
        <f t="shared" si="83"/>
        <v>W6</v>
      </c>
      <c r="D1250" s="2" t="s">
        <v>772</v>
      </c>
      <c r="E1250" s="2" t="s">
        <v>727</v>
      </c>
      <c r="F1250" s="2" t="str" cm="1">
        <f t="array" ref="F1250">INDEX(_xlfn.TEXTSPLIT(E1250,"-"),2)</f>
        <v>女装</v>
      </c>
      <c r="G1250" s="2" t="str" cm="1">
        <f t="array" ref="G1250">INDEX(_xlfn.TEXTSPLIT(E1250,"-"),3)</f>
        <v>羽绒服</v>
      </c>
      <c r="H1250" s="5">
        <v>1312777</v>
      </c>
      <c r="I1250" s="5">
        <v>496611176.01</v>
      </c>
      <c r="J1250" s="6">
        <v>0.1596</v>
      </c>
      <c r="K1250" s="6">
        <v>-0.1539</v>
      </c>
    </row>
    <row r="1251" ht="14.5" spans="1:11">
      <c r="A1251" s="3" t="str">
        <f t="shared" si="81"/>
        <v>2026年</v>
      </c>
      <c r="B1251" s="3" t="str">
        <f t="shared" si="82"/>
        <v>2月</v>
      </c>
      <c r="C1251" s="4" t="str">
        <f t="shared" si="83"/>
        <v>W6</v>
      </c>
      <c r="D1251" s="2" t="s">
        <v>772</v>
      </c>
      <c r="E1251" s="2" t="s">
        <v>728</v>
      </c>
      <c r="F1251" s="2" t="str" cm="1">
        <f t="array" ref="F1251">INDEX(_xlfn.TEXTSPLIT(E1251,"-"),2)</f>
        <v>女装</v>
      </c>
      <c r="G1251" s="2" t="str" cm="1">
        <f t="array" ref="G1251">INDEX(_xlfn.TEXTSPLIT(E1251,"-"),3)</f>
        <v>肌底衣/肌肤衣</v>
      </c>
      <c r="H1251" s="5">
        <v>4375</v>
      </c>
      <c r="I1251" s="5">
        <v>198021.44</v>
      </c>
      <c r="J1251" s="6">
        <v>0.0001</v>
      </c>
      <c r="K1251" s="6">
        <v>-0.3832</v>
      </c>
    </row>
    <row r="1252" ht="14.5" spans="1:11">
      <c r="A1252" s="3" t="str">
        <f t="shared" si="81"/>
        <v>2026年</v>
      </c>
      <c r="B1252" s="3" t="str">
        <f t="shared" si="82"/>
        <v>2月</v>
      </c>
      <c r="C1252" s="4" t="str">
        <f t="shared" si="83"/>
        <v>W6</v>
      </c>
      <c r="D1252" s="2" t="s">
        <v>772</v>
      </c>
      <c r="E1252" s="2" t="s">
        <v>729</v>
      </c>
      <c r="F1252" s="2" t="str" cm="1">
        <f t="array" ref="F1252">INDEX(_xlfn.TEXTSPLIT(E1252,"-"),2)</f>
        <v>女装</v>
      </c>
      <c r="G1252" s="2" t="str" cm="1">
        <f t="array" ref="G1252">INDEX(_xlfn.TEXTSPLIT(E1252,"-"),3)</f>
        <v>背心吊带</v>
      </c>
      <c r="H1252" s="5">
        <v>249744</v>
      </c>
      <c r="I1252" s="5">
        <v>13855936.23</v>
      </c>
      <c r="J1252" s="6">
        <v>0.0045</v>
      </c>
      <c r="K1252" s="6">
        <v>0.0297</v>
      </c>
    </row>
    <row r="1253" ht="14.5" spans="1:11">
      <c r="A1253" s="3" t="str">
        <f t="shared" si="81"/>
        <v>2026年</v>
      </c>
      <c r="B1253" s="3" t="str">
        <f t="shared" si="82"/>
        <v>2月</v>
      </c>
      <c r="C1253" s="4" t="str">
        <f t="shared" si="83"/>
        <v>W6</v>
      </c>
      <c r="D1253" s="2" t="s">
        <v>772</v>
      </c>
      <c r="E1253" s="2" t="s">
        <v>730</v>
      </c>
      <c r="F1253" s="2" t="str" cm="1">
        <f t="array" ref="F1253">INDEX(_xlfn.TEXTSPLIT(E1253,"-"),2)</f>
        <v>女装</v>
      </c>
      <c r="G1253" s="2" t="str" cm="1">
        <f t="array" ref="G1253">INDEX(_xlfn.TEXTSPLIT(E1253,"-"),3)</f>
        <v>蕾丝衫/雪纺衫</v>
      </c>
      <c r="H1253" s="5">
        <v>179531</v>
      </c>
      <c r="I1253" s="5">
        <v>12046765.76</v>
      </c>
      <c r="J1253" s="6">
        <v>0.0039</v>
      </c>
      <c r="K1253" s="6">
        <v>0.0191</v>
      </c>
    </row>
    <row r="1254" ht="14.5" spans="1:11">
      <c r="A1254" s="3" t="str">
        <f t="shared" si="81"/>
        <v>2026年</v>
      </c>
      <c r="B1254" s="3" t="str">
        <f t="shared" si="82"/>
        <v>2月</v>
      </c>
      <c r="C1254" s="4" t="str">
        <f t="shared" si="83"/>
        <v>W6</v>
      </c>
      <c r="D1254" s="2" t="s">
        <v>772</v>
      </c>
      <c r="E1254" s="2" t="s">
        <v>731</v>
      </c>
      <c r="F1254" s="2" t="str" cm="1">
        <f t="array" ref="F1254">INDEX(_xlfn.TEXTSPLIT(E1254,"-"),2)</f>
        <v>女装</v>
      </c>
      <c r="G1254" s="2" t="str" cm="1">
        <f t="array" ref="G1254">INDEX(_xlfn.TEXTSPLIT(E1254,"-"),3)</f>
        <v>衬衫</v>
      </c>
      <c r="H1254" s="5">
        <v>464506</v>
      </c>
      <c r="I1254" s="5">
        <v>55671470.47</v>
      </c>
      <c r="J1254" s="6">
        <v>0.0179</v>
      </c>
      <c r="K1254" s="6">
        <v>0.0046</v>
      </c>
    </row>
    <row r="1255" ht="14.5" spans="1:11">
      <c r="A1255" s="3" t="str">
        <f t="shared" si="81"/>
        <v>2026年</v>
      </c>
      <c r="B1255" s="3" t="str">
        <f t="shared" si="82"/>
        <v>2月</v>
      </c>
      <c r="C1255" s="4" t="str">
        <f t="shared" si="83"/>
        <v>W6</v>
      </c>
      <c r="D1255" s="2" t="s">
        <v>772</v>
      </c>
      <c r="E1255" s="2" t="s">
        <v>732</v>
      </c>
      <c r="F1255" s="2" t="str" cm="1">
        <f t="array" ref="F1255">INDEX(_xlfn.TEXTSPLIT(E1255,"-"),2)</f>
        <v>女装</v>
      </c>
      <c r="G1255" s="2" t="str" cm="1">
        <f t="array" ref="G1255">INDEX(_xlfn.TEXTSPLIT(E1255,"-"),3)</f>
        <v>裤子</v>
      </c>
      <c r="H1255" s="5">
        <v>3848272</v>
      </c>
      <c r="I1255" s="5">
        <v>372325832.2</v>
      </c>
      <c r="J1255" s="6">
        <v>0.1197</v>
      </c>
      <c r="K1255" s="6">
        <v>-0.0443</v>
      </c>
    </row>
    <row r="1256" ht="14.5" spans="1:11">
      <c r="A1256" s="3" t="str">
        <f t="shared" si="81"/>
        <v>2026年</v>
      </c>
      <c r="B1256" s="3" t="str">
        <f t="shared" si="82"/>
        <v>2月</v>
      </c>
      <c r="C1256" s="4" t="str">
        <f t="shared" si="83"/>
        <v>W6</v>
      </c>
      <c r="D1256" s="2" t="s">
        <v>772</v>
      </c>
      <c r="E1256" s="2" t="s">
        <v>733</v>
      </c>
      <c r="F1256" s="2" t="str" cm="1">
        <f t="array" ref="F1256">INDEX(_xlfn.TEXTSPLIT(E1256,"-"),2)</f>
        <v>女装</v>
      </c>
      <c r="G1256" s="2" t="str" cm="1">
        <f t="array" ref="G1256">INDEX(_xlfn.TEXTSPLIT(E1256,"-"),3)</f>
        <v>西装</v>
      </c>
      <c r="H1256" s="5">
        <v>68244</v>
      </c>
      <c r="I1256" s="5">
        <v>19096071.34</v>
      </c>
      <c r="J1256" s="6">
        <v>0.0061</v>
      </c>
      <c r="K1256" s="6">
        <v>0.0159</v>
      </c>
    </row>
    <row r="1257" ht="14.5" spans="1:11">
      <c r="A1257" s="3" t="str">
        <f t="shared" si="81"/>
        <v>2026年</v>
      </c>
      <c r="B1257" s="3" t="str">
        <f t="shared" si="82"/>
        <v>2月</v>
      </c>
      <c r="C1257" s="4" t="str">
        <f t="shared" si="83"/>
        <v>W6</v>
      </c>
      <c r="D1257" s="2" t="s">
        <v>772</v>
      </c>
      <c r="E1257" s="2" t="s">
        <v>734</v>
      </c>
      <c r="F1257" s="2" t="str" cm="1">
        <f t="array" ref="F1257">INDEX(_xlfn.TEXTSPLIT(E1257,"-"),2)</f>
        <v>女装</v>
      </c>
      <c r="G1257" s="2" t="str" cm="1">
        <f t="array" ref="G1257">INDEX(_xlfn.TEXTSPLIT(E1257,"-"),3)</f>
        <v>设计师/潮牌女装</v>
      </c>
      <c r="H1257" s="5">
        <v>355411</v>
      </c>
      <c r="I1257" s="5">
        <v>42029718.68</v>
      </c>
      <c r="J1257" s="6">
        <v>0.0135</v>
      </c>
      <c r="K1257" s="6">
        <v>-0.2422</v>
      </c>
    </row>
    <row r="1258" ht="14.5" spans="1:11">
      <c r="A1258" s="3" t="str">
        <f t="shared" si="81"/>
        <v>2026年</v>
      </c>
      <c r="B1258" s="3" t="str">
        <f t="shared" si="82"/>
        <v>2月</v>
      </c>
      <c r="C1258" s="4" t="str">
        <f t="shared" si="83"/>
        <v>W6</v>
      </c>
      <c r="D1258" s="2" t="s">
        <v>772</v>
      </c>
      <c r="E1258" s="2" t="s">
        <v>735</v>
      </c>
      <c r="F1258" s="2" t="str" cm="1">
        <f t="array" ref="F1258">INDEX(_xlfn.TEXTSPLIT(E1258,"-"),2)</f>
        <v>女装</v>
      </c>
      <c r="G1258" s="2" t="str" cm="1">
        <f t="array" ref="G1258">INDEX(_xlfn.TEXTSPLIT(E1258,"-"),3)</f>
        <v>连体衣/裤</v>
      </c>
      <c r="H1258" s="5">
        <v>8976</v>
      </c>
      <c r="I1258" s="5">
        <v>2396119.79</v>
      </c>
      <c r="J1258" s="6">
        <v>0.0008</v>
      </c>
      <c r="K1258" s="6">
        <v>0.123</v>
      </c>
    </row>
    <row r="1259" ht="14.5" spans="1:11">
      <c r="A1259" s="3" t="str">
        <f t="shared" si="81"/>
        <v>2026年</v>
      </c>
      <c r="B1259" s="3" t="str">
        <f t="shared" si="82"/>
        <v>2月</v>
      </c>
      <c r="C1259" s="4" t="str">
        <f t="shared" si="83"/>
        <v>W6</v>
      </c>
      <c r="D1259" s="2" t="s">
        <v>772</v>
      </c>
      <c r="E1259" s="2" t="s">
        <v>736</v>
      </c>
      <c r="F1259" s="2" t="str" cm="1">
        <f t="array" ref="F1259">INDEX(_xlfn.TEXTSPLIT(E1259,"-"),2)</f>
        <v>女装</v>
      </c>
      <c r="G1259" s="2" t="str" cm="1">
        <f t="array" ref="G1259">INDEX(_xlfn.TEXTSPLIT(E1259,"-"),3)</f>
        <v>连衣裙</v>
      </c>
      <c r="H1259" s="5">
        <v>707764</v>
      </c>
      <c r="I1259" s="5">
        <v>103059515.72</v>
      </c>
      <c r="J1259" s="6">
        <v>0.0331</v>
      </c>
      <c r="K1259" s="6">
        <v>-0.0866</v>
      </c>
    </row>
    <row r="1260" ht="14.5" spans="1:11">
      <c r="A1260" s="3" t="str">
        <f t="shared" si="81"/>
        <v>2026年</v>
      </c>
      <c r="B1260" s="3" t="str">
        <f t="shared" si="82"/>
        <v>2月</v>
      </c>
      <c r="C1260" s="4" t="str">
        <f t="shared" si="83"/>
        <v>W6</v>
      </c>
      <c r="D1260" s="2" t="s">
        <v>772</v>
      </c>
      <c r="E1260" s="2" t="s">
        <v>737</v>
      </c>
      <c r="F1260" s="2" t="str" cm="1">
        <f t="array" ref="F1260">INDEX(_xlfn.TEXTSPLIT(E1260,"-"),2)</f>
        <v>女装</v>
      </c>
      <c r="G1260" s="2" t="str" cm="1">
        <f t="array" ref="G1260">INDEX(_xlfn.TEXTSPLIT(E1260,"-"),3)</f>
        <v>风衣</v>
      </c>
      <c r="H1260" s="5">
        <v>95538</v>
      </c>
      <c r="I1260" s="5">
        <v>18731470.6</v>
      </c>
      <c r="J1260" s="6">
        <v>0.006</v>
      </c>
      <c r="K1260" s="6">
        <v>-0.0428</v>
      </c>
    </row>
    <row r="1261" ht="14.5" spans="1:11">
      <c r="A1261" s="3" t="str">
        <f t="shared" si="81"/>
        <v>2026年</v>
      </c>
      <c r="B1261" s="3" t="str">
        <f t="shared" si="82"/>
        <v>2月</v>
      </c>
      <c r="C1261" s="4" t="str">
        <f t="shared" si="83"/>
        <v>W6</v>
      </c>
      <c r="D1261" s="2" t="s">
        <v>772</v>
      </c>
      <c r="E1261" s="2" t="s">
        <v>738</v>
      </c>
      <c r="F1261" s="2" t="str" cm="1">
        <f t="array" ref="F1261">INDEX(_xlfn.TEXTSPLIT(E1261,"-"),2)</f>
        <v>女装</v>
      </c>
      <c r="G1261" s="2" t="str" cm="1">
        <f t="array" ref="G1261">INDEX(_xlfn.TEXTSPLIT(E1261,"-"),3)</f>
        <v>马夹</v>
      </c>
      <c r="H1261" s="5">
        <v>407227</v>
      </c>
      <c r="I1261" s="5">
        <v>43592398.04</v>
      </c>
      <c r="J1261" s="6">
        <v>0.014</v>
      </c>
      <c r="K1261" s="6">
        <v>0.0133</v>
      </c>
    </row>
    <row r="1262" ht="14.5" spans="1:11">
      <c r="A1262" s="3" t="str">
        <f t="shared" si="81"/>
        <v>2026年</v>
      </c>
      <c r="B1262" s="3" t="str">
        <f t="shared" si="82"/>
        <v>2月</v>
      </c>
      <c r="C1262" s="4" t="str">
        <f t="shared" si="83"/>
        <v>W6</v>
      </c>
      <c r="D1262" s="2" t="s">
        <v>773</v>
      </c>
      <c r="E1262" s="2" t="s">
        <v>702</v>
      </c>
      <c r="F1262" s="2" t="str" cm="1">
        <f t="array" ref="F1262">INDEX(_xlfn.TEXTSPLIT(E1262,"-"),2)</f>
        <v>女装</v>
      </c>
      <c r="G1262" s="2" t="str" cm="1">
        <f t="array" ref="G1262">INDEX(_xlfn.TEXTSPLIT(E1262,"-"),3)</f>
        <v>POLO衫</v>
      </c>
      <c r="H1262" s="5">
        <v>15424</v>
      </c>
      <c r="I1262" s="5">
        <v>887587.55</v>
      </c>
      <c r="J1262" s="6">
        <v>0.0003</v>
      </c>
      <c r="K1262" s="6">
        <v>-0.1847</v>
      </c>
    </row>
    <row r="1263" ht="14.5" spans="1:11">
      <c r="A1263" s="3" t="str">
        <f t="shared" si="81"/>
        <v>2026年</v>
      </c>
      <c r="B1263" s="3" t="str">
        <f t="shared" si="82"/>
        <v>2月</v>
      </c>
      <c r="C1263" s="4" t="str">
        <f t="shared" si="83"/>
        <v>W6</v>
      </c>
      <c r="D1263" s="2" t="s">
        <v>773</v>
      </c>
      <c r="E1263" s="2" t="s">
        <v>703</v>
      </c>
      <c r="F1263" s="2" t="str" cm="1">
        <f t="array" ref="F1263">INDEX(_xlfn.TEXTSPLIT(E1263,"-"),2)</f>
        <v>女装</v>
      </c>
      <c r="G1263" s="2" t="str" cm="1">
        <f t="array" ref="G1263">INDEX(_xlfn.TEXTSPLIT(E1263,"-"),3)</f>
        <v>T恤</v>
      </c>
      <c r="H1263" s="5">
        <v>1456912</v>
      </c>
      <c r="I1263" s="5">
        <v>85801757.9</v>
      </c>
      <c r="J1263" s="6">
        <v>0.0293</v>
      </c>
      <c r="K1263" s="6">
        <v>0.0629</v>
      </c>
    </row>
    <row r="1264" ht="14.5" spans="1:11">
      <c r="A1264" s="3" t="str">
        <f t="shared" si="81"/>
        <v>2026年</v>
      </c>
      <c r="B1264" s="3" t="str">
        <f t="shared" si="82"/>
        <v>2月</v>
      </c>
      <c r="C1264" s="4" t="str">
        <f t="shared" si="83"/>
        <v>W6</v>
      </c>
      <c r="D1264" s="2" t="s">
        <v>773</v>
      </c>
      <c r="E1264" s="2" t="s">
        <v>704</v>
      </c>
      <c r="F1264" s="2" t="str" cm="1">
        <f t="array" ref="F1264">INDEX(_xlfn.TEXTSPLIT(E1264,"-"),2)</f>
        <v>女装</v>
      </c>
      <c r="G1264" s="2" t="str" cm="1">
        <f t="array" ref="G1264">INDEX(_xlfn.TEXTSPLIT(E1264,"-"),3)</f>
        <v>中老年女装</v>
      </c>
      <c r="H1264" s="5">
        <v>463746</v>
      </c>
      <c r="I1264" s="5">
        <v>54055000.86</v>
      </c>
      <c r="J1264" s="6">
        <v>0.0184</v>
      </c>
      <c r="K1264" s="6">
        <v>-0.0782</v>
      </c>
    </row>
    <row r="1265" ht="14.5" spans="1:11">
      <c r="A1265" s="3" t="str">
        <f t="shared" si="81"/>
        <v>2026年</v>
      </c>
      <c r="B1265" s="3" t="str">
        <f t="shared" si="82"/>
        <v>2月</v>
      </c>
      <c r="C1265" s="4" t="str">
        <f t="shared" si="83"/>
        <v>W6</v>
      </c>
      <c r="D1265" s="2" t="s">
        <v>773</v>
      </c>
      <c r="E1265" s="2" t="s">
        <v>705</v>
      </c>
      <c r="F1265" s="2" t="str" cm="1">
        <f t="array" ref="F1265">INDEX(_xlfn.TEXTSPLIT(E1265,"-"),2)</f>
        <v>女装</v>
      </c>
      <c r="G1265" s="2" t="str" cm="1">
        <f t="array" ref="G1265">INDEX(_xlfn.TEXTSPLIT(E1265,"-"),3)</f>
        <v>半身裙</v>
      </c>
      <c r="H1265" s="5">
        <v>720669</v>
      </c>
      <c r="I1265" s="5">
        <v>63929596.42</v>
      </c>
      <c r="J1265" s="6">
        <v>0.0218</v>
      </c>
      <c r="K1265" s="6">
        <v>-0.0591</v>
      </c>
    </row>
    <row r="1266" ht="14.5" spans="1:11">
      <c r="A1266" s="3" t="str">
        <f t="shared" si="81"/>
        <v>2026年</v>
      </c>
      <c r="B1266" s="3" t="str">
        <f t="shared" si="82"/>
        <v>2月</v>
      </c>
      <c r="C1266" s="4" t="str">
        <f t="shared" si="83"/>
        <v>W6</v>
      </c>
      <c r="D1266" s="2" t="s">
        <v>773</v>
      </c>
      <c r="E1266" s="2" t="s">
        <v>706</v>
      </c>
      <c r="F1266" s="2" t="str" cm="1">
        <f t="array" ref="F1266">INDEX(_xlfn.TEXTSPLIT(E1266,"-"),2)</f>
        <v>女装</v>
      </c>
      <c r="G1266" s="2" t="str" cm="1">
        <f t="array" ref="G1266">INDEX(_xlfn.TEXTSPLIT(E1266,"-"),3)</f>
        <v>卫衣/绒衫</v>
      </c>
      <c r="H1266" s="5">
        <v>419098</v>
      </c>
      <c r="I1266" s="5">
        <v>33215333.97</v>
      </c>
      <c r="J1266" s="6">
        <v>0.0113</v>
      </c>
      <c r="K1266" s="6">
        <v>0.0154</v>
      </c>
    </row>
    <row r="1267" ht="14.5" spans="1:11">
      <c r="A1267" s="3" t="str">
        <f t="shared" si="81"/>
        <v>2026年</v>
      </c>
      <c r="B1267" s="3" t="str">
        <f t="shared" si="82"/>
        <v>2月</v>
      </c>
      <c r="C1267" s="4" t="str">
        <f t="shared" si="83"/>
        <v>W6</v>
      </c>
      <c r="D1267" s="2" t="s">
        <v>773</v>
      </c>
      <c r="E1267" s="2" t="s">
        <v>707</v>
      </c>
      <c r="F1267" s="2" t="str" cm="1">
        <f t="array" ref="F1267">INDEX(_xlfn.TEXTSPLIT(E1267,"-"),2)</f>
        <v>女装</v>
      </c>
      <c r="G1267" s="2" t="str" cm="1">
        <f t="array" ref="G1267">INDEX(_xlfn.TEXTSPLIT(E1267,"-"),3)</f>
        <v>唐装/民族服装/舞台服装</v>
      </c>
      <c r="H1267" s="5">
        <v>255474</v>
      </c>
      <c r="I1267" s="5">
        <v>45723266.98</v>
      </c>
      <c r="J1267" s="6">
        <v>0.0156</v>
      </c>
      <c r="K1267" s="6">
        <v>-0.1264</v>
      </c>
    </row>
    <row r="1268" ht="14.5" spans="1:11">
      <c r="A1268" s="3" t="str">
        <f t="shared" si="81"/>
        <v>2026年</v>
      </c>
      <c r="B1268" s="3" t="str">
        <f t="shared" si="82"/>
        <v>2月</v>
      </c>
      <c r="C1268" s="4" t="str">
        <f t="shared" si="83"/>
        <v>W6</v>
      </c>
      <c r="D1268" s="2" t="s">
        <v>773</v>
      </c>
      <c r="E1268" s="2" t="s">
        <v>708</v>
      </c>
      <c r="F1268" s="2" t="str" cm="1">
        <f t="array" ref="F1268">INDEX(_xlfn.TEXTSPLIT(E1268,"-"),2)</f>
        <v>女装</v>
      </c>
      <c r="G1268" s="2" t="str" cm="1">
        <f t="array" ref="G1268">INDEX(_xlfn.TEXTSPLIT(E1268,"-"),3)</f>
        <v>大码女装</v>
      </c>
      <c r="H1268" s="5">
        <v>594994</v>
      </c>
      <c r="I1268" s="5">
        <v>51098256.67</v>
      </c>
      <c r="J1268" s="6">
        <v>0.0174</v>
      </c>
      <c r="K1268" s="6">
        <v>0.0254</v>
      </c>
    </row>
    <row r="1269" ht="14.5" spans="1:11">
      <c r="A1269" s="3" t="str">
        <f t="shared" si="81"/>
        <v>2026年</v>
      </c>
      <c r="B1269" s="3" t="str">
        <f t="shared" si="82"/>
        <v>2月</v>
      </c>
      <c r="C1269" s="4" t="str">
        <f t="shared" si="83"/>
        <v>W6</v>
      </c>
      <c r="D1269" s="2" t="s">
        <v>773</v>
      </c>
      <c r="E1269" s="2" t="s">
        <v>709</v>
      </c>
      <c r="F1269" s="2" t="str" cm="1">
        <f t="array" ref="F1269">INDEX(_xlfn.TEXTSPLIT(E1269,"-"),2)</f>
        <v>女装</v>
      </c>
      <c r="G1269" s="2" t="str" cm="1">
        <f t="array" ref="G1269">INDEX(_xlfn.TEXTSPLIT(E1269,"-"),3)</f>
        <v>套装/学生校服/工作制服</v>
      </c>
      <c r="H1269" s="5">
        <v>895630</v>
      </c>
      <c r="I1269" s="5">
        <v>126774746.95</v>
      </c>
      <c r="J1269" s="6">
        <v>0.0433</v>
      </c>
      <c r="K1269" s="6">
        <v>0.003</v>
      </c>
    </row>
    <row r="1270" ht="14.5" spans="1:11">
      <c r="A1270" s="3" t="str">
        <f t="shared" si="81"/>
        <v>2026年</v>
      </c>
      <c r="B1270" s="3" t="str">
        <f t="shared" si="82"/>
        <v>2月</v>
      </c>
      <c r="C1270" s="4" t="str">
        <f t="shared" si="83"/>
        <v>W6</v>
      </c>
      <c r="D1270" s="2" t="s">
        <v>773</v>
      </c>
      <c r="E1270" s="2" t="s">
        <v>710</v>
      </c>
      <c r="F1270" s="2" t="str" cm="1">
        <f t="array" ref="F1270">INDEX(_xlfn.TEXTSPLIT(E1270,"-"),2)</f>
        <v>女装</v>
      </c>
      <c r="G1270" s="2" t="str" cm="1">
        <f t="array" ref="G1270">INDEX(_xlfn.TEXTSPLIT(E1270,"-"),3)</f>
        <v>婚纱/旗袍/礼服</v>
      </c>
      <c r="H1270" s="5">
        <v>53158</v>
      </c>
      <c r="I1270" s="5">
        <v>8345325.19</v>
      </c>
      <c r="J1270" s="6">
        <v>0.0028</v>
      </c>
      <c r="K1270" s="6">
        <v>-0.1056</v>
      </c>
    </row>
    <row r="1271" ht="14.5" spans="1:11">
      <c r="A1271" s="3" t="str">
        <f t="shared" si="81"/>
        <v>2026年</v>
      </c>
      <c r="B1271" s="3" t="str">
        <f t="shared" si="82"/>
        <v>2月</v>
      </c>
      <c r="C1271" s="4" t="str">
        <f t="shared" si="83"/>
        <v>W6</v>
      </c>
      <c r="D1271" s="2" t="s">
        <v>773</v>
      </c>
      <c r="E1271" s="2" t="s">
        <v>711</v>
      </c>
      <c r="F1271" s="2" t="str" cm="1">
        <f t="array" ref="F1271">INDEX(_xlfn.TEXTSPLIT(E1271,"-"),2)</f>
        <v>女装</v>
      </c>
      <c r="G1271" s="2" t="str" cm="1">
        <f t="array" ref="G1271">INDEX(_xlfn.TEXTSPLIT(E1271,"-"),3)</f>
        <v>新中式女装</v>
      </c>
      <c r="H1271" s="5">
        <v>114902</v>
      </c>
      <c r="I1271" s="5">
        <v>16573861.79</v>
      </c>
      <c r="J1271" s="6">
        <v>0.0057</v>
      </c>
      <c r="K1271" s="6">
        <v>-0.0672</v>
      </c>
    </row>
    <row r="1272" ht="14.5" spans="1:11">
      <c r="A1272" s="3" t="str">
        <f t="shared" si="81"/>
        <v>2026年</v>
      </c>
      <c r="B1272" s="3" t="str">
        <f t="shared" si="82"/>
        <v>2月</v>
      </c>
      <c r="C1272" s="4" t="str">
        <f t="shared" si="83"/>
        <v>W6</v>
      </c>
      <c r="D1272" s="2" t="s">
        <v>773</v>
      </c>
      <c r="E1272" s="2" t="s">
        <v>712</v>
      </c>
      <c r="F1272" s="2" t="str" cm="1">
        <f t="array" ref="F1272">INDEX(_xlfn.TEXTSPLIT(E1272,"-"),2)</f>
        <v>女装</v>
      </c>
      <c r="G1272" s="2" t="str" cm="1">
        <f t="array" ref="G1272">INDEX(_xlfn.TEXTSPLIT(E1272,"-"),3)</f>
        <v>时尚防晒服</v>
      </c>
      <c r="H1272" s="5">
        <v>922</v>
      </c>
      <c r="I1272" s="5">
        <v>96334.85</v>
      </c>
      <c r="J1272" s="2" t="s">
        <v>713</v>
      </c>
      <c r="K1272" s="6">
        <v>0.3124</v>
      </c>
    </row>
    <row r="1273" ht="14.5" spans="1:11">
      <c r="A1273" s="3" t="str">
        <f t="shared" si="81"/>
        <v>2026年</v>
      </c>
      <c r="B1273" s="3" t="str">
        <f t="shared" si="82"/>
        <v>2月</v>
      </c>
      <c r="C1273" s="4" t="str">
        <f t="shared" si="83"/>
        <v>W6</v>
      </c>
      <c r="D1273" s="2" t="s">
        <v>773</v>
      </c>
      <c r="E1273" s="2" t="s">
        <v>714</v>
      </c>
      <c r="F1273" s="2" t="str" cm="1">
        <f t="array" ref="F1273">INDEX(_xlfn.TEXTSPLIT(E1273,"-"),2)</f>
        <v>女装</v>
      </c>
      <c r="G1273" s="2" t="str" cm="1">
        <f t="array" ref="G1273">INDEX(_xlfn.TEXTSPLIT(E1273,"-"),3)</f>
        <v>棉衣/棉服</v>
      </c>
      <c r="H1273" s="5">
        <v>608836</v>
      </c>
      <c r="I1273" s="5">
        <v>70963360.34</v>
      </c>
      <c r="J1273" s="6">
        <v>0.0242</v>
      </c>
      <c r="K1273" s="6">
        <v>-0.0224</v>
      </c>
    </row>
    <row r="1274" ht="14.5" spans="1:11">
      <c r="A1274" s="3" t="str">
        <f t="shared" si="81"/>
        <v>2026年</v>
      </c>
      <c r="B1274" s="3" t="str">
        <f t="shared" si="82"/>
        <v>2月</v>
      </c>
      <c r="C1274" s="4" t="str">
        <f t="shared" si="83"/>
        <v>W6</v>
      </c>
      <c r="D1274" s="2" t="s">
        <v>773</v>
      </c>
      <c r="E1274" s="2" t="s">
        <v>715</v>
      </c>
      <c r="F1274" s="2" t="str" cm="1">
        <f t="array" ref="F1274">INDEX(_xlfn.TEXTSPLIT(E1274,"-"),2)</f>
        <v>女装</v>
      </c>
      <c r="G1274" s="2" t="str" cm="1">
        <f t="array" ref="G1274">INDEX(_xlfn.TEXTSPLIT(E1274,"-"),3)</f>
        <v>毛呢外套</v>
      </c>
      <c r="H1274" s="5">
        <v>867879</v>
      </c>
      <c r="I1274" s="5">
        <v>319175283.93</v>
      </c>
      <c r="J1274" s="6">
        <v>0.1089</v>
      </c>
      <c r="K1274" s="6">
        <v>-0.0777</v>
      </c>
    </row>
    <row r="1275" ht="14.5" spans="1:11">
      <c r="A1275" s="3" t="str">
        <f t="shared" si="81"/>
        <v>2026年</v>
      </c>
      <c r="B1275" s="3" t="str">
        <f t="shared" si="82"/>
        <v>2月</v>
      </c>
      <c r="C1275" s="4" t="str">
        <f t="shared" si="83"/>
        <v>W6</v>
      </c>
      <c r="D1275" s="2" t="s">
        <v>773</v>
      </c>
      <c r="E1275" s="2" t="s">
        <v>716</v>
      </c>
      <c r="F1275" s="2" t="str" cm="1">
        <f t="array" ref="F1275">INDEX(_xlfn.TEXTSPLIT(E1275,"-"),2)</f>
        <v>女装</v>
      </c>
      <c r="G1275" s="2" t="str" cm="1">
        <f t="array" ref="G1275">INDEX(_xlfn.TEXTSPLIT(E1275,"-"),3)</f>
        <v>毛衣</v>
      </c>
      <c r="H1275" s="5">
        <v>398962</v>
      </c>
      <c r="I1275" s="5">
        <v>33366700.14</v>
      </c>
      <c r="J1275" s="6">
        <v>0.0114</v>
      </c>
      <c r="K1275" s="6">
        <v>-0.0052</v>
      </c>
    </row>
    <row r="1276" ht="14.5" spans="1:11">
      <c r="A1276" s="3" t="str">
        <f t="shared" si="81"/>
        <v>2026年</v>
      </c>
      <c r="B1276" s="3" t="str">
        <f t="shared" si="82"/>
        <v>2月</v>
      </c>
      <c r="C1276" s="4" t="str">
        <f t="shared" si="83"/>
        <v>W6</v>
      </c>
      <c r="D1276" s="2" t="s">
        <v>773</v>
      </c>
      <c r="E1276" s="2" t="s">
        <v>717</v>
      </c>
      <c r="F1276" s="2" t="str" cm="1">
        <f t="array" ref="F1276">INDEX(_xlfn.TEXTSPLIT(E1276,"-"),2)</f>
        <v>女装</v>
      </c>
      <c r="G1276" s="2" t="str" cm="1">
        <f t="array" ref="G1276">INDEX(_xlfn.TEXTSPLIT(E1276,"-"),3)</f>
        <v>毛针织衫</v>
      </c>
      <c r="H1276" s="5">
        <v>2206157</v>
      </c>
      <c r="I1276" s="5">
        <v>175455846.86</v>
      </c>
      <c r="J1276" s="6">
        <v>0.0599</v>
      </c>
      <c r="K1276" s="6">
        <v>-0.0377</v>
      </c>
    </row>
    <row r="1277" ht="14.5" spans="1:11">
      <c r="A1277" s="3" t="str">
        <f t="shared" si="81"/>
        <v>2026年</v>
      </c>
      <c r="B1277" s="3" t="str">
        <f t="shared" si="82"/>
        <v>2月</v>
      </c>
      <c r="C1277" s="4" t="str">
        <f t="shared" si="83"/>
        <v>W6</v>
      </c>
      <c r="D1277" s="2" t="s">
        <v>773</v>
      </c>
      <c r="E1277" s="2" t="s">
        <v>718</v>
      </c>
      <c r="F1277" s="2" t="str" cm="1">
        <f t="array" ref="F1277">INDEX(_xlfn.TEXTSPLIT(E1277,"-"),2)</f>
        <v>女装</v>
      </c>
      <c r="G1277" s="2" t="str" cm="1">
        <f t="array" ref="G1277">INDEX(_xlfn.TEXTSPLIT(E1277,"-"),3)</f>
        <v>汉服</v>
      </c>
      <c r="H1277" s="5">
        <v>99321</v>
      </c>
      <c r="I1277" s="5">
        <v>46069212.75</v>
      </c>
      <c r="J1277" s="6">
        <v>0.0157</v>
      </c>
      <c r="K1277" s="6">
        <v>-0.1084</v>
      </c>
    </row>
    <row r="1278" ht="14.5" spans="1:11">
      <c r="A1278" s="3" t="str">
        <f t="shared" si="81"/>
        <v>2026年</v>
      </c>
      <c r="B1278" s="3" t="str">
        <f t="shared" si="82"/>
        <v>2月</v>
      </c>
      <c r="C1278" s="4" t="str">
        <f t="shared" si="83"/>
        <v>W6</v>
      </c>
      <c r="D1278" s="2" t="s">
        <v>773</v>
      </c>
      <c r="E1278" s="2" t="s">
        <v>719</v>
      </c>
      <c r="F1278" s="2" t="str" cm="1">
        <f t="array" ref="F1278">INDEX(_xlfn.TEXTSPLIT(E1278,"-"),2)</f>
        <v>女装</v>
      </c>
      <c r="G1278" s="2" t="str" cm="1">
        <f t="array" ref="G1278">INDEX(_xlfn.TEXTSPLIT(E1278,"-"),3)</f>
        <v>派克服</v>
      </c>
      <c r="H1278" s="5">
        <v>41726</v>
      </c>
      <c r="I1278" s="5">
        <v>9539173.71</v>
      </c>
      <c r="J1278" s="6">
        <v>0.0033</v>
      </c>
      <c r="K1278" s="6">
        <v>-0.0967</v>
      </c>
    </row>
    <row r="1279" ht="14.5" spans="1:11">
      <c r="A1279" s="3" t="str">
        <f t="shared" si="81"/>
        <v>2026年</v>
      </c>
      <c r="B1279" s="3" t="str">
        <f t="shared" si="82"/>
        <v>2月</v>
      </c>
      <c r="C1279" s="4" t="str">
        <f t="shared" si="83"/>
        <v>W6</v>
      </c>
      <c r="D1279" s="2" t="s">
        <v>773</v>
      </c>
      <c r="E1279" s="2" t="s">
        <v>720</v>
      </c>
      <c r="F1279" s="2" t="str" cm="1">
        <f t="array" ref="F1279">INDEX(_xlfn.TEXTSPLIT(E1279,"-"),2)</f>
        <v>女装</v>
      </c>
      <c r="G1279" s="2" t="str" cm="1">
        <f t="array" ref="G1279">INDEX(_xlfn.TEXTSPLIT(E1279,"-"),3)</f>
        <v>皮草</v>
      </c>
      <c r="H1279" s="5">
        <v>175884</v>
      </c>
      <c r="I1279" s="5">
        <v>241223856.12</v>
      </c>
      <c r="J1279" s="6">
        <v>0.0823</v>
      </c>
      <c r="K1279" s="6">
        <v>-0.2282</v>
      </c>
    </row>
    <row r="1280" ht="14.5" spans="1:11">
      <c r="A1280" s="3" t="str">
        <f t="shared" si="81"/>
        <v>2026年</v>
      </c>
      <c r="B1280" s="3" t="str">
        <f t="shared" si="82"/>
        <v>2月</v>
      </c>
      <c r="C1280" s="4" t="str">
        <f t="shared" si="83"/>
        <v>W6</v>
      </c>
      <c r="D1280" s="2" t="s">
        <v>773</v>
      </c>
      <c r="E1280" s="2" t="s">
        <v>721</v>
      </c>
      <c r="F1280" s="2" t="str" cm="1">
        <f t="array" ref="F1280">INDEX(_xlfn.TEXTSPLIT(E1280,"-"),2)</f>
        <v>女装</v>
      </c>
      <c r="G1280" s="2" t="str" cm="1">
        <f t="array" ref="G1280">INDEX(_xlfn.TEXTSPLIT(E1280,"-"),3)</f>
        <v>皮衣</v>
      </c>
      <c r="H1280" s="5">
        <v>149074</v>
      </c>
      <c r="I1280" s="5">
        <v>47432119.01</v>
      </c>
      <c r="J1280" s="6">
        <v>0.0162</v>
      </c>
      <c r="K1280" s="6">
        <v>-0.237</v>
      </c>
    </row>
    <row r="1281" ht="14.5" spans="1:11">
      <c r="A1281" s="3" t="str">
        <f t="shared" si="81"/>
        <v>2026年</v>
      </c>
      <c r="B1281" s="3" t="str">
        <f t="shared" si="82"/>
        <v>2月</v>
      </c>
      <c r="C1281" s="4" t="str">
        <f t="shared" si="83"/>
        <v>W6</v>
      </c>
      <c r="D1281" s="2" t="s">
        <v>773</v>
      </c>
      <c r="E1281" s="2" t="s">
        <v>722</v>
      </c>
      <c r="F1281" s="2" t="str" cm="1">
        <f t="array" ref="F1281">INDEX(_xlfn.TEXTSPLIT(E1281,"-"),2)</f>
        <v>女装</v>
      </c>
      <c r="G1281" s="2" t="str" cm="1">
        <f t="array" ref="G1281">INDEX(_xlfn.TEXTSPLIT(E1281,"-"),3)</f>
        <v>短外套</v>
      </c>
      <c r="H1281" s="5">
        <v>1143235</v>
      </c>
      <c r="I1281" s="5">
        <v>236100642.79</v>
      </c>
      <c r="J1281" s="6">
        <v>0.0806</v>
      </c>
      <c r="K1281" s="6">
        <v>-0.0922</v>
      </c>
    </row>
    <row r="1282" ht="14.5" spans="1:11">
      <c r="A1282" s="3" t="str">
        <f t="shared" si="81"/>
        <v>2026年</v>
      </c>
      <c r="B1282" s="3" t="str">
        <f t="shared" si="82"/>
        <v>2月</v>
      </c>
      <c r="C1282" s="4" t="str">
        <f t="shared" si="83"/>
        <v>W6</v>
      </c>
      <c r="D1282" s="2" t="s">
        <v>773</v>
      </c>
      <c r="E1282" s="2" t="s">
        <v>723</v>
      </c>
      <c r="F1282" s="2" t="str" cm="1">
        <f t="array" ref="F1282">INDEX(_xlfn.TEXTSPLIT(E1282,"-"),2)</f>
        <v>女装</v>
      </c>
      <c r="G1282" s="2" t="str" cm="1">
        <f t="array" ref="G1282">INDEX(_xlfn.TEXTSPLIT(E1282,"-"),3)</f>
        <v>短裤</v>
      </c>
      <c r="H1282" s="5">
        <v>116807</v>
      </c>
      <c r="I1282" s="5">
        <v>6682775.54</v>
      </c>
      <c r="J1282" s="6">
        <v>0.0023</v>
      </c>
      <c r="K1282" s="6">
        <v>0.0454</v>
      </c>
    </row>
    <row r="1283" ht="14.5" spans="1:11">
      <c r="A1283" s="3" t="str">
        <f t="shared" si="81"/>
        <v>2026年</v>
      </c>
      <c r="B1283" s="3" t="str">
        <f t="shared" si="82"/>
        <v>2月</v>
      </c>
      <c r="C1283" s="4" t="str">
        <f t="shared" si="83"/>
        <v>W6</v>
      </c>
      <c r="D1283" s="2" t="s">
        <v>773</v>
      </c>
      <c r="E1283" s="2" t="s">
        <v>724</v>
      </c>
      <c r="F1283" s="2" t="str" cm="1">
        <f t="array" ref="F1283">INDEX(_xlfn.TEXTSPLIT(E1283,"-"),2)</f>
        <v>女装</v>
      </c>
      <c r="G1283" s="2" t="str" cm="1">
        <f t="array" ref="G1283">INDEX(_xlfn.TEXTSPLIT(E1283,"-"),3)</f>
        <v>羊毛衫</v>
      </c>
      <c r="H1283" s="5">
        <v>410453</v>
      </c>
      <c r="I1283" s="5">
        <v>54772712.83</v>
      </c>
      <c r="J1283" s="6">
        <v>0.0187</v>
      </c>
      <c r="K1283" s="6">
        <v>-0.041</v>
      </c>
    </row>
    <row r="1284" ht="14.5" spans="1:11">
      <c r="A1284" s="3" t="str">
        <f t="shared" si="81"/>
        <v>2026年</v>
      </c>
      <c r="B1284" s="3" t="str">
        <f t="shared" si="82"/>
        <v>2月</v>
      </c>
      <c r="C1284" s="4" t="str">
        <f t="shared" si="83"/>
        <v>W6</v>
      </c>
      <c r="D1284" s="2" t="s">
        <v>773</v>
      </c>
      <c r="E1284" s="2" t="s">
        <v>725</v>
      </c>
      <c r="F1284" s="2" t="str" cm="1">
        <f t="array" ref="F1284">INDEX(_xlfn.TEXTSPLIT(E1284,"-"),2)</f>
        <v>女装</v>
      </c>
      <c r="G1284" s="2" t="str" cm="1">
        <f t="array" ref="G1284">INDEX(_xlfn.TEXTSPLIT(E1284,"-"),3)</f>
        <v>羊绒大衣</v>
      </c>
      <c r="H1284" s="5">
        <v>6999</v>
      </c>
      <c r="I1284" s="5">
        <v>3385728.18</v>
      </c>
      <c r="J1284" s="6">
        <v>0.0012</v>
      </c>
      <c r="K1284" s="6">
        <v>0.1296</v>
      </c>
    </row>
    <row r="1285" ht="14.5" spans="1:11">
      <c r="A1285" s="3" t="str">
        <f t="shared" si="81"/>
        <v>2026年</v>
      </c>
      <c r="B1285" s="3" t="str">
        <f t="shared" si="82"/>
        <v>2月</v>
      </c>
      <c r="C1285" s="4" t="str">
        <f t="shared" si="83"/>
        <v>W6</v>
      </c>
      <c r="D1285" s="2" t="s">
        <v>773</v>
      </c>
      <c r="E1285" s="2" t="s">
        <v>726</v>
      </c>
      <c r="F1285" s="2" t="str" cm="1">
        <f t="array" ref="F1285">INDEX(_xlfn.TEXTSPLIT(E1285,"-"),2)</f>
        <v>女装</v>
      </c>
      <c r="G1285" s="2" t="str" cm="1">
        <f t="array" ref="G1285">INDEX(_xlfn.TEXTSPLIT(E1285,"-"),3)</f>
        <v>羊绒衫</v>
      </c>
      <c r="H1285" s="5">
        <v>98168</v>
      </c>
      <c r="I1285" s="5">
        <v>35449409.79</v>
      </c>
      <c r="J1285" s="6">
        <v>0.0121</v>
      </c>
      <c r="K1285" s="6">
        <v>-0.0265</v>
      </c>
    </row>
    <row r="1286" ht="14.5" spans="1:11">
      <c r="A1286" s="3" t="str">
        <f t="shared" si="81"/>
        <v>2026年</v>
      </c>
      <c r="B1286" s="3" t="str">
        <f t="shared" si="82"/>
        <v>2月</v>
      </c>
      <c r="C1286" s="4" t="str">
        <f t="shared" si="83"/>
        <v>W6</v>
      </c>
      <c r="D1286" s="2" t="s">
        <v>773</v>
      </c>
      <c r="E1286" s="2" t="s">
        <v>727</v>
      </c>
      <c r="F1286" s="2" t="str" cm="1">
        <f t="array" ref="F1286">INDEX(_xlfn.TEXTSPLIT(E1286,"-"),2)</f>
        <v>女装</v>
      </c>
      <c r="G1286" s="2" t="str" cm="1">
        <f t="array" ref="G1286">INDEX(_xlfn.TEXTSPLIT(E1286,"-"),3)</f>
        <v>羽绒服</v>
      </c>
      <c r="H1286" s="5">
        <v>1278180</v>
      </c>
      <c r="I1286" s="5">
        <v>476052278.83</v>
      </c>
      <c r="J1286" s="6">
        <v>0.1624</v>
      </c>
      <c r="K1286" s="6">
        <v>-0.0414</v>
      </c>
    </row>
    <row r="1287" ht="14.5" spans="1:11">
      <c r="A1287" s="3" t="str">
        <f t="shared" si="81"/>
        <v>2026年</v>
      </c>
      <c r="B1287" s="3" t="str">
        <f t="shared" si="82"/>
        <v>2月</v>
      </c>
      <c r="C1287" s="4" t="str">
        <f t="shared" si="83"/>
        <v>W6</v>
      </c>
      <c r="D1287" s="2" t="s">
        <v>773</v>
      </c>
      <c r="E1287" s="2" t="s">
        <v>728</v>
      </c>
      <c r="F1287" s="2" t="str" cm="1">
        <f t="array" ref="F1287">INDEX(_xlfn.TEXTSPLIT(E1287,"-"),2)</f>
        <v>女装</v>
      </c>
      <c r="G1287" s="2" t="str" cm="1">
        <f t="array" ref="G1287">INDEX(_xlfn.TEXTSPLIT(E1287,"-"),3)</f>
        <v>肌底衣/肌肤衣</v>
      </c>
      <c r="H1287" s="5">
        <v>3749</v>
      </c>
      <c r="I1287" s="5">
        <v>214526.83</v>
      </c>
      <c r="J1287" s="6">
        <v>0.0001</v>
      </c>
      <c r="K1287" s="6">
        <v>0.0834</v>
      </c>
    </row>
    <row r="1288" ht="14.5" spans="1:11">
      <c r="A1288" s="3" t="str">
        <f t="shared" si="81"/>
        <v>2026年</v>
      </c>
      <c r="B1288" s="3" t="str">
        <f t="shared" si="82"/>
        <v>2月</v>
      </c>
      <c r="C1288" s="4" t="str">
        <f t="shared" si="83"/>
        <v>W6</v>
      </c>
      <c r="D1288" s="2" t="s">
        <v>773</v>
      </c>
      <c r="E1288" s="2" t="s">
        <v>729</v>
      </c>
      <c r="F1288" s="2" t="str" cm="1">
        <f t="array" ref="F1288">INDEX(_xlfn.TEXTSPLIT(E1288,"-"),2)</f>
        <v>女装</v>
      </c>
      <c r="G1288" s="2" t="str" cm="1">
        <f t="array" ref="G1288">INDEX(_xlfn.TEXTSPLIT(E1288,"-"),3)</f>
        <v>背心吊带</v>
      </c>
      <c r="H1288" s="5">
        <v>265395</v>
      </c>
      <c r="I1288" s="5">
        <v>14822043.56</v>
      </c>
      <c r="J1288" s="6">
        <v>0.0051</v>
      </c>
      <c r="K1288" s="6">
        <v>0.0697</v>
      </c>
    </row>
    <row r="1289" ht="14.5" spans="1:11">
      <c r="A1289" s="3" t="str">
        <f t="shared" si="81"/>
        <v>2026年</v>
      </c>
      <c r="B1289" s="3" t="str">
        <f t="shared" si="82"/>
        <v>2月</v>
      </c>
      <c r="C1289" s="4" t="str">
        <f t="shared" si="83"/>
        <v>W6</v>
      </c>
      <c r="D1289" s="2" t="s">
        <v>773</v>
      </c>
      <c r="E1289" s="2" t="s">
        <v>730</v>
      </c>
      <c r="F1289" s="2" t="str" cm="1">
        <f t="array" ref="F1289">INDEX(_xlfn.TEXTSPLIT(E1289,"-"),2)</f>
        <v>女装</v>
      </c>
      <c r="G1289" s="2" t="str" cm="1">
        <f t="array" ref="G1289">INDEX(_xlfn.TEXTSPLIT(E1289,"-"),3)</f>
        <v>蕾丝衫/雪纺衫</v>
      </c>
      <c r="H1289" s="5">
        <v>173942</v>
      </c>
      <c r="I1289" s="5">
        <v>12334646.27</v>
      </c>
      <c r="J1289" s="6">
        <v>0.0042</v>
      </c>
      <c r="K1289" s="6">
        <v>0.0239</v>
      </c>
    </row>
    <row r="1290" ht="14.5" spans="1:11">
      <c r="A1290" s="3" t="str">
        <f t="shared" si="81"/>
        <v>2026年</v>
      </c>
      <c r="B1290" s="3" t="str">
        <f t="shared" si="82"/>
        <v>2月</v>
      </c>
      <c r="C1290" s="4" t="str">
        <f t="shared" si="83"/>
        <v>W6</v>
      </c>
      <c r="D1290" s="2" t="s">
        <v>773</v>
      </c>
      <c r="E1290" s="2" t="s">
        <v>731</v>
      </c>
      <c r="F1290" s="2" t="str" cm="1">
        <f t="array" ref="F1290">INDEX(_xlfn.TEXTSPLIT(E1290,"-"),2)</f>
        <v>女装</v>
      </c>
      <c r="G1290" s="2" t="str" cm="1">
        <f t="array" ref="G1290">INDEX(_xlfn.TEXTSPLIT(E1290,"-"),3)</f>
        <v>衬衫</v>
      </c>
      <c r="H1290" s="5">
        <v>499206</v>
      </c>
      <c r="I1290" s="5">
        <v>57419534.67</v>
      </c>
      <c r="J1290" s="6">
        <v>0.0196</v>
      </c>
      <c r="K1290" s="6">
        <v>0.0314</v>
      </c>
    </row>
    <row r="1291" ht="14.5" spans="1:11">
      <c r="A1291" s="3" t="str">
        <f t="shared" si="81"/>
        <v>2026年</v>
      </c>
      <c r="B1291" s="3" t="str">
        <f t="shared" si="82"/>
        <v>2月</v>
      </c>
      <c r="C1291" s="4" t="str">
        <f t="shared" si="83"/>
        <v>W6</v>
      </c>
      <c r="D1291" s="2" t="s">
        <v>773</v>
      </c>
      <c r="E1291" s="2" t="s">
        <v>732</v>
      </c>
      <c r="F1291" s="2" t="str" cm="1">
        <f t="array" ref="F1291">INDEX(_xlfn.TEXTSPLIT(E1291,"-"),2)</f>
        <v>女装</v>
      </c>
      <c r="G1291" s="2" t="str" cm="1">
        <f t="array" ref="G1291">INDEX(_xlfn.TEXTSPLIT(E1291,"-"),3)</f>
        <v>裤子</v>
      </c>
      <c r="H1291" s="5">
        <v>3602622</v>
      </c>
      <c r="I1291" s="5">
        <v>360379622.81</v>
      </c>
      <c r="J1291" s="6">
        <v>0.123</v>
      </c>
      <c r="K1291" s="6">
        <v>-0.0321</v>
      </c>
    </row>
    <row r="1292" ht="14.5" spans="1:11">
      <c r="A1292" s="3" t="str">
        <f t="shared" si="81"/>
        <v>2026年</v>
      </c>
      <c r="B1292" s="3" t="str">
        <f t="shared" si="82"/>
        <v>2月</v>
      </c>
      <c r="C1292" s="4" t="str">
        <f t="shared" si="83"/>
        <v>W6</v>
      </c>
      <c r="D1292" s="2" t="s">
        <v>773</v>
      </c>
      <c r="E1292" s="2" t="s">
        <v>733</v>
      </c>
      <c r="F1292" s="2" t="str" cm="1">
        <f t="array" ref="F1292">INDEX(_xlfn.TEXTSPLIT(E1292,"-"),2)</f>
        <v>女装</v>
      </c>
      <c r="G1292" s="2" t="str" cm="1">
        <f t="array" ref="G1292">INDEX(_xlfn.TEXTSPLIT(E1292,"-"),3)</f>
        <v>西装</v>
      </c>
      <c r="H1292" s="5">
        <v>63204</v>
      </c>
      <c r="I1292" s="5">
        <v>16180096.36</v>
      </c>
      <c r="J1292" s="6">
        <v>0.0055</v>
      </c>
      <c r="K1292" s="6">
        <v>-0.1527</v>
      </c>
    </row>
    <row r="1293" ht="14.5" spans="1:11">
      <c r="A1293" s="3" t="str">
        <f t="shared" si="81"/>
        <v>2026年</v>
      </c>
      <c r="B1293" s="3" t="str">
        <f t="shared" si="82"/>
        <v>2月</v>
      </c>
      <c r="C1293" s="4" t="str">
        <f t="shared" si="83"/>
        <v>W6</v>
      </c>
      <c r="D1293" s="2" t="s">
        <v>773</v>
      </c>
      <c r="E1293" s="2" t="s">
        <v>734</v>
      </c>
      <c r="F1293" s="2" t="str" cm="1">
        <f t="array" ref="F1293">INDEX(_xlfn.TEXTSPLIT(E1293,"-"),2)</f>
        <v>女装</v>
      </c>
      <c r="G1293" s="2" t="str" cm="1">
        <f t="array" ref="G1293">INDEX(_xlfn.TEXTSPLIT(E1293,"-"),3)</f>
        <v>设计师/潮牌女装</v>
      </c>
      <c r="H1293" s="5">
        <v>487153</v>
      </c>
      <c r="I1293" s="5">
        <v>62245067.12</v>
      </c>
      <c r="J1293" s="6">
        <v>0.0212</v>
      </c>
      <c r="K1293" s="6">
        <v>0.481</v>
      </c>
    </row>
    <row r="1294" ht="14.5" spans="1:11">
      <c r="A1294" s="3" t="str">
        <f t="shared" si="81"/>
        <v>2026年</v>
      </c>
      <c r="B1294" s="3" t="str">
        <f t="shared" si="82"/>
        <v>2月</v>
      </c>
      <c r="C1294" s="4" t="str">
        <f t="shared" si="83"/>
        <v>W6</v>
      </c>
      <c r="D1294" s="2" t="s">
        <v>773</v>
      </c>
      <c r="E1294" s="2" t="s">
        <v>735</v>
      </c>
      <c r="F1294" s="2" t="str" cm="1">
        <f t="array" ref="F1294">INDEX(_xlfn.TEXTSPLIT(E1294,"-"),2)</f>
        <v>女装</v>
      </c>
      <c r="G1294" s="2" t="str" cm="1">
        <f t="array" ref="G1294">INDEX(_xlfn.TEXTSPLIT(E1294,"-"),3)</f>
        <v>连体衣/裤</v>
      </c>
      <c r="H1294" s="5">
        <v>11051</v>
      </c>
      <c r="I1294" s="5">
        <v>2992973.65</v>
      </c>
      <c r="J1294" s="6">
        <v>0.001</v>
      </c>
      <c r="K1294" s="6">
        <v>0.2491</v>
      </c>
    </row>
    <row r="1295" ht="14.5" spans="1:11">
      <c r="A1295" s="3" t="str">
        <f t="shared" si="81"/>
        <v>2026年</v>
      </c>
      <c r="B1295" s="3" t="str">
        <f t="shared" si="82"/>
        <v>2月</v>
      </c>
      <c r="C1295" s="4" t="str">
        <f t="shared" si="83"/>
        <v>W6</v>
      </c>
      <c r="D1295" s="2" t="s">
        <v>773</v>
      </c>
      <c r="E1295" s="2" t="s">
        <v>736</v>
      </c>
      <c r="F1295" s="2" t="str" cm="1">
        <f t="array" ref="F1295">INDEX(_xlfn.TEXTSPLIT(E1295,"-"),2)</f>
        <v>女装</v>
      </c>
      <c r="G1295" s="2" t="str" cm="1">
        <f t="array" ref="G1295">INDEX(_xlfn.TEXTSPLIT(E1295,"-"),3)</f>
        <v>连衣裙</v>
      </c>
      <c r="H1295" s="5">
        <v>685901</v>
      </c>
      <c r="I1295" s="5">
        <v>100708749.08</v>
      </c>
      <c r="J1295" s="6">
        <v>0.0344</v>
      </c>
      <c r="K1295" s="6">
        <v>-0.0228</v>
      </c>
    </row>
    <row r="1296" ht="14.5" spans="1:11">
      <c r="A1296" s="3" t="str">
        <f t="shared" si="81"/>
        <v>2026年</v>
      </c>
      <c r="B1296" s="3" t="str">
        <f t="shared" si="82"/>
        <v>2月</v>
      </c>
      <c r="C1296" s="4" t="str">
        <f t="shared" si="83"/>
        <v>W6</v>
      </c>
      <c r="D1296" s="2" t="s">
        <v>773</v>
      </c>
      <c r="E1296" s="2" t="s">
        <v>737</v>
      </c>
      <c r="F1296" s="2" t="str" cm="1">
        <f t="array" ref="F1296">INDEX(_xlfn.TEXTSPLIT(E1296,"-"),2)</f>
        <v>女装</v>
      </c>
      <c r="G1296" s="2" t="str" cm="1">
        <f t="array" ref="G1296">INDEX(_xlfn.TEXTSPLIT(E1296,"-"),3)</f>
        <v>风衣</v>
      </c>
      <c r="H1296" s="5">
        <v>108009</v>
      </c>
      <c r="I1296" s="5">
        <v>19463061.05</v>
      </c>
      <c r="J1296" s="6">
        <v>0.0066</v>
      </c>
      <c r="K1296" s="6">
        <v>0.0391</v>
      </c>
    </row>
    <row r="1297" ht="14.5" spans="1:11">
      <c r="A1297" s="3" t="str">
        <f t="shared" si="81"/>
        <v>2026年</v>
      </c>
      <c r="B1297" s="3" t="str">
        <f t="shared" si="82"/>
        <v>2月</v>
      </c>
      <c r="C1297" s="4" t="str">
        <f t="shared" si="83"/>
        <v>W6</v>
      </c>
      <c r="D1297" s="2" t="s">
        <v>773</v>
      </c>
      <c r="E1297" s="2" t="s">
        <v>738</v>
      </c>
      <c r="F1297" s="2" t="str" cm="1">
        <f t="array" ref="F1297">INDEX(_xlfn.TEXTSPLIT(E1297,"-"),2)</f>
        <v>女装</v>
      </c>
      <c r="G1297" s="2" t="str" cm="1">
        <f t="array" ref="G1297">INDEX(_xlfn.TEXTSPLIT(E1297,"-"),3)</f>
        <v>马夹</v>
      </c>
      <c r="H1297" s="5">
        <v>393442</v>
      </c>
      <c r="I1297" s="5">
        <v>42136419.51</v>
      </c>
      <c r="J1297" s="6">
        <v>0.0144</v>
      </c>
      <c r="K1297" s="6">
        <v>-0.0334</v>
      </c>
    </row>
    <row r="1298" ht="14.5" spans="1:11">
      <c r="A1298" s="3" t="str">
        <f t="shared" si="81"/>
        <v>2026年</v>
      </c>
      <c r="B1298" s="3" t="str">
        <f t="shared" si="82"/>
        <v>2月</v>
      </c>
      <c r="C1298" s="4" t="str">
        <f t="shared" si="83"/>
        <v>W6</v>
      </c>
      <c r="D1298" s="2" t="s">
        <v>774</v>
      </c>
      <c r="E1298" s="2" t="s">
        <v>702</v>
      </c>
      <c r="F1298" s="2" t="str" cm="1">
        <f t="array" ref="F1298">INDEX(_xlfn.TEXTSPLIT(E1298,"-"),2)</f>
        <v>女装</v>
      </c>
      <c r="G1298" s="2" t="str" cm="1">
        <f t="array" ref="G1298">INDEX(_xlfn.TEXTSPLIT(E1298,"-"),3)</f>
        <v>POLO衫</v>
      </c>
      <c r="H1298" s="5">
        <v>17725</v>
      </c>
      <c r="I1298" s="5">
        <v>1509572.03</v>
      </c>
      <c r="J1298" s="6">
        <v>0.0005</v>
      </c>
      <c r="K1298" s="6">
        <v>0.7008</v>
      </c>
    </row>
    <row r="1299" ht="14.5" spans="1:11">
      <c r="A1299" s="3" t="str">
        <f t="shared" si="81"/>
        <v>2026年</v>
      </c>
      <c r="B1299" s="3" t="str">
        <f t="shared" si="82"/>
        <v>2月</v>
      </c>
      <c r="C1299" s="4" t="str">
        <f t="shared" si="83"/>
        <v>W6</v>
      </c>
      <c r="D1299" s="2" t="s">
        <v>774</v>
      </c>
      <c r="E1299" s="2" t="s">
        <v>703</v>
      </c>
      <c r="F1299" s="2" t="str" cm="1">
        <f t="array" ref="F1299">INDEX(_xlfn.TEXTSPLIT(E1299,"-"),2)</f>
        <v>女装</v>
      </c>
      <c r="G1299" s="2" t="str" cm="1">
        <f t="array" ref="G1299">INDEX(_xlfn.TEXTSPLIT(E1299,"-"),3)</f>
        <v>T恤</v>
      </c>
      <c r="H1299" s="5">
        <v>1366424</v>
      </c>
      <c r="I1299" s="5">
        <v>80727848.87</v>
      </c>
      <c r="J1299" s="6">
        <v>0.0284</v>
      </c>
      <c r="K1299" s="6">
        <v>-0.0591</v>
      </c>
    </row>
    <row r="1300" ht="14.5" spans="1:11">
      <c r="A1300" s="3" t="str">
        <f t="shared" si="81"/>
        <v>2026年</v>
      </c>
      <c r="B1300" s="3" t="str">
        <f t="shared" si="82"/>
        <v>2月</v>
      </c>
      <c r="C1300" s="4" t="str">
        <f t="shared" si="83"/>
        <v>W6</v>
      </c>
      <c r="D1300" s="2" t="s">
        <v>774</v>
      </c>
      <c r="E1300" s="2" t="s">
        <v>704</v>
      </c>
      <c r="F1300" s="2" t="str" cm="1">
        <f t="array" ref="F1300">INDEX(_xlfn.TEXTSPLIT(E1300,"-"),2)</f>
        <v>女装</v>
      </c>
      <c r="G1300" s="2" t="str" cm="1">
        <f t="array" ref="G1300">INDEX(_xlfn.TEXTSPLIT(E1300,"-"),3)</f>
        <v>中老年女装</v>
      </c>
      <c r="H1300" s="5">
        <v>467603</v>
      </c>
      <c r="I1300" s="5">
        <v>55399526.61</v>
      </c>
      <c r="J1300" s="6">
        <v>0.0195</v>
      </c>
      <c r="K1300" s="6">
        <v>0.0249</v>
      </c>
    </row>
    <row r="1301" ht="14.5" spans="1:11">
      <c r="A1301" s="3" t="str">
        <f t="shared" si="81"/>
        <v>2026年</v>
      </c>
      <c r="B1301" s="3" t="str">
        <f t="shared" si="82"/>
        <v>2月</v>
      </c>
      <c r="C1301" s="4" t="str">
        <f t="shared" si="83"/>
        <v>W6</v>
      </c>
      <c r="D1301" s="2" t="s">
        <v>774</v>
      </c>
      <c r="E1301" s="2" t="s">
        <v>705</v>
      </c>
      <c r="F1301" s="2" t="str" cm="1">
        <f t="array" ref="F1301">INDEX(_xlfn.TEXTSPLIT(E1301,"-"),2)</f>
        <v>女装</v>
      </c>
      <c r="G1301" s="2" t="str" cm="1">
        <f t="array" ref="G1301">INDEX(_xlfn.TEXTSPLIT(E1301,"-"),3)</f>
        <v>半身裙</v>
      </c>
      <c r="H1301" s="5">
        <v>709382</v>
      </c>
      <c r="I1301" s="5">
        <v>64993805.25</v>
      </c>
      <c r="J1301" s="6">
        <v>0.0228</v>
      </c>
      <c r="K1301" s="6">
        <v>0.0166</v>
      </c>
    </row>
    <row r="1302" ht="14.5" spans="1:11">
      <c r="A1302" s="3" t="str">
        <f t="shared" si="81"/>
        <v>2026年</v>
      </c>
      <c r="B1302" s="3" t="str">
        <f t="shared" si="82"/>
        <v>2月</v>
      </c>
      <c r="C1302" s="4" t="str">
        <f t="shared" si="83"/>
        <v>W6</v>
      </c>
      <c r="D1302" s="2" t="s">
        <v>774</v>
      </c>
      <c r="E1302" s="2" t="s">
        <v>706</v>
      </c>
      <c r="F1302" s="2" t="str" cm="1">
        <f t="array" ref="F1302">INDEX(_xlfn.TEXTSPLIT(E1302,"-"),2)</f>
        <v>女装</v>
      </c>
      <c r="G1302" s="2" t="str" cm="1">
        <f t="array" ref="G1302">INDEX(_xlfn.TEXTSPLIT(E1302,"-"),3)</f>
        <v>卫衣/绒衫</v>
      </c>
      <c r="H1302" s="5">
        <v>381903</v>
      </c>
      <c r="I1302" s="5">
        <v>31519413.25</v>
      </c>
      <c r="J1302" s="6">
        <v>0.0111</v>
      </c>
      <c r="K1302" s="6">
        <v>-0.0511</v>
      </c>
    </row>
    <row r="1303" ht="14.5" spans="1:11">
      <c r="A1303" s="3" t="str">
        <f t="shared" si="81"/>
        <v>2026年</v>
      </c>
      <c r="B1303" s="3" t="str">
        <f t="shared" si="82"/>
        <v>2月</v>
      </c>
      <c r="C1303" s="4" t="str">
        <f t="shared" si="83"/>
        <v>W6</v>
      </c>
      <c r="D1303" s="2" t="s">
        <v>774</v>
      </c>
      <c r="E1303" s="2" t="s">
        <v>707</v>
      </c>
      <c r="F1303" s="2" t="str" cm="1">
        <f t="array" ref="F1303">INDEX(_xlfn.TEXTSPLIT(E1303,"-"),2)</f>
        <v>女装</v>
      </c>
      <c r="G1303" s="2" t="str" cm="1">
        <f t="array" ref="G1303">INDEX(_xlfn.TEXTSPLIT(E1303,"-"),3)</f>
        <v>唐装/民族服装/舞台服装</v>
      </c>
      <c r="H1303" s="5">
        <v>208738</v>
      </c>
      <c r="I1303" s="5">
        <v>38957971.05</v>
      </c>
      <c r="J1303" s="6">
        <v>0.0137</v>
      </c>
      <c r="K1303" s="6">
        <v>-0.148</v>
      </c>
    </row>
    <row r="1304" ht="14.5" spans="1:11">
      <c r="A1304" s="3" t="str">
        <f t="shared" si="81"/>
        <v>2026年</v>
      </c>
      <c r="B1304" s="3" t="str">
        <f t="shared" si="82"/>
        <v>2月</v>
      </c>
      <c r="C1304" s="4" t="str">
        <f t="shared" si="83"/>
        <v>W6</v>
      </c>
      <c r="D1304" s="2" t="s">
        <v>774</v>
      </c>
      <c r="E1304" s="2" t="s">
        <v>708</v>
      </c>
      <c r="F1304" s="2" t="str" cm="1">
        <f t="array" ref="F1304">INDEX(_xlfn.TEXTSPLIT(E1304,"-"),2)</f>
        <v>女装</v>
      </c>
      <c r="G1304" s="2" t="str" cm="1">
        <f t="array" ref="G1304">INDEX(_xlfn.TEXTSPLIT(E1304,"-"),3)</f>
        <v>大码女装</v>
      </c>
      <c r="H1304" s="5">
        <v>537705</v>
      </c>
      <c r="I1304" s="5">
        <v>45893676.47</v>
      </c>
      <c r="J1304" s="6">
        <v>0.0161</v>
      </c>
      <c r="K1304" s="6">
        <v>-0.1019</v>
      </c>
    </row>
    <row r="1305" ht="14.5" spans="1:11">
      <c r="A1305" s="3" t="str">
        <f t="shared" si="81"/>
        <v>2026年</v>
      </c>
      <c r="B1305" s="3" t="str">
        <f t="shared" si="82"/>
        <v>2月</v>
      </c>
      <c r="C1305" s="4" t="str">
        <f t="shared" si="83"/>
        <v>W6</v>
      </c>
      <c r="D1305" s="2" t="s">
        <v>774</v>
      </c>
      <c r="E1305" s="2" t="s">
        <v>709</v>
      </c>
      <c r="F1305" s="2" t="str" cm="1">
        <f t="array" ref="F1305">INDEX(_xlfn.TEXTSPLIT(E1305,"-"),2)</f>
        <v>女装</v>
      </c>
      <c r="G1305" s="2" t="str" cm="1">
        <f t="array" ref="G1305">INDEX(_xlfn.TEXTSPLIT(E1305,"-"),3)</f>
        <v>套装/学生校服/工作制服</v>
      </c>
      <c r="H1305" s="5">
        <v>864611</v>
      </c>
      <c r="I1305" s="5">
        <v>123904161.48</v>
      </c>
      <c r="J1305" s="6">
        <v>0.0435</v>
      </c>
      <c r="K1305" s="6">
        <v>-0.0226</v>
      </c>
    </row>
    <row r="1306" ht="14.5" spans="1:11">
      <c r="A1306" s="3" t="str">
        <f t="shared" si="81"/>
        <v>2026年</v>
      </c>
      <c r="B1306" s="3" t="str">
        <f t="shared" si="82"/>
        <v>2月</v>
      </c>
      <c r="C1306" s="4" t="str">
        <f t="shared" si="83"/>
        <v>W6</v>
      </c>
      <c r="D1306" s="2" t="s">
        <v>774</v>
      </c>
      <c r="E1306" s="2" t="s">
        <v>710</v>
      </c>
      <c r="F1306" s="2" t="str" cm="1">
        <f t="array" ref="F1306">INDEX(_xlfn.TEXTSPLIT(E1306,"-"),2)</f>
        <v>女装</v>
      </c>
      <c r="G1306" s="2" t="str" cm="1">
        <f t="array" ref="G1306">INDEX(_xlfn.TEXTSPLIT(E1306,"-"),3)</f>
        <v>婚纱/旗袍/礼服</v>
      </c>
      <c r="H1306" s="5">
        <v>66699</v>
      </c>
      <c r="I1306" s="5">
        <v>8712436.17</v>
      </c>
      <c r="J1306" s="6">
        <v>0.0031</v>
      </c>
      <c r="K1306" s="6">
        <v>0.044</v>
      </c>
    </row>
    <row r="1307" ht="14.5" spans="1:11">
      <c r="A1307" s="3" t="str">
        <f t="shared" si="81"/>
        <v>2026年</v>
      </c>
      <c r="B1307" s="3" t="str">
        <f t="shared" si="82"/>
        <v>2月</v>
      </c>
      <c r="C1307" s="4" t="str">
        <f t="shared" si="83"/>
        <v>W6</v>
      </c>
      <c r="D1307" s="2" t="s">
        <v>774</v>
      </c>
      <c r="E1307" s="2" t="s">
        <v>711</v>
      </c>
      <c r="F1307" s="2" t="str" cm="1">
        <f t="array" ref="F1307">INDEX(_xlfn.TEXTSPLIT(E1307,"-"),2)</f>
        <v>女装</v>
      </c>
      <c r="G1307" s="2" t="str" cm="1">
        <f t="array" ref="G1307">INDEX(_xlfn.TEXTSPLIT(E1307,"-"),3)</f>
        <v>新中式女装</v>
      </c>
      <c r="H1307" s="5">
        <v>101188</v>
      </c>
      <c r="I1307" s="5">
        <v>13376669.67</v>
      </c>
      <c r="J1307" s="6">
        <v>0.0047</v>
      </c>
      <c r="K1307" s="6">
        <v>-0.1929</v>
      </c>
    </row>
    <row r="1308" ht="14.5" spans="1:11">
      <c r="A1308" s="3" t="str">
        <f t="shared" si="81"/>
        <v>2026年</v>
      </c>
      <c r="B1308" s="3" t="str">
        <f t="shared" si="82"/>
        <v>2月</v>
      </c>
      <c r="C1308" s="4" t="str">
        <f t="shared" si="83"/>
        <v>W6</v>
      </c>
      <c r="D1308" s="2" t="s">
        <v>774</v>
      </c>
      <c r="E1308" s="2" t="s">
        <v>712</v>
      </c>
      <c r="F1308" s="2" t="str" cm="1">
        <f t="array" ref="F1308">INDEX(_xlfn.TEXTSPLIT(E1308,"-"),2)</f>
        <v>女装</v>
      </c>
      <c r="G1308" s="2" t="str" cm="1">
        <f t="array" ref="G1308">INDEX(_xlfn.TEXTSPLIT(E1308,"-"),3)</f>
        <v>时尚防晒服</v>
      </c>
      <c r="H1308" s="5">
        <v>1023</v>
      </c>
      <c r="I1308" s="5">
        <v>137787.97</v>
      </c>
      <c r="J1308" s="2" t="s">
        <v>713</v>
      </c>
      <c r="K1308" s="6">
        <v>0.4303</v>
      </c>
    </row>
    <row r="1309" ht="14.5" spans="1:11">
      <c r="A1309" s="3" t="str">
        <f t="shared" si="81"/>
        <v>2026年</v>
      </c>
      <c r="B1309" s="3" t="str">
        <f t="shared" si="82"/>
        <v>2月</v>
      </c>
      <c r="C1309" s="4" t="str">
        <f t="shared" si="83"/>
        <v>W6</v>
      </c>
      <c r="D1309" s="2" t="s">
        <v>774</v>
      </c>
      <c r="E1309" s="2" t="s">
        <v>714</v>
      </c>
      <c r="F1309" s="2" t="str" cm="1">
        <f t="array" ref="F1309">INDEX(_xlfn.TEXTSPLIT(E1309,"-"),2)</f>
        <v>女装</v>
      </c>
      <c r="G1309" s="2" t="str" cm="1">
        <f t="array" ref="G1309">INDEX(_xlfn.TEXTSPLIT(E1309,"-"),3)</f>
        <v>棉衣/棉服</v>
      </c>
      <c r="H1309" s="5">
        <v>550857</v>
      </c>
      <c r="I1309" s="5">
        <v>62929482.21</v>
      </c>
      <c r="J1309" s="6">
        <v>0.0221</v>
      </c>
      <c r="K1309" s="6">
        <v>-0.1132</v>
      </c>
    </row>
    <row r="1310" ht="14.5" spans="1:11">
      <c r="A1310" s="3" t="str">
        <f t="shared" ref="A1310:A1373" si="84">TEXT(YEAR(D1310),"0")&amp;"年"</f>
        <v>2026年</v>
      </c>
      <c r="B1310" s="3" t="str">
        <f t="shared" ref="B1310:B1373" si="85">TEXT(MONTH(D1310),"0")&amp;"月"</f>
        <v>2月</v>
      </c>
      <c r="C1310" s="4" t="str">
        <f t="shared" ref="C1310:C1373" si="86">"W"&amp;TEXT(WEEKNUM(D1310,2),"0")</f>
        <v>W6</v>
      </c>
      <c r="D1310" s="2" t="s">
        <v>774</v>
      </c>
      <c r="E1310" s="2" t="s">
        <v>715</v>
      </c>
      <c r="F1310" s="2" t="str" cm="1">
        <f t="array" ref="F1310">INDEX(_xlfn.TEXTSPLIT(E1310,"-"),2)</f>
        <v>女装</v>
      </c>
      <c r="G1310" s="2" t="str" cm="1">
        <f t="array" ref="G1310">INDEX(_xlfn.TEXTSPLIT(E1310,"-"),3)</f>
        <v>毛呢外套</v>
      </c>
      <c r="H1310" s="5">
        <v>833072</v>
      </c>
      <c r="I1310" s="5">
        <v>302719055.3</v>
      </c>
      <c r="J1310" s="6">
        <v>0.1063</v>
      </c>
      <c r="K1310" s="6">
        <v>-0.0516</v>
      </c>
    </row>
    <row r="1311" ht="14.5" spans="1:11">
      <c r="A1311" s="3" t="str">
        <f t="shared" si="84"/>
        <v>2026年</v>
      </c>
      <c r="B1311" s="3" t="str">
        <f t="shared" si="85"/>
        <v>2月</v>
      </c>
      <c r="C1311" s="4" t="str">
        <f t="shared" si="86"/>
        <v>W6</v>
      </c>
      <c r="D1311" s="2" t="s">
        <v>774</v>
      </c>
      <c r="E1311" s="2" t="s">
        <v>716</v>
      </c>
      <c r="F1311" s="2" t="str" cm="1">
        <f t="array" ref="F1311">INDEX(_xlfn.TEXTSPLIT(E1311,"-"),2)</f>
        <v>女装</v>
      </c>
      <c r="G1311" s="2" t="str" cm="1">
        <f t="array" ref="G1311">INDEX(_xlfn.TEXTSPLIT(E1311,"-"),3)</f>
        <v>毛衣</v>
      </c>
      <c r="H1311" s="5">
        <v>372393</v>
      </c>
      <c r="I1311" s="5">
        <v>32655245.63</v>
      </c>
      <c r="J1311" s="6">
        <v>0.0115</v>
      </c>
      <c r="K1311" s="6">
        <v>-0.0213</v>
      </c>
    </row>
    <row r="1312" ht="14.5" spans="1:11">
      <c r="A1312" s="3" t="str">
        <f t="shared" si="84"/>
        <v>2026年</v>
      </c>
      <c r="B1312" s="3" t="str">
        <f t="shared" si="85"/>
        <v>2月</v>
      </c>
      <c r="C1312" s="4" t="str">
        <f t="shared" si="86"/>
        <v>W6</v>
      </c>
      <c r="D1312" s="2" t="s">
        <v>774</v>
      </c>
      <c r="E1312" s="2" t="s">
        <v>717</v>
      </c>
      <c r="F1312" s="2" t="str" cm="1">
        <f t="array" ref="F1312">INDEX(_xlfn.TEXTSPLIT(E1312,"-"),2)</f>
        <v>女装</v>
      </c>
      <c r="G1312" s="2" t="str" cm="1">
        <f t="array" ref="G1312">INDEX(_xlfn.TEXTSPLIT(E1312,"-"),3)</f>
        <v>毛针织衫</v>
      </c>
      <c r="H1312" s="5">
        <v>2079417</v>
      </c>
      <c r="I1312" s="5">
        <v>170367287.25</v>
      </c>
      <c r="J1312" s="6">
        <v>0.0599</v>
      </c>
      <c r="K1312" s="6">
        <v>-0.029</v>
      </c>
    </row>
    <row r="1313" ht="14.5" spans="1:11">
      <c r="A1313" s="3" t="str">
        <f t="shared" si="84"/>
        <v>2026年</v>
      </c>
      <c r="B1313" s="3" t="str">
        <f t="shared" si="85"/>
        <v>2月</v>
      </c>
      <c r="C1313" s="4" t="str">
        <f t="shared" si="86"/>
        <v>W6</v>
      </c>
      <c r="D1313" s="2" t="s">
        <v>774</v>
      </c>
      <c r="E1313" s="2" t="s">
        <v>718</v>
      </c>
      <c r="F1313" s="2" t="str" cm="1">
        <f t="array" ref="F1313">INDEX(_xlfn.TEXTSPLIT(E1313,"-"),2)</f>
        <v>女装</v>
      </c>
      <c r="G1313" s="2" t="str" cm="1">
        <f t="array" ref="G1313">INDEX(_xlfn.TEXTSPLIT(E1313,"-"),3)</f>
        <v>汉服</v>
      </c>
      <c r="H1313" s="5">
        <v>99693</v>
      </c>
      <c r="I1313" s="5">
        <v>46805405.84</v>
      </c>
      <c r="J1313" s="6">
        <v>0.0164</v>
      </c>
      <c r="K1313" s="6">
        <v>0.016</v>
      </c>
    </row>
    <row r="1314" ht="14.5" spans="1:11">
      <c r="A1314" s="3" t="str">
        <f t="shared" si="84"/>
        <v>2026年</v>
      </c>
      <c r="B1314" s="3" t="str">
        <f t="shared" si="85"/>
        <v>2月</v>
      </c>
      <c r="C1314" s="4" t="str">
        <f t="shared" si="86"/>
        <v>W6</v>
      </c>
      <c r="D1314" s="2" t="s">
        <v>774</v>
      </c>
      <c r="E1314" s="2" t="s">
        <v>719</v>
      </c>
      <c r="F1314" s="2" t="str" cm="1">
        <f t="array" ref="F1314">INDEX(_xlfn.TEXTSPLIT(E1314,"-"),2)</f>
        <v>女装</v>
      </c>
      <c r="G1314" s="2" t="str" cm="1">
        <f t="array" ref="G1314">INDEX(_xlfn.TEXTSPLIT(E1314,"-"),3)</f>
        <v>派克服</v>
      </c>
      <c r="H1314" s="5">
        <v>45847</v>
      </c>
      <c r="I1314" s="5">
        <v>9292064.07</v>
      </c>
      <c r="J1314" s="6">
        <v>0.0033</v>
      </c>
      <c r="K1314" s="6">
        <v>-0.0259</v>
      </c>
    </row>
    <row r="1315" ht="14.5" spans="1:11">
      <c r="A1315" s="3" t="str">
        <f t="shared" si="84"/>
        <v>2026年</v>
      </c>
      <c r="B1315" s="3" t="str">
        <f t="shared" si="85"/>
        <v>2月</v>
      </c>
      <c r="C1315" s="4" t="str">
        <f t="shared" si="86"/>
        <v>W6</v>
      </c>
      <c r="D1315" s="2" t="s">
        <v>774</v>
      </c>
      <c r="E1315" s="2" t="s">
        <v>720</v>
      </c>
      <c r="F1315" s="2" t="str" cm="1">
        <f t="array" ref="F1315">INDEX(_xlfn.TEXTSPLIT(E1315,"-"),2)</f>
        <v>女装</v>
      </c>
      <c r="G1315" s="2" t="str" cm="1">
        <f t="array" ref="G1315">INDEX(_xlfn.TEXTSPLIT(E1315,"-"),3)</f>
        <v>皮草</v>
      </c>
      <c r="H1315" s="5">
        <v>175560</v>
      </c>
      <c r="I1315" s="5">
        <v>243920953</v>
      </c>
      <c r="J1315" s="6">
        <v>0.0857</v>
      </c>
      <c r="K1315" s="6">
        <v>0.0112</v>
      </c>
    </row>
    <row r="1316" ht="14.5" spans="1:11">
      <c r="A1316" s="3" t="str">
        <f t="shared" si="84"/>
        <v>2026年</v>
      </c>
      <c r="B1316" s="3" t="str">
        <f t="shared" si="85"/>
        <v>2月</v>
      </c>
      <c r="C1316" s="4" t="str">
        <f t="shared" si="86"/>
        <v>W6</v>
      </c>
      <c r="D1316" s="2" t="s">
        <v>774</v>
      </c>
      <c r="E1316" s="2" t="s">
        <v>721</v>
      </c>
      <c r="F1316" s="2" t="str" cm="1">
        <f t="array" ref="F1316">INDEX(_xlfn.TEXTSPLIT(E1316,"-"),2)</f>
        <v>女装</v>
      </c>
      <c r="G1316" s="2" t="str" cm="1">
        <f t="array" ref="G1316">INDEX(_xlfn.TEXTSPLIT(E1316,"-"),3)</f>
        <v>皮衣</v>
      </c>
      <c r="H1316" s="5">
        <v>158818</v>
      </c>
      <c r="I1316" s="5">
        <v>56207729.75</v>
      </c>
      <c r="J1316" s="6">
        <v>0.0197</v>
      </c>
      <c r="K1316" s="6">
        <v>0.185</v>
      </c>
    </row>
    <row r="1317" ht="14.5" spans="1:11">
      <c r="A1317" s="3" t="str">
        <f t="shared" si="84"/>
        <v>2026年</v>
      </c>
      <c r="B1317" s="3" t="str">
        <f t="shared" si="85"/>
        <v>2月</v>
      </c>
      <c r="C1317" s="4" t="str">
        <f t="shared" si="86"/>
        <v>W6</v>
      </c>
      <c r="D1317" s="2" t="s">
        <v>774</v>
      </c>
      <c r="E1317" s="2" t="s">
        <v>722</v>
      </c>
      <c r="F1317" s="2" t="str" cm="1">
        <f t="array" ref="F1317">INDEX(_xlfn.TEXTSPLIT(E1317,"-"),2)</f>
        <v>女装</v>
      </c>
      <c r="G1317" s="2" t="str" cm="1">
        <f t="array" ref="G1317">INDEX(_xlfn.TEXTSPLIT(E1317,"-"),3)</f>
        <v>短外套</v>
      </c>
      <c r="H1317" s="5">
        <v>1067278</v>
      </c>
      <c r="I1317" s="5">
        <v>224118948.06</v>
      </c>
      <c r="J1317" s="6">
        <v>0.0787</v>
      </c>
      <c r="K1317" s="6">
        <v>-0.0507</v>
      </c>
    </row>
    <row r="1318" ht="14.5" spans="1:11">
      <c r="A1318" s="3" t="str">
        <f t="shared" si="84"/>
        <v>2026年</v>
      </c>
      <c r="B1318" s="3" t="str">
        <f t="shared" si="85"/>
        <v>2月</v>
      </c>
      <c r="C1318" s="4" t="str">
        <f t="shared" si="86"/>
        <v>W6</v>
      </c>
      <c r="D1318" s="2" t="s">
        <v>774</v>
      </c>
      <c r="E1318" s="2" t="s">
        <v>723</v>
      </c>
      <c r="F1318" s="2" t="str" cm="1">
        <f t="array" ref="F1318">INDEX(_xlfn.TEXTSPLIT(E1318,"-"),2)</f>
        <v>女装</v>
      </c>
      <c r="G1318" s="2" t="str" cm="1">
        <f t="array" ref="G1318">INDEX(_xlfn.TEXTSPLIT(E1318,"-"),3)</f>
        <v>短裤</v>
      </c>
      <c r="H1318" s="5">
        <v>117660</v>
      </c>
      <c r="I1318" s="5">
        <v>7491123.16</v>
      </c>
      <c r="J1318" s="6">
        <v>0.0026</v>
      </c>
      <c r="K1318" s="6">
        <v>0.121</v>
      </c>
    </row>
    <row r="1319" ht="14.5" spans="1:11">
      <c r="A1319" s="3" t="str">
        <f t="shared" si="84"/>
        <v>2026年</v>
      </c>
      <c r="B1319" s="3" t="str">
        <f t="shared" si="85"/>
        <v>2月</v>
      </c>
      <c r="C1319" s="4" t="str">
        <f t="shared" si="86"/>
        <v>W6</v>
      </c>
      <c r="D1319" s="2" t="s">
        <v>774</v>
      </c>
      <c r="E1319" s="2" t="s">
        <v>724</v>
      </c>
      <c r="F1319" s="2" t="str" cm="1">
        <f t="array" ref="F1319">INDEX(_xlfn.TEXTSPLIT(E1319,"-"),2)</f>
        <v>女装</v>
      </c>
      <c r="G1319" s="2" t="str" cm="1">
        <f t="array" ref="G1319">INDEX(_xlfn.TEXTSPLIT(E1319,"-"),3)</f>
        <v>羊毛衫</v>
      </c>
      <c r="H1319" s="5">
        <v>374390</v>
      </c>
      <c r="I1319" s="5">
        <v>48970680.39</v>
      </c>
      <c r="J1319" s="6">
        <v>0.0172</v>
      </c>
      <c r="K1319" s="6">
        <v>-0.1059</v>
      </c>
    </row>
    <row r="1320" ht="14.5" spans="1:11">
      <c r="A1320" s="3" t="str">
        <f t="shared" si="84"/>
        <v>2026年</v>
      </c>
      <c r="B1320" s="3" t="str">
        <f t="shared" si="85"/>
        <v>2月</v>
      </c>
      <c r="C1320" s="4" t="str">
        <f t="shared" si="86"/>
        <v>W6</v>
      </c>
      <c r="D1320" s="2" t="s">
        <v>774</v>
      </c>
      <c r="E1320" s="2" t="s">
        <v>725</v>
      </c>
      <c r="F1320" s="2" t="str" cm="1">
        <f t="array" ref="F1320">INDEX(_xlfn.TEXTSPLIT(E1320,"-"),2)</f>
        <v>女装</v>
      </c>
      <c r="G1320" s="2" t="str" cm="1">
        <f t="array" ref="G1320">INDEX(_xlfn.TEXTSPLIT(E1320,"-"),3)</f>
        <v>羊绒大衣</v>
      </c>
      <c r="H1320" s="5">
        <v>11078</v>
      </c>
      <c r="I1320" s="5">
        <v>3152566.27</v>
      </c>
      <c r="J1320" s="6">
        <v>0.0011</v>
      </c>
      <c r="K1320" s="6">
        <v>-0.0689</v>
      </c>
    </row>
    <row r="1321" ht="14.5" spans="1:11">
      <c r="A1321" s="3" t="str">
        <f t="shared" si="84"/>
        <v>2026年</v>
      </c>
      <c r="B1321" s="3" t="str">
        <f t="shared" si="85"/>
        <v>2月</v>
      </c>
      <c r="C1321" s="4" t="str">
        <f t="shared" si="86"/>
        <v>W6</v>
      </c>
      <c r="D1321" s="2" t="s">
        <v>774</v>
      </c>
      <c r="E1321" s="2" t="s">
        <v>726</v>
      </c>
      <c r="F1321" s="2" t="str" cm="1">
        <f t="array" ref="F1321">INDEX(_xlfn.TEXTSPLIT(E1321,"-"),2)</f>
        <v>女装</v>
      </c>
      <c r="G1321" s="2" t="str" cm="1">
        <f t="array" ref="G1321">INDEX(_xlfn.TEXTSPLIT(E1321,"-"),3)</f>
        <v>羊绒衫</v>
      </c>
      <c r="H1321" s="5">
        <v>99692</v>
      </c>
      <c r="I1321" s="5">
        <v>35704753.52</v>
      </c>
      <c r="J1321" s="6">
        <v>0.0125</v>
      </c>
      <c r="K1321" s="6">
        <v>0.0072</v>
      </c>
    </row>
    <row r="1322" ht="14.5" spans="1:11">
      <c r="A1322" s="3" t="str">
        <f t="shared" si="84"/>
        <v>2026年</v>
      </c>
      <c r="B1322" s="3" t="str">
        <f t="shared" si="85"/>
        <v>2月</v>
      </c>
      <c r="C1322" s="4" t="str">
        <f t="shared" si="86"/>
        <v>W6</v>
      </c>
      <c r="D1322" s="2" t="s">
        <v>774</v>
      </c>
      <c r="E1322" s="2" t="s">
        <v>727</v>
      </c>
      <c r="F1322" s="2" t="str" cm="1">
        <f t="array" ref="F1322">INDEX(_xlfn.TEXTSPLIT(E1322,"-"),2)</f>
        <v>女装</v>
      </c>
      <c r="G1322" s="2" t="str" cm="1">
        <f t="array" ref="G1322">INDEX(_xlfn.TEXTSPLIT(E1322,"-"),3)</f>
        <v>羽绒服</v>
      </c>
      <c r="H1322" s="5">
        <v>1296959</v>
      </c>
      <c r="I1322" s="5">
        <v>480792214.75</v>
      </c>
      <c r="J1322" s="6">
        <v>0.1689</v>
      </c>
      <c r="K1322" s="7">
        <v>0.01</v>
      </c>
    </row>
    <row r="1323" ht="14.5" spans="1:11">
      <c r="A1323" s="3" t="str">
        <f t="shared" si="84"/>
        <v>2026年</v>
      </c>
      <c r="B1323" s="3" t="str">
        <f t="shared" si="85"/>
        <v>2月</v>
      </c>
      <c r="C1323" s="4" t="str">
        <f t="shared" si="86"/>
        <v>W6</v>
      </c>
      <c r="D1323" s="2" t="s">
        <v>774</v>
      </c>
      <c r="E1323" s="2" t="s">
        <v>728</v>
      </c>
      <c r="F1323" s="2" t="str" cm="1">
        <f t="array" ref="F1323">INDEX(_xlfn.TEXTSPLIT(E1323,"-"),2)</f>
        <v>女装</v>
      </c>
      <c r="G1323" s="2" t="str" cm="1">
        <f t="array" ref="G1323">INDEX(_xlfn.TEXTSPLIT(E1323,"-"),3)</f>
        <v>肌底衣/肌肤衣</v>
      </c>
      <c r="H1323" s="5">
        <v>6277</v>
      </c>
      <c r="I1323" s="5">
        <v>495838.94</v>
      </c>
      <c r="J1323" s="6">
        <v>0.0002</v>
      </c>
      <c r="K1323" s="6">
        <v>1.3113</v>
      </c>
    </row>
    <row r="1324" ht="14.5" spans="1:11">
      <c r="A1324" s="3" t="str">
        <f t="shared" si="84"/>
        <v>2026年</v>
      </c>
      <c r="B1324" s="3" t="str">
        <f t="shared" si="85"/>
        <v>2月</v>
      </c>
      <c r="C1324" s="4" t="str">
        <f t="shared" si="86"/>
        <v>W6</v>
      </c>
      <c r="D1324" s="2" t="s">
        <v>774</v>
      </c>
      <c r="E1324" s="2" t="s">
        <v>729</v>
      </c>
      <c r="F1324" s="2" t="str" cm="1">
        <f t="array" ref="F1324">INDEX(_xlfn.TEXTSPLIT(E1324,"-"),2)</f>
        <v>女装</v>
      </c>
      <c r="G1324" s="2" t="str" cm="1">
        <f t="array" ref="G1324">INDEX(_xlfn.TEXTSPLIT(E1324,"-"),3)</f>
        <v>背心吊带</v>
      </c>
      <c r="H1324" s="5">
        <v>242477</v>
      </c>
      <c r="I1324" s="5">
        <v>14143460.26</v>
      </c>
      <c r="J1324" s="6">
        <v>0.005</v>
      </c>
      <c r="K1324" s="6">
        <v>-0.0458</v>
      </c>
    </row>
    <row r="1325" ht="14.5" spans="1:11">
      <c r="A1325" s="3" t="str">
        <f t="shared" si="84"/>
        <v>2026年</v>
      </c>
      <c r="B1325" s="3" t="str">
        <f t="shared" si="85"/>
        <v>2月</v>
      </c>
      <c r="C1325" s="4" t="str">
        <f t="shared" si="86"/>
        <v>W6</v>
      </c>
      <c r="D1325" s="2" t="s">
        <v>774</v>
      </c>
      <c r="E1325" s="2" t="s">
        <v>730</v>
      </c>
      <c r="F1325" s="2" t="str" cm="1">
        <f t="array" ref="F1325">INDEX(_xlfn.TEXTSPLIT(E1325,"-"),2)</f>
        <v>女装</v>
      </c>
      <c r="G1325" s="2" t="str" cm="1">
        <f t="array" ref="G1325">INDEX(_xlfn.TEXTSPLIT(E1325,"-"),3)</f>
        <v>蕾丝衫/雪纺衫</v>
      </c>
      <c r="H1325" s="5">
        <v>174811</v>
      </c>
      <c r="I1325" s="5">
        <v>12542596.34</v>
      </c>
      <c r="J1325" s="6">
        <v>0.0044</v>
      </c>
      <c r="K1325" s="6">
        <v>0.0169</v>
      </c>
    </row>
    <row r="1326" ht="14.5" spans="1:11">
      <c r="A1326" s="3" t="str">
        <f t="shared" si="84"/>
        <v>2026年</v>
      </c>
      <c r="B1326" s="3" t="str">
        <f t="shared" si="85"/>
        <v>2月</v>
      </c>
      <c r="C1326" s="4" t="str">
        <f t="shared" si="86"/>
        <v>W6</v>
      </c>
      <c r="D1326" s="2" t="s">
        <v>774</v>
      </c>
      <c r="E1326" s="2" t="s">
        <v>731</v>
      </c>
      <c r="F1326" s="2" t="str" cm="1">
        <f t="array" ref="F1326">INDEX(_xlfn.TEXTSPLIT(E1326,"-"),2)</f>
        <v>女装</v>
      </c>
      <c r="G1326" s="2" t="str" cm="1">
        <f t="array" ref="G1326">INDEX(_xlfn.TEXTSPLIT(E1326,"-"),3)</f>
        <v>衬衫</v>
      </c>
      <c r="H1326" s="5">
        <v>478721</v>
      </c>
      <c r="I1326" s="5">
        <v>55548611.47</v>
      </c>
      <c r="J1326" s="6">
        <v>0.0195</v>
      </c>
      <c r="K1326" s="6">
        <v>-0.0326</v>
      </c>
    </row>
    <row r="1327" ht="14.5" spans="1:11">
      <c r="A1327" s="3" t="str">
        <f t="shared" si="84"/>
        <v>2026年</v>
      </c>
      <c r="B1327" s="3" t="str">
        <f t="shared" si="85"/>
        <v>2月</v>
      </c>
      <c r="C1327" s="4" t="str">
        <f t="shared" si="86"/>
        <v>W6</v>
      </c>
      <c r="D1327" s="2" t="s">
        <v>774</v>
      </c>
      <c r="E1327" s="2" t="s">
        <v>732</v>
      </c>
      <c r="F1327" s="2" t="str" cm="1">
        <f t="array" ref="F1327">INDEX(_xlfn.TEXTSPLIT(E1327,"-"),2)</f>
        <v>女装</v>
      </c>
      <c r="G1327" s="2" t="str" cm="1">
        <f t="array" ref="G1327">INDEX(_xlfn.TEXTSPLIT(E1327,"-"),3)</f>
        <v>裤子</v>
      </c>
      <c r="H1327" s="5">
        <v>3390587</v>
      </c>
      <c r="I1327" s="5">
        <v>337547167.75</v>
      </c>
      <c r="J1327" s="6">
        <v>0.1186</v>
      </c>
      <c r="K1327" s="6">
        <v>-0.0634</v>
      </c>
    </row>
    <row r="1328" ht="14.5" spans="1:11">
      <c r="A1328" s="3" t="str">
        <f t="shared" si="84"/>
        <v>2026年</v>
      </c>
      <c r="B1328" s="3" t="str">
        <f t="shared" si="85"/>
        <v>2月</v>
      </c>
      <c r="C1328" s="4" t="str">
        <f t="shared" si="86"/>
        <v>W6</v>
      </c>
      <c r="D1328" s="2" t="s">
        <v>774</v>
      </c>
      <c r="E1328" s="2" t="s">
        <v>733</v>
      </c>
      <c r="F1328" s="2" t="str" cm="1">
        <f t="array" ref="F1328">INDEX(_xlfn.TEXTSPLIT(E1328,"-"),2)</f>
        <v>女装</v>
      </c>
      <c r="G1328" s="2" t="str" cm="1">
        <f t="array" ref="G1328">INDEX(_xlfn.TEXTSPLIT(E1328,"-"),3)</f>
        <v>西装</v>
      </c>
      <c r="H1328" s="5">
        <v>63098</v>
      </c>
      <c r="I1328" s="5">
        <v>16114385.23</v>
      </c>
      <c r="J1328" s="6">
        <v>0.0057</v>
      </c>
      <c r="K1328" s="6">
        <v>-0.0041</v>
      </c>
    </row>
    <row r="1329" ht="14.5" spans="1:11">
      <c r="A1329" s="3" t="str">
        <f t="shared" si="84"/>
        <v>2026年</v>
      </c>
      <c r="B1329" s="3" t="str">
        <f t="shared" si="85"/>
        <v>2月</v>
      </c>
      <c r="C1329" s="4" t="str">
        <f t="shared" si="86"/>
        <v>W6</v>
      </c>
      <c r="D1329" s="2" t="s">
        <v>774</v>
      </c>
      <c r="E1329" s="2" t="s">
        <v>734</v>
      </c>
      <c r="F1329" s="2" t="str" cm="1">
        <f t="array" ref="F1329">INDEX(_xlfn.TEXTSPLIT(E1329,"-"),2)</f>
        <v>女装</v>
      </c>
      <c r="G1329" s="2" t="str" cm="1">
        <f t="array" ref="G1329">INDEX(_xlfn.TEXTSPLIT(E1329,"-"),3)</f>
        <v>设计师/潮牌女装</v>
      </c>
      <c r="H1329" s="5">
        <v>418389</v>
      </c>
      <c r="I1329" s="5">
        <v>50009973.63</v>
      </c>
      <c r="J1329" s="6">
        <v>0.0176</v>
      </c>
      <c r="K1329" s="6">
        <v>-0.1966</v>
      </c>
    </row>
    <row r="1330" ht="14.5" spans="1:11">
      <c r="A1330" s="3" t="str">
        <f t="shared" si="84"/>
        <v>2026年</v>
      </c>
      <c r="B1330" s="3" t="str">
        <f t="shared" si="85"/>
        <v>2月</v>
      </c>
      <c r="C1330" s="4" t="str">
        <f t="shared" si="86"/>
        <v>W6</v>
      </c>
      <c r="D1330" s="2" t="s">
        <v>774</v>
      </c>
      <c r="E1330" s="2" t="s">
        <v>735</v>
      </c>
      <c r="F1330" s="2" t="str" cm="1">
        <f t="array" ref="F1330">INDEX(_xlfn.TEXTSPLIT(E1330,"-"),2)</f>
        <v>女装</v>
      </c>
      <c r="G1330" s="2" t="str" cm="1">
        <f t="array" ref="G1330">INDEX(_xlfn.TEXTSPLIT(E1330,"-"),3)</f>
        <v>连体衣/裤</v>
      </c>
      <c r="H1330" s="5">
        <v>9348</v>
      </c>
      <c r="I1330" s="5">
        <v>1851220.41</v>
      </c>
      <c r="J1330" s="6">
        <v>0.0007</v>
      </c>
      <c r="K1330" s="6">
        <v>-0.3815</v>
      </c>
    </row>
    <row r="1331" ht="14.5" spans="1:11">
      <c r="A1331" s="3" t="str">
        <f t="shared" si="84"/>
        <v>2026年</v>
      </c>
      <c r="B1331" s="3" t="str">
        <f t="shared" si="85"/>
        <v>2月</v>
      </c>
      <c r="C1331" s="4" t="str">
        <f t="shared" si="86"/>
        <v>W6</v>
      </c>
      <c r="D1331" s="2" t="s">
        <v>774</v>
      </c>
      <c r="E1331" s="2" t="s">
        <v>736</v>
      </c>
      <c r="F1331" s="2" t="str" cm="1">
        <f t="array" ref="F1331">INDEX(_xlfn.TEXTSPLIT(E1331,"-"),2)</f>
        <v>女装</v>
      </c>
      <c r="G1331" s="2" t="str" cm="1">
        <f t="array" ref="G1331">INDEX(_xlfn.TEXTSPLIT(E1331,"-"),3)</f>
        <v>连衣裙</v>
      </c>
      <c r="H1331" s="5">
        <v>707849</v>
      </c>
      <c r="I1331" s="5">
        <v>107737304.82</v>
      </c>
      <c r="J1331" s="6">
        <v>0.0378</v>
      </c>
      <c r="K1331" s="6">
        <v>0.0698</v>
      </c>
    </row>
    <row r="1332" ht="14.5" spans="1:11">
      <c r="A1332" s="3" t="str">
        <f t="shared" si="84"/>
        <v>2026年</v>
      </c>
      <c r="B1332" s="3" t="str">
        <f t="shared" si="85"/>
        <v>2月</v>
      </c>
      <c r="C1332" s="4" t="str">
        <f t="shared" si="86"/>
        <v>W6</v>
      </c>
      <c r="D1332" s="2" t="s">
        <v>774</v>
      </c>
      <c r="E1332" s="2" t="s">
        <v>737</v>
      </c>
      <c r="F1332" s="2" t="str" cm="1">
        <f t="array" ref="F1332">INDEX(_xlfn.TEXTSPLIT(E1332,"-"),2)</f>
        <v>女装</v>
      </c>
      <c r="G1332" s="2" t="str" cm="1">
        <f t="array" ref="G1332">INDEX(_xlfn.TEXTSPLIT(E1332,"-"),3)</f>
        <v>风衣</v>
      </c>
      <c r="H1332" s="5">
        <v>97118</v>
      </c>
      <c r="I1332" s="5">
        <v>19098150.01</v>
      </c>
      <c r="J1332" s="6">
        <v>0.0067</v>
      </c>
      <c r="K1332" s="6">
        <v>-0.0187</v>
      </c>
    </row>
    <row r="1333" ht="14.5" spans="1:11">
      <c r="A1333" s="3" t="str">
        <f t="shared" si="84"/>
        <v>2026年</v>
      </c>
      <c r="B1333" s="3" t="str">
        <f t="shared" si="85"/>
        <v>2月</v>
      </c>
      <c r="C1333" s="4" t="str">
        <f t="shared" si="86"/>
        <v>W6</v>
      </c>
      <c r="D1333" s="2" t="s">
        <v>774</v>
      </c>
      <c r="E1333" s="2" t="s">
        <v>738</v>
      </c>
      <c r="F1333" s="2" t="str" cm="1">
        <f t="array" ref="F1333">INDEX(_xlfn.TEXTSPLIT(E1333,"-"),2)</f>
        <v>女装</v>
      </c>
      <c r="G1333" s="2" t="str" cm="1">
        <f t="array" ref="G1333">INDEX(_xlfn.TEXTSPLIT(E1333,"-"),3)</f>
        <v>马夹</v>
      </c>
      <c r="H1333" s="5">
        <v>390018</v>
      </c>
      <c r="I1333" s="5">
        <v>41176371.94</v>
      </c>
      <c r="J1333" s="6">
        <v>0.0145</v>
      </c>
      <c r="K1333" s="6">
        <v>-0.0228</v>
      </c>
    </row>
    <row r="1334" ht="14.5" spans="1:11">
      <c r="A1334" s="3" t="str">
        <f t="shared" si="84"/>
        <v>2026年</v>
      </c>
      <c r="B1334" s="3" t="str">
        <f t="shared" si="85"/>
        <v>2月</v>
      </c>
      <c r="C1334" s="4" t="str">
        <f t="shared" si="86"/>
        <v>W6</v>
      </c>
      <c r="D1334" s="2" t="s">
        <v>775</v>
      </c>
      <c r="E1334" s="2" t="s">
        <v>702</v>
      </c>
      <c r="F1334" s="2" t="str" cm="1">
        <f t="array" ref="F1334">INDEX(_xlfn.TEXTSPLIT(E1334,"-"),2)</f>
        <v>女装</v>
      </c>
      <c r="G1334" s="2" t="str" cm="1">
        <f t="array" ref="G1334">INDEX(_xlfn.TEXTSPLIT(E1334,"-"),3)</f>
        <v>POLO衫</v>
      </c>
      <c r="H1334" s="5">
        <v>17152</v>
      </c>
      <c r="I1334" s="5">
        <v>1260784.7</v>
      </c>
      <c r="J1334" s="6">
        <v>0.0004</v>
      </c>
      <c r="K1334" s="6">
        <v>-0.1648</v>
      </c>
    </row>
    <row r="1335" ht="14.5" spans="1:11">
      <c r="A1335" s="3" t="str">
        <f t="shared" si="84"/>
        <v>2026年</v>
      </c>
      <c r="B1335" s="3" t="str">
        <f t="shared" si="85"/>
        <v>2月</v>
      </c>
      <c r="C1335" s="4" t="str">
        <f t="shared" si="86"/>
        <v>W6</v>
      </c>
      <c r="D1335" s="2" t="s">
        <v>775</v>
      </c>
      <c r="E1335" s="2" t="s">
        <v>703</v>
      </c>
      <c r="F1335" s="2" t="str" cm="1">
        <f t="array" ref="F1335">INDEX(_xlfn.TEXTSPLIT(E1335,"-"),2)</f>
        <v>女装</v>
      </c>
      <c r="G1335" s="2" t="str" cm="1">
        <f t="array" ref="G1335">INDEX(_xlfn.TEXTSPLIT(E1335,"-"),3)</f>
        <v>T恤</v>
      </c>
      <c r="H1335" s="5">
        <v>1402781</v>
      </c>
      <c r="I1335" s="5">
        <v>82912734.38</v>
      </c>
      <c r="J1335" s="6">
        <v>0.028</v>
      </c>
      <c r="K1335" s="6">
        <v>0.0271</v>
      </c>
    </row>
    <row r="1336" ht="14.5" spans="1:11">
      <c r="A1336" s="3" t="str">
        <f t="shared" si="84"/>
        <v>2026年</v>
      </c>
      <c r="B1336" s="3" t="str">
        <f t="shared" si="85"/>
        <v>2月</v>
      </c>
      <c r="C1336" s="4" t="str">
        <f t="shared" si="86"/>
        <v>W6</v>
      </c>
      <c r="D1336" s="2" t="s">
        <v>775</v>
      </c>
      <c r="E1336" s="2" t="s">
        <v>704</v>
      </c>
      <c r="F1336" s="2" t="str" cm="1">
        <f t="array" ref="F1336">INDEX(_xlfn.TEXTSPLIT(E1336,"-"),2)</f>
        <v>女装</v>
      </c>
      <c r="G1336" s="2" t="str" cm="1">
        <f t="array" ref="G1336">INDEX(_xlfn.TEXTSPLIT(E1336,"-"),3)</f>
        <v>中老年女装</v>
      </c>
      <c r="H1336" s="5">
        <v>444283</v>
      </c>
      <c r="I1336" s="5">
        <v>54109949.45</v>
      </c>
      <c r="J1336" s="6">
        <v>0.0183</v>
      </c>
      <c r="K1336" s="6">
        <v>-0.0233</v>
      </c>
    </row>
    <row r="1337" ht="14.5" spans="1:11">
      <c r="A1337" s="3" t="str">
        <f t="shared" si="84"/>
        <v>2026年</v>
      </c>
      <c r="B1337" s="3" t="str">
        <f t="shared" si="85"/>
        <v>2月</v>
      </c>
      <c r="C1337" s="4" t="str">
        <f t="shared" si="86"/>
        <v>W6</v>
      </c>
      <c r="D1337" s="2" t="s">
        <v>775</v>
      </c>
      <c r="E1337" s="2" t="s">
        <v>705</v>
      </c>
      <c r="F1337" s="2" t="str" cm="1">
        <f t="array" ref="F1337">INDEX(_xlfn.TEXTSPLIT(E1337,"-"),2)</f>
        <v>女装</v>
      </c>
      <c r="G1337" s="2" t="str" cm="1">
        <f t="array" ref="G1337">INDEX(_xlfn.TEXTSPLIT(E1337,"-"),3)</f>
        <v>半身裙</v>
      </c>
      <c r="H1337" s="5">
        <v>703377</v>
      </c>
      <c r="I1337" s="5">
        <v>66847100.15</v>
      </c>
      <c r="J1337" s="6">
        <v>0.0226</v>
      </c>
      <c r="K1337" s="6">
        <v>0.0285</v>
      </c>
    </row>
    <row r="1338" ht="14.5" spans="1:11">
      <c r="A1338" s="3" t="str">
        <f t="shared" si="84"/>
        <v>2026年</v>
      </c>
      <c r="B1338" s="3" t="str">
        <f t="shared" si="85"/>
        <v>2月</v>
      </c>
      <c r="C1338" s="4" t="str">
        <f t="shared" si="86"/>
        <v>W6</v>
      </c>
      <c r="D1338" s="2" t="s">
        <v>775</v>
      </c>
      <c r="E1338" s="2" t="s">
        <v>706</v>
      </c>
      <c r="F1338" s="2" t="str" cm="1">
        <f t="array" ref="F1338">INDEX(_xlfn.TEXTSPLIT(E1338,"-"),2)</f>
        <v>女装</v>
      </c>
      <c r="G1338" s="2" t="str" cm="1">
        <f t="array" ref="G1338">INDEX(_xlfn.TEXTSPLIT(E1338,"-"),3)</f>
        <v>卫衣/绒衫</v>
      </c>
      <c r="H1338" s="5">
        <v>413000</v>
      </c>
      <c r="I1338" s="5">
        <v>35248697.94</v>
      </c>
      <c r="J1338" s="6">
        <v>0.0119</v>
      </c>
      <c r="K1338" s="6">
        <v>0.1183</v>
      </c>
    </row>
    <row r="1339" ht="14.5" spans="1:11">
      <c r="A1339" s="3" t="str">
        <f t="shared" si="84"/>
        <v>2026年</v>
      </c>
      <c r="B1339" s="3" t="str">
        <f t="shared" si="85"/>
        <v>2月</v>
      </c>
      <c r="C1339" s="4" t="str">
        <f t="shared" si="86"/>
        <v>W6</v>
      </c>
      <c r="D1339" s="2" t="s">
        <v>775</v>
      </c>
      <c r="E1339" s="2" t="s">
        <v>707</v>
      </c>
      <c r="F1339" s="2" t="str" cm="1">
        <f t="array" ref="F1339">INDEX(_xlfn.TEXTSPLIT(E1339,"-"),2)</f>
        <v>女装</v>
      </c>
      <c r="G1339" s="2" t="str" cm="1">
        <f t="array" ref="G1339">INDEX(_xlfn.TEXTSPLIT(E1339,"-"),3)</f>
        <v>唐装/民族服装/舞台服装</v>
      </c>
      <c r="H1339" s="5">
        <v>227413</v>
      </c>
      <c r="I1339" s="5">
        <v>44373769.04</v>
      </c>
      <c r="J1339" s="6">
        <v>0.015</v>
      </c>
      <c r="K1339" s="6">
        <v>0.139</v>
      </c>
    </row>
    <row r="1340" ht="14.5" spans="1:11">
      <c r="A1340" s="3" t="str">
        <f t="shared" si="84"/>
        <v>2026年</v>
      </c>
      <c r="B1340" s="3" t="str">
        <f t="shared" si="85"/>
        <v>2月</v>
      </c>
      <c r="C1340" s="4" t="str">
        <f t="shared" si="86"/>
        <v>W6</v>
      </c>
      <c r="D1340" s="2" t="s">
        <v>775</v>
      </c>
      <c r="E1340" s="2" t="s">
        <v>708</v>
      </c>
      <c r="F1340" s="2" t="str" cm="1">
        <f t="array" ref="F1340">INDEX(_xlfn.TEXTSPLIT(E1340,"-"),2)</f>
        <v>女装</v>
      </c>
      <c r="G1340" s="2" t="str" cm="1">
        <f t="array" ref="G1340">INDEX(_xlfn.TEXTSPLIT(E1340,"-"),3)</f>
        <v>大码女装</v>
      </c>
      <c r="H1340" s="5">
        <v>546677</v>
      </c>
      <c r="I1340" s="5">
        <v>44017541.02</v>
      </c>
      <c r="J1340" s="6">
        <v>0.0149</v>
      </c>
      <c r="K1340" s="6">
        <v>-0.0409</v>
      </c>
    </row>
    <row r="1341" ht="14.5" spans="1:11">
      <c r="A1341" s="3" t="str">
        <f t="shared" si="84"/>
        <v>2026年</v>
      </c>
      <c r="B1341" s="3" t="str">
        <f t="shared" si="85"/>
        <v>2月</v>
      </c>
      <c r="C1341" s="4" t="str">
        <f t="shared" si="86"/>
        <v>W6</v>
      </c>
      <c r="D1341" s="2" t="s">
        <v>775</v>
      </c>
      <c r="E1341" s="2" t="s">
        <v>709</v>
      </c>
      <c r="F1341" s="2" t="str" cm="1">
        <f t="array" ref="F1341">INDEX(_xlfn.TEXTSPLIT(E1341,"-"),2)</f>
        <v>女装</v>
      </c>
      <c r="G1341" s="2" t="str" cm="1">
        <f t="array" ref="G1341">INDEX(_xlfn.TEXTSPLIT(E1341,"-"),3)</f>
        <v>套装/学生校服/工作制服</v>
      </c>
      <c r="H1341" s="5">
        <v>833756</v>
      </c>
      <c r="I1341" s="5">
        <v>118833020.82</v>
      </c>
      <c r="J1341" s="6">
        <v>0.0401</v>
      </c>
      <c r="K1341" s="6">
        <v>-0.0409</v>
      </c>
    </row>
    <row r="1342" ht="14.5" spans="1:11">
      <c r="A1342" s="3" t="str">
        <f t="shared" si="84"/>
        <v>2026年</v>
      </c>
      <c r="B1342" s="3" t="str">
        <f t="shared" si="85"/>
        <v>2月</v>
      </c>
      <c r="C1342" s="4" t="str">
        <f t="shared" si="86"/>
        <v>W6</v>
      </c>
      <c r="D1342" s="2" t="s">
        <v>775</v>
      </c>
      <c r="E1342" s="2" t="s">
        <v>710</v>
      </c>
      <c r="F1342" s="2" t="str" cm="1">
        <f t="array" ref="F1342">INDEX(_xlfn.TEXTSPLIT(E1342,"-"),2)</f>
        <v>女装</v>
      </c>
      <c r="G1342" s="2" t="str" cm="1">
        <f t="array" ref="G1342">INDEX(_xlfn.TEXTSPLIT(E1342,"-"),3)</f>
        <v>婚纱/旗袍/礼服</v>
      </c>
      <c r="H1342" s="5">
        <v>71914</v>
      </c>
      <c r="I1342" s="5">
        <v>8330823.3</v>
      </c>
      <c r="J1342" s="6">
        <v>0.0028</v>
      </c>
      <c r="K1342" s="6">
        <v>-0.0438</v>
      </c>
    </row>
    <row r="1343" ht="14.5" spans="1:11">
      <c r="A1343" s="3" t="str">
        <f t="shared" si="84"/>
        <v>2026年</v>
      </c>
      <c r="B1343" s="3" t="str">
        <f t="shared" si="85"/>
        <v>2月</v>
      </c>
      <c r="C1343" s="4" t="str">
        <f t="shared" si="86"/>
        <v>W6</v>
      </c>
      <c r="D1343" s="2" t="s">
        <v>775</v>
      </c>
      <c r="E1343" s="2" t="s">
        <v>711</v>
      </c>
      <c r="F1343" s="2" t="str" cm="1">
        <f t="array" ref="F1343">INDEX(_xlfn.TEXTSPLIT(E1343,"-"),2)</f>
        <v>女装</v>
      </c>
      <c r="G1343" s="2" t="str" cm="1">
        <f t="array" ref="G1343">INDEX(_xlfn.TEXTSPLIT(E1343,"-"),3)</f>
        <v>新中式女装</v>
      </c>
      <c r="H1343" s="5">
        <v>89151</v>
      </c>
      <c r="I1343" s="5">
        <v>11379356.53</v>
      </c>
      <c r="J1343" s="6">
        <v>0.0038</v>
      </c>
      <c r="K1343" s="6">
        <v>-0.1493</v>
      </c>
    </row>
    <row r="1344" ht="14.5" spans="1:11">
      <c r="A1344" s="3" t="str">
        <f t="shared" si="84"/>
        <v>2026年</v>
      </c>
      <c r="B1344" s="3" t="str">
        <f t="shared" si="85"/>
        <v>2月</v>
      </c>
      <c r="C1344" s="4" t="str">
        <f t="shared" si="86"/>
        <v>W6</v>
      </c>
      <c r="D1344" s="2" t="s">
        <v>775</v>
      </c>
      <c r="E1344" s="2" t="s">
        <v>712</v>
      </c>
      <c r="F1344" s="2" t="str" cm="1">
        <f t="array" ref="F1344">INDEX(_xlfn.TEXTSPLIT(E1344,"-"),2)</f>
        <v>女装</v>
      </c>
      <c r="G1344" s="2" t="str" cm="1">
        <f t="array" ref="G1344">INDEX(_xlfn.TEXTSPLIT(E1344,"-"),3)</f>
        <v>时尚防晒服</v>
      </c>
      <c r="H1344" s="5">
        <v>498</v>
      </c>
      <c r="I1344" s="5">
        <v>66505.65</v>
      </c>
      <c r="J1344" s="2" t="s">
        <v>713</v>
      </c>
      <c r="K1344" s="6">
        <v>-0.5173</v>
      </c>
    </row>
    <row r="1345" ht="14.5" spans="1:11">
      <c r="A1345" s="3" t="str">
        <f t="shared" si="84"/>
        <v>2026年</v>
      </c>
      <c r="B1345" s="3" t="str">
        <f t="shared" si="85"/>
        <v>2月</v>
      </c>
      <c r="C1345" s="4" t="str">
        <f t="shared" si="86"/>
        <v>W6</v>
      </c>
      <c r="D1345" s="2" t="s">
        <v>775</v>
      </c>
      <c r="E1345" s="2" t="s">
        <v>714</v>
      </c>
      <c r="F1345" s="2" t="str" cm="1">
        <f t="array" ref="F1345">INDEX(_xlfn.TEXTSPLIT(E1345,"-"),2)</f>
        <v>女装</v>
      </c>
      <c r="G1345" s="2" t="str" cm="1">
        <f t="array" ref="G1345">INDEX(_xlfn.TEXTSPLIT(E1345,"-"),3)</f>
        <v>棉衣/棉服</v>
      </c>
      <c r="H1345" s="5">
        <v>503744</v>
      </c>
      <c r="I1345" s="5">
        <v>59361039.4</v>
      </c>
      <c r="J1345" s="7">
        <v>0.02</v>
      </c>
      <c r="K1345" s="6">
        <v>-0.0567</v>
      </c>
    </row>
    <row r="1346" ht="14.5" spans="1:11">
      <c r="A1346" s="3" t="str">
        <f t="shared" si="84"/>
        <v>2026年</v>
      </c>
      <c r="B1346" s="3" t="str">
        <f t="shared" si="85"/>
        <v>2月</v>
      </c>
      <c r="C1346" s="4" t="str">
        <f t="shared" si="86"/>
        <v>W6</v>
      </c>
      <c r="D1346" s="2" t="s">
        <v>775</v>
      </c>
      <c r="E1346" s="2" t="s">
        <v>715</v>
      </c>
      <c r="F1346" s="2" t="str" cm="1">
        <f t="array" ref="F1346">INDEX(_xlfn.TEXTSPLIT(E1346,"-"),2)</f>
        <v>女装</v>
      </c>
      <c r="G1346" s="2" t="str" cm="1">
        <f t="array" ref="G1346">INDEX(_xlfn.TEXTSPLIT(E1346,"-"),3)</f>
        <v>毛呢外套</v>
      </c>
      <c r="H1346" s="5">
        <v>857379</v>
      </c>
      <c r="I1346" s="5">
        <v>312801994.03</v>
      </c>
      <c r="J1346" s="6">
        <v>0.1056</v>
      </c>
      <c r="K1346" s="6">
        <v>0.0333</v>
      </c>
    </row>
    <row r="1347" ht="14.5" spans="1:11">
      <c r="A1347" s="3" t="str">
        <f t="shared" si="84"/>
        <v>2026年</v>
      </c>
      <c r="B1347" s="3" t="str">
        <f t="shared" si="85"/>
        <v>2月</v>
      </c>
      <c r="C1347" s="4" t="str">
        <f t="shared" si="86"/>
        <v>W6</v>
      </c>
      <c r="D1347" s="2" t="s">
        <v>775</v>
      </c>
      <c r="E1347" s="2" t="s">
        <v>716</v>
      </c>
      <c r="F1347" s="2" t="str" cm="1">
        <f t="array" ref="F1347">INDEX(_xlfn.TEXTSPLIT(E1347,"-"),2)</f>
        <v>女装</v>
      </c>
      <c r="G1347" s="2" t="str" cm="1">
        <f t="array" ref="G1347">INDEX(_xlfn.TEXTSPLIT(E1347,"-"),3)</f>
        <v>毛衣</v>
      </c>
      <c r="H1347" s="5">
        <v>378917</v>
      </c>
      <c r="I1347" s="5">
        <v>35271577.09</v>
      </c>
      <c r="J1347" s="6">
        <v>0.0119</v>
      </c>
      <c r="K1347" s="6">
        <v>0.0801</v>
      </c>
    </row>
    <row r="1348" ht="14.5" spans="1:11">
      <c r="A1348" s="3" t="str">
        <f t="shared" si="84"/>
        <v>2026年</v>
      </c>
      <c r="B1348" s="3" t="str">
        <f t="shared" si="85"/>
        <v>2月</v>
      </c>
      <c r="C1348" s="4" t="str">
        <f t="shared" si="86"/>
        <v>W6</v>
      </c>
      <c r="D1348" s="2" t="s">
        <v>775</v>
      </c>
      <c r="E1348" s="2" t="s">
        <v>717</v>
      </c>
      <c r="F1348" s="2" t="str" cm="1">
        <f t="array" ref="F1348">INDEX(_xlfn.TEXTSPLIT(E1348,"-"),2)</f>
        <v>女装</v>
      </c>
      <c r="G1348" s="2" t="str" cm="1">
        <f t="array" ref="G1348">INDEX(_xlfn.TEXTSPLIT(E1348,"-"),3)</f>
        <v>毛针织衫</v>
      </c>
      <c r="H1348" s="5">
        <v>2038014</v>
      </c>
      <c r="I1348" s="5">
        <v>170829005.85</v>
      </c>
      <c r="J1348" s="6">
        <v>0.0576</v>
      </c>
      <c r="K1348" s="6">
        <v>0.0027</v>
      </c>
    </row>
    <row r="1349" ht="14.5" spans="1:11">
      <c r="A1349" s="3" t="str">
        <f t="shared" si="84"/>
        <v>2026年</v>
      </c>
      <c r="B1349" s="3" t="str">
        <f t="shared" si="85"/>
        <v>2月</v>
      </c>
      <c r="C1349" s="4" t="str">
        <f t="shared" si="86"/>
        <v>W6</v>
      </c>
      <c r="D1349" s="2" t="s">
        <v>775</v>
      </c>
      <c r="E1349" s="2" t="s">
        <v>718</v>
      </c>
      <c r="F1349" s="2" t="str" cm="1">
        <f t="array" ref="F1349">INDEX(_xlfn.TEXTSPLIT(E1349,"-"),2)</f>
        <v>女装</v>
      </c>
      <c r="G1349" s="2" t="str" cm="1">
        <f t="array" ref="G1349">INDEX(_xlfn.TEXTSPLIT(E1349,"-"),3)</f>
        <v>汉服</v>
      </c>
      <c r="H1349" s="5">
        <v>127863</v>
      </c>
      <c r="I1349" s="5">
        <v>66615000.65</v>
      </c>
      <c r="J1349" s="6">
        <v>0.0225</v>
      </c>
      <c r="K1349" s="6">
        <v>0.4232</v>
      </c>
    </row>
    <row r="1350" ht="14.5" spans="1:11">
      <c r="A1350" s="3" t="str">
        <f t="shared" si="84"/>
        <v>2026年</v>
      </c>
      <c r="B1350" s="3" t="str">
        <f t="shared" si="85"/>
        <v>2月</v>
      </c>
      <c r="C1350" s="4" t="str">
        <f t="shared" si="86"/>
        <v>W6</v>
      </c>
      <c r="D1350" s="2" t="s">
        <v>775</v>
      </c>
      <c r="E1350" s="2" t="s">
        <v>719</v>
      </c>
      <c r="F1350" s="2" t="str" cm="1">
        <f t="array" ref="F1350">INDEX(_xlfn.TEXTSPLIT(E1350,"-"),2)</f>
        <v>女装</v>
      </c>
      <c r="G1350" s="2" t="str" cm="1">
        <f t="array" ref="G1350">INDEX(_xlfn.TEXTSPLIT(E1350,"-"),3)</f>
        <v>派克服</v>
      </c>
      <c r="H1350" s="5">
        <v>50715</v>
      </c>
      <c r="I1350" s="5">
        <v>9944332.59</v>
      </c>
      <c r="J1350" s="6">
        <v>0.0034</v>
      </c>
      <c r="K1350" s="6">
        <v>0.0702</v>
      </c>
    </row>
    <row r="1351" ht="14.5" spans="1:11">
      <c r="A1351" s="3" t="str">
        <f t="shared" si="84"/>
        <v>2026年</v>
      </c>
      <c r="B1351" s="3" t="str">
        <f t="shared" si="85"/>
        <v>2月</v>
      </c>
      <c r="C1351" s="4" t="str">
        <f t="shared" si="86"/>
        <v>W6</v>
      </c>
      <c r="D1351" s="2" t="s">
        <v>775</v>
      </c>
      <c r="E1351" s="2" t="s">
        <v>720</v>
      </c>
      <c r="F1351" s="2" t="str" cm="1">
        <f t="array" ref="F1351">INDEX(_xlfn.TEXTSPLIT(E1351,"-"),2)</f>
        <v>女装</v>
      </c>
      <c r="G1351" s="2" t="str" cm="1">
        <f t="array" ref="G1351">INDEX(_xlfn.TEXTSPLIT(E1351,"-"),3)</f>
        <v>皮草</v>
      </c>
      <c r="H1351" s="5">
        <v>182691</v>
      </c>
      <c r="I1351" s="5">
        <v>280155025.66</v>
      </c>
      <c r="J1351" s="6">
        <v>0.0945</v>
      </c>
      <c r="K1351" s="6">
        <v>0.1485</v>
      </c>
    </row>
    <row r="1352" ht="14.5" spans="1:11">
      <c r="A1352" s="3" t="str">
        <f t="shared" si="84"/>
        <v>2026年</v>
      </c>
      <c r="B1352" s="3" t="str">
        <f t="shared" si="85"/>
        <v>2月</v>
      </c>
      <c r="C1352" s="4" t="str">
        <f t="shared" si="86"/>
        <v>W6</v>
      </c>
      <c r="D1352" s="2" t="s">
        <v>775</v>
      </c>
      <c r="E1352" s="2" t="s">
        <v>721</v>
      </c>
      <c r="F1352" s="2" t="str" cm="1">
        <f t="array" ref="F1352">INDEX(_xlfn.TEXTSPLIT(E1352,"-"),2)</f>
        <v>女装</v>
      </c>
      <c r="G1352" s="2" t="str" cm="1">
        <f t="array" ref="G1352">INDEX(_xlfn.TEXTSPLIT(E1352,"-"),3)</f>
        <v>皮衣</v>
      </c>
      <c r="H1352" s="5">
        <v>158979</v>
      </c>
      <c r="I1352" s="5">
        <v>59992353.52</v>
      </c>
      <c r="J1352" s="6">
        <v>0.0202</v>
      </c>
      <c r="K1352" s="6">
        <v>0.0673</v>
      </c>
    </row>
    <row r="1353" ht="14.5" spans="1:11">
      <c r="A1353" s="3" t="str">
        <f t="shared" si="84"/>
        <v>2026年</v>
      </c>
      <c r="B1353" s="3" t="str">
        <f t="shared" si="85"/>
        <v>2月</v>
      </c>
      <c r="C1353" s="4" t="str">
        <f t="shared" si="86"/>
        <v>W6</v>
      </c>
      <c r="D1353" s="2" t="s">
        <v>775</v>
      </c>
      <c r="E1353" s="2" t="s">
        <v>722</v>
      </c>
      <c r="F1353" s="2" t="str" cm="1">
        <f t="array" ref="F1353">INDEX(_xlfn.TEXTSPLIT(E1353,"-"),2)</f>
        <v>女装</v>
      </c>
      <c r="G1353" s="2" t="str" cm="1">
        <f t="array" ref="G1353">INDEX(_xlfn.TEXTSPLIT(E1353,"-"),3)</f>
        <v>短外套</v>
      </c>
      <c r="H1353" s="5">
        <v>1104981</v>
      </c>
      <c r="I1353" s="5">
        <v>242627788.3</v>
      </c>
      <c r="J1353" s="6">
        <v>0.0819</v>
      </c>
      <c r="K1353" s="6">
        <v>0.0826</v>
      </c>
    </row>
    <row r="1354" ht="14.5" spans="1:11">
      <c r="A1354" s="3" t="str">
        <f t="shared" si="84"/>
        <v>2026年</v>
      </c>
      <c r="B1354" s="3" t="str">
        <f t="shared" si="85"/>
        <v>2月</v>
      </c>
      <c r="C1354" s="4" t="str">
        <f t="shared" si="86"/>
        <v>W6</v>
      </c>
      <c r="D1354" s="2" t="s">
        <v>775</v>
      </c>
      <c r="E1354" s="2" t="s">
        <v>723</v>
      </c>
      <c r="F1354" s="2" t="str" cm="1">
        <f t="array" ref="F1354">INDEX(_xlfn.TEXTSPLIT(E1354,"-"),2)</f>
        <v>女装</v>
      </c>
      <c r="G1354" s="2" t="str" cm="1">
        <f t="array" ref="G1354">INDEX(_xlfn.TEXTSPLIT(E1354,"-"),3)</f>
        <v>短裤</v>
      </c>
      <c r="H1354" s="5">
        <v>115733</v>
      </c>
      <c r="I1354" s="5">
        <v>7251073.53</v>
      </c>
      <c r="J1354" s="6">
        <v>0.0024</v>
      </c>
      <c r="K1354" s="6">
        <v>-0.032</v>
      </c>
    </row>
    <row r="1355" ht="14.5" spans="1:11">
      <c r="A1355" s="3" t="str">
        <f t="shared" si="84"/>
        <v>2026年</v>
      </c>
      <c r="B1355" s="3" t="str">
        <f t="shared" si="85"/>
        <v>2月</v>
      </c>
      <c r="C1355" s="4" t="str">
        <f t="shared" si="86"/>
        <v>W6</v>
      </c>
      <c r="D1355" s="2" t="s">
        <v>775</v>
      </c>
      <c r="E1355" s="2" t="s">
        <v>724</v>
      </c>
      <c r="F1355" s="2" t="str" cm="1">
        <f t="array" ref="F1355">INDEX(_xlfn.TEXTSPLIT(E1355,"-"),2)</f>
        <v>女装</v>
      </c>
      <c r="G1355" s="2" t="str" cm="1">
        <f t="array" ref="G1355">INDEX(_xlfn.TEXTSPLIT(E1355,"-"),3)</f>
        <v>羊毛衫</v>
      </c>
      <c r="H1355" s="5">
        <v>388373</v>
      </c>
      <c r="I1355" s="5">
        <v>54035037.09</v>
      </c>
      <c r="J1355" s="6">
        <v>0.0182</v>
      </c>
      <c r="K1355" s="6">
        <v>0.1034</v>
      </c>
    </row>
    <row r="1356" ht="14.5" spans="1:11">
      <c r="A1356" s="3" t="str">
        <f t="shared" si="84"/>
        <v>2026年</v>
      </c>
      <c r="B1356" s="3" t="str">
        <f t="shared" si="85"/>
        <v>2月</v>
      </c>
      <c r="C1356" s="4" t="str">
        <f t="shared" si="86"/>
        <v>W6</v>
      </c>
      <c r="D1356" s="2" t="s">
        <v>775</v>
      </c>
      <c r="E1356" s="2" t="s">
        <v>725</v>
      </c>
      <c r="F1356" s="2" t="str" cm="1">
        <f t="array" ref="F1356">INDEX(_xlfn.TEXTSPLIT(E1356,"-"),2)</f>
        <v>女装</v>
      </c>
      <c r="G1356" s="2" t="str" cm="1">
        <f t="array" ref="G1356">INDEX(_xlfn.TEXTSPLIT(E1356,"-"),3)</f>
        <v>羊绒大衣</v>
      </c>
      <c r="H1356" s="5">
        <v>5252</v>
      </c>
      <c r="I1356" s="5">
        <v>3374727.86</v>
      </c>
      <c r="J1356" s="6">
        <v>0.0011</v>
      </c>
      <c r="K1356" s="6">
        <v>0.0705</v>
      </c>
    </row>
    <row r="1357" ht="14.5" spans="1:11">
      <c r="A1357" s="3" t="str">
        <f t="shared" si="84"/>
        <v>2026年</v>
      </c>
      <c r="B1357" s="3" t="str">
        <f t="shared" si="85"/>
        <v>2月</v>
      </c>
      <c r="C1357" s="4" t="str">
        <f t="shared" si="86"/>
        <v>W6</v>
      </c>
      <c r="D1357" s="2" t="s">
        <v>775</v>
      </c>
      <c r="E1357" s="2" t="s">
        <v>726</v>
      </c>
      <c r="F1357" s="2" t="str" cm="1">
        <f t="array" ref="F1357">INDEX(_xlfn.TEXTSPLIT(E1357,"-"),2)</f>
        <v>女装</v>
      </c>
      <c r="G1357" s="2" t="str" cm="1">
        <f t="array" ref="G1357">INDEX(_xlfn.TEXTSPLIT(E1357,"-"),3)</f>
        <v>羊绒衫</v>
      </c>
      <c r="H1357" s="5">
        <v>114870</v>
      </c>
      <c r="I1357" s="5">
        <v>43226326.13</v>
      </c>
      <c r="J1357" s="6">
        <v>0.0146</v>
      </c>
      <c r="K1357" s="6">
        <v>0.2107</v>
      </c>
    </row>
    <row r="1358" ht="14.5" spans="1:11">
      <c r="A1358" s="3" t="str">
        <f t="shared" si="84"/>
        <v>2026年</v>
      </c>
      <c r="B1358" s="3" t="str">
        <f t="shared" si="85"/>
        <v>2月</v>
      </c>
      <c r="C1358" s="4" t="str">
        <f t="shared" si="86"/>
        <v>W6</v>
      </c>
      <c r="D1358" s="2" t="s">
        <v>775</v>
      </c>
      <c r="E1358" s="2" t="s">
        <v>727</v>
      </c>
      <c r="F1358" s="2" t="str" cm="1">
        <f t="array" ref="F1358">INDEX(_xlfn.TEXTSPLIT(E1358,"-"),2)</f>
        <v>女装</v>
      </c>
      <c r="G1358" s="2" t="str" cm="1">
        <f t="array" ref="G1358">INDEX(_xlfn.TEXTSPLIT(E1358,"-"),3)</f>
        <v>羽绒服</v>
      </c>
      <c r="H1358" s="5">
        <v>1336240</v>
      </c>
      <c r="I1358" s="5">
        <v>483553139.28</v>
      </c>
      <c r="J1358" s="6">
        <v>0.1632</v>
      </c>
      <c r="K1358" s="6">
        <v>0.0057</v>
      </c>
    </row>
    <row r="1359" ht="14.5" spans="1:11">
      <c r="A1359" s="3" t="str">
        <f t="shared" si="84"/>
        <v>2026年</v>
      </c>
      <c r="B1359" s="3" t="str">
        <f t="shared" si="85"/>
        <v>2月</v>
      </c>
      <c r="C1359" s="4" t="str">
        <f t="shared" si="86"/>
        <v>W6</v>
      </c>
      <c r="D1359" s="2" t="s">
        <v>775</v>
      </c>
      <c r="E1359" s="2" t="s">
        <v>728</v>
      </c>
      <c r="F1359" s="2" t="str" cm="1">
        <f t="array" ref="F1359">INDEX(_xlfn.TEXTSPLIT(E1359,"-"),2)</f>
        <v>女装</v>
      </c>
      <c r="G1359" s="2" t="str" cm="1">
        <f t="array" ref="G1359">INDEX(_xlfn.TEXTSPLIT(E1359,"-"),3)</f>
        <v>肌底衣/肌肤衣</v>
      </c>
      <c r="H1359" s="5">
        <v>3354</v>
      </c>
      <c r="I1359" s="5">
        <v>184356.94</v>
      </c>
      <c r="J1359" s="6">
        <v>0.0001</v>
      </c>
      <c r="K1359" s="6">
        <v>-0.6282</v>
      </c>
    </row>
    <row r="1360" ht="14.5" spans="1:11">
      <c r="A1360" s="3" t="str">
        <f t="shared" si="84"/>
        <v>2026年</v>
      </c>
      <c r="B1360" s="3" t="str">
        <f t="shared" si="85"/>
        <v>2月</v>
      </c>
      <c r="C1360" s="4" t="str">
        <f t="shared" si="86"/>
        <v>W6</v>
      </c>
      <c r="D1360" s="2" t="s">
        <v>775</v>
      </c>
      <c r="E1360" s="2" t="s">
        <v>729</v>
      </c>
      <c r="F1360" s="2" t="str" cm="1">
        <f t="array" ref="F1360">INDEX(_xlfn.TEXTSPLIT(E1360,"-"),2)</f>
        <v>女装</v>
      </c>
      <c r="G1360" s="2" t="str" cm="1">
        <f t="array" ref="G1360">INDEX(_xlfn.TEXTSPLIT(E1360,"-"),3)</f>
        <v>背心吊带</v>
      </c>
      <c r="H1360" s="5">
        <v>276365</v>
      </c>
      <c r="I1360" s="5">
        <v>16139237.83</v>
      </c>
      <c r="J1360" s="6">
        <v>0.0054</v>
      </c>
      <c r="K1360" s="6">
        <v>0.1411</v>
      </c>
    </row>
    <row r="1361" ht="14.5" spans="1:11">
      <c r="A1361" s="3" t="str">
        <f t="shared" si="84"/>
        <v>2026年</v>
      </c>
      <c r="B1361" s="3" t="str">
        <f t="shared" si="85"/>
        <v>2月</v>
      </c>
      <c r="C1361" s="4" t="str">
        <f t="shared" si="86"/>
        <v>W6</v>
      </c>
      <c r="D1361" s="2" t="s">
        <v>775</v>
      </c>
      <c r="E1361" s="2" t="s">
        <v>730</v>
      </c>
      <c r="F1361" s="2" t="str" cm="1">
        <f t="array" ref="F1361">INDEX(_xlfn.TEXTSPLIT(E1361,"-"),2)</f>
        <v>女装</v>
      </c>
      <c r="G1361" s="2" t="str" cm="1">
        <f t="array" ref="G1361">INDEX(_xlfn.TEXTSPLIT(E1361,"-"),3)</f>
        <v>蕾丝衫/雪纺衫</v>
      </c>
      <c r="H1361" s="5">
        <v>167640</v>
      </c>
      <c r="I1361" s="5">
        <v>12522375.21</v>
      </c>
      <c r="J1361" s="6">
        <v>0.0042</v>
      </c>
      <c r="K1361" s="6">
        <v>-0.0016</v>
      </c>
    </row>
    <row r="1362" ht="14.5" spans="1:11">
      <c r="A1362" s="3" t="str">
        <f t="shared" si="84"/>
        <v>2026年</v>
      </c>
      <c r="B1362" s="3" t="str">
        <f t="shared" si="85"/>
        <v>2月</v>
      </c>
      <c r="C1362" s="4" t="str">
        <f t="shared" si="86"/>
        <v>W6</v>
      </c>
      <c r="D1362" s="2" t="s">
        <v>775</v>
      </c>
      <c r="E1362" s="2" t="s">
        <v>731</v>
      </c>
      <c r="F1362" s="2" t="str" cm="1">
        <f t="array" ref="F1362">INDEX(_xlfn.TEXTSPLIT(E1362,"-"),2)</f>
        <v>女装</v>
      </c>
      <c r="G1362" s="2" t="str" cm="1">
        <f t="array" ref="G1362">INDEX(_xlfn.TEXTSPLIT(E1362,"-"),3)</f>
        <v>衬衫</v>
      </c>
      <c r="H1362" s="5">
        <v>470102</v>
      </c>
      <c r="I1362" s="5">
        <v>57380387.06</v>
      </c>
      <c r="J1362" s="6">
        <v>0.0194</v>
      </c>
      <c r="K1362" s="6">
        <v>0.033</v>
      </c>
    </row>
    <row r="1363" ht="14.5" spans="1:11">
      <c r="A1363" s="3" t="str">
        <f t="shared" si="84"/>
        <v>2026年</v>
      </c>
      <c r="B1363" s="3" t="str">
        <f t="shared" si="85"/>
        <v>2月</v>
      </c>
      <c r="C1363" s="4" t="str">
        <f t="shared" si="86"/>
        <v>W6</v>
      </c>
      <c r="D1363" s="2" t="s">
        <v>775</v>
      </c>
      <c r="E1363" s="2" t="s">
        <v>732</v>
      </c>
      <c r="F1363" s="2" t="str" cm="1">
        <f t="array" ref="F1363">INDEX(_xlfn.TEXTSPLIT(E1363,"-"),2)</f>
        <v>女装</v>
      </c>
      <c r="G1363" s="2" t="str" cm="1">
        <f t="array" ref="G1363">INDEX(_xlfn.TEXTSPLIT(E1363,"-"),3)</f>
        <v>裤子</v>
      </c>
      <c r="H1363" s="5">
        <v>3349709</v>
      </c>
      <c r="I1363" s="5">
        <v>336375734.41</v>
      </c>
      <c r="J1363" s="6">
        <v>0.1135</v>
      </c>
      <c r="K1363" s="6">
        <v>-0.0035</v>
      </c>
    </row>
    <row r="1364" ht="14.5" spans="1:11">
      <c r="A1364" s="3" t="str">
        <f t="shared" si="84"/>
        <v>2026年</v>
      </c>
      <c r="B1364" s="3" t="str">
        <f t="shared" si="85"/>
        <v>2月</v>
      </c>
      <c r="C1364" s="4" t="str">
        <f t="shared" si="86"/>
        <v>W6</v>
      </c>
      <c r="D1364" s="2" t="s">
        <v>775</v>
      </c>
      <c r="E1364" s="2" t="s">
        <v>733</v>
      </c>
      <c r="F1364" s="2" t="str" cm="1">
        <f t="array" ref="F1364">INDEX(_xlfn.TEXTSPLIT(E1364,"-"),2)</f>
        <v>女装</v>
      </c>
      <c r="G1364" s="2" t="str" cm="1">
        <f t="array" ref="G1364">INDEX(_xlfn.TEXTSPLIT(E1364,"-"),3)</f>
        <v>西装</v>
      </c>
      <c r="H1364" s="5">
        <v>66894</v>
      </c>
      <c r="I1364" s="5">
        <v>20477799.87</v>
      </c>
      <c r="J1364" s="6">
        <v>0.0069</v>
      </c>
      <c r="K1364" s="6">
        <v>0.2708</v>
      </c>
    </row>
    <row r="1365" ht="14.5" spans="1:11">
      <c r="A1365" s="3" t="str">
        <f t="shared" si="84"/>
        <v>2026年</v>
      </c>
      <c r="B1365" s="3" t="str">
        <f t="shared" si="85"/>
        <v>2月</v>
      </c>
      <c r="C1365" s="4" t="str">
        <f t="shared" si="86"/>
        <v>W6</v>
      </c>
      <c r="D1365" s="2" t="s">
        <v>775</v>
      </c>
      <c r="E1365" s="2" t="s">
        <v>734</v>
      </c>
      <c r="F1365" s="2" t="str" cm="1">
        <f t="array" ref="F1365">INDEX(_xlfn.TEXTSPLIT(E1365,"-"),2)</f>
        <v>女装</v>
      </c>
      <c r="G1365" s="2" t="str" cm="1">
        <f t="array" ref="G1365">INDEX(_xlfn.TEXTSPLIT(E1365,"-"),3)</f>
        <v>设计师/潮牌女装</v>
      </c>
      <c r="H1365" s="5">
        <v>486196</v>
      </c>
      <c r="I1365" s="5">
        <v>51456848.27</v>
      </c>
      <c r="J1365" s="6">
        <v>0.0174</v>
      </c>
      <c r="K1365" s="6">
        <v>0.0289</v>
      </c>
    </row>
    <row r="1366" ht="14.5" spans="1:11">
      <c r="A1366" s="3" t="str">
        <f t="shared" si="84"/>
        <v>2026年</v>
      </c>
      <c r="B1366" s="3" t="str">
        <f t="shared" si="85"/>
        <v>2月</v>
      </c>
      <c r="C1366" s="4" t="str">
        <f t="shared" si="86"/>
        <v>W6</v>
      </c>
      <c r="D1366" s="2" t="s">
        <v>775</v>
      </c>
      <c r="E1366" s="2" t="s">
        <v>735</v>
      </c>
      <c r="F1366" s="2" t="str" cm="1">
        <f t="array" ref="F1366">INDEX(_xlfn.TEXTSPLIT(E1366,"-"),2)</f>
        <v>女装</v>
      </c>
      <c r="G1366" s="2" t="str" cm="1">
        <f t="array" ref="G1366">INDEX(_xlfn.TEXTSPLIT(E1366,"-"),3)</f>
        <v>连体衣/裤</v>
      </c>
      <c r="H1366" s="5">
        <v>9515</v>
      </c>
      <c r="I1366" s="5">
        <v>2677363.37</v>
      </c>
      <c r="J1366" s="6">
        <v>0.0009</v>
      </c>
      <c r="K1366" s="6">
        <v>0.4463</v>
      </c>
    </row>
    <row r="1367" ht="14.5" spans="1:11">
      <c r="A1367" s="3" t="str">
        <f t="shared" si="84"/>
        <v>2026年</v>
      </c>
      <c r="B1367" s="3" t="str">
        <f t="shared" si="85"/>
        <v>2月</v>
      </c>
      <c r="C1367" s="4" t="str">
        <f t="shared" si="86"/>
        <v>W6</v>
      </c>
      <c r="D1367" s="2" t="s">
        <v>775</v>
      </c>
      <c r="E1367" s="2" t="s">
        <v>736</v>
      </c>
      <c r="F1367" s="2" t="str" cm="1">
        <f t="array" ref="F1367">INDEX(_xlfn.TEXTSPLIT(E1367,"-"),2)</f>
        <v>女装</v>
      </c>
      <c r="G1367" s="2" t="str" cm="1">
        <f t="array" ref="G1367">INDEX(_xlfn.TEXTSPLIT(E1367,"-"),3)</f>
        <v>连衣裙</v>
      </c>
      <c r="H1367" s="5">
        <v>681495</v>
      </c>
      <c r="I1367" s="5">
        <v>106319277.85</v>
      </c>
      <c r="J1367" s="6">
        <v>0.0359</v>
      </c>
      <c r="K1367" s="6">
        <v>-0.0132</v>
      </c>
    </row>
    <row r="1368" ht="14.5" spans="1:11">
      <c r="A1368" s="3" t="str">
        <f t="shared" si="84"/>
        <v>2026年</v>
      </c>
      <c r="B1368" s="3" t="str">
        <f t="shared" si="85"/>
        <v>2月</v>
      </c>
      <c r="C1368" s="4" t="str">
        <f t="shared" si="86"/>
        <v>W6</v>
      </c>
      <c r="D1368" s="2" t="s">
        <v>775</v>
      </c>
      <c r="E1368" s="2" t="s">
        <v>737</v>
      </c>
      <c r="F1368" s="2" t="str" cm="1">
        <f t="array" ref="F1368">INDEX(_xlfn.TEXTSPLIT(E1368,"-"),2)</f>
        <v>女装</v>
      </c>
      <c r="G1368" s="2" t="str" cm="1">
        <f t="array" ref="G1368">INDEX(_xlfn.TEXTSPLIT(E1368,"-"),3)</f>
        <v>风衣</v>
      </c>
      <c r="H1368" s="5">
        <v>114416</v>
      </c>
      <c r="I1368" s="5">
        <v>21279335.9</v>
      </c>
      <c r="J1368" s="6">
        <v>0.0072</v>
      </c>
      <c r="K1368" s="6">
        <v>0.1142</v>
      </c>
    </row>
    <row r="1369" ht="14.5" spans="1:11">
      <c r="A1369" s="3" t="str">
        <f t="shared" si="84"/>
        <v>2026年</v>
      </c>
      <c r="B1369" s="3" t="str">
        <f t="shared" si="85"/>
        <v>2月</v>
      </c>
      <c r="C1369" s="4" t="str">
        <f t="shared" si="86"/>
        <v>W6</v>
      </c>
      <c r="D1369" s="2" t="s">
        <v>775</v>
      </c>
      <c r="E1369" s="2" t="s">
        <v>738</v>
      </c>
      <c r="F1369" s="2" t="str" cm="1">
        <f t="array" ref="F1369">INDEX(_xlfn.TEXTSPLIT(E1369,"-"),2)</f>
        <v>女装</v>
      </c>
      <c r="G1369" s="2" t="str" cm="1">
        <f t="array" ref="G1369">INDEX(_xlfn.TEXTSPLIT(E1369,"-"),3)</f>
        <v>马夹</v>
      </c>
      <c r="H1369" s="5">
        <v>374941</v>
      </c>
      <c r="I1369" s="5">
        <v>42022860.8</v>
      </c>
      <c r="J1369" s="6">
        <v>0.0142</v>
      </c>
      <c r="K1369" s="6">
        <v>0.0206</v>
      </c>
    </row>
    <row r="1370" ht="14.5" spans="1:11">
      <c r="A1370" s="3" t="str">
        <f t="shared" si="84"/>
        <v>2026年</v>
      </c>
      <c r="B1370" s="3" t="str">
        <f t="shared" si="85"/>
        <v>2月</v>
      </c>
      <c r="C1370" s="4" t="str">
        <f t="shared" si="86"/>
        <v>W6</v>
      </c>
      <c r="D1370" s="2" t="s">
        <v>776</v>
      </c>
      <c r="E1370" s="2" t="s">
        <v>702</v>
      </c>
      <c r="F1370" s="2" t="str" cm="1">
        <f t="array" ref="F1370">INDEX(_xlfn.TEXTSPLIT(E1370,"-"),2)</f>
        <v>女装</v>
      </c>
      <c r="G1370" s="2" t="str" cm="1">
        <f t="array" ref="G1370">INDEX(_xlfn.TEXTSPLIT(E1370,"-"),3)</f>
        <v>POLO衫</v>
      </c>
      <c r="H1370" s="5">
        <v>17595</v>
      </c>
      <c r="I1370" s="5">
        <v>978366.4</v>
      </c>
      <c r="J1370" s="6">
        <v>0.0004</v>
      </c>
      <c r="K1370" s="6">
        <v>-0.224</v>
      </c>
    </row>
    <row r="1371" ht="14.5" spans="1:11">
      <c r="A1371" s="3" t="str">
        <f t="shared" si="84"/>
        <v>2026年</v>
      </c>
      <c r="B1371" s="3" t="str">
        <f t="shared" si="85"/>
        <v>2月</v>
      </c>
      <c r="C1371" s="4" t="str">
        <f t="shared" si="86"/>
        <v>W6</v>
      </c>
      <c r="D1371" s="2" t="s">
        <v>776</v>
      </c>
      <c r="E1371" s="2" t="s">
        <v>703</v>
      </c>
      <c r="F1371" s="2" t="str" cm="1">
        <f t="array" ref="F1371">INDEX(_xlfn.TEXTSPLIT(E1371,"-"),2)</f>
        <v>女装</v>
      </c>
      <c r="G1371" s="2" t="str" cm="1">
        <f t="array" ref="G1371">INDEX(_xlfn.TEXTSPLIT(E1371,"-"),3)</f>
        <v>T恤</v>
      </c>
      <c r="H1371" s="5">
        <v>1300265</v>
      </c>
      <c r="I1371" s="5">
        <v>73904611.76</v>
      </c>
      <c r="J1371" s="6">
        <v>0.0273</v>
      </c>
      <c r="K1371" s="6">
        <v>-0.1086</v>
      </c>
    </row>
    <row r="1372" ht="14.5" spans="1:11">
      <c r="A1372" s="3" t="str">
        <f t="shared" si="84"/>
        <v>2026年</v>
      </c>
      <c r="B1372" s="3" t="str">
        <f t="shared" si="85"/>
        <v>2月</v>
      </c>
      <c r="C1372" s="4" t="str">
        <f t="shared" si="86"/>
        <v>W6</v>
      </c>
      <c r="D1372" s="2" t="s">
        <v>776</v>
      </c>
      <c r="E1372" s="2" t="s">
        <v>704</v>
      </c>
      <c r="F1372" s="2" t="str" cm="1">
        <f t="array" ref="F1372">INDEX(_xlfn.TEXTSPLIT(E1372,"-"),2)</f>
        <v>女装</v>
      </c>
      <c r="G1372" s="2" t="str" cm="1">
        <f t="array" ref="G1372">INDEX(_xlfn.TEXTSPLIT(E1372,"-"),3)</f>
        <v>中老年女装</v>
      </c>
      <c r="H1372" s="5">
        <v>426916</v>
      </c>
      <c r="I1372" s="5">
        <v>48031894.85</v>
      </c>
      <c r="J1372" s="6">
        <v>0.0178</v>
      </c>
      <c r="K1372" s="6">
        <v>-0.1123</v>
      </c>
    </row>
    <row r="1373" ht="14.5" spans="1:11">
      <c r="A1373" s="3" t="str">
        <f t="shared" si="84"/>
        <v>2026年</v>
      </c>
      <c r="B1373" s="3" t="str">
        <f t="shared" si="85"/>
        <v>2月</v>
      </c>
      <c r="C1373" s="4" t="str">
        <f t="shared" si="86"/>
        <v>W6</v>
      </c>
      <c r="D1373" s="2" t="s">
        <v>776</v>
      </c>
      <c r="E1373" s="2" t="s">
        <v>705</v>
      </c>
      <c r="F1373" s="2" t="str" cm="1">
        <f t="array" ref="F1373">INDEX(_xlfn.TEXTSPLIT(E1373,"-"),2)</f>
        <v>女装</v>
      </c>
      <c r="G1373" s="2" t="str" cm="1">
        <f t="array" ref="G1373">INDEX(_xlfn.TEXTSPLIT(E1373,"-"),3)</f>
        <v>半身裙</v>
      </c>
      <c r="H1373" s="5">
        <v>645157</v>
      </c>
      <c r="I1373" s="5">
        <v>58041450.92</v>
      </c>
      <c r="J1373" s="6">
        <v>0.0215</v>
      </c>
      <c r="K1373" s="6">
        <v>-0.1317</v>
      </c>
    </row>
    <row r="1374" ht="14.5" spans="1:11">
      <c r="A1374" s="3" t="str">
        <f t="shared" ref="A1374:A1437" si="87">TEXT(YEAR(D1374),"0")&amp;"年"</f>
        <v>2026年</v>
      </c>
      <c r="B1374" s="3" t="str">
        <f t="shared" ref="B1374:B1437" si="88">TEXT(MONTH(D1374),"0")&amp;"月"</f>
        <v>2月</v>
      </c>
      <c r="C1374" s="4" t="str">
        <f t="shared" ref="C1374:C1437" si="89">"W"&amp;TEXT(WEEKNUM(D1374,2),"0")</f>
        <v>W6</v>
      </c>
      <c r="D1374" s="2" t="s">
        <v>776</v>
      </c>
      <c r="E1374" s="2" t="s">
        <v>706</v>
      </c>
      <c r="F1374" s="2" t="str" cm="1">
        <f t="array" ref="F1374">INDEX(_xlfn.TEXTSPLIT(E1374,"-"),2)</f>
        <v>女装</v>
      </c>
      <c r="G1374" s="2" t="str" cm="1">
        <f t="array" ref="G1374">INDEX(_xlfn.TEXTSPLIT(E1374,"-"),3)</f>
        <v>卫衣/绒衫</v>
      </c>
      <c r="H1374" s="5">
        <v>372022</v>
      </c>
      <c r="I1374" s="5">
        <v>31572765.47</v>
      </c>
      <c r="J1374" s="6">
        <v>0.0117</v>
      </c>
      <c r="K1374" s="6">
        <v>-0.1043</v>
      </c>
    </row>
    <row r="1375" ht="14.5" spans="1:11">
      <c r="A1375" s="3" t="str">
        <f t="shared" si="87"/>
        <v>2026年</v>
      </c>
      <c r="B1375" s="3" t="str">
        <f t="shared" si="88"/>
        <v>2月</v>
      </c>
      <c r="C1375" s="4" t="str">
        <f t="shared" si="89"/>
        <v>W6</v>
      </c>
      <c r="D1375" s="2" t="s">
        <v>776</v>
      </c>
      <c r="E1375" s="2" t="s">
        <v>707</v>
      </c>
      <c r="F1375" s="2" t="str" cm="1">
        <f t="array" ref="F1375">INDEX(_xlfn.TEXTSPLIT(E1375,"-"),2)</f>
        <v>女装</v>
      </c>
      <c r="G1375" s="2" t="str" cm="1">
        <f t="array" ref="G1375">INDEX(_xlfn.TEXTSPLIT(E1375,"-"),3)</f>
        <v>唐装/民族服装/舞台服装</v>
      </c>
      <c r="H1375" s="5">
        <v>260878</v>
      </c>
      <c r="I1375" s="5">
        <v>45421482.03</v>
      </c>
      <c r="J1375" s="6">
        <v>0.0168</v>
      </c>
      <c r="K1375" s="6">
        <v>0.0236</v>
      </c>
    </row>
    <row r="1376" ht="14.5" spans="1:11">
      <c r="A1376" s="3" t="str">
        <f t="shared" si="87"/>
        <v>2026年</v>
      </c>
      <c r="B1376" s="3" t="str">
        <f t="shared" si="88"/>
        <v>2月</v>
      </c>
      <c r="C1376" s="4" t="str">
        <f t="shared" si="89"/>
        <v>W6</v>
      </c>
      <c r="D1376" s="2" t="s">
        <v>776</v>
      </c>
      <c r="E1376" s="2" t="s">
        <v>708</v>
      </c>
      <c r="F1376" s="2" t="str" cm="1">
        <f t="array" ref="F1376">INDEX(_xlfn.TEXTSPLIT(E1376,"-"),2)</f>
        <v>女装</v>
      </c>
      <c r="G1376" s="2" t="str" cm="1">
        <f t="array" ref="G1376">INDEX(_xlfn.TEXTSPLIT(E1376,"-"),3)</f>
        <v>大码女装</v>
      </c>
      <c r="H1376" s="5">
        <v>505156</v>
      </c>
      <c r="I1376" s="5">
        <v>42115740.56</v>
      </c>
      <c r="J1376" s="6">
        <v>0.0156</v>
      </c>
      <c r="K1376" s="6">
        <v>-0.0432</v>
      </c>
    </row>
    <row r="1377" ht="14.5" spans="1:11">
      <c r="A1377" s="3" t="str">
        <f t="shared" si="87"/>
        <v>2026年</v>
      </c>
      <c r="B1377" s="3" t="str">
        <f t="shared" si="88"/>
        <v>2月</v>
      </c>
      <c r="C1377" s="4" t="str">
        <f t="shared" si="89"/>
        <v>W6</v>
      </c>
      <c r="D1377" s="2" t="s">
        <v>776</v>
      </c>
      <c r="E1377" s="2" t="s">
        <v>709</v>
      </c>
      <c r="F1377" s="2" t="str" cm="1">
        <f t="array" ref="F1377">INDEX(_xlfn.TEXTSPLIT(E1377,"-"),2)</f>
        <v>女装</v>
      </c>
      <c r="G1377" s="2" t="str" cm="1">
        <f t="array" ref="G1377">INDEX(_xlfn.TEXTSPLIT(E1377,"-"),3)</f>
        <v>套装/学生校服/工作制服</v>
      </c>
      <c r="H1377" s="5">
        <v>704305</v>
      </c>
      <c r="I1377" s="5">
        <v>102643208.18</v>
      </c>
      <c r="J1377" s="6">
        <v>0.038</v>
      </c>
      <c r="K1377" s="6">
        <v>-0.1362</v>
      </c>
    </row>
    <row r="1378" ht="14.5" spans="1:11">
      <c r="A1378" s="3" t="str">
        <f t="shared" si="87"/>
        <v>2026年</v>
      </c>
      <c r="B1378" s="3" t="str">
        <f t="shared" si="88"/>
        <v>2月</v>
      </c>
      <c r="C1378" s="4" t="str">
        <f t="shared" si="89"/>
        <v>W6</v>
      </c>
      <c r="D1378" s="2" t="s">
        <v>776</v>
      </c>
      <c r="E1378" s="2" t="s">
        <v>710</v>
      </c>
      <c r="F1378" s="2" t="str" cm="1">
        <f t="array" ref="F1378">INDEX(_xlfn.TEXTSPLIT(E1378,"-"),2)</f>
        <v>女装</v>
      </c>
      <c r="G1378" s="2" t="str" cm="1">
        <f t="array" ref="G1378">INDEX(_xlfn.TEXTSPLIT(E1378,"-"),3)</f>
        <v>婚纱/旗袍/礼服</v>
      </c>
      <c r="H1378" s="5">
        <v>90416</v>
      </c>
      <c r="I1378" s="5">
        <v>6548739.22</v>
      </c>
      <c r="J1378" s="6">
        <v>0.0024</v>
      </c>
      <c r="K1378" s="6">
        <v>-0.2139</v>
      </c>
    </row>
    <row r="1379" ht="14.5" spans="1:11">
      <c r="A1379" s="3" t="str">
        <f t="shared" si="87"/>
        <v>2026年</v>
      </c>
      <c r="B1379" s="3" t="str">
        <f t="shared" si="88"/>
        <v>2月</v>
      </c>
      <c r="C1379" s="4" t="str">
        <f t="shared" si="89"/>
        <v>W6</v>
      </c>
      <c r="D1379" s="2" t="s">
        <v>776</v>
      </c>
      <c r="E1379" s="2" t="s">
        <v>711</v>
      </c>
      <c r="F1379" s="2" t="str" cm="1">
        <f t="array" ref="F1379">INDEX(_xlfn.TEXTSPLIT(E1379,"-"),2)</f>
        <v>女装</v>
      </c>
      <c r="G1379" s="2" t="str" cm="1">
        <f t="array" ref="G1379">INDEX(_xlfn.TEXTSPLIT(E1379,"-"),3)</f>
        <v>新中式女装</v>
      </c>
      <c r="H1379" s="5">
        <v>138367</v>
      </c>
      <c r="I1379" s="5">
        <v>22993529.23</v>
      </c>
      <c r="J1379" s="6">
        <v>0.0085</v>
      </c>
      <c r="K1379" s="6">
        <v>1.0206</v>
      </c>
    </row>
    <row r="1380" ht="14.5" spans="1:11">
      <c r="A1380" s="3" t="str">
        <f t="shared" si="87"/>
        <v>2026年</v>
      </c>
      <c r="B1380" s="3" t="str">
        <f t="shared" si="88"/>
        <v>2月</v>
      </c>
      <c r="C1380" s="4" t="str">
        <f t="shared" si="89"/>
        <v>W6</v>
      </c>
      <c r="D1380" s="2" t="s">
        <v>776</v>
      </c>
      <c r="E1380" s="2" t="s">
        <v>712</v>
      </c>
      <c r="F1380" s="2" t="str" cm="1">
        <f t="array" ref="F1380">INDEX(_xlfn.TEXTSPLIT(E1380,"-"),2)</f>
        <v>女装</v>
      </c>
      <c r="G1380" s="2" t="str" cm="1">
        <f t="array" ref="G1380">INDEX(_xlfn.TEXTSPLIT(E1380,"-"),3)</f>
        <v>时尚防晒服</v>
      </c>
      <c r="H1380" s="5">
        <v>332</v>
      </c>
      <c r="I1380" s="5">
        <v>43916.35</v>
      </c>
      <c r="J1380" s="2" t="s">
        <v>713</v>
      </c>
      <c r="K1380" s="6">
        <v>-0.3397</v>
      </c>
    </row>
    <row r="1381" ht="14.5" spans="1:11">
      <c r="A1381" s="3" t="str">
        <f t="shared" si="87"/>
        <v>2026年</v>
      </c>
      <c r="B1381" s="3" t="str">
        <f t="shared" si="88"/>
        <v>2月</v>
      </c>
      <c r="C1381" s="4" t="str">
        <f t="shared" si="89"/>
        <v>W6</v>
      </c>
      <c r="D1381" s="2" t="s">
        <v>776</v>
      </c>
      <c r="E1381" s="2" t="s">
        <v>714</v>
      </c>
      <c r="F1381" s="2" t="str" cm="1">
        <f t="array" ref="F1381">INDEX(_xlfn.TEXTSPLIT(E1381,"-"),2)</f>
        <v>女装</v>
      </c>
      <c r="G1381" s="2" t="str" cm="1">
        <f t="array" ref="G1381">INDEX(_xlfn.TEXTSPLIT(E1381,"-"),3)</f>
        <v>棉衣/棉服</v>
      </c>
      <c r="H1381" s="5">
        <v>503505</v>
      </c>
      <c r="I1381" s="5">
        <v>56214785.1</v>
      </c>
      <c r="J1381" s="6">
        <v>0.0208</v>
      </c>
      <c r="K1381" s="6">
        <v>-0.053</v>
      </c>
    </row>
    <row r="1382" ht="14.5" spans="1:11">
      <c r="A1382" s="3" t="str">
        <f t="shared" si="87"/>
        <v>2026年</v>
      </c>
      <c r="B1382" s="3" t="str">
        <f t="shared" si="88"/>
        <v>2月</v>
      </c>
      <c r="C1382" s="4" t="str">
        <f t="shared" si="89"/>
        <v>W6</v>
      </c>
      <c r="D1382" s="2" t="s">
        <v>776</v>
      </c>
      <c r="E1382" s="2" t="s">
        <v>715</v>
      </c>
      <c r="F1382" s="2" t="str" cm="1">
        <f t="array" ref="F1382">INDEX(_xlfn.TEXTSPLIT(E1382,"-"),2)</f>
        <v>女装</v>
      </c>
      <c r="G1382" s="2" t="str" cm="1">
        <f t="array" ref="G1382">INDEX(_xlfn.TEXTSPLIT(E1382,"-"),3)</f>
        <v>毛呢外套</v>
      </c>
      <c r="H1382" s="5">
        <v>812513</v>
      </c>
      <c r="I1382" s="5">
        <v>304322004.72</v>
      </c>
      <c r="J1382" s="6">
        <v>0.1126</v>
      </c>
      <c r="K1382" s="6">
        <v>-0.0271</v>
      </c>
    </row>
    <row r="1383" ht="14.5" spans="1:11">
      <c r="A1383" s="3" t="str">
        <f t="shared" si="87"/>
        <v>2026年</v>
      </c>
      <c r="B1383" s="3" t="str">
        <f t="shared" si="88"/>
        <v>2月</v>
      </c>
      <c r="C1383" s="4" t="str">
        <f t="shared" si="89"/>
        <v>W6</v>
      </c>
      <c r="D1383" s="2" t="s">
        <v>776</v>
      </c>
      <c r="E1383" s="2" t="s">
        <v>716</v>
      </c>
      <c r="F1383" s="2" t="str" cm="1">
        <f t="array" ref="F1383">INDEX(_xlfn.TEXTSPLIT(E1383,"-"),2)</f>
        <v>女装</v>
      </c>
      <c r="G1383" s="2" t="str" cm="1">
        <f t="array" ref="G1383">INDEX(_xlfn.TEXTSPLIT(E1383,"-"),3)</f>
        <v>毛衣</v>
      </c>
      <c r="H1383" s="5">
        <v>320803</v>
      </c>
      <c r="I1383" s="5">
        <v>29519941.08</v>
      </c>
      <c r="J1383" s="6">
        <v>0.0109</v>
      </c>
      <c r="K1383" s="6">
        <v>-0.1631</v>
      </c>
    </row>
    <row r="1384" ht="14.5" spans="1:11">
      <c r="A1384" s="3" t="str">
        <f t="shared" si="87"/>
        <v>2026年</v>
      </c>
      <c r="B1384" s="3" t="str">
        <f t="shared" si="88"/>
        <v>2月</v>
      </c>
      <c r="C1384" s="4" t="str">
        <f t="shared" si="89"/>
        <v>W6</v>
      </c>
      <c r="D1384" s="2" t="s">
        <v>776</v>
      </c>
      <c r="E1384" s="2" t="s">
        <v>717</v>
      </c>
      <c r="F1384" s="2" t="str" cm="1">
        <f t="array" ref="F1384">INDEX(_xlfn.TEXTSPLIT(E1384,"-"),2)</f>
        <v>女装</v>
      </c>
      <c r="G1384" s="2" t="str" cm="1">
        <f t="array" ref="G1384">INDEX(_xlfn.TEXTSPLIT(E1384,"-"),3)</f>
        <v>毛针织衫</v>
      </c>
      <c r="H1384" s="5">
        <v>1850578</v>
      </c>
      <c r="I1384" s="5">
        <v>159382028.93</v>
      </c>
      <c r="J1384" s="6">
        <v>0.059</v>
      </c>
      <c r="K1384" s="6">
        <v>-0.067</v>
      </c>
    </row>
    <row r="1385" ht="14.5" spans="1:11">
      <c r="A1385" s="3" t="str">
        <f t="shared" si="87"/>
        <v>2026年</v>
      </c>
      <c r="B1385" s="3" t="str">
        <f t="shared" si="88"/>
        <v>2月</v>
      </c>
      <c r="C1385" s="4" t="str">
        <f t="shared" si="89"/>
        <v>W6</v>
      </c>
      <c r="D1385" s="2" t="s">
        <v>776</v>
      </c>
      <c r="E1385" s="2" t="s">
        <v>718</v>
      </c>
      <c r="F1385" s="2" t="str" cm="1">
        <f t="array" ref="F1385">INDEX(_xlfn.TEXTSPLIT(E1385,"-"),2)</f>
        <v>女装</v>
      </c>
      <c r="G1385" s="2" t="str" cm="1">
        <f t="array" ref="G1385">INDEX(_xlfn.TEXTSPLIT(E1385,"-"),3)</f>
        <v>汉服</v>
      </c>
      <c r="H1385" s="5">
        <v>98429</v>
      </c>
      <c r="I1385" s="5">
        <v>43195870.34</v>
      </c>
      <c r="J1385" s="6">
        <v>0.016</v>
      </c>
      <c r="K1385" s="6">
        <v>-0.3516</v>
      </c>
    </row>
    <row r="1386" ht="14.5" spans="1:11">
      <c r="A1386" s="3" t="str">
        <f t="shared" si="87"/>
        <v>2026年</v>
      </c>
      <c r="B1386" s="3" t="str">
        <f t="shared" si="88"/>
        <v>2月</v>
      </c>
      <c r="C1386" s="4" t="str">
        <f t="shared" si="89"/>
        <v>W6</v>
      </c>
      <c r="D1386" s="2" t="s">
        <v>776</v>
      </c>
      <c r="E1386" s="2" t="s">
        <v>719</v>
      </c>
      <c r="F1386" s="2" t="str" cm="1">
        <f t="array" ref="F1386">INDEX(_xlfn.TEXTSPLIT(E1386,"-"),2)</f>
        <v>女装</v>
      </c>
      <c r="G1386" s="2" t="str" cm="1">
        <f t="array" ref="G1386">INDEX(_xlfn.TEXTSPLIT(E1386,"-"),3)</f>
        <v>派克服</v>
      </c>
      <c r="H1386" s="5">
        <v>43064</v>
      </c>
      <c r="I1386" s="5">
        <v>9550956.79</v>
      </c>
      <c r="J1386" s="6">
        <v>0.0035</v>
      </c>
      <c r="K1386" s="6">
        <v>-0.0396</v>
      </c>
    </row>
    <row r="1387" ht="14.5" spans="1:11">
      <c r="A1387" s="3" t="str">
        <f t="shared" si="87"/>
        <v>2026年</v>
      </c>
      <c r="B1387" s="3" t="str">
        <f t="shared" si="88"/>
        <v>2月</v>
      </c>
      <c r="C1387" s="4" t="str">
        <f t="shared" si="89"/>
        <v>W6</v>
      </c>
      <c r="D1387" s="2" t="s">
        <v>776</v>
      </c>
      <c r="E1387" s="2" t="s">
        <v>720</v>
      </c>
      <c r="F1387" s="2" t="str" cm="1">
        <f t="array" ref="F1387">INDEX(_xlfn.TEXTSPLIT(E1387,"-"),2)</f>
        <v>女装</v>
      </c>
      <c r="G1387" s="2" t="str" cm="1">
        <f t="array" ref="G1387">INDEX(_xlfn.TEXTSPLIT(E1387,"-"),3)</f>
        <v>皮草</v>
      </c>
      <c r="H1387" s="5">
        <v>177477</v>
      </c>
      <c r="I1387" s="5">
        <v>250902105.13</v>
      </c>
      <c r="J1387" s="6">
        <v>0.0928</v>
      </c>
      <c r="K1387" s="6">
        <v>-0.1044</v>
      </c>
    </row>
    <row r="1388" ht="14.5" spans="1:11">
      <c r="A1388" s="3" t="str">
        <f t="shared" si="87"/>
        <v>2026年</v>
      </c>
      <c r="B1388" s="3" t="str">
        <f t="shared" si="88"/>
        <v>2月</v>
      </c>
      <c r="C1388" s="4" t="str">
        <f t="shared" si="89"/>
        <v>W6</v>
      </c>
      <c r="D1388" s="2" t="s">
        <v>776</v>
      </c>
      <c r="E1388" s="2" t="s">
        <v>721</v>
      </c>
      <c r="F1388" s="2" t="str" cm="1">
        <f t="array" ref="F1388">INDEX(_xlfn.TEXTSPLIT(E1388,"-"),2)</f>
        <v>女装</v>
      </c>
      <c r="G1388" s="2" t="str" cm="1">
        <f t="array" ref="G1388">INDEX(_xlfn.TEXTSPLIT(E1388,"-"),3)</f>
        <v>皮衣</v>
      </c>
      <c r="H1388" s="5">
        <v>151476</v>
      </c>
      <c r="I1388" s="5">
        <v>46705736.01</v>
      </c>
      <c r="J1388" s="6">
        <v>0.0173</v>
      </c>
      <c r="K1388" s="6">
        <v>-0.2215</v>
      </c>
    </row>
    <row r="1389" ht="14.5" spans="1:11">
      <c r="A1389" s="3" t="str">
        <f t="shared" si="87"/>
        <v>2026年</v>
      </c>
      <c r="B1389" s="3" t="str">
        <f t="shared" si="88"/>
        <v>2月</v>
      </c>
      <c r="C1389" s="4" t="str">
        <f t="shared" si="89"/>
        <v>W6</v>
      </c>
      <c r="D1389" s="2" t="s">
        <v>776</v>
      </c>
      <c r="E1389" s="2" t="s">
        <v>722</v>
      </c>
      <c r="F1389" s="2" t="str" cm="1">
        <f t="array" ref="F1389">INDEX(_xlfn.TEXTSPLIT(E1389,"-"),2)</f>
        <v>女装</v>
      </c>
      <c r="G1389" s="2" t="str" cm="1">
        <f t="array" ref="G1389">INDEX(_xlfn.TEXTSPLIT(E1389,"-"),3)</f>
        <v>短外套</v>
      </c>
      <c r="H1389" s="5">
        <v>1051574</v>
      </c>
      <c r="I1389" s="5">
        <v>221655133.78</v>
      </c>
      <c r="J1389" s="6">
        <v>0.082</v>
      </c>
      <c r="K1389" s="6">
        <v>-0.0864</v>
      </c>
    </row>
    <row r="1390" ht="14.5" spans="1:11">
      <c r="A1390" s="3" t="str">
        <f t="shared" si="87"/>
        <v>2026年</v>
      </c>
      <c r="B1390" s="3" t="str">
        <f t="shared" si="88"/>
        <v>2月</v>
      </c>
      <c r="C1390" s="4" t="str">
        <f t="shared" si="89"/>
        <v>W6</v>
      </c>
      <c r="D1390" s="2" t="s">
        <v>776</v>
      </c>
      <c r="E1390" s="2" t="s">
        <v>723</v>
      </c>
      <c r="F1390" s="2" t="str" cm="1">
        <f t="array" ref="F1390">INDEX(_xlfn.TEXTSPLIT(E1390,"-"),2)</f>
        <v>女装</v>
      </c>
      <c r="G1390" s="2" t="str" cm="1">
        <f t="array" ref="G1390">INDEX(_xlfn.TEXTSPLIT(E1390,"-"),3)</f>
        <v>短裤</v>
      </c>
      <c r="H1390" s="5">
        <v>107456</v>
      </c>
      <c r="I1390" s="5">
        <v>5929119.29</v>
      </c>
      <c r="J1390" s="6">
        <v>0.0022</v>
      </c>
      <c r="K1390" s="6">
        <v>-0.1823</v>
      </c>
    </row>
    <row r="1391" ht="14.5" spans="1:11">
      <c r="A1391" s="3" t="str">
        <f t="shared" si="87"/>
        <v>2026年</v>
      </c>
      <c r="B1391" s="3" t="str">
        <f t="shared" si="88"/>
        <v>2月</v>
      </c>
      <c r="C1391" s="4" t="str">
        <f t="shared" si="89"/>
        <v>W6</v>
      </c>
      <c r="D1391" s="2" t="s">
        <v>776</v>
      </c>
      <c r="E1391" s="2" t="s">
        <v>724</v>
      </c>
      <c r="F1391" s="2" t="str" cm="1">
        <f t="array" ref="F1391">INDEX(_xlfn.TEXTSPLIT(E1391,"-"),2)</f>
        <v>女装</v>
      </c>
      <c r="G1391" s="2" t="str" cm="1">
        <f t="array" ref="G1391">INDEX(_xlfn.TEXTSPLIT(E1391,"-"),3)</f>
        <v>羊毛衫</v>
      </c>
      <c r="H1391" s="5">
        <v>347524</v>
      </c>
      <c r="I1391" s="5">
        <v>46526945.16</v>
      </c>
      <c r="J1391" s="6">
        <v>0.0172</v>
      </c>
      <c r="K1391" s="6">
        <v>-0.1389</v>
      </c>
    </row>
    <row r="1392" ht="14.5" spans="1:11">
      <c r="A1392" s="3" t="str">
        <f t="shared" si="87"/>
        <v>2026年</v>
      </c>
      <c r="B1392" s="3" t="str">
        <f t="shared" si="88"/>
        <v>2月</v>
      </c>
      <c r="C1392" s="4" t="str">
        <f t="shared" si="89"/>
        <v>W6</v>
      </c>
      <c r="D1392" s="2" t="s">
        <v>776</v>
      </c>
      <c r="E1392" s="2" t="s">
        <v>725</v>
      </c>
      <c r="F1392" s="2" t="str" cm="1">
        <f t="array" ref="F1392">INDEX(_xlfn.TEXTSPLIT(E1392,"-"),2)</f>
        <v>女装</v>
      </c>
      <c r="G1392" s="2" t="str" cm="1">
        <f t="array" ref="G1392">INDEX(_xlfn.TEXTSPLIT(E1392,"-"),3)</f>
        <v>羊绒大衣</v>
      </c>
      <c r="H1392" s="5">
        <v>9423</v>
      </c>
      <c r="I1392" s="5">
        <v>3375220.81</v>
      </c>
      <c r="J1392" s="6">
        <v>0.0012</v>
      </c>
      <c r="K1392" s="6">
        <v>0.0001</v>
      </c>
    </row>
    <row r="1393" ht="14.5" spans="1:11">
      <c r="A1393" s="3" t="str">
        <f t="shared" si="87"/>
        <v>2026年</v>
      </c>
      <c r="B1393" s="3" t="str">
        <f t="shared" si="88"/>
        <v>2月</v>
      </c>
      <c r="C1393" s="4" t="str">
        <f t="shared" si="89"/>
        <v>W6</v>
      </c>
      <c r="D1393" s="2" t="s">
        <v>776</v>
      </c>
      <c r="E1393" s="2" t="s">
        <v>726</v>
      </c>
      <c r="F1393" s="2" t="str" cm="1">
        <f t="array" ref="F1393">INDEX(_xlfn.TEXTSPLIT(E1393,"-"),2)</f>
        <v>女装</v>
      </c>
      <c r="G1393" s="2" t="str" cm="1">
        <f t="array" ref="G1393">INDEX(_xlfn.TEXTSPLIT(E1393,"-"),3)</f>
        <v>羊绒衫</v>
      </c>
      <c r="H1393" s="5">
        <v>91528</v>
      </c>
      <c r="I1393" s="5">
        <v>32506073.97</v>
      </c>
      <c r="J1393" s="6">
        <v>0.012</v>
      </c>
      <c r="K1393" s="6">
        <v>-0.248</v>
      </c>
    </row>
    <row r="1394" ht="14.5" spans="1:11">
      <c r="A1394" s="3" t="str">
        <f t="shared" si="87"/>
        <v>2026年</v>
      </c>
      <c r="B1394" s="3" t="str">
        <f t="shared" si="88"/>
        <v>2月</v>
      </c>
      <c r="C1394" s="4" t="str">
        <f t="shared" si="89"/>
        <v>W6</v>
      </c>
      <c r="D1394" s="2" t="s">
        <v>776</v>
      </c>
      <c r="E1394" s="2" t="s">
        <v>727</v>
      </c>
      <c r="F1394" s="2" t="str" cm="1">
        <f t="array" ref="F1394">INDEX(_xlfn.TEXTSPLIT(E1394,"-"),2)</f>
        <v>女装</v>
      </c>
      <c r="G1394" s="2" t="str" cm="1">
        <f t="array" ref="G1394">INDEX(_xlfn.TEXTSPLIT(E1394,"-"),3)</f>
        <v>羽绒服</v>
      </c>
      <c r="H1394" s="5">
        <v>1228384</v>
      </c>
      <c r="I1394" s="5">
        <v>451947332.71</v>
      </c>
      <c r="J1394" s="6">
        <v>0.1672</v>
      </c>
      <c r="K1394" s="6">
        <v>-0.0654</v>
      </c>
    </row>
    <row r="1395" ht="14.5" spans="1:11">
      <c r="A1395" s="3" t="str">
        <f t="shared" si="87"/>
        <v>2026年</v>
      </c>
      <c r="B1395" s="3" t="str">
        <f t="shared" si="88"/>
        <v>2月</v>
      </c>
      <c r="C1395" s="4" t="str">
        <f t="shared" si="89"/>
        <v>W6</v>
      </c>
      <c r="D1395" s="2" t="s">
        <v>776</v>
      </c>
      <c r="E1395" s="2" t="s">
        <v>728</v>
      </c>
      <c r="F1395" s="2" t="str" cm="1">
        <f t="array" ref="F1395">INDEX(_xlfn.TEXTSPLIT(E1395,"-"),2)</f>
        <v>女装</v>
      </c>
      <c r="G1395" s="2" t="str" cm="1">
        <f t="array" ref="G1395">INDEX(_xlfn.TEXTSPLIT(E1395,"-"),3)</f>
        <v>肌底衣/肌肤衣</v>
      </c>
      <c r="H1395" s="5">
        <v>4201</v>
      </c>
      <c r="I1395" s="5">
        <v>319212.08</v>
      </c>
      <c r="J1395" s="6">
        <v>0.0001</v>
      </c>
      <c r="K1395" s="6">
        <v>0.7315</v>
      </c>
    </row>
    <row r="1396" ht="14.5" spans="1:11">
      <c r="A1396" s="3" t="str">
        <f t="shared" si="87"/>
        <v>2026年</v>
      </c>
      <c r="B1396" s="3" t="str">
        <f t="shared" si="88"/>
        <v>2月</v>
      </c>
      <c r="C1396" s="4" t="str">
        <f t="shared" si="89"/>
        <v>W6</v>
      </c>
      <c r="D1396" s="2" t="s">
        <v>776</v>
      </c>
      <c r="E1396" s="2" t="s">
        <v>729</v>
      </c>
      <c r="F1396" s="2" t="str" cm="1">
        <f t="array" ref="F1396">INDEX(_xlfn.TEXTSPLIT(E1396,"-"),2)</f>
        <v>女装</v>
      </c>
      <c r="G1396" s="2" t="str" cm="1">
        <f t="array" ref="G1396">INDEX(_xlfn.TEXTSPLIT(E1396,"-"),3)</f>
        <v>背心吊带</v>
      </c>
      <c r="H1396" s="5">
        <v>253618</v>
      </c>
      <c r="I1396" s="5">
        <v>13534400.65</v>
      </c>
      <c r="J1396" s="6">
        <v>0.005</v>
      </c>
      <c r="K1396" s="6">
        <v>-0.1614</v>
      </c>
    </row>
    <row r="1397" ht="14.5" spans="1:11">
      <c r="A1397" s="3" t="str">
        <f t="shared" si="87"/>
        <v>2026年</v>
      </c>
      <c r="B1397" s="3" t="str">
        <f t="shared" si="88"/>
        <v>2月</v>
      </c>
      <c r="C1397" s="4" t="str">
        <f t="shared" si="89"/>
        <v>W6</v>
      </c>
      <c r="D1397" s="2" t="s">
        <v>776</v>
      </c>
      <c r="E1397" s="2" t="s">
        <v>730</v>
      </c>
      <c r="F1397" s="2" t="str" cm="1">
        <f t="array" ref="F1397">INDEX(_xlfn.TEXTSPLIT(E1397,"-"),2)</f>
        <v>女装</v>
      </c>
      <c r="G1397" s="2" t="str" cm="1">
        <f t="array" ref="G1397">INDEX(_xlfn.TEXTSPLIT(E1397,"-"),3)</f>
        <v>蕾丝衫/雪纺衫</v>
      </c>
      <c r="H1397" s="5">
        <v>159626</v>
      </c>
      <c r="I1397" s="5">
        <v>10785393.07</v>
      </c>
      <c r="J1397" s="6">
        <v>0.004</v>
      </c>
      <c r="K1397" s="6">
        <v>-0.1387</v>
      </c>
    </row>
    <row r="1398" ht="14.5" spans="1:11">
      <c r="A1398" s="3" t="str">
        <f t="shared" si="87"/>
        <v>2026年</v>
      </c>
      <c r="B1398" s="3" t="str">
        <f t="shared" si="88"/>
        <v>2月</v>
      </c>
      <c r="C1398" s="4" t="str">
        <f t="shared" si="89"/>
        <v>W6</v>
      </c>
      <c r="D1398" s="2" t="s">
        <v>776</v>
      </c>
      <c r="E1398" s="2" t="s">
        <v>731</v>
      </c>
      <c r="F1398" s="2" t="str" cm="1">
        <f t="array" ref="F1398">INDEX(_xlfn.TEXTSPLIT(E1398,"-"),2)</f>
        <v>女装</v>
      </c>
      <c r="G1398" s="2" t="str" cm="1">
        <f t="array" ref="G1398">INDEX(_xlfn.TEXTSPLIT(E1398,"-"),3)</f>
        <v>衬衫</v>
      </c>
      <c r="H1398" s="5">
        <v>435662</v>
      </c>
      <c r="I1398" s="5">
        <v>51669807.62</v>
      </c>
      <c r="J1398" s="6">
        <v>0.0191</v>
      </c>
      <c r="K1398" s="6">
        <v>-0.0995</v>
      </c>
    </row>
    <row r="1399" ht="14.5" spans="1:11">
      <c r="A1399" s="3" t="str">
        <f t="shared" si="87"/>
        <v>2026年</v>
      </c>
      <c r="B1399" s="3" t="str">
        <f t="shared" si="88"/>
        <v>2月</v>
      </c>
      <c r="C1399" s="4" t="str">
        <f t="shared" si="89"/>
        <v>W6</v>
      </c>
      <c r="D1399" s="2" t="s">
        <v>776</v>
      </c>
      <c r="E1399" s="2" t="s">
        <v>732</v>
      </c>
      <c r="F1399" s="2" t="str" cm="1">
        <f t="array" ref="F1399">INDEX(_xlfn.TEXTSPLIT(E1399,"-"),2)</f>
        <v>女装</v>
      </c>
      <c r="G1399" s="2" t="str" cm="1">
        <f t="array" ref="G1399">INDEX(_xlfn.TEXTSPLIT(E1399,"-"),3)</f>
        <v>裤子</v>
      </c>
      <c r="H1399" s="5">
        <v>3122259</v>
      </c>
      <c r="I1399" s="5">
        <v>313218377.35</v>
      </c>
      <c r="J1399" s="6">
        <v>0.1159</v>
      </c>
      <c r="K1399" s="6">
        <v>-0.0688</v>
      </c>
    </row>
    <row r="1400" ht="14.5" spans="1:11">
      <c r="A1400" s="3" t="str">
        <f t="shared" si="87"/>
        <v>2026年</v>
      </c>
      <c r="B1400" s="3" t="str">
        <f t="shared" si="88"/>
        <v>2月</v>
      </c>
      <c r="C1400" s="4" t="str">
        <f t="shared" si="89"/>
        <v>W6</v>
      </c>
      <c r="D1400" s="2" t="s">
        <v>776</v>
      </c>
      <c r="E1400" s="2" t="s">
        <v>733</v>
      </c>
      <c r="F1400" s="2" t="str" cm="1">
        <f t="array" ref="F1400">INDEX(_xlfn.TEXTSPLIT(E1400,"-"),2)</f>
        <v>女装</v>
      </c>
      <c r="G1400" s="2" t="str" cm="1">
        <f t="array" ref="G1400">INDEX(_xlfn.TEXTSPLIT(E1400,"-"),3)</f>
        <v>西装</v>
      </c>
      <c r="H1400" s="5">
        <v>64683</v>
      </c>
      <c r="I1400" s="5">
        <v>18901949.25</v>
      </c>
      <c r="J1400" s="6">
        <v>0.007</v>
      </c>
      <c r="K1400" s="6">
        <v>-0.077</v>
      </c>
    </row>
    <row r="1401" ht="14.5" spans="1:11">
      <c r="A1401" s="3" t="str">
        <f t="shared" si="87"/>
        <v>2026年</v>
      </c>
      <c r="B1401" s="3" t="str">
        <f t="shared" si="88"/>
        <v>2月</v>
      </c>
      <c r="C1401" s="4" t="str">
        <f t="shared" si="89"/>
        <v>W6</v>
      </c>
      <c r="D1401" s="2" t="s">
        <v>776</v>
      </c>
      <c r="E1401" s="2" t="s">
        <v>734</v>
      </c>
      <c r="F1401" s="2" t="str" cm="1">
        <f t="array" ref="F1401">INDEX(_xlfn.TEXTSPLIT(E1401,"-"),2)</f>
        <v>女装</v>
      </c>
      <c r="G1401" s="2" t="str" cm="1">
        <f t="array" ref="G1401">INDEX(_xlfn.TEXTSPLIT(E1401,"-"),3)</f>
        <v>设计师/潮牌女装</v>
      </c>
      <c r="H1401" s="5">
        <v>393242</v>
      </c>
      <c r="I1401" s="5">
        <v>46868526.39</v>
      </c>
      <c r="J1401" s="6">
        <v>0.0173</v>
      </c>
      <c r="K1401" s="6">
        <v>-0.0892</v>
      </c>
    </row>
    <row r="1402" ht="14.5" spans="1:11">
      <c r="A1402" s="3" t="str">
        <f t="shared" si="87"/>
        <v>2026年</v>
      </c>
      <c r="B1402" s="3" t="str">
        <f t="shared" si="88"/>
        <v>2月</v>
      </c>
      <c r="C1402" s="4" t="str">
        <f t="shared" si="89"/>
        <v>W6</v>
      </c>
      <c r="D1402" s="2" t="s">
        <v>776</v>
      </c>
      <c r="E1402" s="2" t="s">
        <v>735</v>
      </c>
      <c r="F1402" s="2" t="str" cm="1">
        <f t="array" ref="F1402">INDEX(_xlfn.TEXTSPLIT(E1402,"-"),2)</f>
        <v>女装</v>
      </c>
      <c r="G1402" s="2" t="str" cm="1">
        <f t="array" ref="G1402">INDEX(_xlfn.TEXTSPLIT(E1402,"-"),3)</f>
        <v>连体衣/裤</v>
      </c>
      <c r="H1402" s="5">
        <v>7916</v>
      </c>
      <c r="I1402" s="5">
        <v>2100362.98</v>
      </c>
      <c r="J1402" s="6">
        <v>0.0008</v>
      </c>
      <c r="K1402" s="6">
        <v>-0.2155</v>
      </c>
    </row>
    <row r="1403" ht="14.5" spans="1:11">
      <c r="A1403" s="3" t="str">
        <f t="shared" si="87"/>
        <v>2026年</v>
      </c>
      <c r="B1403" s="3" t="str">
        <f t="shared" si="88"/>
        <v>2月</v>
      </c>
      <c r="C1403" s="4" t="str">
        <f t="shared" si="89"/>
        <v>W6</v>
      </c>
      <c r="D1403" s="2" t="s">
        <v>776</v>
      </c>
      <c r="E1403" s="2" t="s">
        <v>736</v>
      </c>
      <c r="F1403" s="2" t="str" cm="1">
        <f t="array" ref="F1403">INDEX(_xlfn.TEXTSPLIT(E1403,"-"),2)</f>
        <v>女装</v>
      </c>
      <c r="G1403" s="2" t="str" cm="1">
        <f t="array" ref="G1403">INDEX(_xlfn.TEXTSPLIT(E1403,"-"),3)</f>
        <v>连衣裙</v>
      </c>
      <c r="H1403" s="5">
        <v>629295</v>
      </c>
      <c r="I1403" s="5">
        <v>92642264.3</v>
      </c>
      <c r="J1403" s="6">
        <v>0.0343</v>
      </c>
      <c r="K1403" s="6">
        <v>-0.1286</v>
      </c>
    </row>
    <row r="1404" ht="14.5" spans="1:11">
      <c r="A1404" s="3" t="str">
        <f t="shared" si="87"/>
        <v>2026年</v>
      </c>
      <c r="B1404" s="3" t="str">
        <f t="shared" si="88"/>
        <v>2月</v>
      </c>
      <c r="C1404" s="4" t="str">
        <f t="shared" si="89"/>
        <v>W6</v>
      </c>
      <c r="D1404" s="2" t="s">
        <v>776</v>
      </c>
      <c r="E1404" s="2" t="s">
        <v>737</v>
      </c>
      <c r="F1404" s="2" t="str" cm="1">
        <f t="array" ref="F1404">INDEX(_xlfn.TEXTSPLIT(E1404,"-"),2)</f>
        <v>女装</v>
      </c>
      <c r="G1404" s="2" t="str" cm="1">
        <f t="array" ref="G1404">INDEX(_xlfn.TEXTSPLIT(E1404,"-"),3)</f>
        <v>风衣</v>
      </c>
      <c r="H1404" s="5">
        <v>106717</v>
      </c>
      <c r="I1404" s="5">
        <v>19707243.33</v>
      </c>
      <c r="J1404" s="6">
        <v>0.0073</v>
      </c>
      <c r="K1404" s="6">
        <v>-0.0739</v>
      </c>
    </row>
    <row r="1405" ht="14.5" spans="1:11">
      <c r="A1405" s="3" t="str">
        <f t="shared" si="87"/>
        <v>2026年</v>
      </c>
      <c r="B1405" s="3" t="str">
        <f t="shared" si="88"/>
        <v>2月</v>
      </c>
      <c r="C1405" s="4" t="str">
        <f t="shared" si="89"/>
        <v>W6</v>
      </c>
      <c r="D1405" s="2" t="s">
        <v>776</v>
      </c>
      <c r="E1405" s="2" t="s">
        <v>738</v>
      </c>
      <c r="F1405" s="2" t="str" cm="1">
        <f t="array" ref="F1405">INDEX(_xlfn.TEXTSPLIT(E1405,"-"),2)</f>
        <v>女装</v>
      </c>
      <c r="G1405" s="2" t="str" cm="1">
        <f t="array" ref="G1405">INDEX(_xlfn.TEXTSPLIT(E1405,"-"),3)</f>
        <v>马夹</v>
      </c>
      <c r="H1405" s="5">
        <v>371713</v>
      </c>
      <c r="I1405" s="5">
        <v>39537948.32</v>
      </c>
      <c r="J1405" s="6">
        <v>0.0146</v>
      </c>
      <c r="K1405" s="6">
        <v>-0.0591</v>
      </c>
    </row>
    <row r="1406" ht="14.5" spans="1:11">
      <c r="A1406" s="3" t="str">
        <f t="shared" si="87"/>
        <v>2026年</v>
      </c>
      <c r="B1406" s="3" t="str">
        <f t="shared" si="88"/>
        <v>2月</v>
      </c>
      <c r="C1406" s="4" t="str">
        <f t="shared" si="89"/>
        <v>W7</v>
      </c>
      <c r="D1406" s="2" t="s">
        <v>777</v>
      </c>
      <c r="E1406" s="2" t="s">
        <v>702</v>
      </c>
      <c r="F1406" s="2" t="str" cm="1">
        <f t="array" ref="F1406">INDEX(_xlfn.TEXTSPLIT(E1406,"-"),2)</f>
        <v>女装</v>
      </c>
      <c r="G1406" s="2" t="str" cm="1">
        <f t="array" ref="G1406">INDEX(_xlfn.TEXTSPLIT(E1406,"-"),3)</f>
        <v>POLO衫</v>
      </c>
      <c r="H1406" s="5">
        <v>12565</v>
      </c>
      <c r="I1406" s="5">
        <v>751495.59</v>
      </c>
      <c r="J1406" s="6">
        <v>0.0003</v>
      </c>
      <c r="K1406" s="6">
        <v>-0.2319</v>
      </c>
    </row>
    <row r="1407" ht="14.5" spans="1:11">
      <c r="A1407" s="3" t="str">
        <f t="shared" si="87"/>
        <v>2026年</v>
      </c>
      <c r="B1407" s="3" t="str">
        <f t="shared" si="88"/>
        <v>2月</v>
      </c>
      <c r="C1407" s="4" t="str">
        <f t="shared" si="89"/>
        <v>W7</v>
      </c>
      <c r="D1407" s="2" t="s">
        <v>777</v>
      </c>
      <c r="E1407" s="2" t="s">
        <v>703</v>
      </c>
      <c r="F1407" s="2" t="str" cm="1">
        <f t="array" ref="F1407">INDEX(_xlfn.TEXTSPLIT(E1407,"-"),2)</f>
        <v>女装</v>
      </c>
      <c r="G1407" s="2" t="str" cm="1">
        <f t="array" ref="G1407">INDEX(_xlfn.TEXTSPLIT(E1407,"-"),3)</f>
        <v>T恤</v>
      </c>
      <c r="H1407" s="5">
        <v>1150692</v>
      </c>
      <c r="I1407" s="5">
        <v>65857624.11</v>
      </c>
      <c r="J1407" s="6">
        <v>0.0291</v>
      </c>
      <c r="K1407" s="6">
        <v>-0.1089</v>
      </c>
    </row>
    <row r="1408" ht="14.5" spans="1:11">
      <c r="A1408" s="3" t="str">
        <f t="shared" si="87"/>
        <v>2026年</v>
      </c>
      <c r="B1408" s="3" t="str">
        <f t="shared" si="88"/>
        <v>2月</v>
      </c>
      <c r="C1408" s="4" t="str">
        <f t="shared" si="89"/>
        <v>W7</v>
      </c>
      <c r="D1408" s="2" t="s">
        <v>777</v>
      </c>
      <c r="E1408" s="2" t="s">
        <v>704</v>
      </c>
      <c r="F1408" s="2" t="str" cm="1">
        <f t="array" ref="F1408">INDEX(_xlfn.TEXTSPLIT(E1408,"-"),2)</f>
        <v>女装</v>
      </c>
      <c r="G1408" s="2" t="str" cm="1">
        <f t="array" ref="G1408">INDEX(_xlfn.TEXTSPLIT(E1408,"-"),3)</f>
        <v>中老年女装</v>
      </c>
      <c r="H1408" s="5">
        <v>331063</v>
      </c>
      <c r="I1408" s="5">
        <v>39793895.47</v>
      </c>
      <c r="J1408" s="6">
        <v>0.0176</v>
      </c>
      <c r="K1408" s="6">
        <v>-0.1715</v>
      </c>
    </row>
    <row r="1409" ht="14.5" spans="1:11">
      <c r="A1409" s="3" t="str">
        <f t="shared" si="87"/>
        <v>2026年</v>
      </c>
      <c r="B1409" s="3" t="str">
        <f t="shared" si="88"/>
        <v>2月</v>
      </c>
      <c r="C1409" s="4" t="str">
        <f t="shared" si="89"/>
        <v>W7</v>
      </c>
      <c r="D1409" s="2" t="s">
        <v>777</v>
      </c>
      <c r="E1409" s="2" t="s">
        <v>705</v>
      </c>
      <c r="F1409" s="2" t="str" cm="1">
        <f t="array" ref="F1409">INDEX(_xlfn.TEXTSPLIT(E1409,"-"),2)</f>
        <v>女装</v>
      </c>
      <c r="G1409" s="2" t="str" cm="1">
        <f t="array" ref="G1409">INDEX(_xlfn.TEXTSPLIT(E1409,"-"),3)</f>
        <v>半身裙</v>
      </c>
      <c r="H1409" s="5">
        <v>547983</v>
      </c>
      <c r="I1409" s="5">
        <v>46054706.05</v>
      </c>
      <c r="J1409" s="6">
        <v>0.0204</v>
      </c>
      <c r="K1409" s="6">
        <v>-0.2065</v>
      </c>
    </row>
    <row r="1410" ht="14.5" spans="1:11">
      <c r="A1410" s="3" t="str">
        <f t="shared" si="87"/>
        <v>2026年</v>
      </c>
      <c r="B1410" s="3" t="str">
        <f t="shared" si="88"/>
        <v>2月</v>
      </c>
      <c r="C1410" s="4" t="str">
        <f t="shared" si="89"/>
        <v>W7</v>
      </c>
      <c r="D1410" s="2" t="s">
        <v>777</v>
      </c>
      <c r="E1410" s="2" t="s">
        <v>706</v>
      </c>
      <c r="F1410" s="2" t="str" cm="1">
        <f t="array" ref="F1410">INDEX(_xlfn.TEXTSPLIT(E1410,"-"),2)</f>
        <v>女装</v>
      </c>
      <c r="G1410" s="2" t="str" cm="1">
        <f t="array" ref="G1410">INDEX(_xlfn.TEXTSPLIT(E1410,"-"),3)</f>
        <v>卫衣/绒衫</v>
      </c>
      <c r="H1410" s="5">
        <v>283788</v>
      </c>
      <c r="I1410" s="5">
        <v>23721573.08</v>
      </c>
      <c r="J1410" s="6">
        <v>0.0105</v>
      </c>
      <c r="K1410" s="6">
        <v>-0.2487</v>
      </c>
    </row>
    <row r="1411" ht="14.5" spans="1:11">
      <c r="A1411" s="3" t="str">
        <f t="shared" si="87"/>
        <v>2026年</v>
      </c>
      <c r="B1411" s="3" t="str">
        <f t="shared" si="88"/>
        <v>2月</v>
      </c>
      <c r="C1411" s="4" t="str">
        <f t="shared" si="89"/>
        <v>W7</v>
      </c>
      <c r="D1411" s="2" t="s">
        <v>777</v>
      </c>
      <c r="E1411" s="2" t="s">
        <v>707</v>
      </c>
      <c r="F1411" s="2" t="str" cm="1">
        <f t="array" ref="F1411">INDEX(_xlfn.TEXTSPLIT(E1411,"-"),2)</f>
        <v>女装</v>
      </c>
      <c r="G1411" s="2" t="str" cm="1">
        <f t="array" ref="G1411">INDEX(_xlfn.TEXTSPLIT(E1411,"-"),3)</f>
        <v>唐装/民族服装/舞台服装</v>
      </c>
      <c r="H1411" s="5">
        <v>202647</v>
      </c>
      <c r="I1411" s="5">
        <v>35015828.4</v>
      </c>
      <c r="J1411" s="6">
        <v>0.0155</v>
      </c>
      <c r="K1411" s="6">
        <v>-0.2291</v>
      </c>
    </row>
    <row r="1412" ht="14.5" spans="1:11">
      <c r="A1412" s="3" t="str">
        <f t="shared" si="87"/>
        <v>2026年</v>
      </c>
      <c r="B1412" s="3" t="str">
        <f t="shared" si="88"/>
        <v>2月</v>
      </c>
      <c r="C1412" s="4" t="str">
        <f t="shared" si="89"/>
        <v>W7</v>
      </c>
      <c r="D1412" s="2" t="s">
        <v>777</v>
      </c>
      <c r="E1412" s="2" t="s">
        <v>708</v>
      </c>
      <c r="F1412" s="2" t="str" cm="1">
        <f t="array" ref="F1412">INDEX(_xlfn.TEXTSPLIT(E1412,"-"),2)</f>
        <v>女装</v>
      </c>
      <c r="G1412" s="2" t="str" cm="1">
        <f t="array" ref="G1412">INDEX(_xlfn.TEXTSPLIT(E1412,"-"),3)</f>
        <v>大码女装</v>
      </c>
      <c r="H1412" s="5">
        <v>393936</v>
      </c>
      <c r="I1412" s="5">
        <v>35316243.71</v>
      </c>
      <c r="J1412" s="6">
        <v>0.0156</v>
      </c>
      <c r="K1412" s="6">
        <v>-0.1614</v>
      </c>
    </row>
    <row r="1413" ht="14.5" spans="1:11">
      <c r="A1413" s="3" t="str">
        <f t="shared" si="87"/>
        <v>2026年</v>
      </c>
      <c r="B1413" s="3" t="str">
        <f t="shared" si="88"/>
        <v>2月</v>
      </c>
      <c r="C1413" s="4" t="str">
        <f t="shared" si="89"/>
        <v>W7</v>
      </c>
      <c r="D1413" s="2" t="s">
        <v>777</v>
      </c>
      <c r="E1413" s="2" t="s">
        <v>709</v>
      </c>
      <c r="F1413" s="2" t="str" cm="1">
        <f t="array" ref="F1413">INDEX(_xlfn.TEXTSPLIT(E1413,"-"),2)</f>
        <v>女装</v>
      </c>
      <c r="G1413" s="2" t="str" cm="1">
        <f t="array" ref="G1413">INDEX(_xlfn.TEXTSPLIT(E1413,"-"),3)</f>
        <v>套装/学生校服/工作制服</v>
      </c>
      <c r="H1413" s="5">
        <v>585988</v>
      </c>
      <c r="I1413" s="5">
        <v>83979582.59</v>
      </c>
      <c r="J1413" s="6">
        <v>0.0371</v>
      </c>
      <c r="K1413" s="6">
        <v>-0.1818</v>
      </c>
    </row>
    <row r="1414" ht="14.5" spans="1:11">
      <c r="A1414" s="3" t="str">
        <f t="shared" si="87"/>
        <v>2026年</v>
      </c>
      <c r="B1414" s="3" t="str">
        <f t="shared" si="88"/>
        <v>2月</v>
      </c>
      <c r="C1414" s="4" t="str">
        <f t="shared" si="89"/>
        <v>W7</v>
      </c>
      <c r="D1414" s="2" t="s">
        <v>777</v>
      </c>
      <c r="E1414" s="2" t="s">
        <v>710</v>
      </c>
      <c r="F1414" s="2" t="str" cm="1">
        <f t="array" ref="F1414">INDEX(_xlfn.TEXTSPLIT(E1414,"-"),2)</f>
        <v>女装</v>
      </c>
      <c r="G1414" s="2" t="str" cm="1">
        <f t="array" ref="G1414">INDEX(_xlfn.TEXTSPLIT(E1414,"-"),3)</f>
        <v>婚纱/旗袍/礼服</v>
      </c>
      <c r="H1414" s="5">
        <v>64833</v>
      </c>
      <c r="I1414" s="5">
        <v>6819780.58</v>
      </c>
      <c r="J1414" s="6">
        <v>0.003</v>
      </c>
      <c r="K1414" s="6">
        <v>0.0414</v>
      </c>
    </row>
    <row r="1415" ht="14.5" spans="1:11">
      <c r="A1415" s="3" t="str">
        <f t="shared" si="87"/>
        <v>2026年</v>
      </c>
      <c r="B1415" s="3" t="str">
        <f t="shared" si="88"/>
        <v>2月</v>
      </c>
      <c r="C1415" s="4" t="str">
        <f t="shared" si="89"/>
        <v>W7</v>
      </c>
      <c r="D1415" s="2" t="s">
        <v>777</v>
      </c>
      <c r="E1415" s="2" t="s">
        <v>711</v>
      </c>
      <c r="F1415" s="2" t="str" cm="1">
        <f t="array" ref="F1415">INDEX(_xlfn.TEXTSPLIT(E1415,"-"),2)</f>
        <v>女装</v>
      </c>
      <c r="G1415" s="2" t="str" cm="1">
        <f t="array" ref="G1415">INDEX(_xlfn.TEXTSPLIT(E1415,"-"),3)</f>
        <v>新中式女装</v>
      </c>
      <c r="H1415" s="5">
        <v>78338</v>
      </c>
      <c r="I1415" s="5">
        <v>9696276.15</v>
      </c>
      <c r="J1415" s="6">
        <v>0.0043</v>
      </c>
      <c r="K1415" s="6">
        <v>-0.5783</v>
      </c>
    </row>
    <row r="1416" ht="14.5" spans="1:11">
      <c r="A1416" s="3" t="str">
        <f t="shared" si="87"/>
        <v>2026年</v>
      </c>
      <c r="B1416" s="3" t="str">
        <f t="shared" si="88"/>
        <v>2月</v>
      </c>
      <c r="C1416" s="4" t="str">
        <f t="shared" si="89"/>
        <v>W7</v>
      </c>
      <c r="D1416" s="2" t="s">
        <v>777</v>
      </c>
      <c r="E1416" s="2" t="s">
        <v>712</v>
      </c>
      <c r="F1416" s="2" t="str" cm="1">
        <f t="array" ref="F1416">INDEX(_xlfn.TEXTSPLIT(E1416,"-"),2)</f>
        <v>女装</v>
      </c>
      <c r="G1416" s="2" t="str" cm="1">
        <f t="array" ref="G1416">INDEX(_xlfn.TEXTSPLIT(E1416,"-"),3)</f>
        <v>时尚防晒服</v>
      </c>
      <c r="H1416" s="5">
        <v>465</v>
      </c>
      <c r="I1416" s="5">
        <v>113788.08</v>
      </c>
      <c r="J1416" s="6">
        <v>0.0001</v>
      </c>
      <c r="K1416" s="6">
        <v>1.591</v>
      </c>
    </row>
    <row r="1417" ht="14.5" spans="1:11">
      <c r="A1417" s="3" t="str">
        <f t="shared" si="87"/>
        <v>2026年</v>
      </c>
      <c r="B1417" s="3" t="str">
        <f t="shared" si="88"/>
        <v>2月</v>
      </c>
      <c r="C1417" s="4" t="str">
        <f t="shared" si="89"/>
        <v>W7</v>
      </c>
      <c r="D1417" s="2" t="s">
        <v>777</v>
      </c>
      <c r="E1417" s="2" t="s">
        <v>714</v>
      </c>
      <c r="F1417" s="2" t="str" cm="1">
        <f t="array" ref="F1417">INDEX(_xlfn.TEXTSPLIT(E1417,"-"),2)</f>
        <v>女装</v>
      </c>
      <c r="G1417" s="2" t="str" cm="1">
        <f t="array" ref="G1417">INDEX(_xlfn.TEXTSPLIT(E1417,"-"),3)</f>
        <v>棉衣/棉服</v>
      </c>
      <c r="H1417" s="5">
        <v>459942</v>
      </c>
      <c r="I1417" s="5">
        <v>51443793.49</v>
      </c>
      <c r="J1417" s="6">
        <v>0.0227</v>
      </c>
      <c r="K1417" s="6">
        <v>-0.0849</v>
      </c>
    </row>
    <row r="1418" ht="14.5" spans="1:11">
      <c r="A1418" s="3" t="str">
        <f t="shared" si="87"/>
        <v>2026年</v>
      </c>
      <c r="B1418" s="3" t="str">
        <f t="shared" si="88"/>
        <v>2月</v>
      </c>
      <c r="C1418" s="4" t="str">
        <f t="shared" si="89"/>
        <v>W7</v>
      </c>
      <c r="D1418" s="2" t="s">
        <v>777</v>
      </c>
      <c r="E1418" s="2" t="s">
        <v>715</v>
      </c>
      <c r="F1418" s="2" t="str" cm="1">
        <f t="array" ref="F1418">INDEX(_xlfn.TEXTSPLIT(E1418,"-"),2)</f>
        <v>女装</v>
      </c>
      <c r="G1418" s="2" t="str" cm="1">
        <f t="array" ref="G1418">INDEX(_xlfn.TEXTSPLIT(E1418,"-"),3)</f>
        <v>毛呢外套</v>
      </c>
      <c r="H1418" s="5">
        <v>662152</v>
      </c>
      <c r="I1418" s="5">
        <v>248716297.45</v>
      </c>
      <c r="J1418" s="6">
        <v>0.1099</v>
      </c>
      <c r="K1418" s="6">
        <v>-0.1827</v>
      </c>
    </row>
    <row r="1419" ht="14.5" spans="1:11">
      <c r="A1419" s="3" t="str">
        <f t="shared" si="87"/>
        <v>2026年</v>
      </c>
      <c r="B1419" s="3" t="str">
        <f t="shared" si="88"/>
        <v>2月</v>
      </c>
      <c r="C1419" s="4" t="str">
        <f t="shared" si="89"/>
        <v>W7</v>
      </c>
      <c r="D1419" s="2" t="s">
        <v>777</v>
      </c>
      <c r="E1419" s="2" t="s">
        <v>716</v>
      </c>
      <c r="F1419" s="2" t="str" cm="1">
        <f t="array" ref="F1419">INDEX(_xlfn.TEXTSPLIT(E1419,"-"),2)</f>
        <v>女装</v>
      </c>
      <c r="G1419" s="2" t="str" cm="1">
        <f t="array" ref="G1419">INDEX(_xlfn.TEXTSPLIT(E1419,"-"),3)</f>
        <v>毛衣</v>
      </c>
      <c r="H1419" s="5">
        <v>329981</v>
      </c>
      <c r="I1419" s="5">
        <v>32327039.51</v>
      </c>
      <c r="J1419" s="6">
        <v>0.0143</v>
      </c>
      <c r="K1419" s="6">
        <v>0.0951</v>
      </c>
    </row>
    <row r="1420" ht="14.5" spans="1:11">
      <c r="A1420" s="3" t="str">
        <f t="shared" si="87"/>
        <v>2026年</v>
      </c>
      <c r="B1420" s="3" t="str">
        <f t="shared" si="88"/>
        <v>2月</v>
      </c>
      <c r="C1420" s="4" t="str">
        <f t="shared" si="89"/>
        <v>W7</v>
      </c>
      <c r="D1420" s="2" t="s">
        <v>777</v>
      </c>
      <c r="E1420" s="2" t="s">
        <v>717</v>
      </c>
      <c r="F1420" s="2" t="str" cm="1">
        <f t="array" ref="F1420">INDEX(_xlfn.TEXTSPLIT(E1420,"-"),2)</f>
        <v>女装</v>
      </c>
      <c r="G1420" s="2" t="str" cm="1">
        <f t="array" ref="G1420">INDEX(_xlfn.TEXTSPLIT(E1420,"-"),3)</f>
        <v>毛针织衫</v>
      </c>
      <c r="H1420" s="5">
        <v>1555884</v>
      </c>
      <c r="I1420" s="5">
        <v>131654274.88</v>
      </c>
      <c r="J1420" s="6">
        <v>0.0582</v>
      </c>
      <c r="K1420" s="6">
        <v>-0.174</v>
      </c>
    </row>
    <row r="1421" ht="14.5" spans="1:11">
      <c r="A1421" s="3" t="str">
        <f t="shared" si="87"/>
        <v>2026年</v>
      </c>
      <c r="B1421" s="3" t="str">
        <f t="shared" si="88"/>
        <v>2月</v>
      </c>
      <c r="C1421" s="4" t="str">
        <f t="shared" si="89"/>
        <v>W7</v>
      </c>
      <c r="D1421" s="2" t="s">
        <v>777</v>
      </c>
      <c r="E1421" s="2" t="s">
        <v>718</v>
      </c>
      <c r="F1421" s="2" t="str" cm="1">
        <f t="array" ref="F1421">INDEX(_xlfn.TEXTSPLIT(E1421,"-"),2)</f>
        <v>女装</v>
      </c>
      <c r="G1421" s="2" t="str" cm="1">
        <f t="array" ref="G1421">INDEX(_xlfn.TEXTSPLIT(E1421,"-"),3)</f>
        <v>汉服</v>
      </c>
      <c r="H1421" s="5">
        <v>84864</v>
      </c>
      <c r="I1421" s="5">
        <v>46256182.35</v>
      </c>
      <c r="J1421" s="6">
        <v>0.0204</v>
      </c>
      <c r="K1421" s="6">
        <v>0.0708</v>
      </c>
    </row>
    <row r="1422" ht="14.5" spans="1:11">
      <c r="A1422" s="3" t="str">
        <f t="shared" si="87"/>
        <v>2026年</v>
      </c>
      <c r="B1422" s="3" t="str">
        <f t="shared" si="88"/>
        <v>2月</v>
      </c>
      <c r="C1422" s="4" t="str">
        <f t="shared" si="89"/>
        <v>W7</v>
      </c>
      <c r="D1422" s="2" t="s">
        <v>777</v>
      </c>
      <c r="E1422" s="2" t="s">
        <v>719</v>
      </c>
      <c r="F1422" s="2" t="str" cm="1">
        <f t="array" ref="F1422">INDEX(_xlfn.TEXTSPLIT(E1422,"-"),2)</f>
        <v>女装</v>
      </c>
      <c r="G1422" s="2" t="str" cm="1">
        <f t="array" ref="G1422">INDEX(_xlfn.TEXTSPLIT(E1422,"-"),3)</f>
        <v>派克服</v>
      </c>
      <c r="H1422" s="5">
        <v>39182</v>
      </c>
      <c r="I1422" s="5">
        <v>7409037.2</v>
      </c>
      <c r="J1422" s="6">
        <v>0.0033</v>
      </c>
      <c r="K1422" s="6">
        <v>-0.2243</v>
      </c>
    </row>
    <row r="1423" ht="14.5" spans="1:11">
      <c r="A1423" s="3" t="str">
        <f t="shared" si="87"/>
        <v>2026年</v>
      </c>
      <c r="B1423" s="3" t="str">
        <f t="shared" si="88"/>
        <v>2月</v>
      </c>
      <c r="C1423" s="4" t="str">
        <f t="shared" si="89"/>
        <v>W7</v>
      </c>
      <c r="D1423" s="2" t="s">
        <v>777</v>
      </c>
      <c r="E1423" s="2" t="s">
        <v>720</v>
      </c>
      <c r="F1423" s="2" t="str" cm="1">
        <f t="array" ref="F1423">INDEX(_xlfn.TEXTSPLIT(E1423,"-"),2)</f>
        <v>女装</v>
      </c>
      <c r="G1423" s="2" t="str" cm="1">
        <f t="array" ref="G1423">INDEX(_xlfn.TEXTSPLIT(E1423,"-"),3)</f>
        <v>皮草</v>
      </c>
      <c r="H1423" s="5">
        <v>154374</v>
      </c>
      <c r="I1423" s="5">
        <v>236817111.99</v>
      </c>
      <c r="J1423" s="6">
        <v>0.1047</v>
      </c>
      <c r="K1423" s="6">
        <v>-0.0561</v>
      </c>
    </row>
    <row r="1424" ht="14.5" spans="1:11">
      <c r="A1424" s="3" t="str">
        <f t="shared" si="87"/>
        <v>2026年</v>
      </c>
      <c r="B1424" s="3" t="str">
        <f t="shared" si="88"/>
        <v>2月</v>
      </c>
      <c r="C1424" s="4" t="str">
        <f t="shared" si="89"/>
        <v>W7</v>
      </c>
      <c r="D1424" s="2" t="s">
        <v>777</v>
      </c>
      <c r="E1424" s="2" t="s">
        <v>721</v>
      </c>
      <c r="F1424" s="2" t="str" cm="1">
        <f t="array" ref="F1424">INDEX(_xlfn.TEXTSPLIT(E1424,"-"),2)</f>
        <v>女装</v>
      </c>
      <c r="G1424" s="2" t="str" cm="1">
        <f t="array" ref="G1424">INDEX(_xlfn.TEXTSPLIT(E1424,"-"),3)</f>
        <v>皮衣</v>
      </c>
      <c r="H1424" s="5">
        <v>127807</v>
      </c>
      <c r="I1424" s="5">
        <v>38097513.43</v>
      </c>
      <c r="J1424" s="6">
        <v>0.0168</v>
      </c>
      <c r="K1424" s="6">
        <v>-0.1843</v>
      </c>
    </row>
    <row r="1425" ht="14.5" spans="1:11">
      <c r="A1425" s="3" t="str">
        <f t="shared" si="87"/>
        <v>2026年</v>
      </c>
      <c r="B1425" s="3" t="str">
        <f t="shared" si="88"/>
        <v>2月</v>
      </c>
      <c r="C1425" s="4" t="str">
        <f t="shared" si="89"/>
        <v>W7</v>
      </c>
      <c r="D1425" s="2" t="s">
        <v>777</v>
      </c>
      <c r="E1425" s="2" t="s">
        <v>722</v>
      </c>
      <c r="F1425" s="2" t="str" cm="1">
        <f t="array" ref="F1425">INDEX(_xlfn.TEXTSPLIT(E1425,"-"),2)</f>
        <v>女装</v>
      </c>
      <c r="G1425" s="2" t="str" cm="1">
        <f t="array" ref="G1425">INDEX(_xlfn.TEXTSPLIT(E1425,"-"),3)</f>
        <v>短外套</v>
      </c>
      <c r="H1425" s="5">
        <v>896324</v>
      </c>
      <c r="I1425" s="5">
        <v>178927685.56</v>
      </c>
      <c r="J1425" s="6">
        <v>0.0791</v>
      </c>
      <c r="K1425" s="6">
        <v>-0.1928</v>
      </c>
    </row>
    <row r="1426" ht="14.5" spans="1:11">
      <c r="A1426" s="3" t="str">
        <f t="shared" si="87"/>
        <v>2026年</v>
      </c>
      <c r="B1426" s="3" t="str">
        <f t="shared" si="88"/>
        <v>2月</v>
      </c>
      <c r="C1426" s="4" t="str">
        <f t="shared" si="89"/>
        <v>W7</v>
      </c>
      <c r="D1426" s="2" t="s">
        <v>777</v>
      </c>
      <c r="E1426" s="2" t="s">
        <v>723</v>
      </c>
      <c r="F1426" s="2" t="str" cm="1">
        <f t="array" ref="F1426">INDEX(_xlfn.TEXTSPLIT(E1426,"-"),2)</f>
        <v>女装</v>
      </c>
      <c r="G1426" s="2" t="str" cm="1">
        <f t="array" ref="G1426">INDEX(_xlfn.TEXTSPLIT(E1426,"-"),3)</f>
        <v>短裤</v>
      </c>
      <c r="H1426" s="5">
        <v>84837</v>
      </c>
      <c r="I1426" s="5">
        <v>4589442.33</v>
      </c>
      <c r="J1426" s="6">
        <v>0.002</v>
      </c>
      <c r="K1426" s="6">
        <v>-0.2259</v>
      </c>
    </row>
    <row r="1427" ht="14.5" spans="1:11">
      <c r="A1427" s="3" t="str">
        <f t="shared" si="87"/>
        <v>2026年</v>
      </c>
      <c r="B1427" s="3" t="str">
        <f t="shared" si="88"/>
        <v>2月</v>
      </c>
      <c r="C1427" s="4" t="str">
        <f t="shared" si="89"/>
        <v>W7</v>
      </c>
      <c r="D1427" s="2" t="s">
        <v>777</v>
      </c>
      <c r="E1427" s="2" t="s">
        <v>724</v>
      </c>
      <c r="F1427" s="2" t="str" cm="1">
        <f t="array" ref="F1427">INDEX(_xlfn.TEXTSPLIT(E1427,"-"),2)</f>
        <v>女装</v>
      </c>
      <c r="G1427" s="2" t="str" cm="1">
        <f t="array" ref="G1427">INDEX(_xlfn.TEXTSPLIT(E1427,"-"),3)</f>
        <v>羊毛衫</v>
      </c>
      <c r="H1427" s="5">
        <v>293267</v>
      </c>
      <c r="I1427" s="5">
        <v>39326535.12</v>
      </c>
      <c r="J1427" s="6">
        <v>0.0174</v>
      </c>
      <c r="K1427" s="6">
        <v>-0.1548</v>
      </c>
    </row>
    <row r="1428" ht="14.5" spans="1:11">
      <c r="A1428" s="3" t="str">
        <f t="shared" si="87"/>
        <v>2026年</v>
      </c>
      <c r="B1428" s="3" t="str">
        <f t="shared" si="88"/>
        <v>2月</v>
      </c>
      <c r="C1428" s="4" t="str">
        <f t="shared" si="89"/>
        <v>W7</v>
      </c>
      <c r="D1428" s="2" t="s">
        <v>777</v>
      </c>
      <c r="E1428" s="2" t="s">
        <v>725</v>
      </c>
      <c r="F1428" s="2" t="str" cm="1">
        <f t="array" ref="F1428">INDEX(_xlfn.TEXTSPLIT(E1428,"-"),2)</f>
        <v>女装</v>
      </c>
      <c r="G1428" s="2" t="str" cm="1">
        <f t="array" ref="G1428">INDEX(_xlfn.TEXTSPLIT(E1428,"-"),3)</f>
        <v>羊绒大衣</v>
      </c>
      <c r="H1428" s="5">
        <v>10330</v>
      </c>
      <c r="I1428" s="5">
        <v>3586237.44</v>
      </c>
      <c r="J1428" s="6">
        <v>0.0016</v>
      </c>
      <c r="K1428" s="6">
        <v>0.0625</v>
      </c>
    </row>
    <row r="1429" ht="14.5" spans="1:11">
      <c r="A1429" s="3" t="str">
        <f t="shared" si="87"/>
        <v>2026年</v>
      </c>
      <c r="B1429" s="3" t="str">
        <f t="shared" si="88"/>
        <v>2月</v>
      </c>
      <c r="C1429" s="4" t="str">
        <f t="shared" si="89"/>
        <v>W7</v>
      </c>
      <c r="D1429" s="2" t="s">
        <v>777</v>
      </c>
      <c r="E1429" s="2" t="s">
        <v>726</v>
      </c>
      <c r="F1429" s="2" t="str" cm="1">
        <f t="array" ref="F1429">INDEX(_xlfn.TEXTSPLIT(E1429,"-"),2)</f>
        <v>女装</v>
      </c>
      <c r="G1429" s="2" t="str" cm="1">
        <f t="array" ref="G1429">INDEX(_xlfn.TEXTSPLIT(E1429,"-"),3)</f>
        <v>羊绒衫</v>
      </c>
      <c r="H1429" s="5">
        <v>81389</v>
      </c>
      <c r="I1429" s="5">
        <v>28049305.82</v>
      </c>
      <c r="J1429" s="6">
        <v>0.0124</v>
      </c>
      <c r="K1429" s="6">
        <v>-0.1371</v>
      </c>
    </row>
    <row r="1430" ht="14.5" spans="1:11">
      <c r="A1430" s="3" t="str">
        <f t="shared" si="87"/>
        <v>2026年</v>
      </c>
      <c r="B1430" s="3" t="str">
        <f t="shared" si="88"/>
        <v>2月</v>
      </c>
      <c r="C1430" s="4" t="str">
        <f t="shared" si="89"/>
        <v>W7</v>
      </c>
      <c r="D1430" s="2" t="s">
        <v>777</v>
      </c>
      <c r="E1430" s="2" t="s">
        <v>727</v>
      </c>
      <c r="F1430" s="2" t="str" cm="1">
        <f t="array" ref="F1430">INDEX(_xlfn.TEXTSPLIT(E1430,"-"),2)</f>
        <v>女装</v>
      </c>
      <c r="G1430" s="2" t="str" cm="1">
        <f t="array" ref="G1430">INDEX(_xlfn.TEXTSPLIT(E1430,"-"),3)</f>
        <v>羽绒服</v>
      </c>
      <c r="H1430" s="5">
        <v>1054426</v>
      </c>
      <c r="I1430" s="5">
        <v>379774815.77</v>
      </c>
      <c r="J1430" s="6">
        <v>0.1679</v>
      </c>
      <c r="K1430" s="6">
        <v>-0.1597</v>
      </c>
    </row>
    <row r="1431" ht="14.5" spans="1:11">
      <c r="A1431" s="3" t="str">
        <f t="shared" si="87"/>
        <v>2026年</v>
      </c>
      <c r="B1431" s="3" t="str">
        <f t="shared" si="88"/>
        <v>2月</v>
      </c>
      <c r="C1431" s="4" t="str">
        <f t="shared" si="89"/>
        <v>W7</v>
      </c>
      <c r="D1431" s="2" t="s">
        <v>777</v>
      </c>
      <c r="E1431" s="2" t="s">
        <v>728</v>
      </c>
      <c r="F1431" s="2" t="str" cm="1">
        <f t="array" ref="F1431">INDEX(_xlfn.TEXTSPLIT(E1431,"-"),2)</f>
        <v>女装</v>
      </c>
      <c r="G1431" s="2" t="str" cm="1">
        <f t="array" ref="G1431">INDEX(_xlfn.TEXTSPLIT(E1431,"-"),3)</f>
        <v>肌底衣/肌肤衣</v>
      </c>
      <c r="H1431" s="5">
        <v>3463</v>
      </c>
      <c r="I1431" s="5">
        <v>185658.05</v>
      </c>
      <c r="J1431" s="6">
        <v>0.0001</v>
      </c>
      <c r="K1431" s="6">
        <v>-0.4184</v>
      </c>
    </row>
    <row r="1432" ht="14.5" spans="1:11">
      <c r="A1432" s="3" t="str">
        <f t="shared" si="87"/>
        <v>2026年</v>
      </c>
      <c r="B1432" s="3" t="str">
        <f t="shared" si="88"/>
        <v>2月</v>
      </c>
      <c r="C1432" s="4" t="str">
        <f t="shared" si="89"/>
        <v>W7</v>
      </c>
      <c r="D1432" s="2" t="s">
        <v>777</v>
      </c>
      <c r="E1432" s="2" t="s">
        <v>729</v>
      </c>
      <c r="F1432" s="2" t="str" cm="1">
        <f t="array" ref="F1432">INDEX(_xlfn.TEXTSPLIT(E1432,"-"),2)</f>
        <v>女装</v>
      </c>
      <c r="G1432" s="2" t="str" cm="1">
        <f t="array" ref="G1432">INDEX(_xlfn.TEXTSPLIT(E1432,"-"),3)</f>
        <v>背心吊带</v>
      </c>
      <c r="H1432" s="5">
        <v>203066</v>
      </c>
      <c r="I1432" s="5">
        <v>10029585.38</v>
      </c>
      <c r="J1432" s="6">
        <v>0.0044</v>
      </c>
      <c r="K1432" s="6">
        <v>-0.259</v>
      </c>
    </row>
    <row r="1433" ht="14.5" spans="1:11">
      <c r="A1433" s="3" t="str">
        <f t="shared" si="87"/>
        <v>2026年</v>
      </c>
      <c r="B1433" s="3" t="str">
        <f t="shared" si="88"/>
        <v>2月</v>
      </c>
      <c r="C1433" s="4" t="str">
        <f t="shared" si="89"/>
        <v>W7</v>
      </c>
      <c r="D1433" s="2" t="s">
        <v>777</v>
      </c>
      <c r="E1433" s="2" t="s">
        <v>730</v>
      </c>
      <c r="F1433" s="2" t="str" cm="1">
        <f t="array" ref="F1433">INDEX(_xlfn.TEXTSPLIT(E1433,"-"),2)</f>
        <v>女装</v>
      </c>
      <c r="G1433" s="2" t="str" cm="1">
        <f t="array" ref="G1433">INDEX(_xlfn.TEXTSPLIT(E1433,"-"),3)</f>
        <v>蕾丝衫/雪纺衫</v>
      </c>
      <c r="H1433" s="5">
        <v>136855</v>
      </c>
      <c r="I1433" s="5">
        <v>9117493.41</v>
      </c>
      <c r="J1433" s="6">
        <v>0.004</v>
      </c>
      <c r="K1433" s="6">
        <v>-0.1546</v>
      </c>
    </row>
    <row r="1434" ht="14.5" spans="1:11">
      <c r="A1434" s="3" t="str">
        <f t="shared" si="87"/>
        <v>2026年</v>
      </c>
      <c r="B1434" s="3" t="str">
        <f t="shared" si="88"/>
        <v>2月</v>
      </c>
      <c r="C1434" s="4" t="str">
        <f t="shared" si="89"/>
        <v>W7</v>
      </c>
      <c r="D1434" s="2" t="s">
        <v>777</v>
      </c>
      <c r="E1434" s="2" t="s">
        <v>731</v>
      </c>
      <c r="F1434" s="2" t="str" cm="1">
        <f t="array" ref="F1434">INDEX(_xlfn.TEXTSPLIT(E1434,"-"),2)</f>
        <v>女装</v>
      </c>
      <c r="G1434" s="2" t="str" cm="1">
        <f t="array" ref="G1434">INDEX(_xlfn.TEXTSPLIT(E1434,"-"),3)</f>
        <v>衬衫</v>
      </c>
      <c r="H1434" s="5">
        <v>359544</v>
      </c>
      <c r="I1434" s="5">
        <v>40675350.28</v>
      </c>
      <c r="J1434" s="6">
        <v>0.018</v>
      </c>
      <c r="K1434" s="6">
        <v>-0.2128</v>
      </c>
    </row>
    <row r="1435" ht="14.5" spans="1:11">
      <c r="A1435" s="3" t="str">
        <f t="shared" si="87"/>
        <v>2026年</v>
      </c>
      <c r="B1435" s="3" t="str">
        <f t="shared" si="88"/>
        <v>2月</v>
      </c>
      <c r="C1435" s="4" t="str">
        <f t="shared" si="89"/>
        <v>W7</v>
      </c>
      <c r="D1435" s="2" t="s">
        <v>777</v>
      </c>
      <c r="E1435" s="2" t="s">
        <v>732</v>
      </c>
      <c r="F1435" s="2" t="str" cm="1">
        <f t="array" ref="F1435">INDEX(_xlfn.TEXTSPLIT(E1435,"-"),2)</f>
        <v>女装</v>
      </c>
      <c r="G1435" s="2" t="str" cm="1">
        <f t="array" ref="G1435">INDEX(_xlfn.TEXTSPLIT(E1435,"-"),3)</f>
        <v>裤子</v>
      </c>
      <c r="H1435" s="5">
        <v>2620939</v>
      </c>
      <c r="I1435" s="5">
        <v>259993802.81</v>
      </c>
      <c r="J1435" s="6">
        <v>0.1149</v>
      </c>
      <c r="K1435" s="6">
        <v>-0.1699</v>
      </c>
    </row>
    <row r="1436" ht="14.5" spans="1:11">
      <c r="A1436" s="3" t="str">
        <f t="shared" si="87"/>
        <v>2026年</v>
      </c>
      <c r="B1436" s="3" t="str">
        <f t="shared" si="88"/>
        <v>2月</v>
      </c>
      <c r="C1436" s="4" t="str">
        <f t="shared" si="89"/>
        <v>W7</v>
      </c>
      <c r="D1436" s="2" t="s">
        <v>777</v>
      </c>
      <c r="E1436" s="2" t="s">
        <v>733</v>
      </c>
      <c r="F1436" s="2" t="str" cm="1">
        <f t="array" ref="F1436">INDEX(_xlfn.TEXTSPLIT(E1436,"-"),2)</f>
        <v>女装</v>
      </c>
      <c r="G1436" s="2" t="str" cm="1">
        <f t="array" ref="G1436">INDEX(_xlfn.TEXTSPLIT(E1436,"-"),3)</f>
        <v>西装</v>
      </c>
      <c r="H1436" s="5">
        <v>53026</v>
      </c>
      <c r="I1436" s="5">
        <v>13924765.74</v>
      </c>
      <c r="J1436" s="6">
        <v>0.0062</v>
      </c>
      <c r="K1436" s="6">
        <v>-0.2633</v>
      </c>
    </row>
    <row r="1437" ht="14.5" spans="1:11">
      <c r="A1437" s="3" t="str">
        <f t="shared" si="87"/>
        <v>2026年</v>
      </c>
      <c r="B1437" s="3" t="str">
        <f t="shared" si="88"/>
        <v>2月</v>
      </c>
      <c r="C1437" s="4" t="str">
        <f t="shared" si="89"/>
        <v>W7</v>
      </c>
      <c r="D1437" s="2" t="s">
        <v>777</v>
      </c>
      <c r="E1437" s="2" t="s">
        <v>734</v>
      </c>
      <c r="F1437" s="2" t="str" cm="1">
        <f t="array" ref="F1437">INDEX(_xlfn.TEXTSPLIT(E1437,"-"),2)</f>
        <v>女装</v>
      </c>
      <c r="G1437" s="2" t="str" cm="1">
        <f t="array" ref="G1437">INDEX(_xlfn.TEXTSPLIT(E1437,"-"),3)</f>
        <v>设计师/潮牌女装</v>
      </c>
      <c r="H1437" s="5">
        <v>251766</v>
      </c>
      <c r="I1437" s="5">
        <v>29931675.34</v>
      </c>
      <c r="J1437" s="6">
        <v>0.0132</v>
      </c>
      <c r="K1437" s="6">
        <v>-0.3614</v>
      </c>
    </row>
    <row r="1438" ht="14.5" spans="1:11">
      <c r="A1438" s="3" t="str">
        <f t="shared" ref="A1438:A1501" si="90">TEXT(YEAR(D1438),"0")&amp;"年"</f>
        <v>2026年</v>
      </c>
      <c r="B1438" s="3" t="str">
        <f t="shared" ref="B1438:B1501" si="91">TEXT(MONTH(D1438),"0")&amp;"月"</f>
        <v>2月</v>
      </c>
      <c r="C1438" s="4" t="str">
        <f t="shared" ref="C1438:C1501" si="92">"W"&amp;TEXT(WEEKNUM(D1438,2),"0")</f>
        <v>W7</v>
      </c>
      <c r="D1438" s="2" t="s">
        <v>777</v>
      </c>
      <c r="E1438" s="2" t="s">
        <v>735</v>
      </c>
      <c r="F1438" s="2" t="str" cm="1">
        <f t="array" ref="F1438">INDEX(_xlfn.TEXTSPLIT(E1438,"-"),2)</f>
        <v>女装</v>
      </c>
      <c r="G1438" s="2" t="str" cm="1">
        <f t="array" ref="G1438">INDEX(_xlfn.TEXTSPLIT(E1438,"-"),3)</f>
        <v>连体衣/裤</v>
      </c>
      <c r="H1438" s="5">
        <v>7295</v>
      </c>
      <c r="I1438" s="5">
        <v>1650814.48</v>
      </c>
      <c r="J1438" s="6">
        <v>0.0007</v>
      </c>
      <c r="K1438" s="6">
        <v>-0.214</v>
      </c>
    </row>
    <row r="1439" ht="14.5" spans="1:11">
      <c r="A1439" s="3" t="str">
        <f t="shared" si="90"/>
        <v>2026年</v>
      </c>
      <c r="B1439" s="3" t="str">
        <f t="shared" si="91"/>
        <v>2月</v>
      </c>
      <c r="C1439" s="4" t="str">
        <f t="shared" si="92"/>
        <v>W7</v>
      </c>
      <c r="D1439" s="2" t="s">
        <v>777</v>
      </c>
      <c r="E1439" s="2" t="s">
        <v>736</v>
      </c>
      <c r="F1439" s="2" t="str" cm="1">
        <f t="array" ref="F1439">INDEX(_xlfn.TEXTSPLIT(E1439,"-"),2)</f>
        <v>女装</v>
      </c>
      <c r="G1439" s="2" t="str" cm="1">
        <f t="array" ref="G1439">INDEX(_xlfn.TEXTSPLIT(E1439,"-"),3)</f>
        <v>连衣裙</v>
      </c>
      <c r="H1439" s="5">
        <v>523635</v>
      </c>
      <c r="I1439" s="5">
        <v>76299678.13</v>
      </c>
      <c r="J1439" s="6">
        <v>0.0337</v>
      </c>
      <c r="K1439" s="6">
        <v>-0.1764</v>
      </c>
    </row>
    <row r="1440" ht="14.5" spans="1:11">
      <c r="A1440" s="3" t="str">
        <f t="shared" si="90"/>
        <v>2026年</v>
      </c>
      <c r="B1440" s="3" t="str">
        <f t="shared" si="91"/>
        <v>2月</v>
      </c>
      <c r="C1440" s="4" t="str">
        <f t="shared" si="92"/>
        <v>W7</v>
      </c>
      <c r="D1440" s="2" t="s">
        <v>777</v>
      </c>
      <c r="E1440" s="2" t="s">
        <v>737</v>
      </c>
      <c r="F1440" s="2" t="str" cm="1">
        <f t="array" ref="F1440">INDEX(_xlfn.TEXTSPLIT(E1440,"-"),2)</f>
        <v>女装</v>
      </c>
      <c r="G1440" s="2" t="str" cm="1">
        <f t="array" ref="G1440">INDEX(_xlfn.TEXTSPLIT(E1440,"-"),3)</f>
        <v>风衣</v>
      </c>
      <c r="H1440" s="5">
        <v>79685</v>
      </c>
      <c r="I1440" s="5">
        <v>15201165.79</v>
      </c>
      <c r="J1440" s="6">
        <v>0.0067</v>
      </c>
      <c r="K1440" s="6">
        <v>-0.2287</v>
      </c>
    </row>
    <row r="1441" ht="14.5" spans="1:11">
      <c r="A1441" s="3" t="str">
        <f t="shared" si="90"/>
        <v>2026年</v>
      </c>
      <c r="B1441" s="3" t="str">
        <f t="shared" si="91"/>
        <v>2月</v>
      </c>
      <c r="C1441" s="4" t="str">
        <f t="shared" si="92"/>
        <v>W7</v>
      </c>
      <c r="D1441" s="2" t="s">
        <v>777</v>
      </c>
      <c r="E1441" s="2" t="s">
        <v>738</v>
      </c>
      <c r="F1441" s="2" t="str" cm="1">
        <f t="array" ref="F1441">INDEX(_xlfn.TEXTSPLIT(E1441,"-"),2)</f>
        <v>女装</v>
      </c>
      <c r="G1441" s="2" t="str" cm="1">
        <f t="array" ref="G1441">INDEX(_xlfn.TEXTSPLIT(E1441,"-"),3)</f>
        <v>马夹</v>
      </c>
      <c r="H1441" s="5">
        <v>310103</v>
      </c>
      <c r="I1441" s="5">
        <v>31337219.77</v>
      </c>
      <c r="J1441" s="6">
        <v>0.0139</v>
      </c>
      <c r="K1441" s="6">
        <v>-0.2074</v>
      </c>
    </row>
    <row r="1442" ht="14.5" spans="1:11">
      <c r="A1442" s="3" t="str">
        <f t="shared" si="90"/>
        <v>2026年</v>
      </c>
      <c r="B1442" s="3" t="str">
        <f t="shared" si="91"/>
        <v>2月</v>
      </c>
      <c r="C1442" s="4" t="str">
        <f t="shared" si="92"/>
        <v>W7</v>
      </c>
      <c r="D1442" s="2" t="s">
        <v>778</v>
      </c>
      <c r="E1442" s="2" t="s">
        <v>702</v>
      </c>
      <c r="F1442" s="2" t="str" cm="1">
        <f t="array" ref="F1442">INDEX(_xlfn.TEXTSPLIT(E1442,"-"),2)</f>
        <v>女装</v>
      </c>
      <c r="G1442" s="2" t="str" cm="1">
        <f t="array" ref="G1442">INDEX(_xlfn.TEXTSPLIT(E1442,"-"),3)</f>
        <v>POLO衫</v>
      </c>
      <c r="H1442" s="5">
        <v>8027</v>
      </c>
      <c r="I1442" s="5">
        <v>570593.2</v>
      </c>
      <c r="J1442" s="6">
        <v>0.0003</v>
      </c>
      <c r="K1442" s="6">
        <v>-0.2407</v>
      </c>
    </row>
    <row r="1443" ht="14.5" spans="1:11">
      <c r="A1443" s="3" t="str">
        <f t="shared" si="90"/>
        <v>2026年</v>
      </c>
      <c r="B1443" s="3" t="str">
        <f t="shared" si="91"/>
        <v>2月</v>
      </c>
      <c r="C1443" s="4" t="str">
        <f t="shared" si="92"/>
        <v>W7</v>
      </c>
      <c r="D1443" s="2" t="s">
        <v>778</v>
      </c>
      <c r="E1443" s="2" t="s">
        <v>703</v>
      </c>
      <c r="F1443" s="2" t="str" cm="1">
        <f t="array" ref="F1443">INDEX(_xlfn.TEXTSPLIT(E1443,"-"),2)</f>
        <v>女装</v>
      </c>
      <c r="G1443" s="2" t="str" cm="1">
        <f t="array" ref="G1443">INDEX(_xlfn.TEXTSPLIT(E1443,"-"),3)</f>
        <v>T恤</v>
      </c>
      <c r="H1443" s="5">
        <v>1001582</v>
      </c>
      <c r="I1443" s="5">
        <v>58110005.74</v>
      </c>
      <c r="J1443" s="6">
        <v>0.0274</v>
      </c>
      <c r="K1443" s="6">
        <v>-0.1176</v>
      </c>
    </row>
    <row r="1444" ht="14.5" spans="1:11">
      <c r="A1444" s="3" t="str">
        <f t="shared" si="90"/>
        <v>2026年</v>
      </c>
      <c r="B1444" s="3" t="str">
        <f t="shared" si="91"/>
        <v>2月</v>
      </c>
      <c r="C1444" s="4" t="str">
        <f t="shared" si="92"/>
        <v>W7</v>
      </c>
      <c r="D1444" s="2" t="s">
        <v>778</v>
      </c>
      <c r="E1444" s="2" t="s">
        <v>704</v>
      </c>
      <c r="F1444" s="2" t="str" cm="1">
        <f t="array" ref="F1444">INDEX(_xlfn.TEXTSPLIT(E1444,"-"),2)</f>
        <v>女装</v>
      </c>
      <c r="G1444" s="2" t="str" cm="1">
        <f t="array" ref="G1444">INDEX(_xlfn.TEXTSPLIT(E1444,"-"),3)</f>
        <v>中老年女装</v>
      </c>
      <c r="H1444" s="5">
        <v>269882</v>
      </c>
      <c r="I1444" s="5">
        <v>31915491.09</v>
      </c>
      <c r="J1444" s="6">
        <v>0.015</v>
      </c>
      <c r="K1444" s="6">
        <v>-0.198</v>
      </c>
    </row>
    <row r="1445" ht="14.5" spans="1:11">
      <c r="A1445" s="3" t="str">
        <f t="shared" si="90"/>
        <v>2026年</v>
      </c>
      <c r="B1445" s="3" t="str">
        <f t="shared" si="91"/>
        <v>2月</v>
      </c>
      <c r="C1445" s="4" t="str">
        <f t="shared" si="92"/>
        <v>W7</v>
      </c>
      <c r="D1445" s="2" t="s">
        <v>778</v>
      </c>
      <c r="E1445" s="2" t="s">
        <v>705</v>
      </c>
      <c r="F1445" s="2" t="str" cm="1">
        <f t="array" ref="F1445">INDEX(_xlfn.TEXTSPLIT(E1445,"-"),2)</f>
        <v>女装</v>
      </c>
      <c r="G1445" s="2" t="str" cm="1">
        <f t="array" ref="G1445">INDEX(_xlfn.TEXTSPLIT(E1445,"-"),3)</f>
        <v>半身裙</v>
      </c>
      <c r="H1445" s="5">
        <v>476328</v>
      </c>
      <c r="I1445" s="5">
        <v>43561311.98</v>
      </c>
      <c r="J1445" s="6">
        <v>0.0205</v>
      </c>
      <c r="K1445" s="6">
        <v>-0.0541</v>
      </c>
    </row>
    <row r="1446" ht="14.5" spans="1:11">
      <c r="A1446" s="3" t="str">
        <f t="shared" si="90"/>
        <v>2026年</v>
      </c>
      <c r="B1446" s="3" t="str">
        <f t="shared" si="91"/>
        <v>2月</v>
      </c>
      <c r="C1446" s="4" t="str">
        <f t="shared" si="92"/>
        <v>W7</v>
      </c>
      <c r="D1446" s="2" t="s">
        <v>778</v>
      </c>
      <c r="E1446" s="2" t="s">
        <v>706</v>
      </c>
      <c r="F1446" s="2" t="str" cm="1">
        <f t="array" ref="F1446">INDEX(_xlfn.TEXTSPLIT(E1446,"-"),2)</f>
        <v>女装</v>
      </c>
      <c r="G1446" s="2" t="str" cm="1">
        <f t="array" ref="G1446">INDEX(_xlfn.TEXTSPLIT(E1446,"-"),3)</f>
        <v>卫衣/绒衫</v>
      </c>
      <c r="H1446" s="5">
        <v>272610</v>
      </c>
      <c r="I1446" s="5">
        <v>23409109.32</v>
      </c>
      <c r="J1446" s="6">
        <v>0.011</v>
      </c>
      <c r="K1446" s="6">
        <v>-0.0132</v>
      </c>
    </row>
    <row r="1447" ht="14.5" spans="1:11">
      <c r="A1447" s="3" t="str">
        <f t="shared" si="90"/>
        <v>2026年</v>
      </c>
      <c r="B1447" s="3" t="str">
        <f t="shared" si="91"/>
        <v>2月</v>
      </c>
      <c r="C1447" s="4" t="str">
        <f t="shared" si="92"/>
        <v>W7</v>
      </c>
      <c r="D1447" s="2" t="s">
        <v>778</v>
      </c>
      <c r="E1447" s="2" t="s">
        <v>707</v>
      </c>
      <c r="F1447" s="2" t="str" cm="1">
        <f t="array" ref="F1447">INDEX(_xlfn.TEXTSPLIT(E1447,"-"),2)</f>
        <v>女装</v>
      </c>
      <c r="G1447" s="2" t="str" cm="1">
        <f t="array" ref="G1447">INDEX(_xlfn.TEXTSPLIT(E1447,"-"),3)</f>
        <v>唐装/民族服装/舞台服装</v>
      </c>
      <c r="H1447" s="5">
        <v>156913</v>
      </c>
      <c r="I1447" s="5">
        <v>33572197.7</v>
      </c>
      <c r="J1447" s="6">
        <v>0.0158</v>
      </c>
      <c r="K1447" s="6">
        <v>-0.0412</v>
      </c>
    </row>
    <row r="1448" ht="14.5" spans="1:11">
      <c r="A1448" s="3" t="str">
        <f t="shared" si="90"/>
        <v>2026年</v>
      </c>
      <c r="B1448" s="3" t="str">
        <f t="shared" si="91"/>
        <v>2月</v>
      </c>
      <c r="C1448" s="4" t="str">
        <f t="shared" si="92"/>
        <v>W7</v>
      </c>
      <c r="D1448" s="2" t="s">
        <v>778</v>
      </c>
      <c r="E1448" s="2" t="s">
        <v>708</v>
      </c>
      <c r="F1448" s="2" t="str" cm="1">
        <f t="array" ref="F1448">INDEX(_xlfn.TEXTSPLIT(E1448,"-"),2)</f>
        <v>女装</v>
      </c>
      <c r="G1448" s="2" t="str" cm="1">
        <f t="array" ref="G1448">INDEX(_xlfn.TEXTSPLIT(E1448,"-"),3)</f>
        <v>大码女装</v>
      </c>
      <c r="H1448" s="5">
        <v>336778</v>
      </c>
      <c r="I1448" s="5">
        <v>31108791.76</v>
      </c>
      <c r="J1448" s="6">
        <v>0.0147</v>
      </c>
      <c r="K1448" s="6">
        <v>-0.1191</v>
      </c>
    </row>
    <row r="1449" ht="14.5" spans="1:11">
      <c r="A1449" s="3" t="str">
        <f t="shared" si="90"/>
        <v>2026年</v>
      </c>
      <c r="B1449" s="3" t="str">
        <f t="shared" si="91"/>
        <v>2月</v>
      </c>
      <c r="C1449" s="4" t="str">
        <f t="shared" si="92"/>
        <v>W7</v>
      </c>
      <c r="D1449" s="2" t="s">
        <v>778</v>
      </c>
      <c r="E1449" s="2" t="s">
        <v>709</v>
      </c>
      <c r="F1449" s="2" t="str" cm="1">
        <f t="array" ref="F1449">INDEX(_xlfn.TEXTSPLIT(E1449,"-"),2)</f>
        <v>女装</v>
      </c>
      <c r="G1449" s="2" t="str" cm="1">
        <f t="array" ref="G1449">INDEX(_xlfn.TEXTSPLIT(E1449,"-"),3)</f>
        <v>套装/学生校服/工作制服</v>
      </c>
      <c r="H1449" s="5">
        <v>589554</v>
      </c>
      <c r="I1449" s="5">
        <v>82276205.02</v>
      </c>
      <c r="J1449" s="6">
        <v>0.0388</v>
      </c>
      <c r="K1449" s="6">
        <v>-0.0203</v>
      </c>
    </row>
    <row r="1450" ht="14.5" spans="1:11">
      <c r="A1450" s="3" t="str">
        <f t="shared" si="90"/>
        <v>2026年</v>
      </c>
      <c r="B1450" s="3" t="str">
        <f t="shared" si="91"/>
        <v>2月</v>
      </c>
      <c r="C1450" s="4" t="str">
        <f t="shared" si="92"/>
        <v>W7</v>
      </c>
      <c r="D1450" s="2" t="s">
        <v>778</v>
      </c>
      <c r="E1450" s="2" t="s">
        <v>710</v>
      </c>
      <c r="F1450" s="2" t="str" cm="1">
        <f t="array" ref="F1450">INDEX(_xlfn.TEXTSPLIT(E1450,"-"),2)</f>
        <v>女装</v>
      </c>
      <c r="G1450" s="2" t="str" cm="1">
        <f t="array" ref="G1450">INDEX(_xlfn.TEXTSPLIT(E1450,"-"),3)</f>
        <v>婚纱/旗袍/礼服</v>
      </c>
      <c r="H1450" s="5">
        <v>37313</v>
      </c>
      <c r="I1450" s="5">
        <v>5307165.41</v>
      </c>
      <c r="J1450" s="6">
        <v>0.0025</v>
      </c>
      <c r="K1450" s="6">
        <v>-0.2218</v>
      </c>
    </row>
    <row r="1451" ht="14.5" spans="1:11">
      <c r="A1451" s="3" t="str">
        <f t="shared" si="90"/>
        <v>2026年</v>
      </c>
      <c r="B1451" s="3" t="str">
        <f t="shared" si="91"/>
        <v>2月</v>
      </c>
      <c r="C1451" s="4" t="str">
        <f t="shared" si="92"/>
        <v>W7</v>
      </c>
      <c r="D1451" s="2" t="s">
        <v>778</v>
      </c>
      <c r="E1451" s="2" t="s">
        <v>711</v>
      </c>
      <c r="F1451" s="2" t="str" cm="1">
        <f t="array" ref="F1451">INDEX(_xlfn.TEXTSPLIT(E1451,"-"),2)</f>
        <v>女装</v>
      </c>
      <c r="G1451" s="2" t="str" cm="1">
        <f t="array" ref="G1451">INDEX(_xlfn.TEXTSPLIT(E1451,"-"),3)</f>
        <v>新中式女装</v>
      </c>
      <c r="H1451" s="5">
        <v>91274</v>
      </c>
      <c r="I1451" s="5">
        <v>10615486.09</v>
      </c>
      <c r="J1451" s="6">
        <v>0.005</v>
      </c>
      <c r="K1451" s="6">
        <v>0.0948</v>
      </c>
    </row>
    <row r="1452" ht="14.5" spans="1:11">
      <c r="A1452" s="3" t="str">
        <f t="shared" si="90"/>
        <v>2026年</v>
      </c>
      <c r="B1452" s="3" t="str">
        <f t="shared" si="91"/>
        <v>2月</v>
      </c>
      <c r="C1452" s="4" t="str">
        <f t="shared" si="92"/>
        <v>W7</v>
      </c>
      <c r="D1452" s="2" t="s">
        <v>778</v>
      </c>
      <c r="E1452" s="2" t="s">
        <v>712</v>
      </c>
      <c r="F1452" s="2" t="str" cm="1">
        <f t="array" ref="F1452">INDEX(_xlfn.TEXTSPLIT(E1452,"-"),2)</f>
        <v>女装</v>
      </c>
      <c r="G1452" s="2" t="str" cm="1">
        <f t="array" ref="G1452">INDEX(_xlfn.TEXTSPLIT(E1452,"-"),3)</f>
        <v>时尚防晒服</v>
      </c>
      <c r="H1452" s="5">
        <v>1946</v>
      </c>
      <c r="I1452" s="5">
        <v>122352.37</v>
      </c>
      <c r="J1452" s="6">
        <v>0.0001</v>
      </c>
      <c r="K1452" s="6">
        <v>0.0753</v>
      </c>
    </row>
    <row r="1453" ht="14.5" spans="1:11">
      <c r="A1453" s="3" t="str">
        <f t="shared" si="90"/>
        <v>2026年</v>
      </c>
      <c r="B1453" s="3" t="str">
        <f t="shared" si="91"/>
        <v>2月</v>
      </c>
      <c r="C1453" s="4" t="str">
        <f t="shared" si="92"/>
        <v>W7</v>
      </c>
      <c r="D1453" s="2" t="s">
        <v>778</v>
      </c>
      <c r="E1453" s="2" t="s">
        <v>714</v>
      </c>
      <c r="F1453" s="2" t="str" cm="1">
        <f t="array" ref="F1453">INDEX(_xlfn.TEXTSPLIT(E1453,"-"),2)</f>
        <v>女装</v>
      </c>
      <c r="G1453" s="2" t="str" cm="1">
        <f t="array" ref="G1453">INDEX(_xlfn.TEXTSPLIT(E1453,"-"),3)</f>
        <v>棉衣/棉服</v>
      </c>
      <c r="H1453" s="5">
        <v>384220</v>
      </c>
      <c r="I1453" s="5">
        <v>44532636.95</v>
      </c>
      <c r="J1453" s="6">
        <v>0.021</v>
      </c>
      <c r="K1453" s="6">
        <v>-0.1343</v>
      </c>
    </row>
    <row r="1454" ht="14.5" spans="1:11">
      <c r="A1454" s="3" t="str">
        <f t="shared" si="90"/>
        <v>2026年</v>
      </c>
      <c r="B1454" s="3" t="str">
        <f t="shared" si="91"/>
        <v>2月</v>
      </c>
      <c r="C1454" s="4" t="str">
        <f t="shared" si="92"/>
        <v>W7</v>
      </c>
      <c r="D1454" s="2" t="s">
        <v>778</v>
      </c>
      <c r="E1454" s="2" t="s">
        <v>715</v>
      </c>
      <c r="F1454" s="2" t="str" cm="1">
        <f t="array" ref="F1454">INDEX(_xlfn.TEXTSPLIT(E1454,"-"),2)</f>
        <v>女装</v>
      </c>
      <c r="G1454" s="2" t="str" cm="1">
        <f t="array" ref="G1454">INDEX(_xlfn.TEXTSPLIT(E1454,"-"),3)</f>
        <v>毛呢外套</v>
      </c>
      <c r="H1454" s="5">
        <v>628919</v>
      </c>
      <c r="I1454" s="5">
        <v>243127818.76</v>
      </c>
      <c r="J1454" s="6">
        <v>0.1145</v>
      </c>
      <c r="K1454" s="6">
        <v>-0.0225</v>
      </c>
    </row>
    <row r="1455" ht="14.5" spans="1:11">
      <c r="A1455" s="3" t="str">
        <f t="shared" si="90"/>
        <v>2026年</v>
      </c>
      <c r="B1455" s="3" t="str">
        <f t="shared" si="91"/>
        <v>2月</v>
      </c>
      <c r="C1455" s="4" t="str">
        <f t="shared" si="92"/>
        <v>W7</v>
      </c>
      <c r="D1455" s="2" t="s">
        <v>778</v>
      </c>
      <c r="E1455" s="2" t="s">
        <v>716</v>
      </c>
      <c r="F1455" s="2" t="str" cm="1">
        <f t="array" ref="F1455">INDEX(_xlfn.TEXTSPLIT(E1455,"-"),2)</f>
        <v>女装</v>
      </c>
      <c r="G1455" s="2" t="str" cm="1">
        <f t="array" ref="G1455">INDEX(_xlfn.TEXTSPLIT(E1455,"-"),3)</f>
        <v>毛衣</v>
      </c>
      <c r="H1455" s="5">
        <v>248188</v>
      </c>
      <c r="I1455" s="5">
        <v>25199501.87</v>
      </c>
      <c r="J1455" s="6">
        <v>0.0119</v>
      </c>
      <c r="K1455" s="6">
        <v>-0.2205</v>
      </c>
    </row>
    <row r="1456" ht="14.5" spans="1:11">
      <c r="A1456" s="3" t="str">
        <f t="shared" si="90"/>
        <v>2026年</v>
      </c>
      <c r="B1456" s="3" t="str">
        <f t="shared" si="91"/>
        <v>2月</v>
      </c>
      <c r="C1456" s="4" t="str">
        <f t="shared" si="92"/>
        <v>W7</v>
      </c>
      <c r="D1456" s="2" t="s">
        <v>778</v>
      </c>
      <c r="E1456" s="2" t="s">
        <v>717</v>
      </c>
      <c r="F1456" s="2" t="str" cm="1">
        <f t="array" ref="F1456">INDEX(_xlfn.TEXTSPLIT(E1456,"-"),2)</f>
        <v>女装</v>
      </c>
      <c r="G1456" s="2" t="str" cm="1">
        <f t="array" ref="G1456">INDEX(_xlfn.TEXTSPLIT(E1456,"-"),3)</f>
        <v>毛针织衫</v>
      </c>
      <c r="H1456" s="5">
        <v>1312762</v>
      </c>
      <c r="I1456" s="5">
        <v>119674927.52</v>
      </c>
      <c r="J1456" s="6">
        <v>0.0564</v>
      </c>
      <c r="K1456" s="6">
        <v>-0.091</v>
      </c>
    </row>
    <row r="1457" ht="14.5" spans="1:11">
      <c r="A1457" s="3" t="str">
        <f t="shared" si="90"/>
        <v>2026年</v>
      </c>
      <c r="B1457" s="3" t="str">
        <f t="shared" si="91"/>
        <v>2月</v>
      </c>
      <c r="C1457" s="4" t="str">
        <f t="shared" si="92"/>
        <v>W7</v>
      </c>
      <c r="D1457" s="2" t="s">
        <v>778</v>
      </c>
      <c r="E1457" s="2" t="s">
        <v>718</v>
      </c>
      <c r="F1457" s="2" t="str" cm="1">
        <f t="array" ref="F1457">INDEX(_xlfn.TEXTSPLIT(E1457,"-"),2)</f>
        <v>女装</v>
      </c>
      <c r="G1457" s="2" t="str" cm="1">
        <f t="array" ref="G1457">INDEX(_xlfn.TEXTSPLIT(E1457,"-"),3)</f>
        <v>汉服</v>
      </c>
      <c r="H1457" s="5">
        <v>91878</v>
      </c>
      <c r="I1457" s="5">
        <v>38672437.87</v>
      </c>
      <c r="J1457" s="6">
        <v>0.0182</v>
      </c>
      <c r="K1457" s="6">
        <v>-0.164</v>
      </c>
    </row>
    <row r="1458" ht="14.5" spans="1:11">
      <c r="A1458" s="3" t="str">
        <f t="shared" si="90"/>
        <v>2026年</v>
      </c>
      <c r="B1458" s="3" t="str">
        <f t="shared" si="91"/>
        <v>2月</v>
      </c>
      <c r="C1458" s="4" t="str">
        <f t="shared" si="92"/>
        <v>W7</v>
      </c>
      <c r="D1458" s="2" t="s">
        <v>778</v>
      </c>
      <c r="E1458" s="2" t="s">
        <v>719</v>
      </c>
      <c r="F1458" s="2" t="str" cm="1">
        <f t="array" ref="F1458">INDEX(_xlfn.TEXTSPLIT(E1458,"-"),2)</f>
        <v>女装</v>
      </c>
      <c r="G1458" s="2" t="str" cm="1">
        <f t="array" ref="G1458">INDEX(_xlfn.TEXTSPLIT(E1458,"-"),3)</f>
        <v>派克服</v>
      </c>
      <c r="H1458" s="5">
        <v>28926</v>
      </c>
      <c r="I1458" s="5">
        <v>7176586.85</v>
      </c>
      <c r="J1458" s="6">
        <v>0.0034</v>
      </c>
      <c r="K1458" s="6">
        <v>-0.0314</v>
      </c>
    </row>
    <row r="1459" ht="14.5" spans="1:11">
      <c r="A1459" s="3" t="str">
        <f t="shared" si="90"/>
        <v>2026年</v>
      </c>
      <c r="B1459" s="3" t="str">
        <f t="shared" si="91"/>
        <v>2月</v>
      </c>
      <c r="C1459" s="4" t="str">
        <f t="shared" si="92"/>
        <v>W7</v>
      </c>
      <c r="D1459" s="2" t="s">
        <v>778</v>
      </c>
      <c r="E1459" s="2" t="s">
        <v>720</v>
      </c>
      <c r="F1459" s="2" t="str" cm="1">
        <f t="array" ref="F1459">INDEX(_xlfn.TEXTSPLIT(E1459,"-"),2)</f>
        <v>女装</v>
      </c>
      <c r="G1459" s="2" t="str" cm="1">
        <f t="array" ref="G1459">INDEX(_xlfn.TEXTSPLIT(E1459,"-"),3)</f>
        <v>皮草</v>
      </c>
      <c r="H1459" s="5">
        <v>128421</v>
      </c>
      <c r="I1459" s="5">
        <v>227267323.61</v>
      </c>
      <c r="J1459" s="6">
        <v>0.1071</v>
      </c>
      <c r="K1459" s="6">
        <v>-0.0403</v>
      </c>
    </row>
    <row r="1460" ht="14.5" spans="1:11">
      <c r="A1460" s="3" t="str">
        <f t="shared" si="90"/>
        <v>2026年</v>
      </c>
      <c r="B1460" s="3" t="str">
        <f t="shared" si="91"/>
        <v>2月</v>
      </c>
      <c r="C1460" s="4" t="str">
        <f t="shared" si="92"/>
        <v>W7</v>
      </c>
      <c r="D1460" s="2" t="s">
        <v>778</v>
      </c>
      <c r="E1460" s="2" t="s">
        <v>721</v>
      </c>
      <c r="F1460" s="2" t="str" cm="1">
        <f t="array" ref="F1460">INDEX(_xlfn.TEXTSPLIT(E1460,"-"),2)</f>
        <v>女装</v>
      </c>
      <c r="G1460" s="2" t="str" cm="1">
        <f t="array" ref="G1460">INDEX(_xlfn.TEXTSPLIT(E1460,"-"),3)</f>
        <v>皮衣</v>
      </c>
      <c r="H1460" s="5">
        <v>125072</v>
      </c>
      <c r="I1460" s="5">
        <v>44333235</v>
      </c>
      <c r="J1460" s="6">
        <v>0.0209</v>
      </c>
      <c r="K1460" s="6">
        <v>0.1637</v>
      </c>
    </row>
    <row r="1461" ht="14.5" spans="1:11">
      <c r="A1461" s="3" t="str">
        <f t="shared" si="90"/>
        <v>2026年</v>
      </c>
      <c r="B1461" s="3" t="str">
        <f t="shared" si="91"/>
        <v>2月</v>
      </c>
      <c r="C1461" s="4" t="str">
        <f t="shared" si="92"/>
        <v>W7</v>
      </c>
      <c r="D1461" s="2" t="s">
        <v>778</v>
      </c>
      <c r="E1461" s="2" t="s">
        <v>722</v>
      </c>
      <c r="F1461" s="2" t="str" cm="1">
        <f t="array" ref="F1461">INDEX(_xlfn.TEXTSPLIT(E1461,"-"),2)</f>
        <v>女装</v>
      </c>
      <c r="G1461" s="2" t="str" cm="1">
        <f t="array" ref="G1461">INDEX(_xlfn.TEXTSPLIT(E1461,"-"),3)</f>
        <v>短外套</v>
      </c>
      <c r="H1461" s="5">
        <v>776479</v>
      </c>
      <c r="I1461" s="5">
        <v>158325328.75</v>
      </c>
      <c r="J1461" s="6">
        <v>0.0746</v>
      </c>
      <c r="K1461" s="6">
        <v>-0.1151</v>
      </c>
    </row>
    <row r="1462" ht="14.5" spans="1:11">
      <c r="A1462" s="3" t="str">
        <f t="shared" si="90"/>
        <v>2026年</v>
      </c>
      <c r="B1462" s="3" t="str">
        <f t="shared" si="91"/>
        <v>2月</v>
      </c>
      <c r="C1462" s="4" t="str">
        <f t="shared" si="92"/>
        <v>W7</v>
      </c>
      <c r="D1462" s="2" t="s">
        <v>778</v>
      </c>
      <c r="E1462" s="2" t="s">
        <v>723</v>
      </c>
      <c r="F1462" s="2" t="str" cm="1">
        <f t="array" ref="F1462">INDEX(_xlfn.TEXTSPLIT(E1462,"-"),2)</f>
        <v>女装</v>
      </c>
      <c r="G1462" s="2" t="str" cm="1">
        <f t="array" ref="G1462">INDEX(_xlfn.TEXTSPLIT(E1462,"-"),3)</f>
        <v>短裤</v>
      </c>
      <c r="H1462" s="5">
        <v>80935</v>
      </c>
      <c r="I1462" s="5">
        <v>4683920.52</v>
      </c>
      <c r="J1462" s="6">
        <v>0.0022</v>
      </c>
      <c r="K1462" s="6">
        <v>0.0206</v>
      </c>
    </row>
    <row r="1463" ht="14.5" spans="1:11">
      <c r="A1463" s="3" t="str">
        <f t="shared" si="90"/>
        <v>2026年</v>
      </c>
      <c r="B1463" s="3" t="str">
        <f t="shared" si="91"/>
        <v>2月</v>
      </c>
      <c r="C1463" s="4" t="str">
        <f t="shared" si="92"/>
        <v>W7</v>
      </c>
      <c r="D1463" s="2" t="s">
        <v>778</v>
      </c>
      <c r="E1463" s="2" t="s">
        <v>724</v>
      </c>
      <c r="F1463" s="2" t="str" cm="1">
        <f t="array" ref="F1463">INDEX(_xlfn.TEXTSPLIT(E1463,"-"),2)</f>
        <v>女装</v>
      </c>
      <c r="G1463" s="2" t="str" cm="1">
        <f t="array" ref="G1463">INDEX(_xlfn.TEXTSPLIT(E1463,"-"),3)</f>
        <v>羊毛衫</v>
      </c>
      <c r="H1463" s="5">
        <v>257202</v>
      </c>
      <c r="I1463" s="5">
        <v>34483748.69</v>
      </c>
      <c r="J1463" s="6">
        <v>0.0162</v>
      </c>
      <c r="K1463" s="6">
        <v>-0.1231</v>
      </c>
    </row>
    <row r="1464" ht="14.5" spans="1:11">
      <c r="A1464" s="3" t="str">
        <f t="shared" si="90"/>
        <v>2026年</v>
      </c>
      <c r="B1464" s="3" t="str">
        <f t="shared" si="91"/>
        <v>2月</v>
      </c>
      <c r="C1464" s="4" t="str">
        <f t="shared" si="92"/>
        <v>W7</v>
      </c>
      <c r="D1464" s="2" t="s">
        <v>778</v>
      </c>
      <c r="E1464" s="2" t="s">
        <v>725</v>
      </c>
      <c r="F1464" s="2" t="str" cm="1">
        <f t="array" ref="F1464">INDEX(_xlfn.TEXTSPLIT(E1464,"-"),2)</f>
        <v>女装</v>
      </c>
      <c r="G1464" s="2" t="str" cm="1">
        <f t="array" ref="G1464">INDEX(_xlfn.TEXTSPLIT(E1464,"-"),3)</f>
        <v>羊绒大衣</v>
      </c>
      <c r="H1464" s="5">
        <v>8793</v>
      </c>
      <c r="I1464" s="5">
        <v>3214632.08</v>
      </c>
      <c r="J1464" s="6">
        <v>0.0015</v>
      </c>
      <c r="K1464" s="6">
        <v>-0.1036</v>
      </c>
    </row>
    <row r="1465" ht="14.5" spans="1:11">
      <c r="A1465" s="3" t="str">
        <f t="shared" si="90"/>
        <v>2026年</v>
      </c>
      <c r="B1465" s="3" t="str">
        <f t="shared" si="91"/>
        <v>2月</v>
      </c>
      <c r="C1465" s="4" t="str">
        <f t="shared" si="92"/>
        <v>W7</v>
      </c>
      <c r="D1465" s="2" t="s">
        <v>778</v>
      </c>
      <c r="E1465" s="2" t="s">
        <v>726</v>
      </c>
      <c r="F1465" s="2" t="str" cm="1">
        <f t="array" ref="F1465">INDEX(_xlfn.TEXTSPLIT(E1465,"-"),2)</f>
        <v>女装</v>
      </c>
      <c r="G1465" s="2" t="str" cm="1">
        <f t="array" ref="G1465">INDEX(_xlfn.TEXTSPLIT(E1465,"-"),3)</f>
        <v>羊绒衫</v>
      </c>
      <c r="H1465" s="5">
        <v>70931</v>
      </c>
      <c r="I1465" s="5">
        <v>26286230.62</v>
      </c>
      <c r="J1465" s="6">
        <v>0.0124</v>
      </c>
      <c r="K1465" s="6">
        <v>-0.0629</v>
      </c>
    </row>
    <row r="1466" ht="14.5" spans="1:11">
      <c r="A1466" s="3" t="str">
        <f t="shared" si="90"/>
        <v>2026年</v>
      </c>
      <c r="B1466" s="3" t="str">
        <f t="shared" si="91"/>
        <v>2月</v>
      </c>
      <c r="C1466" s="4" t="str">
        <f t="shared" si="92"/>
        <v>W7</v>
      </c>
      <c r="D1466" s="2" t="s">
        <v>778</v>
      </c>
      <c r="E1466" s="2" t="s">
        <v>727</v>
      </c>
      <c r="F1466" s="2" t="str" cm="1">
        <f t="array" ref="F1466">INDEX(_xlfn.TEXTSPLIT(E1466,"-"),2)</f>
        <v>女装</v>
      </c>
      <c r="G1466" s="2" t="str" cm="1">
        <f t="array" ref="G1466">INDEX(_xlfn.TEXTSPLIT(E1466,"-"),3)</f>
        <v>羽绒服</v>
      </c>
      <c r="H1466" s="5">
        <v>947058</v>
      </c>
      <c r="I1466" s="5">
        <v>360879264.96</v>
      </c>
      <c r="J1466" s="7">
        <v>0.17</v>
      </c>
      <c r="K1466" s="6">
        <v>-0.0498</v>
      </c>
    </row>
    <row r="1467" ht="14.5" spans="1:11">
      <c r="A1467" s="3" t="str">
        <f t="shared" si="90"/>
        <v>2026年</v>
      </c>
      <c r="B1467" s="3" t="str">
        <f t="shared" si="91"/>
        <v>2月</v>
      </c>
      <c r="C1467" s="4" t="str">
        <f t="shared" si="92"/>
        <v>W7</v>
      </c>
      <c r="D1467" s="2" t="s">
        <v>778</v>
      </c>
      <c r="E1467" s="2" t="s">
        <v>728</v>
      </c>
      <c r="F1467" s="2" t="str" cm="1">
        <f t="array" ref="F1467">INDEX(_xlfn.TEXTSPLIT(E1467,"-"),2)</f>
        <v>女装</v>
      </c>
      <c r="G1467" s="2" t="str" cm="1">
        <f t="array" ref="G1467">INDEX(_xlfn.TEXTSPLIT(E1467,"-"),3)</f>
        <v>肌底衣/肌肤衣</v>
      </c>
      <c r="H1467" s="5">
        <v>3257</v>
      </c>
      <c r="I1467" s="5">
        <v>172136.12</v>
      </c>
      <c r="J1467" s="6">
        <v>0.0001</v>
      </c>
      <c r="K1467" s="6">
        <v>-0.0728</v>
      </c>
    </row>
    <row r="1468" ht="14.5" spans="1:11">
      <c r="A1468" s="3" t="str">
        <f t="shared" si="90"/>
        <v>2026年</v>
      </c>
      <c r="B1468" s="3" t="str">
        <f t="shared" si="91"/>
        <v>2月</v>
      </c>
      <c r="C1468" s="4" t="str">
        <f t="shared" si="92"/>
        <v>W7</v>
      </c>
      <c r="D1468" s="2" t="s">
        <v>778</v>
      </c>
      <c r="E1468" s="2" t="s">
        <v>729</v>
      </c>
      <c r="F1468" s="2" t="str" cm="1">
        <f t="array" ref="F1468">INDEX(_xlfn.TEXTSPLIT(E1468,"-"),2)</f>
        <v>女装</v>
      </c>
      <c r="G1468" s="2" t="str" cm="1">
        <f t="array" ref="G1468">INDEX(_xlfn.TEXTSPLIT(E1468,"-"),3)</f>
        <v>背心吊带</v>
      </c>
      <c r="H1468" s="5">
        <v>190395</v>
      </c>
      <c r="I1468" s="5">
        <v>9919776.73</v>
      </c>
      <c r="J1468" s="6">
        <v>0.0047</v>
      </c>
      <c r="K1468" s="6">
        <v>-0.0109</v>
      </c>
    </row>
    <row r="1469" ht="14.5" spans="1:11">
      <c r="A1469" s="3" t="str">
        <f t="shared" si="90"/>
        <v>2026年</v>
      </c>
      <c r="B1469" s="3" t="str">
        <f t="shared" si="91"/>
        <v>2月</v>
      </c>
      <c r="C1469" s="4" t="str">
        <f t="shared" si="92"/>
        <v>W7</v>
      </c>
      <c r="D1469" s="2" t="s">
        <v>778</v>
      </c>
      <c r="E1469" s="2" t="s">
        <v>730</v>
      </c>
      <c r="F1469" s="2" t="str" cm="1">
        <f t="array" ref="F1469">INDEX(_xlfn.TEXTSPLIT(E1469,"-"),2)</f>
        <v>女装</v>
      </c>
      <c r="G1469" s="2" t="str" cm="1">
        <f t="array" ref="G1469">INDEX(_xlfn.TEXTSPLIT(E1469,"-"),3)</f>
        <v>蕾丝衫/雪纺衫</v>
      </c>
      <c r="H1469" s="5">
        <v>120542</v>
      </c>
      <c r="I1469" s="5">
        <v>8078436.83</v>
      </c>
      <c r="J1469" s="6">
        <v>0.0038</v>
      </c>
      <c r="K1469" s="6">
        <v>-0.114</v>
      </c>
    </row>
    <row r="1470" ht="14.5" spans="1:11">
      <c r="A1470" s="3" t="str">
        <f t="shared" si="90"/>
        <v>2026年</v>
      </c>
      <c r="B1470" s="3" t="str">
        <f t="shared" si="91"/>
        <v>2月</v>
      </c>
      <c r="C1470" s="4" t="str">
        <f t="shared" si="92"/>
        <v>W7</v>
      </c>
      <c r="D1470" s="2" t="s">
        <v>778</v>
      </c>
      <c r="E1470" s="2" t="s">
        <v>731</v>
      </c>
      <c r="F1470" s="2" t="str" cm="1">
        <f t="array" ref="F1470">INDEX(_xlfn.TEXTSPLIT(E1470,"-"),2)</f>
        <v>女装</v>
      </c>
      <c r="G1470" s="2" t="str" cm="1">
        <f t="array" ref="G1470">INDEX(_xlfn.TEXTSPLIT(E1470,"-"),3)</f>
        <v>衬衫</v>
      </c>
      <c r="H1470" s="5">
        <v>409120</v>
      </c>
      <c r="I1470" s="5">
        <v>39948333.68</v>
      </c>
      <c r="J1470" s="6">
        <v>0.0188</v>
      </c>
      <c r="K1470" s="6">
        <v>-0.0179</v>
      </c>
    </row>
    <row r="1471" ht="14.5" spans="1:11">
      <c r="A1471" s="3" t="str">
        <f t="shared" si="90"/>
        <v>2026年</v>
      </c>
      <c r="B1471" s="3" t="str">
        <f t="shared" si="91"/>
        <v>2月</v>
      </c>
      <c r="C1471" s="4" t="str">
        <f t="shared" si="92"/>
        <v>W7</v>
      </c>
      <c r="D1471" s="2" t="s">
        <v>778</v>
      </c>
      <c r="E1471" s="2" t="s">
        <v>732</v>
      </c>
      <c r="F1471" s="2" t="str" cm="1">
        <f t="array" ref="F1471">INDEX(_xlfn.TEXTSPLIT(E1471,"-"),2)</f>
        <v>女装</v>
      </c>
      <c r="G1471" s="2" t="str" cm="1">
        <f t="array" ref="G1471">INDEX(_xlfn.TEXTSPLIT(E1471,"-"),3)</f>
        <v>裤子</v>
      </c>
      <c r="H1471" s="5">
        <v>2268185</v>
      </c>
      <c r="I1471" s="5">
        <v>234186869.5</v>
      </c>
      <c r="J1471" s="6">
        <v>0.1103</v>
      </c>
      <c r="K1471" s="6">
        <v>-0.0993</v>
      </c>
    </row>
    <row r="1472" ht="14.5" spans="1:11">
      <c r="A1472" s="3" t="str">
        <f t="shared" si="90"/>
        <v>2026年</v>
      </c>
      <c r="B1472" s="3" t="str">
        <f t="shared" si="91"/>
        <v>2月</v>
      </c>
      <c r="C1472" s="4" t="str">
        <f t="shared" si="92"/>
        <v>W7</v>
      </c>
      <c r="D1472" s="2" t="s">
        <v>778</v>
      </c>
      <c r="E1472" s="2" t="s">
        <v>733</v>
      </c>
      <c r="F1472" s="2" t="str" cm="1">
        <f t="array" ref="F1472">INDEX(_xlfn.TEXTSPLIT(E1472,"-"),2)</f>
        <v>女装</v>
      </c>
      <c r="G1472" s="2" t="str" cm="1">
        <f t="array" ref="G1472">INDEX(_xlfn.TEXTSPLIT(E1472,"-"),3)</f>
        <v>西装</v>
      </c>
      <c r="H1472" s="5">
        <v>51503</v>
      </c>
      <c r="I1472" s="5">
        <v>13375191.67</v>
      </c>
      <c r="J1472" s="6">
        <v>0.0063</v>
      </c>
      <c r="K1472" s="6">
        <v>-0.0395</v>
      </c>
    </row>
    <row r="1473" ht="14.5" spans="1:11">
      <c r="A1473" s="3" t="str">
        <f t="shared" si="90"/>
        <v>2026年</v>
      </c>
      <c r="B1473" s="3" t="str">
        <f t="shared" si="91"/>
        <v>2月</v>
      </c>
      <c r="C1473" s="4" t="str">
        <f t="shared" si="92"/>
        <v>W7</v>
      </c>
      <c r="D1473" s="2" t="s">
        <v>778</v>
      </c>
      <c r="E1473" s="2" t="s">
        <v>734</v>
      </c>
      <c r="F1473" s="2" t="str" cm="1">
        <f t="array" ref="F1473">INDEX(_xlfn.TEXTSPLIT(E1473,"-"),2)</f>
        <v>女装</v>
      </c>
      <c r="G1473" s="2" t="str" cm="1">
        <f t="array" ref="G1473">INDEX(_xlfn.TEXTSPLIT(E1473,"-"),3)</f>
        <v>设计师/潮牌女装</v>
      </c>
      <c r="H1473" s="5">
        <v>263292</v>
      </c>
      <c r="I1473" s="5">
        <v>30362277.1</v>
      </c>
      <c r="J1473" s="6">
        <v>0.0143</v>
      </c>
      <c r="K1473" s="6">
        <v>0.0144</v>
      </c>
    </row>
    <row r="1474" ht="14.5" spans="1:11">
      <c r="A1474" s="3" t="str">
        <f t="shared" si="90"/>
        <v>2026年</v>
      </c>
      <c r="B1474" s="3" t="str">
        <f t="shared" si="91"/>
        <v>2月</v>
      </c>
      <c r="C1474" s="4" t="str">
        <f t="shared" si="92"/>
        <v>W7</v>
      </c>
      <c r="D1474" s="2" t="s">
        <v>778</v>
      </c>
      <c r="E1474" s="2" t="s">
        <v>735</v>
      </c>
      <c r="F1474" s="2" t="str" cm="1">
        <f t="array" ref="F1474">INDEX(_xlfn.TEXTSPLIT(E1474,"-"),2)</f>
        <v>女装</v>
      </c>
      <c r="G1474" s="2" t="str" cm="1">
        <f t="array" ref="G1474">INDEX(_xlfn.TEXTSPLIT(E1474,"-"),3)</f>
        <v>连体衣/裤</v>
      </c>
      <c r="H1474" s="5">
        <v>7221</v>
      </c>
      <c r="I1474" s="5">
        <v>1928499.63</v>
      </c>
      <c r="J1474" s="6">
        <v>0.0009</v>
      </c>
      <c r="K1474" s="6">
        <v>0.1682</v>
      </c>
    </row>
    <row r="1475" ht="14.5" spans="1:11">
      <c r="A1475" s="3" t="str">
        <f t="shared" si="90"/>
        <v>2026年</v>
      </c>
      <c r="B1475" s="3" t="str">
        <f t="shared" si="91"/>
        <v>2月</v>
      </c>
      <c r="C1475" s="4" t="str">
        <f t="shared" si="92"/>
        <v>W7</v>
      </c>
      <c r="D1475" s="2" t="s">
        <v>778</v>
      </c>
      <c r="E1475" s="2" t="s">
        <v>736</v>
      </c>
      <c r="F1475" s="2" t="str" cm="1">
        <f t="array" ref="F1475">INDEX(_xlfn.TEXTSPLIT(E1475,"-"),2)</f>
        <v>女装</v>
      </c>
      <c r="G1475" s="2" t="str" cm="1">
        <f t="array" ref="G1475">INDEX(_xlfn.TEXTSPLIT(E1475,"-"),3)</f>
        <v>连衣裙</v>
      </c>
      <c r="H1475" s="5">
        <v>540203</v>
      </c>
      <c r="I1475" s="5">
        <v>82731764.31</v>
      </c>
      <c r="J1475" s="6">
        <v>0.039</v>
      </c>
      <c r="K1475" s="6">
        <v>0.0843</v>
      </c>
    </row>
    <row r="1476" ht="14.5" spans="1:11">
      <c r="A1476" s="3" t="str">
        <f t="shared" si="90"/>
        <v>2026年</v>
      </c>
      <c r="B1476" s="3" t="str">
        <f t="shared" si="91"/>
        <v>2月</v>
      </c>
      <c r="C1476" s="4" t="str">
        <f t="shared" si="92"/>
        <v>W7</v>
      </c>
      <c r="D1476" s="2" t="s">
        <v>778</v>
      </c>
      <c r="E1476" s="2" t="s">
        <v>737</v>
      </c>
      <c r="F1476" s="2" t="str" cm="1">
        <f t="array" ref="F1476">INDEX(_xlfn.TEXTSPLIT(E1476,"-"),2)</f>
        <v>女装</v>
      </c>
      <c r="G1476" s="2" t="str" cm="1">
        <f t="array" ref="G1476">INDEX(_xlfn.TEXTSPLIT(E1476,"-"),3)</f>
        <v>风衣</v>
      </c>
      <c r="H1476" s="5">
        <v>91277</v>
      </c>
      <c r="I1476" s="5">
        <v>15251093.56</v>
      </c>
      <c r="J1476" s="6">
        <v>0.0072</v>
      </c>
      <c r="K1476" s="6">
        <v>0.0033</v>
      </c>
    </row>
    <row r="1477" ht="14.5" spans="1:11">
      <c r="A1477" s="3" t="str">
        <f t="shared" si="90"/>
        <v>2026年</v>
      </c>
      <c r="B1477" s="3" t="str">
        <f t="shared" si="91"/>
        <v>2月</v>
      </c>
      <c r="C1477" s="4" t="str">
        <f t="shared" si="92"/>
        <v>W7</v>
      </c>
      <c r="D1477" s="2" t="s">
        <v>778</v>
      </c>
      <c r="E1477" s="2" t="s">
        <v>738</v>
      </c>
      <c r="F1477" s="2" t="str" cm="1">
        <f t="array" ref="F1477">INDEX(_xlfn.TEXTSPLIT(E1477,"-"),2)</f>
        <v>女装</v>
      </c>
      <c r="G1477" s="2" t="str" cm="1">
        <f t="array" ref="G1477">INDEX(_xlfn.TEXTSPLIT(E1477,"-"),3)</f>
        <v>马夹</v>
      </c>
      <c r="H1477" s="5">
        <v>255424</v>
      </c>
      <c r="I1477" s="5">
        <v>28318207.25</v>
      </c>
      <c r="J1477" s="6">
        <v>0.0133</v>
      </c>
      <c r="K1477" s="6">
        <v>-0.0963</v>
      </c>
    </row>
    <row r="1478" ht="14.5" spans="1:11">
      <c r="A1478" s="3" t="str">
        <f t="shared" si="90"/>
        <v>2026年</v>
      </c>
      <c r="B1478" s="3" t="str">
        <f t="shared" si="91"/>
        <v>2月</v>
      </c>
      <c r="C1478" s="4" t="str">
        <f t="shared" si="92"/>
        <v>W7</v>
      </c>
      <c r="D1478" s="2" t="s">
        <v>779</v>
      </c>
      <c r="E1478" s="2" t="s">
        <v>702</v>
      </c>
      <c r="F1478" s="2" t="str" cm="1">
        <f t="array" ref="F1478">INDEX(_xlfn.TEXTSPLIT(E1478,"-"),2)</f>
        <v>女装</v>
      </c>
      <c r="G1478" s="2" t="str" cm="1">
        <f t="array" ref="G1478">INDEX(_xlfn.TEXTSPLIT(E1478,"-"),3)</f>
        <v>POLO衫</v>
      </c>
      <c r="H1478" s="5">
        <v>6142</v>
      </c>
      <c r="I1478" s="5">
        <v>809238.07</v>
      </c>
      <c r="J1478" s="6">
        <v>0.0005</v>
      </c>
      <c r="K1478" s="6">
        <v>0.4182</v>
      </c>
    </row>
    <row r="1479" ht="14.5" spans="1:11">
      <c r="A1479" s="3" t="str">
        <f t="shared" si="90"/>
        <v>2026年</v>
      </c>
      <c r="B1479" s="3" t="str">
        <f t="shared" si="91"/>
        <v>2月</v>
      </c>
      <c r="C1479" s="4" t="str">
        <f t="shared" si="92"/>
        <v>W7</v>
      </c>
      <c r="D1479" s="2" t="s">
        <v>779</v>
      </c>
      <c r="E1479" s="2" t="s">
        <v>703</v>
      </c>
      <c r="F1479" s="2" t="str" cm="1">
        <f t="array" ref="F1479">INDEX(_xlfn.TEXTSPLIT(E1479,"-"),2)</f>
        <v>女装</v>
      </c>
      <c r="G1479" s="2" t="str" cm="1">
        <f t="array" ref="G1479">INDEX(_xlfn.TEXTSPLIT(E1479,"-"),3)</f>
        <v>T恤</v>
      </c>
      <c r="H1479" s="5">
        <v>922704</v>
      </c>
      <c r="I1479" s="5">
        <v>55032855.44</v>
      </c>
      <c r="J1479" s="6">
        <v>0.0317</v>
      </c>
      <c r="K1479" s="6">
        <v>-0.053</v>
      </c>
    </row>
    <row r="1480" ht="14.5" spans="1:11">
      <c r="A1480" s="3" t="str">
        <f t="shared" si="90"/>
        <v>2026年</v>
      </c>
      <c r="B1480" s="3" t="str">
        <f t="shared" si="91"/>
        <v>2月</v>
      </c>
      <c r="C1480" s="4" t="str">
        <f t="shared" si="92"/>
        <v>W7</v>
      </c>
      <c r="D1480" s="2" t="s">
        <v>779</v>
      </c>
      <c r="E1480" s="2" t="s">
        <v>704</v>
      </c>
      <c r="F1480" s="2" t="str" cm="1">
        <f t="array" ref="F1480">INDEX(_xlfn.TEXTSPLIT(E1480,"-"),2)</f>
        <v>女装</v>
      </c>
      <c r="G1480" s="2" t="str" cm="1">
        <f t="array" ref="G1480">INDEX(_xlfn.TEXTSPLIT(E1480,"-"),3)</f>
        <v>中老年女装</v>
      </c>
      <c r="H1480" s="5">
        <v>194048</v>
      </c>
      <c r="I1480" s="5">
        <v>22751112.73</v>
      </c>
      <c r="J1480" s="6">
        <v>0.0131</v>
      </c>
      <c r="K1480" s="6">
        <v>-0.2871</v>
      </c>
    </row>
    <row r="1481" ht="14.5" spans="1:11">
      <c r="A1481" s="3" t="str">
        <f t="shared" si="90"/>
        <v>2026年</v>
      </c>
      <c r="B1481" s="3" t="str">
        <f t="shared" si="91"/>
        <v>2月</v>
      </c>
      <c r="C1481" s="4" t="str">
        <f t="shared" si="92"/>
        <v>W7</v>
      </c>
      <c r="D1481" s="2" t="s">
        <v>779</v>
      </c>
      <c r="E1481" s="2" t="s">
        <v>705</v>
      </c>
      <c r="F1481" s="2" t="str" cm="1">
        <f t="array" ref="F1481">INDEX(_xlfn.TEXTSPLIT(E1481,"-"),2)</f>
        <v>女装</v>
      </c>
      <c r="G1481" s="2" t="str" cm="1">
        <f t="array" ref="G1481">INDEX(_xlfn.TEXTSPLIT(E1481,"-"),3)</f>
        <v>半身裙</v>
      </c>
      <c r="H1481" s="5">
        <v>392424</v>
      </c>
      <c r="I1481" s="5">
        <v>38840228.21</v>
      </c>
      <c r="J1481" s="6">
        <v>0.0224</v>
      </c>
      <c r="K1481" s="6">
        <v>-0.1084</v>
      </c>
    </row>
    <row r="1482" ht="14.5" spans="1:11">
      <c r="A1482" s="3" t="str">
        <f t="shared" si="90"/>
        <v>2026年</v>
      </c>
      <c r="B1482" s="3" t="str">
        <f t="shared" si="91"/>
        <v>2月</v>
      </c>
      <c r="C1482" s="4" t="str">
        <f t="shared" si="92"/>
        <v>W7</v>
      </c>
      <c r="D1482" s="2" t="s">
        <v>779</v>
      </c>
      <c r="E1482" s="2" t="s">
        <v>706</v>
      </c>
      <c r="F1482" s="2" t="str" cm="1">
        <f t="array" ref="F1482">INDEX(_xlfn.TEXTSPLIT(E1482,"-"),2)</f>
        <v>女装</v>
      </c>
      <c r="G1482" s="2" t="str" cm="1">
        <f t="array" ref="G1482">INDEX(_xlfn.TEXTSPLIT(E1482,"-"),3)</f>
        <v>卫衣/绒衫</v>
      </c>
      <c r="H1482" s="5">
        <v>229307</v>
      </c>
      <c r="I1482" s="5">
        <v>20627191.91</v>
      </c>
      <c r="J1482" s="6">
        <v>0.0119</v>
      </c>
      <c r="K1482" s="6">
        <v>-0.1188</v>
      </c>
    </row>
    <row r="1483" ht="14.5" spans="1:11">
      <c r="A1483" s="3" t="str">
        <f t="shared" si="90"/>
        <v>2026年</v>
      </c>
      <c r="B1483" s="3" t="str">
        <f t="shared" si="91"/>
        <v>2月</v>
      </c>
      <c r="C1483" s="4" t="str">
        <f t="shared" si="92"/>
        <v>W7</v>
      </c>
      <c r="D1483" s="2" t="s">
        <v>779</v>
      </c>
      <c r="E1483" s="2" t="s">
        <v>707</v>
      </c>
      <c r="F1483" s="2" t="str" cm="1">
        <f t="array" ref="F1483">INDEX(_xlfn.TEXTSPLIT(E1483,"-"),2)</f>
        <v>女装</v>
      </c>
      <c r="G1483" s="2" t="str" cm="1">
        <f t="array" ref="G1483">INDEX(_xlfn.TEXTSPLIT(E1483,"-"),3)</f>
        <v>唐装/民族服装/舞台服装</v>
      </c>
      <c r="H1483" s="5">
        <v>165417</v>
      </c>
      <c r="I1483" s="5">
        <v>33136931.66</v>
      </c>
      <c r="J1483" s="6">
        <v>0.0191</v>
      </c>
      <c r="K1483" s="6">
        <v>-0.013</v>
      </c>
    </row>
    <row r="1484" ht="14.5" spans="1:11">
      <c r="A1484" s="3" t="str">
        <f t="shared" si="90"/>
        <v>2026年</v>
      </c>
      <c r="B1484" s="3" t="str">
        <f t="shared" si="91"/>
        <v>2月</v>
      </c>
      <c r="C1484" s="4" t="str">
        <f t="shared" si="92"/>
        <v>W7</v>
      </c>
      <c r="D1484" s="2" t="s">
        <v>779</v>
      </c>
      <c r="E1484" s="2" t="s">
        <v>708</v>
      </c>
      <c r="F1484" s="2" t="str" cm="1">
        <f t="array" ref="F1484">INDEX(_xlfn.TEXTSPLIT(E1484,"-"),2)</f>
        <v>女装</v>
      </c>
      <c r="G1484" s="2" t="str" cm="1">
        <f t="array" ref="G1484">INDEX(_xlfn.TEXTSPLIT(E1484,"-"),3)</f>
        <v>大码女装</v>
      </c>
      <c r="H1484" s="5">
        <v>287625</v>
      </c>
      <c r="I1484" s="5">
        <v>24701468.13</v>
      </c>
      <c r="J1484" s="6">
        <v>0.0142</v>
      </c>
      <c r="K1484" s="6">
        <v>-0.206</v>
      </c>
    </row>
    <row r="1485" ht="14.5" spans="1:11">
      <c r="A1485" s="3" t="str">
        <f t="shared" si="90"/>
        <v>2026年</v>
      </c>
      <c r="B1485" s="3" t="str">
        <f t="shared" si="91"/>
        <v>2月</v>
      </c>
      <c r="C1485" s="4" t="str">
        <f t="shared" si="92"/>
        <v>W7</v>
      </c>
      <c r="D1485" s="2" t="s">
        <v>779</v>
      </c>
      <c r="E1485" s="2" t="s">
        <v>709</v>
      </c>
      <c r="F1485" s="2" t="str" cm="1">
        <f t="array" ref="F1485">INDEX(_xlfn.TEXTSPLIT(E1485,"-"),2)</f>
        <v>女装</v>
      </c>
      <c r="G1485" s="2" t="str" cm="1">
        <f t="array" ref="G1485">INDEX(_xlfn.TEXTSPLIT(E1485,"-"),3)</f>
        <v>套装/学生校服/工作制服</v>
      </c>
      <c r="H1485" s="5">
        <v>518552</v>
      </c>
      <c r="I1485" s="5">
        <v>75382547.05</v>
      </c>
      <c r="J1485" s="6">
        <v>0.0434</v>
      </c>
      <c r="K1485" s="6">
        <v>-0.0838</v>
      </c>
    </row>
    <row r="1486" ht="14.5" spans="1:11">
      <c r="A1486" s="3" t="str">
        <f t="shared" si="90"/>
        <v>2026年</v>
      </c>
      <c r="B1486" s="3" t="str">
        <f t="shared" si="91"/>
        <v>2月</v>
      </c>
      <c r="C1486" s="4" t="str">
        <f t="shared" si="92"/>
        <v>W7</v>
      </c>
      <c r="D1486" s="2" t="s">
        <v>779</v>
      </c>
      <c r="E1486" s="2" t="s">
        <v>710</v>
      </c>
      <c r="F1486" s="2" t="str" cm="1">
        <f t="array" ref="F1486">INDEX(_xlfn.TEXTSPLIT(E1486,"-"),2)</f>
        <v>女装</v>
      </c>
      <c r="G1486" s="2" t="str" cm="1">
        <f t="array" ref="G1486">INDEX(_xlfn.TEXTSPLIT(E1486,"-"),3)</f>
        <v>婚纱/旗袍/礼服</v>
      </c>
      <c r="H1486" s="5">
        <v>31247</v>
      </c>
      <c r="I1486" s="5">
        <v>5542784.24</v>
      </c>
      <c r="J1486" s="6">
        <v>0.0032</v>
      </c>
      <c r="K1486" s="6">
        <v>0.0444</v>
      </c>
    </row>
    <row r="1487" ht="14.5" spans="1:11">
      <c r="A1487" s="3" t="str">
        <f t="shared" si="90"/>
        <v>2026年</v>
      </c>
      <c r="B1487" s="3" t="str">
        <f t="shared" si="91"/>
        <v>2月</v>
      </c>
      <c r="C1487" s="4" t="str">
        <f t="shared" si="92"/>
        <v>W7</v>
      </c>
      <c r="D1487" s="2" t="s">
        <v>779</v>
      </c>
      <c r="E1487" s="2" t="s">
        <v>711</v>
      </c>
      <c r="F1487" s="2" t="str" cm="1">
        <f t="array" ref="F1487">INDEX(_xlfn.TEXTSPLIT(E1487,"-"),2)</f>
        <v>女装</v>
      </c>
      <c r="G1487" s="2" t="str" cm="1">
        <f t="array" ref="G1487">INDEX(_xlfn.TEXTSPLIT(E1487,"-"),3)</f>
        <v>新中式女装</v>
      </c>
      <c r="H1487" s="5">
        <v>55549</v>
      </c>
      <c r="I1487" s="5">
        <v>7010377.71</v>
      </c>
      <c r="J1487" s="6">
        <v>0.004</v>
      </c>
      <c r="K1487" s="6">
        <v>-0.3396</v>
      </c>
    </row>
    <row r="1488" ht="14.5" spans="1:11">
      <c r="A1488" s="3" t="str">
        <f t="shared" si="90"/>
        <v>2026年</v>
      </c>
      <c r="B1488" s="3" t="str">
        <f t="shared" si="91"/>
        <v>2月</v>
      </c>
      <c r="C1488" s="4" t="str">
        <f t="shared" si="92"/>
        <v>W7</v>
      </c>
      <c r="D1488" s="2" t="s">
        <v>779</v>
      </c>
      <c r="E1488" s="2" t="s">
        <v>712</v>
      </c>
      <c r="F1488" s="2" t="str" cm="1">
        <f t="array" ref="F1488">INDEX(_xlfn.TEXTSPLIT(E1488,"-"),2)</f>
        <v>女装</v>
      </c>
      <c r="G1488" s="2" t="str" cm="1">
        <f t="array" ref="G1488">INDEX(_xlfn.TEXTSPLIT(E1488,"-"),3)</f>
        <v>时尚防晒服</v>
      </c>
      <c r="H1488" s="5">
        <v>472</v>
      </c>
      <c r="I1488" s="5">
        <v>40949.02</v>
      </c>
      <c r="J1488" s="2" t="s">
        <v>713</v>
      </c>
      <c r="K1488" s="6">
        <v>-0.6653</v>
      </c>
    </row>
    <row r="1489" ht="14.5" spans="1:11">
      <c r="A1489" s="3" t="str">
        <f t="shared" si="90"/>
        <v>2026年</v>
      </c>
      <c r="B1489" s="3" t="str">
        <f t="shared" si="91"/>
        <v>2月</v>
      </c>
      <c r="C1489" s="4" t="str">
        <f t="shared" si="92"/>
        <v>W7</v>
      </c>
      <c r="D1489" s="2" t="s">
        <v>779</v>
      </c>
      <c r="E1489" s="2" t="s">
        <v>714</v>
      </c>
      <c r="F1489" s="2" t="str" cm="1">
        <f t="array" ref="F1489">INDEX(_xlfn.TEXTSPLIT(E1489,"-"),2)</f>
        <v>女装</v>
      </c>
      <c r="G1489" s="2" t="str" cm="1">
        <f t="array" ref="G1489">INDEX(_xlfn.TEXTSPLIT(E1489,"-"),3)</f>
        <v>棉衣/棉服</v>
      </c>
      <c r="H1489" s="5">
        <v>317319</v>
      </c>
      <c r="I1489" s="5">
        <v>36443637.27</v>
      </c>
      <c r="J1489" s="6">
        <v>0.021</v>
      </c>
      <c r="K1489" s="6">
        <v>-0.1816</v>
      </c>
    </row>
    <row r="1490" ht="14.5" spans="1:11">
      <c r="A1490" s="3" t="str">
        <f t="shared" si="90"/>
        <v>2026年</v>
      </c>
      <c r="B1490" s="3" t="str">
        <f t="shared" si="91"/>
        <v>2月</v>
      </c>
      <c r="C1490" s="4" t="str">
        <f t="shared" si="92"/>
        <v>W7</v>
      </c>
      <c r="D1490" s="2" t="s">
        <v>779</v>
      </c>
      <c r="E1490" s="2" t="s">
        <v>715</v>
      </c>
      <c r="F1490" s="2" t="str" cm="1">
        <f t="array" ref="F1490">INDEX(_xlfn.TEXTSPLIT(E1490,"-"),2)</f>
        <v>女装</v>
      </c>
      <c r="G1490" s="2" t="str" cm="1">
        <f t="array" ref="G1490">INDEX(_xlfn.TEXTSPLIT(E1490,"-"),3)</f>
        <v>毛呢外套</v>
      </c>
      <c r="H1490" s="5">
        <v>572494</v>
      </c>
      <c r="I1490" s="5">
        <v>205391993.5</v>
      </c>
      <c r="J1490" s="6">
        <v>0.1183</v>
      </c>
      <c r="K1490" s="6">
        <v>-0.1552</v>
      </c>
    </row>
    <row r="1491" ht="14.5" spans="1:11">
      <c r="A1491" s="3" t="str">
        <f t="shared" si="90"/>
        <v>2026年</v>
      </c>
      <c r="B1491" s="3" t="str">
        <f t="shared" si="91"/>
        <v>2月</v>
      </c>
      <c r="C1491" s="4" t="str">
        <f t="shared" si="92"/>
        <v>W7</v>
      </c>
      <c r="D1491" s="2" t="s">
        <v>779</v>
      </c>
      <c r="E1491" s="2" t="s">
        <v>716</v>
      </c>
      <c r="F1491" s="2" t="str" cm="1">
        <f t="array" ref="F1491">INDEX(_xlfn.TEXTSPLIT(E1491,"-"),2)</f>
        <v>女装</v>
      </c>
      <c r="G1491" s="2" t="str" cm="1">
        <f t="array" ref="G1491">INDEX(_xlfn.TEXTSPLIT(E1491,"-"),3)</f>
        <v>毛衣</v>
      </c>
      <c r="H1491" s="5">
        <v>195287</v>
      </c>
      <c r="I1491" s="5">
        <v>18549290.03</v>
      </c>
      <c r="J1491" s="6">
        <v>0.0107</v>
      </c>
      <c r="K1491" s="6">
        <v>-0.2639</v>
      </c>
    </row>
    <row r="1492" ht="14.5" spans="1:11">
      <c r="A1492" s="3" t="str">
        <f t="shared" si="90"/>
        <v>2026年</v>
      </c>
      <c r="B1492" s="3" t="str">
        <f t="shared" si="91"/>
        <v>2月</v>
      </c>
      <c r="C1492" s="4" t="str">
        <f t="shared" si="92"/>
        <v>W7</v>
      </c>
      <c r="D1492" s="2" t="s">
        <v>779</v>
      </c>
      <c r="E1492" s="2" t="s">
        <v>717</v>
      </c>
      <c r="F1492" s="2" t="str" cm="1">
        <f t="array" ref="F1492">INDEX(_xlfn.TEXTSPLIT(E1492,"-"),2)</f>
        <v>女装</v>
      </c>
      <c r="G1492" s="2" t="str" cm="1">
        <f t="array" ref="G1492">INDEX(_xlfn.TEXTSPLIT(E1492,"-"),3)</f>
        <v>毛针织衫</v>
      </c>
      <c r="H1492" s="5">
        <v>1063548</v>
      </c>
      <c r="I1492" s="5">
        <v>96906976.9</v>
      </c>
      <c r="J1492" s="6">
        <v>0.0558</v>
      </c>
      <c r="K1492" s="6">
        <v>-0.1902</v>
      </c>
    </row>
    <row r="1493" ht="14.5" spans="1:11">
      <c r="A1493" s="3" t="str">
        <f t="shared" si="90"/>
        <v>2026年</v>
      </c>
      <c r="B1493" s="3" t="str">
        <f t="shared" si="91"/>
        <v>2月</v>
      </c>
      <c r="C1493" s="4" t="str">
        <f t="shared" si="92"/>
        <v>W7</v>
      </c>
      <c r="D1493" s="2" t="s">
        <v>779</v>
      </c>
      <c r="E1493" s="2" t="s">
        <v>718</v>
      </c>
      <c r="F1493" s="2" t="str" cm="1">
        <f t="array" ref="F1493">INDEX(_xlfn.TEXTSPLIT(E1493,"-"),2)</f>
        <v>女装</v>
      </c>
      <c r="G1493" s="2" t="str" cm="1">
        <f t="array" ref="G1493">INDEX(_xlfn.TEXTSPLIT(E1493,"-"),3)</f>
        <v>汉服</v>
      </c>
      <c r="H1493" s="5">
        <v>82854</v>
      </c>
      <c r="I1493" s="5">
        <v>32301626.21</v>
      </c>
      <c r="J1493" s="6">
        <v>0.0186</v>
      </c>
      <c r="K1493" s="6">
        <v>-0.1647</v>
      </c>
    </row>
    <row r="1494" ht="14.5" spans="1:11">
      <c r="A1494" s="3" t="str">
        <f t="shared" si="90"/>
        <v>2026年</v>
      </c>
      <c r="B1494" s="3" t="str">
        <f t="shared" si="91"/>
        <v>2月</v>
      </c>
      <c r="C1494" s="4" t="str">
        <f t="shared" si="92"/>
        <v>W7</v>
      </c>
      <c r="D1494" s="2" t="s">
        <v>779</v>
      </c>
      <c r="E1494" s="2" t="s">
        <v>719</v>
      </c>
      <c r="F1494" s="2" t="str" cm="1">
        <f t="array" ref="F1494">INDEX(_xlfn.TEXTSPLIT(E1494,"-"),2)</f>
        <v>女装</v>
      </c>
      <c r="G1494" s="2" t="str" cm="1">
        <f t="array" ref="G1494">INDEX(_xlfn.TEXTSPLIT(E1494,"-"),3)</f>
        <v>派克服</v>
      </c>
      <c r="H1494" s="5">
        <v>14275</v>
      </c>
      <c r="I1494" s="5">
        <v>3952864.08</v>
      </c>
      <c r="J1494" s="6">
        <v>0.0023</v>
      </c>
      <c r="K1494" s="6">
        <v>-0.4492</v>
      </c>
    </row>
    <row r="1495" ht="14.5" spans="1:11">
      <c r="A1495" s="3" t="str">
        <f t="shared" si="90"/>
        <v>2026年</v>
      </c>
      <c r="B1495" s="3" t="str">
        <f t="shared" si="91"/>
        <v>2月</v>
      </c>
      <c r="C1495" s="4" t="str">
        <f t="shared" si="92"/>
        <v>W7</v>
      </c>
      <c r="D1495" s="2" t="s">
        <v>779</v>
      </c>
      <c r="E1495" s="2" t="s">
        <v>720</v>
      </c>
      <c r="F1495" s="2" t="str" cm="1">
        <f t="array" ref="F1495">INDEX(_xlfn.TEXTSPLIT(E1495,"-"),2)</f>
        <v>女装</v>
      </c>
      <c r="G1495" s="2" t="str" cm="1">
        <f t="array" ref="G1495">INDEX(_xlfn.TEXTSPLIT(E1495,"-"),3)</f>
        <v>皮草</v>
      </c>
      <c r="H1495" s="5">
        <v>102693</v>
      </c>
      <c r="I1495" s="5">
        <v>174303083.01</v>
      </c>
      <c r="J1495" s="6">
        <v>0.1004</v>
      </c>
      <c r="K1495" s="6">
        <v>-0.233</v>
      </c>
    </row>
    <row r="1496" ht="14.5" spans="1:11">
      <c r="A1496" s="3" t="str">
        <f t="shared" si="90"/>
        <v>2026年</v>
      </c>
      <c r="B1496" s="3" t="str">
        <f t="shared" si="91"/>
        <v>2月</v>
      </c>
      <c r="C1496" s="4" t="str">
        <f t="shared" si="92"/>
        <v>W7</v>
      </c>
      <c r="D1496" s="2" t="s">
        <v>779</v>
      </c>
      <c r="E1496" s="2" t="s">
        <v>721</v>
      </c>
      <c r="F1496" s="2" t="str" cm="1">
        <f t="array" ref="F1496">INDEX(_xlfn.TEXTSPLIT(E1496,"-"),2)</f>
        <v>女装</v>
      </c>
      <c r="G1496" s="2" t="str" cm="1">
        <f t="array" ref="G1496">INDEX(_xlfn.TEXTSPLIT(E1496,"-"),3)</f>
        <v>皮衣</v>
      </c>
      <c r="H1496" s="5">
        <v>114810</v>
      </c>
      <c r="I1496" s="5">
        <v>34033761.79</v>
      </c>
      <c r="J1496" s="6">
        <v>0.0196</v>
      </c>
      <c r="K1496" s="6">
        <v>-0.2323</v>
      </c>
    </row>
    <row r="1497" ht="14.5" spans="1:11">
      <c r="A1497" s="3" t="str">
        <f t="shared" si="90"/>
        <v>2026年</v>
      </c>
      <c r="B1497" s="3" t="str">
        <f t="shared" si="91"/>
        <v>2月</v>
      </c>
      <c r="C1497" s="4" t="str">
        <f t="shared" si="92"/>
        <v>W7</v>
      </c>
      <c r="D1497" s="2" t="s">
        <v>779</v>
      </c>
      <c r="E1497" s="2" t="s">
        <v>722</v>
      </c>
      <c r="F1497" s="2" t="str" cm="1">
        <f t="array" ref="F1497">INDEX(_xlfn.TEXTSPLIT(E1497,"-"),2)</f>
        <v>女装</v>
      </c>
      <c r="G1497" s="2" t="str" cm="1">
        <f t="array" ref="G1497">INDEX(_xlfn.TEXTSPLIT(E1497,"-"),3)</f>
        <v>短外套</v>
      </c>
      <c r="H1497" s="5">
        <v>654858</v>
      </c>
      <c r="I1497" s="5">
        <v>135560173.88</v>
      </c>
      <c r="J1497" s="6">
        <v>0.0781</v>
      </c>
      <c r="K1497" s="6">
        <v>-0.1438</v>
      </c>
    </row>
    <row r="1498" ht="14.5" spans="1:11">
      <c r="A1498" s="3" t="str">
        <f t="shared" si="90"/>
        <v>2026年</v>
      </c>
      <c r="B1498" s="3" t="str">
        <f t="shared" si="91"/>
        <v>2月</v>
      </c>
      <c r="C1498" s="4" t="str">
        <f t="shared" si="92"/>
        <v>W7</v>
      </c>
      <c r="D1498" s="2" t="s">
        <v>779</v>
      </c>
      <c r="E1498" s="2" t="s">
        <v>723</v>
      </c>
      <c r="F1498" s="2" t="str" cm="1">
        <f t="array" ref="F1498">INDEX(_xlfn.TEXTSPLIT(E1498,"-"),2)</f>
        <v>女装</v>
      </c>
      <c r="G1498" s="2" t="str" cm="1">
        <f t="array" ref="G1498">INDEX(_xlfn.TEXTSPLIT(E1498,"-"),3)</f>
        <v>短裤</v>
      </c>
      <c r="H1498" s="5">
        <v>60789</v>
      </c>
      <c r="I1498" s="5">
        <v>3940281.94</v>
      </c>
      <c r="J1498" s="6">
        <v>0.0023</v>
      </c>
      <c r="K1498" s="6">
        <v>-0.1588</v>
      </c>
    </row>
    <row r="1499" ht="14.5" spans="1:11">
      <c r="A1499" s="3" t="str">
        <f t="shared" si="90"/>
        <v>2026年</v>
      </c>
      <c r="B1499" s="3" t="str">
        <f t="shared" si="91"/>
        <v>2月</v>
      </c>
      <c r="C1499" s="4" t="str">
        <f t="shared" si="92"/>
        <v>W7</v>
      </c>
      <c r="D1499" s="2" t="s">
        <v>779</v>
      </c>
      <c r="E1499" s="2" t="s">
        <v>724</v>
      </c>
      <c r="F1499" s="2" t="str" cm="1">
        <f t="array" ref="F1499">INDEX(_xlfn.TEXTSPLIT(E1499,"-"),2)</f>
        <v>女装</v>
      </c>
      <c r="G1499" s="2" t="str" cm="1">
        <f t="array" ref="G1499">INDEX(_xlfn.TEXTSPLIT(E1499,"-"),3)</f>
        <v>羊毛衫</v>
      </c>
      <c r="H1499" s="5">
        <v>197280</v>
      </c>
      <c r="I1499" s="5">
        <v>27686650.19</v>
      </c>
      <c r="J1499" s="6">
        <v>0.016</v>
      </c>
      <c r="K1499" s="6">
        <v>-0.1971</v>
      </c>
    </row>
    <row r="1500" ht="14.5" spans="1:11">
      <c r="A1500" s="3" t="str">
        <f t="shared" si="90"/>
        <v>2026年</v>
      </c>
      <c r="B1500" s="3" t="str">
        <f t="shared" si="91"/>
        <v>2月</v>
      </c>
      <c r="C1500" s="4" t="str">
        <f t="shared" si="92"/>
        <v>W7</v>
      </c>
      <c r="D1500" s="2" t="s">
        <v>779</v>
      </c>
      <c r="E1500" s="2" t="s">
        <v>725</v>
      </c>
      <c r="F1500" s="2" t="str" cm="1">
        <f t="array" ref="F1500">INDEX(_xlfn.TEXTSPLIT(E1500,"-"),2)</f>
        <v>女装</v>
      </c>
      <c r="G1500" s="2" t="str" cm="1">
        <f t="array" ref="G1500">INDEX(_xlfn.TEXTSPLIT(E1500,"-"),3)</f>
        <v>羊绒大衣</v>
      </c>
      <c r="H1500" s="5">
        <v>7845</v>
      </c>
      <c r="I1500" s="5">
        <v>2863883.28</v>
      </c>
      <c r="J1500" s="6">
        <v>0.0017</v>
      </c>
      <c r="K1500" s="6">
        <v>-0.1091</v>
      </c>
    </row>
    <row r="1501" ht="14.5" spans="1:11">
      <c r="A1501" s="3" t="str">
        <f t="shared" si="90"/>
        <v>2026年</v>
      </c>
      <c r="B1501" s="3" t="str">
        <f t="shared" si="91"/>
        <v>2月</v>
      </c>
      <c r="C1501" s="4" t="str">
        <f t="shared" si="92"/>
        <v>W7</v>
      </c>
      <c r="D1501" s="2" t="s">
        <v>779</v>
      </c>
      <c r="E1501" s="2" t="s">
        <v>726</v>
      </c>
      <c r="F1501" s="2" t="str" cm="1">
        <f t="array" ref="F1501">INDEX(_xlfn.TEXTSPLIT(E1501,"-"),2)</f>
        <v>女装</v>
      </c>
      <c r="G1501" s="2" t="str" cm="1">
        <f t="array" ref="G1501">INDEX(_xlfn.TEXTSPLIT(E1501,"-"),3)</f>
        <v>羊绒衫</v>
      </c>
      <c r="H1501" s="5">
        <v>55418</v>
      </c>
      <c r="I1501" s="5">
        <v>19248835.16</v>
      </c>
      <c r="J1501" s="6">
        <v>0.0111</v>
      </c>
      <c r="K1501" s="6">
        <v>-0.2677</v>
      </c>
    </row>
    <row r="1502" ht="14.5" spans="1:11">
      <c r="A1502" s="3" t="str">
        <f t="shared" ref="A1502:A1565" si="93">TEXT(YEAR(D1502),"0")&amp;"年"</f>
        <v>2026年</v>
      </c>
      <c r="B1502" s="3" t="str">
        <f t="shared" ref="B1502:B1565" si="94">TEXT(MONTH(D1502),"0")&amp;"月"</f>
        <v>2月</v>
      </c>
      <c r="C1502" s="4" t="str">
        <f t="shared" ref="C1502:C1565" si="95">"W"&amp;TEXT(WEEKNUM(D1502,2),"0")</f>
        <v>W7</v>
      </c>
      <c r="D1502" s="2" t="s">
        <v>779</v>
      </c>
      <c r="E1502" s="2" t="s">
        <v>727</v>
      </c>
      <c r="F1502" s="2" t="str" cm="1">
        <f t="array" ref="F1502">INDEX(_xlfn.TEXTSPLIT(E1502,"-"),2)</f>
        <v>女装</v>
      </c>
      <c r="G1502" s="2" t="str" cm="1">
        <f t="array" ref="G1502">INDEX(_xlfn.TEXTSPLIT(E1502,"-"),3)</f>
        <v>羽绒服</v>
      </c>
      <c r="H1502" s="5">
        <v>756319</v>
      </c>
      <c r="I1502" s="5">
        <v>252292792.38</v>
      </c>
      <c r="J1502" s="6">
        <v>0.1454</v>
      </c>
      <c r="K1502" s="6">
        <v>-0.3009</v>
      </c>
    </row>
    <row r="1503" ht="14.5" spans="1:11">
      <c r="A1503" s="3" t="str">
        <f t="shared" si="93"/>
        <v>2026年</v>
      </c>
      <c r="B1503" s="3" t="str">
        <f t="shared" si="94"/>
        <v>2月</v>
      </c>
      <c r="C1503" s="4" t="str">
        <f t="shared" si="95"/>
        <v>W7</v>
      </c>
      <c r="D1503" s="2" t="s">
        <v>779</v>
      </c>
      <c r="E1503" s="2" t="s">
        <v>728</v>
      </c>
      <c r="F1503" s="2" t="str" cm="1">
        <f t="array" ref="F1503">INDEX(_xlfn.TEXTSPLIT(E1503,"-"),2)</f>
        <v>女装</v>
      </c>
      <c r="G1503" s="2" t="str" cm="1">
        <f t="array" ref="G1503">INDEX(_xlfn.TEXTSPLIT(E1503,"-"),3)</f>
        <v>肌底衣/肌肤衣</v>
      </c>
      <c r="H1503" s="5">
        <v>2254</v>
      </c>
      <c r="I1503" s="5">
        <v>124263.2</v>
      </c>
      <c r="J1503" s="6">
        <v>0.0001</v>
      </c>
      <c r="K1503" s="6">
        <v>-0.2781</v>
      </c>
    </row>
    <row r="1504" ht="14.5" spans="1:11">
      <c r="A1504" s="3" t="str">
        <f t="shared" si="93"/>
        <v>2026年</v>
      </c>
      <c r="B1504" s="3" t="str">
        <f t="shared" si="94"/>
        <v>2月</v>
      </c>
      <c r="C1504" s="4" t="str">
        <f t="shared" si="95"/>
        <v>W7</v>
      </c>
      <c r="D1504" s="2" t="s">
        <v>779</v>
      </c>
      <c r="E1504" s="2" t="s">
        <v>729</v>
      </c>
      <c r="F1504" s="2" t="str" cm="1">
        <f t="array" ref="F1504">INDEX(_xlfn.TEXTSPLIT(E1504,"-"),2)</f>
        <v>女装</v>
      </c>
      <c r="G1504" s="2" t="str" cm="1">
        <f t="array" ref="G1504">INDEX(_xlfn.TEXTSPLIT(E1504,"-"),3)</f>
        <v>背心吊带</v>
      </c>
      <c r="H1504" s="5">
        <v>176168</v>
      </c>
      <c r="I1504" s="5">
        <v>8882468.6</v>
      </c>
      <c r="J1504" s="6">
        <v>0.0051</v>
      </c>
      <c r="K1504" s="6">
        <v>-0.1046</v>
      </c>
    </row>
    <row r="1505" ht="14.5" spans="1:11">
      <c r="A1505" s="3" t="str">
        <f t="shared" si="93"/>
        <v>2026年</v>
      </c>
      <c r="B1505" s="3" t="str">
        <f t="shared" si="94"/>
        <v>2月</v>
      </c>
      <c r="C1505" s="4" t="str">
        <f t="shared" si="95"/>
        <v>W7</v>
      </c>
      <c r="D1505" s="2" t="s">
        <v>779</v>
      </c>
      <c r="E1505" s="2" t="s">
        <v>730</v>
      </c>
      <c r="F1505" s="2" t="str" cm="1">
        <f t="array" ref="F1505">INDEX(_xlfn.TEXTSPLIT(E1505,"-"),2)</f>
        <v>女装</v>
      </c>
      <c r="G1505" s="2" t="str" cm="1">
        <f t="array" ref="G1505">INDEX(_xlfn.TEXTSPLIT(E1505,"-"),3)</f>
        <v>蕾丝衫/雪纺衫</v>
      </c>
      <c r="H1505" s="5">
        <v>99234</v>
      </c>
      <c r="I1505" s="5">
        <v>7384980.73</v>
      </c>
      <c r="J1505" s="6">
        <v>0.0043</v>
      </c>
      <c r="K1505" s="6">
        <v>-0.0858</v>
      </c>
    </row>
    <row r="1506" ht="14.5" spans="1:11">
      <c r="A1506" s="3" t="str">
        <f t="shared" si="93"/>
        <v>2026年</v>
      </c>
      <c r="B1506" s="3" t="str">
        <f t="shared" si="94"/>
        <v>2月</v>
      </c>
      <c r="C1506" s="4" t="str">
        <f t="shared" si="95"/>
        <v>W7</v>
      </c>
      <c r="D1506" s="2" t="s">
        <v>779</v>
      </c>
      <c r="E1506" s="2" t="s">
        <v>731</v>
      </c>
      <c r="F1506" s="2" t="str" cm="1">
        <f t="array" ref="F1506">INDEX(_xlfn.TEXTSPLIT(E1506,"-"),2)</f>
        <v>女装</v>
      </c>
      <c r="G1506" s="2" t="str" cm="1">
        <f t="array" ref="G1506">INDEX(_xlfn.TEXTSPLIT(E1506,"-"),3)</f>
        <v>衬衫</v>
      </c>
      <c r="H1506" s="5">
        <v>379914</v>
      </c>
      <c r="I1506" s="5">
        <v>37081740.63</v>
      </c>
      <c r="J1506" s="6">
        <v>0.0214</v>
      </c>
      <c r="K1506" s="6">
        <v>-0.0718</v>
      </c>
    </row>
    <row r="1507" ht="14.5" spans="1:11">
      <c r="A1507" s="3" t="str">
        <f t="shared" si="93"/>
        <v>2026年</v>
      </c>
      <c r="B1507" s="3" t="str">
        <f t="shared" si="94"/>
        <v>2月</v>
      </c>
      <c r="C1507" s="4" t="str">
        <f t="shared" si="95"/>
        <v>W7</v>
      </c>
      <c r="D1507" s="2" t="s">
        <v>779</v>
      </c>
      <c r="E1507" s="2" t="s">
        <v>732</v>
      </c>
      <c r="F1507" s="2" t="str" cm="1">
        <f t="array" ref="F1507">INDEX(_xlfn.TEXTSPLIT(E1507,"-"),2)</f>
        <v>女装</v>
      </c>
      <c r="G1507" s="2" t="str" cm="1">
        <f t="array" ref="G1507">INDEX(_xlfn.TEXTSPLIT(E1507,"-"),3)</f>
        <v>裤子</v>
      </c>
      <c r="H1507" s="5">
        <v>1846396</v>
      </c>
      <c r="I1507" s="5">
        <v>193589551.23</v>
      </c>
      <c r="J1507" s="6">
        <v>0.1115</v>
      </c>
      <c r="K1507" s="6">
        <v>-0.1734</v>
      </c>
    </row>
    <row r="1508" ht="14.5" spans="1:11">
      <c r="A1508" s="3" t="str">
        <f t="shared" si="93"/>
        <v>2026年</v>
      </c>
      <c r="B1508" s="3" t="str">
        <f t="shared" si="94"/>
        <v>2月</v>
      </c>
      <c r="C1508" s="4" t="str">
        <f t="shared" si="95"/>
        <v>W7</v>
      </c>
      <c r="D1508" s="2" t="s">
        <v>779</v>
      </c>
      <c r="E1508" s="2" t="s">
        <v>733</v>
      </c>
      <c r="F1508" s="2" t="str" cm="1">
        <f t="array" ref="F1508">INDEX(_xlfn.TEXTSPLIT(E1508,"-"),2)</f>
        <v>女装</v>
      </c>
      <c r="G1508" s="2" t="str" cm="1">
        <f t="array" ref="G1508">INDEX(_xlfn.TEXTSPLIT(E1508,"-"),3)</f>
        <v>西装</v>
      </c>
      <c r="H1508" s="5">
        <v>43699</v>
      </c>
      <c r="I1508" s="5">
        <v>11027373.71</v>
      </c>
      <c r="J1508" s="6">
        <v>0.0064</v>
      </c>
      <c r="K1508" s="6">
        <v>-0.1755</v>
      </c>
    </row>
    <row r="1509" ht="14.5" spans="1:11">
      <c r="A1509" s="3" t="str">
        <f t="shared" si="93"/>
        <v>2026年</v>
      </c>
      <c r="B1509" s="3" t="str">
        <f t="shared" si="94"/>
        <v>2月</v>
      </c>
      <c r="C1509" s="4" t="str">
        <f t="shared" si="95"/>
        <v>W7</v>
      </c>
      <c r="D1509" s="2" t="s">
        <v>779</v>
      </c>
      <c r="E1509" s="2" t="s">
        <v>734</v>
      </c>
      <c r="F1509" s="2" t="str" cm="1">
        <f t="array" ref="F1509">INDEX(_xlfn.TEXTSPLIT(E1509,"-"),2)</f>
        <v>女装</v>
      </c>
      <c r="G1509" s="2" t="str" cm="1">
        <f t="array" ref="G1509">INDEX(_xlfn.TEXTSPLIT(E1509,"-"),3)</f>
        <v>设计师/潮牌女装</v>
      </c>
      <c r="H1509" s="5">
        <v>285600</v>
      </c>
      <c r="I1509" s="5">
        <v>30176517.82</v>
      </c>
      <c r="J1509" s="6">
        <v>0.0174</v>
      </c>
      <c r="K1509" s="6">
        <v>-0.0061</v>
      </c>
    </row>
    <row r="1510" ht="14.5" spans="1:11">
      <c r="A1510" s="3" t="str">
        <f t="shared" si="93"/>
        <v>2026年</v>
      </c>
      <c r="B1510" s="3" t="str">
        <f t="shared" si="94"/>
        <v>2月</v>
      </c>
      <c r="C1510" s="4" t="str">
        <f t="shared" si="95"/>
        <v>W7</v>
      </c>
      <c r="D1510" s="2" t="s">
        <v>779</v>
      </c>
      <c r="E1510" s="2" t="s">
        <v>735</v>
      </c>
      <c r="F1510" s="2" t="str" cm="1">
        <f t="array" ref="F1510">INDEX(_xlfn.TEXTSPLIT(E1510,"-"),2)</f>
        <v>女装</v>
      </c>
      <c r="G1510" s="2" t="str" cm="1">
        <f t="array" ref="G1510">INDEX(_xlfn.TEXTSPLIT(E1510,"-"),3)</f>
        <v>连体衣/裤</v>
      </c>
      <c r="H1510" s="5">
        <v>8199</v>
      </c>
      <c r="I1510" s="5">
        <v>2116846.19</v>
      </c>
      <c r="J1510" s="6">
        <v>0.0012</v>
      </c>
      <c r="K1510" s="6">
        <v>0.0977</v>
      </c>
    </row>
    <row r="1511" ht="14.5" spans="1:11">
      <c r="A1511" s="3" t="str">
        <f t="shared" si="93"/>
        <v>2026年</v>
      </c>
      <c r="B1511" s="3" t="str">
        <f t="shared" si="94"/>
        <v>2月</v>
      </c>
      <c r="C1511" s="4" t="str">
        <f t="shared" si="95"/>
        <v>W7</v>
      </c>
      <c r="D1511" s="2" t="s">
        <v>779</v>
      </c>
      <c r="E1511" s="2" t="s">
        <v>736</v>
      </c>
      <c r="F1511" s="2" t="str" cm="1">
        <f t="array" ref="F1511">INDEX(_xlfn.TEXTSPLIT(E1511,"-"),2)</f>
        <v>女装</v>
      </c>
      <c r="G1511" s="2" t="str" cm="1">
        <f t="array" ref="G1511">INDEX(_xlfn.TEXTSPLIT(E1511,"-"),3)</f>
        <v>连衣裙</v>
      </c>
      <c r="H1511" s="5">
        <v>484597</v>
      </c>
      <c r="I1511" s="5">
        <v>75765941.49</v>
      </c>
      <c r="J1511" s="6">
        <v>0.0437</v>
      </c>
      <c r="K1511" s="6">
        <v>-0.0842</v>
      </c>
    </row>
    <row r="1512" ht="14.5" spans="1:11">
      <c r="A1512" s="3" t="str">
        <f t="shared" si="93"/>
        <v>2026年</v>
      </c>
      <c r="B1512" s="3" t="str">
        <f t="shared" si="94"/>
        <v>2月</v>
      </c>
      <c r="C1512" s="4" t="str">
        <f t="shared" si="95"/>
        <v>W7</v>
      </c>
      <c r="D1512" s="2" t="s">
        <v>779</v>
      </c>
      <c r="E1512" s="2" t="s">
        <v>737</v>
      </c>
      <c r="F1512" s="2" t="str" cm="1">
        <f t="array" ref="F1512">INDEX(_xlfn.TEXTSPLIT(E1512,"-"),2)</f>
        <v>女装</v>
      </c>
      <c r="G1512" s="2" t="str" cm="1">
        <f t="array" ref="G1512">INDEX(_xlfn.TEXTSPLIT(E1512,"-"),3)</f>
        <v>风衣</v>
      </c>
      <c r="H1512" s="5">
        <v>75878</v>
      </c>
      <c r="I1512" s="5">
        <v>15159544.74</v>
      </c>
      <c r="J1512" s="6">
        <v>0.0087</v>
      </c>
      <c r="K1512" s="6">
        <v>-0.006</v>
      </c>
    </row>
    <row r="1513" ht="14.5" spans="1:11">
      <c r="A1513" s="3" t="str">
        <f t="shared" si="93"/>
        <v>2026年</v>
      </c>
      <c r="B1513" s="3" t="str">
        <f t="shared" si="94"/>
        <v>2月</v>
      </c>
      <c r="C1513" s="4" t="str">
        <f t="shared" si="95"/>
        <v>W7</v>
      </c>
      <c r="D1513" s="2" t="s">
        <v>779</v>
      </c>
      <c r="E1513" s="2" t="s">
        <v>738</v>
      </c>
      <c r="F1513" s="2" t="str" cm="1">
        <f t="array" ref="F1513">INDEX(_xlfn.TEXTSPLIT(E1513,"-"),2)</f>
        <v>女装</v>
      </c>
      <c r="G1513" s="2" t="str" cm="1">
        <f t="array" ref="G1513">INDEX(_xlfn.TEXTSPLIT(E1513,"-"),3)</f>
        <v>马夹</v>
      </c>
      <c r="H1513" s="5">
        <v>245758</v>
      </c>
      <c r="I1513" s="5">
        <v>26809524.22</v>
      </c>
      <c r="J1513" s="6">
        <v>0.0154</v>
      </c>
      <c r="K1513" s="6">
        <v>-0.0533</v>
      </c>
    </row>
    <row r="1514" ht="14.5" spans="1:11">
      <c r="A1514" s="3" t="str">
        <f t="shared" si="93"/>
        <v>2026年</v>
      </c>
      <c r="B1514" s="3" t="str">
        <f t="shared" si="94"/>
        <v>2月</v>
      </c>
      <c r="C1514" s="4" t="str">
        <f t="shared" si="95"/>
        <v>W7</v>
      </c>
      <c r="D1514" s="2" t="s">
        <v>780</v>
      </c>
      <c r="E1514" s="2" t="s">
        <v>702</v>
      </c>
      <c r="F1514" s="2" t="str" cm="1">
        <f t="array" ref="F1514">INDEX(_xlfn.TEXTSPLIT(E1514,"-"),2)</f>
        <v>女装</v>
      </c>
      <c r="G1514" s="2" t="str" cm="1">
        <f t="array" ref="G1514">INDEX(_xlfn.TEXTSPLIT(E1514,"-"),3)</f>
        <v>POLO衫</v>
      </c>
      <c r="H1514" s="5">
        <v>4772</v>
      </c>
      <c r="I1514" s="5">
        <v>485699.07</v>
      </c>
      <c r="J1514" s="6">
        <v>0.0003</v>
      </c>
      <c r="K1514" s="6">
        <v>-0.3998</v>
      </c>
    </row>
    <row r="1515" ht="14.5" spans="1:11">
      <c r="A1515" s="3" t="str">
        <f t="shared" si="93"/>
        <v>2026年</v>
      </c>
      <c r="B1515" s="3" t="str">
        <f t="shared" si="94"/>
        <v>2月</v>
      </c>
      <c r="C1515" s="4" t="str">
        <f t="shared" si="95"/>
        <v>W7</v>
      </c>
      <c r="D1515" s="2" t="s">
        <v>780</v>
      </c>
      <c r="E1515" s="2" t="s">
        <v>703</v>
      </c>
      <c r="F1515" s="2" t="str" cm="1">
        <f t="array" ref="F1515">INDEX(_xlfn.TEXTSPLIT(E1515,"-"),2)</f>
        <v>女装</v>
      </c>
      <c r="G1515" s="2" t="str" cm="1">
        <f t="array" ref="G1515">INDEX(_xlfn.TEXTSPLIT(E1515,"-"),3)</f>
        <v>T恤</v>
      </c>
      <c r="H1515" s="5">
        <v>787873</v>
      </c>
      <c r="I1515" s="5">
        <v>48095623.23</v>
      </c>
      <c r="J1515" s="6">
        <v>0.0313</v>
      </c>
      <c r="K1515" s="6">
        <v>-0.1261</v>
      </c>
    </row>
    <row r="1516" ht="14.5" spans="1:11">
      <c r="A1516" s="3" t="str">
        <f t="shared" si="93"/>
        <v>2026年</v>
      </c>
      <c r="B1516" s="3" t="str">
        <f t="shared" si="94"/>
        <v>2月</v>
      </c>
      <c r="C1516" s="4" t="str">
        <f t="shared" si="95"/>
        <v>W7</v>
      </c>
      <c r="D1516" s="2" t="s">
        <v>780</v>
      </c>
      <c r="E1516" s="2" t="s">
        <v>704</v>
      </c>
      <c r="F1516" s="2" t="str" cm="1">
        <f t="array" ref="F1516">INDEX(_xlfn.TEXTSPLIT(E1516,"-"),2)</f>
        <v>女装</v>
      </c>
      <c r="G1516" s="2" t="str" cm="1">
        <f t="array" ref="G1516">INDEX(_xlfn.TEXTSPLIT(E1516,"-"),3)</f>
        <v>中老年女装</v>
      </c>
      <c r="H1516" s="5">
        <v>151467</v>
      </c>
      <c r="I1516" s="5">
        <v>17931241.18</v>
      </c>
      <c r="J1516" s="6">
        <v>0.0117</v>
      </c>
      <c r="K1516" s="6">
        <v>-0.2119</v>
      </c>
    </row>
    <row r="1517" ht="14.5" spans="1:11">
      <c r="A1517" s="3" t="str">
        <f t="shared" si="93"/>
        <v>2026年</v>
      </c>
      <c r="B1517" s="3" t="str">
        <f t="shared" si="94"/>
        <v>2月</v>
      </c>
      <c r="C1517" s="4" t="str">
        <f t="shared" si="95"/>
        <v>W7</v>
      </c>
      <c r="D1517" s="2" t="s">
        <v>780</v>
      </c>
      <c r="E1517" s="2" t="s">
        <v>705</v>
      </c>
      <c r="F1517" s="2" t="str" cm="1">
        <f t="array" ref="F1517">INDEX(_xlfn.TEXTSPLIT(E1517,"-"),2)</f>
        <v>女装</v>
      </c>
      <c r="G1517" s="2" t="str" cm="1">
        <f t="array" ref="G1517">INDEX(_xlfn.TEXTSPLIT(E1517,"-"),3)</f>
        <v>半身裙</v>
      </c>
      <c r="H1517" s="5">
        <v>314504</v>
      </c>
      <c r="I1517" s="5">
        <v>36678828.29</v>
      </c>
      <c r="J1517" s="6">
        <v>0.0239</v>
      </c>
      <c r="K1517" s="6">
        <v>-0.0556</v>
      </c>
    </row>
    <row r="1518" ht="14.5" spans="1:11">
      <c r="A1518" s="3" t="str">
        <f t="shared" si="93"/>
        <v>2026年</v>
      </c>
      <c r="B1518" s="3" t="str">
        <f t="shared" si="94"/>
        <v>2月</v>
      </c>
      <c r="C1518" s="4" t="str">
        <f t="shared" si="95"/>
        <v>W7</v>
      </c>
      <c r="D1518" s="2" t="s">
        <v>780</v>
      </c>
      <c r="E1518" s="2" t="s">
        <v>706</v>
      </c>
      <c r="F1518" s="2" t="str" cm="1">
        <f t="array" ref="F1518">INDEX(_xlfn.TEXTSPLIT(E1518,"-"),2)</f>
        <v>女装</v>
      </c>
      <c r="G1518" s="2" t="str" cm="1">
        <f t="array" ref="G1518">INDEX(_xlfn.TEXTSPLIT(E1518,"-"),3)</f>
        <v>卫衣/绒衫</v>
      </c>
      <c r="H1518" s="5">
        <v>201695</v>
      </c>
      <c r="I1518" s="5">
        <v>19492787.31</v>
      </c>
      <c r="J1518" s="6">
        <v>0.0127</v>
      </c>
      <c r="K1518" s="6">
        <v>-0.055</v>
      </c>
    </row>
    <row r="1519" ht="14.5" spans="1:11">
      <c r="A1519" s="3" t="str">
        <f t="shared" si="93"/>
        <v>2026年</v>
      </c>
      <c r="B1519" s="3" t="str">
        <f t="shared" si="94"/>
        <v>2月</v>
      </c>
      <c r="C1519" s="4" t="str">
        <f t="shared" si="95"/>
        <v>W7</v>
      </c>
      <c r="D1519" s="2" t="s">
        <v>780</v>
      </c>
      <c r="E1519" s="2" t="s">
        <v>707</v>
      </c>
      <c r="F1519" s="2" t="str" cm="1">
        <f t="array" ref="F1519">INDEX(_xlfn.TEXTSPLIT(E1519,"-"),2)</f>
        <v>女装</v>
      </c>
      <c r="G1519" s="2" t="str" cm="1">
        <f t="array" ref="G1519">INDEX(_xlfn.TEXTSPLIT(E1519,"-"),3)</f>
        <v>唐装/民族服装/舞台服装</v>
      </c>
      <c r="H1519" s="5">
        <v>158286</v>
      </c>
      <c r="I1519" s="5">
        <v>32071750.56</v>
      </c>
      <c r="J1519" s="6">
        <v>0.0209</v>
      </c>
      <c r="K1519" s="6">
        <v>-0.0321</v>
      </c>
    </row>
    <row r="1520" ht="14.5" spans="1:11">
      <c r="A1520" s="3" t="str">
        <f t="shared" si="93"/>
        <v>2026年</v>
      </c>
      <c r="B1520" s="3" t="str">
        <f t="shared" si="94"/>
        <v>2月</v>
      </c>
      <c r="C1520" s="4" t="str">
        <f t="shared" si="95"/>
        <v>W7</v>
      </c>
      <c r="D1520" s="2" t="s">
        <v>780</v>
      </c>
      <c r="E1520" s="2" t="s">
        <v>708</v>
      </c>
      <c r="F1520" s="2" t="str" cm="1">
        <f t="array" ref="F1520">INDEX(_xlfn.TEXTSPLIT(E1520,"-"),2)</f>
        <v>女装</v>
      </c>
      <c r="G1520" s="2" t="str" cm="1">
        <f t="array" ref="G1520">INDEX(_xlfn.TEXTSPLIT(E1520,"-"),3)</f>
        <v>大码女装</v>
      </c>
      <c r="H1520" s="5">
        <v>233953</v>
      </c>
      <c r="I1520" s="5">
        <v>20429276.05</v>
      </c>
      <c r="J1520" s="6">
        <v>0.0133</v>
      </c>
      <c r="K1520" s="6">
        <v>-0.173</v>
      </c>
    </row>
    <row r="1521" ht="14.5" spans="1:11">
      <c r="A1521" s="3" t="str">
        <f t="shared" si="93"/>
        <v>2026年</v>
      </c>
      <c r="B1521" s="3" t="str">
        <f t="shared" si="94"/>
        <v>2月</v>
      </c>
      <c r="C1521" s="4" t="str">
        <f t="shared" si="95"/>
        <v>W7</v>
      </c>
      <c r="D1521" s="2" t="s">
        <v>780</v>
      </c>
      <c r="E1521" s="2" t="s">
        <v>709</v>
      </c>
      <c r="F1521" s="2" t="str" cm="1">
        <f t="array" ref="F1521">INDEX(_xlfn.TEXTSPLIT(E1521,"-"),2)</f>
        <v>女装</v>
      </c>
      <c r="G1521" s="2" t="str" cm="1">
        <f t="array" ref="G1521">INDEX(_xlfn.TEXTSPLIT(E1521,"-"),3)</f>
        <v>套装/学生校服/工作制服</v>
      </c>
      <c r="H1521" s="5">
        <v>490406</v>
      </c>
      <c r="I1521" s="5">
        <v>73621426.24</v>
      </c>
      <c r="J1521" s="6">
        <v>0.048</v>
      </c>
      <c r="K1521" s="6">
        <v>-0.0234</v>
      </c>
    </row>
    <row r="1522" ht="14.5" spans="1:11">
      <c r="A1522" s="3" t="str">
        <f t="shared" si="93"/>
        <v>2026年</v>
      </c>
      <c r="B1522" s="3" t="str">
        <f t="shared" si="94"/>
        <v>2月</v>
      </c>
      <c r="C1522" s="4" t="str">
        <f t="shared" si="95"/>
        <v>W7</v>
      </c>
      <c r="D1522" s="2" t="s">
        <v>780</v>
      </c>
      <c r="E1522" s="2" t="s">
        <v>710</v>
      </c>
      <c r="F1522" s="2" t="str" cm="1">
        <f t="array" ref="F1522">INDEX(_xlfn.TEXTSPLIT(E1522,"-"),2)</f>
        <v>女装</v>
      </c>
      <c r="G1522" s="2" t="str" cm="1">
        <f t="array" ref="G1522">INDEX(_xlfn.TEXTSPLIT(E1522,"-"),3)</f>
        <v>婚纱/旗袍/礼服</v>
      </c>
      <c r="H1522" s="5">
        <v>28346</v>
      </c>
      <c r="I1522" s="5">
        <v>4255600.71</v>
      </c>
      <c r="J1522" s="6">
        <v>0.0028</v>
      </c>
      <c r="K1522" s="6">
        <v>-0.2322</v>
      </c>
    </row>
    <row r="1523" ht="14.5" spans="1:11">
      <c r="A1523" s="3" t="str">
        <f t="shared" si="93"/>
        <v>2026年</v>
      </c>
      <c r="B1523" s="3" t="str">
        <f t="shared" si="94"/>
        <v>2月</v>
      </c>
      <c r="C1523" s="4" t="str">
        <f t="shared" si="95"/>
        <v>W7</v>
      </c>
      <c r="D1523" s="2" t="s">
        <v>780</v>
      </c>
      <c r="E1523" s="2" t="s">
        <v>711</v>
      </c>
      <c r="F1523" s="2" t="str" cm="1">
        <f t="array" ref="F1523">INDEX(_xlfn.TEXTSPLIT(E1523,"-"),2)</f>
        <v>女装</v>
      </c>
      <c r="G1523" s="2" t="str" cm="1">
        <f t="array" ref="G1523">INDEX(_xlfn.TEXTSPLIT(E1523,"-"),3)</f>
        <v>新中式女装</v>
      </c>
      <c r="H1523" s="5">
        <v>55152</v>
      </c>
      <c r="I1523" s="5">
        <v>6576113.45</v>
      </c>
      <c r="J1523" s="6">
        <v>0.0043</v>
      </c>
      <c r="K1523" s="6">
        <v>-0.0619</v>
      </c>
    </row>
    <row r="1524" ht="14.5" spans="1:11">
      <c r="A1524" s="3" t="str">
        <f t="shared" si="93"/>
        <v>2026年</v>
      </c>
      <c r="B1524" s="3" t="str">
        <f t="shared" si="94"/>
        <v>2月</v>
      </c>
      <c r="C1524" s="4" t="str">
        <f t="shared" si="95"/>
        <v>W7</v>
      </c>
      <c r="D1524" s="2" t="s">
        <v>780</v>
      </c>
      <c r="E1524" s="2" t="s">
        <v>712</v>
      </c>
      <c r="F1524" s="2" t="str" cm="1">
        <f t="array" ref="F1524">INDEX(_xlfn.TEXTSPLIT(E1524,"-"),2)</f>
        <v>女装</v>
      </c>
      <c r="G1524" s="2" t="str" cm="1">
        <f t="array" ref="G1524">INDEX(_xlfn.TEXTSPLIT(E1524,"-"),3)</f>
        <v>时尚防晒服</v>
      </c>
      <c r="H1524" s="5">
        <v>364</v>
      </c>
      <c r="I1524" s="5">
        <v>36122.82</v>
      </c>
      <c r="J1524" s="2" t="s">
        <v>713</v>
      </c>
      <c r="K1524" s="6">
        <v>-0.1179</v>
      </c>
    </row>
    <row r="1525" ht="14.5" spans="1:11">
      <c r="A1525" s="3" t="str">
        <f t="shared" si="93"/>
        <v>2026年</v>
      </c>
      <c r="B1525" s="3" t="str">
        <f t="shared" si="94"/>
        <v>2月</v>
      </c>
      <c r="C1525" s="4" t="str">
        <f t="shared" si="95"/>
        <v>W7</v>
      </c>
      <c r="D1525" s="2" t="s">
        <v>780</v>
      </c>
      <c r="E1525" s="2" t="s">
        <v>714</v>
      </c>
      <c r="F1525" s="2" t="str" cm="1">
        <f t="array" ref="F1525">INDEX(_xlfn.TEXTSPLIT(E1525,"-"),2)</f>
        <v>女装</v>
      </c>
      <c r="G1525" s="2" t="str" cm="1">
        <f t="array" ref="G1525">INDEX(_xlfn.TEXTSPLIT(E1525,"-"),3)</f>
        <v>棉衣/棉服</v>
      </c>
      <c r="H1525" s="5">
        <v>259004</v>
      </c>
      <c r="I1525" s="5">
        <v>30256006.98</v>
      </c>
      <c r="J1525" s="6">
        <v>0.0197</v>
      </c>
      <c r="K1525" s="6">
        <v>-0.1698</v>
      </c>
    </row>
    <row r="1526" ht="14.5" spans="1:11">
      <c r="A1526" s="3" t="str">
        <f t="shared" si="93"/>
        <v>2026年</v>
      </c>
      <c r="B1526" s="3" t="str">
        <f t="shared" si="94"/>
        <v>2月</v>
      </c>
      <c r="C1526" s="4" t="str">
        <f t="shared" si="95"/>
        <v>W7</v>
      </c>
      <c r="D1526" s="2" t="s">
        <v>780</v>
      </c>
      <c r="E1526" s="2" t="s">
        <v>715</v>
      </c>
      <c r="F1526" s="2" t="str" cm="1">
        <f t="array" ref="F1526">INDEX(_xlfn.TEXTSPLIT(E1526,"-"),2)</f>
        <v>女装</v>
      </c>
      <c r="G1526" s="2" t="str" cm="1">
        <f t="array" ref="G1526">INDEX(_xlfn.TEXTSPLIT(E1526,"-"),3)</f>
        <v>毛呢外套</v>
      </c>
      <c r="H1526" s="5">
        <v>515433</v>
      </c>
      <c r="I1526" s="5">
        <v>183932627.78</v>
      </c>
      <c r="J1526" s="6">
        <v>0.1198</v>
      </c>
      <c r="K1526" s="6">
        <v>-0.1045</v>
      </c>
    </row>
    <row r="1527" ht="14.5" spans="1:11">
      <c r="A1527" s="3" t="str">
        <f t="shared" si="93"/>
        <v>2026年</v>
      </c>
      <c r="B1527" s="3" t="str">
        <f t="shared" si="94"/>
        <v>2月</v>
      </c>
      <c r="C1527" s="4" t="str">
        <f t="shared" si="95"/>
        <v>W7</v>
      </c>
      <c r="D1527" s="2" t="s">
        <v>780</v>
      </c>
      <c r="E1527" s="2" t="s">
        <v>716</v>
      </c>
      <c r="F1527" s="2" t="str" cm="1">
        <f t="array" ref="F1527">INDEX(_xlfn.TEXTSPLIT(E1527,"-"),2)</f>
        <v>女装</v>
      </c>
      <c r="G1527" s="2" t="str" cm="1">
        <f t="array" ref="G1527">INDEX(_xlfn.TEXTSPLIT(E1527,"-"),3)</f>
        <v>毛衣</v>
      </c>
      <c r="H1527" s="5">
        <v>156482</v>
      </c>
      <c r="I1527" s="5">
        <v>15737279.54</v>
      </c>
      <c r="J1527" s="6">
        <v>0.0103</v>
      </c>
      <c r="K1527" s="6">
        <v>-0.1516</v>
      </c>
    </row>
    <row r="1528" ht="14.5" spans="1:11">
      <c r="A1528" s="3" t="str">
        <f t="shared" si="93"/>
        <v>2026年</v>
      </c>
      <c r="B1528" s="3" t="str">
        <f t="shared" si="94"/>
        <v>2月</v>
      </c>
      <c r="C1528" s="4" t="str">
        <f t="shared" si="95"/>
        <v>W7</v>
      </c>
      <c r="D1528" s="2" t="s">
        <v>780</v>
      </c>
      <c r="E1528" s="2" t="s">
        <v>717</v>
      </c>
      <c r="F1528" s="2" t="str" cm="1">
        <f t="array" ref="F1528">INDEX(_xlfn.TEXTSPLIT(E1528,"-"),2)</f>
        <v>女装</v>
      </c>
      <c r="G1528" s="2" t="str" cm="1">
        <f t="array" ref="G1528">INDEX(_xlfn.TEXTSPLIT(E1528,"-"),3)</f>
        <v>毛针织衫</v>
      </c>
      <c r="H1528" s="5">
        <v>908064</v>
      </c>
      <c r="I1528" s="5">
        <v>83574291.97</v>
      </c>
      <c r="J1528" s="6">
        <v>0.0544</v>
      </c>
      <c r="K1528" s="6">
        <v>-0.1376</v>
      </c>
    </row>
    <row r="1529" ht="14.5" spans="1:11">
      <c r="A1529" s="3" t="str">
        <f t="shared" si="93"/>
        <v>2026年</v>
      </c>
      <c r="B1529" s="3" t="str">
        <f t="shared" si="94"/>
        <v>2月</v>
      </c>
      <c r="C1529" s="4" t="str">
        <f t="shared" si="95"/>
        <v>W7</v>
      </c>
      <c r="D1529" s="2" t="s">
        <v>780</v>
      </c>
      <c r="E1529" s="2" t="s">
        <v>718</v>
      </c>
      <c r="F1529" s="2" t="str" cm="1">
        <f t="array" ref="F1529">INDEX(_xlfn.TEXTSPLIT(E1529,"-"),2)</f>
        <v>女装</v>
      </c>
      <c r="G1529" s="2" t="str" cm="1">
        <f t="array" ref="G1529">INDEX(_xlfn.TEXTSPLIT(E1529,"-"),3)</f>
        <v>汉服</v>
      </c>
      <c r="H1529" s="5">
        <v>94522</v>
      </c>
      <c r="I1529" s="5">
        <v>34588115.48</v>
      </c>
      <c r="J1529" s="6">
        <v>0.0225</v>
      </c>
      <c r="K1529" s="6">
        <v>0.0708</v>
      </c>
    </row>
    <row r="1530" ht="14.5" spans="1:11">
      <c r="A1530" s="3" t="str">
        <f t="shared" si="93"/>
        <v>2026年</v>
      </c>
      <c r="B1530" s="3" t="str">
        <f t="shared" si="94"/>
        <v>2月</v>
      </c>
      <c r="C1530" s="4" t="str">
        <f t="shared" si="95"/>
        <v>W7</v>
      </c>
      <c r="D1530" s="2" t="s">
        <v>780</v>
      </c>
      <c r="E1530" s="2" t="s">
        <v>719</v>
      </c>
      <c r="F1530" s="2" t="str" cm="1">
        <f t="array" ref="F1530">INDEX(_xlfn.TEXTSPLIT(E1530,"-"),2)</f>
        <v>女装</v>
      </c>
      <c r="G1530" s="2" t="str" cm="1">
        <f t="array" ref="G1530">INDEX(_xlfn.TEXTSPLIT(E1530,"-"),3)</f>
        <v>派克服</v>
      </c>
      <c r="H1530" s="5">
        <v>16440</v>
      </c>
      <c r="I1530" s="5">
        <v>3442478.29</v>
      </c>
      <c r="J1530" s="6">
        <v>0.0022</v>
      </c>
      <c r="K1530" s="6">
        <v>-0.1291</v>
      </c>
    </row>
    <row r="1531" ht="14.5" spans="1:11">
      <c r="A1531" s="3" t="str">
        <f t="shared" si="93"/>
        <v>2026年</v>
      </c>
      <c r="B1531" s="3" t="str">
        <f t="shared" si="94"/>
        <v>2月</v>
      </c>
      <c r="C1531" s="4" t="str">
        <f t="shared" si="95"/>
        <v>W7</v>
      </c>
      <c r="D1531" s="2" t="s">
        <v>780</v>
      </c>
      <c r="E1531" s="2" t="s">
        <v>720</v>
      </c>
      <c r="F1531" s="2" t="str" cm="1">
        <f t="array" ref="F1531">INDEX(_xlfn.TEXTSPLIT(E1531,"-"),2)</f>
        <v>女装</v>
      </c>
      <c r="G1531" s="2" t="str" cm="1">
        <f t="array" ref="G1531">INDEX(_xlfn.TEXTSPLIT(E1531,"-"),3)</f>
        <v>皮草</v>
      </c>
      <c r="H1531" s="5">
        <v>75492</v>
      </c>
      <c r="I1531" s="5">
        <v>140602003.84</v>
      </c>
      <c r="J1531" s="6">
        <v>0.0916</v>
      </c>
      <c r="K1531" s="6">
        <v>-0.1933</v>
      </c>
    </row>
    <row r="1532" ht="14.5" spans="1:11">
      <c r="A1532" s="3" t="str">
        <f t="shared" si="93"/>
        <v>2026年</v>
      </c>
      <c r="B1532" s="3" t="str">
        <f t="shared" si="94"/>
        <v>2月</v>
      </c>
      <c r="C1532" s="4" t="str">
        <f t="shared" si="95"/>
        <v>W7</v>
      </c>
      <c r="D1532" s="2" t="s">
        <v>780</v>
      </c>
      <c r="E1532" s="2" t="s">
        <v>721</v>
      </c>
      <c r="F1532" s="2" t="str" cm="1">
        <f t="array" ref="F1532">INDEX(_xlfn.TEXTSPLIT(E1532,"-"),2)</f>
        <v>女装</v>
      </c>
      <c r="G1532" s="2" t="str" cm="1">
        <f t="array" ref="G1532">INDEX(_xlfn.TEXTSPLIT(E1532,"-"),3)</f>
        <v>皮衣</v>
      </c>
      <c r="H1532" s="5">
        <v>103848</v>
      </c>
      <c r="I1532" s="5">
        <v>37389401.53</v>
      </c>
      <c r="J1532" s="6">
        <v>0.0244</v>
      </c>
      <c r="K1532" s="6">
        <v>0.0986</v>
      </c>
    </row>
    <row r="1533" ht="14.5" spans="1:11">
      <c r="A1533" s="3" t="str">
        <f t="shared" si="93"/>
        <v>2026年</v>
      </c>
      <c r="B1533" s="3" t="str">
        <f t="shared" si="94"/>
        <v>2月</v>
      </c>
      <c r="C1533" s="4" t="str">
        <f t="shared" si="95"/>
        <v>W7</v>
      </c>
      <c r="D1533" s="2" t="s">
        <v>780</v>
      </c>
      <c r="E1533" s="2" t="s">
        <v>722</v>
      </c>
      <c r="F1533" s="2" t="str" cm="1">
        <f t="array" ref="F1533">INDEX(_xlfn.TEXTSPLIT(E1533,"-"),2)</f>
        <v>女装</v>
      </c>
      <c r="G1533" s="2" t="str" cm="1">
        <f t="array" ref="G1533">INDEX(_xlfn.TEXTSPLIT(E1533,"-"),3)</f>
        <v>短外套</v>
      </c>
      <c r="H1533" s="5">
        <v>627601</v>
      </c>
      <c r="I1533" s="5">
        <v>125920940.03</v>
      </c>
      <c r="J1533" s="6">
        <v>0.082</v>
      </c>
      <c r="K1533" s="6">
        <v>-0.0711</v>
      </c>
    </row>
    <row r="1534" ht="14.5" spans="1:11">
      <c r="A1534" s="3" t="str">
        <f t="shared" si="93"/>
        <v>2026年</v>
      </c>
      <c r="B1534" s="3" t="str">
        <f t="shared" si="94"/>
        <v>2月</v>
      </c>
      <c r="C1534" s="4" t="str">
        <f t="shared" si="95"/>
        <v>W7</v>
      </c>
      <c r="D1534" s="2" t="s">
        <v>780</v>
      </c>
      <c r="E1534" s="2" t="s">
        <v>723</v>
      </c>
      <c r="F1534" s="2" t="str" cm="1">
        <f t="array" ref="F1534">INDEX(_xlfn.TEXTSPLIT(E1534,"-"),2)</f>
        <v>女装</v>
      </c>
      <c r="G1534" s="2" t="str" cm="1">
        <f t="array" ref="G1534">INDEX(_xlfn.TEXTSPLIT(E1534,"-"),3)</f>
        <v>短裤</v>
      </c>
      <c r="H1534" s="5">
        <v>51608</v>
      </c>
      <c r="I1534" s="5">
        <v>3957845.36</v>
      </c>
      <c r="J1534" s="6">
        <v>0.0026</v>
      </c>
      <c r="K1534" s="6">
        <v>0.0045</v>
      </c>
    </row>
    <row r="1535" ht="14.5" spans="1:11">
      <c r="A1535" s="3" t="str">
        <f t="shared" si="93"/>
        <v>2026年</v>
      </c>
      <c r="B1535" s="3" t="str">
        <f t="shared" si="94"/>
        <v>2月</v>
      </c>
      <c r="C1535" s="4" t="str">
        <f t="shared" si="95"/>
        <v>W7</v>
      </c>
      <c r="D1535" s="2" t="s">
        <v>780</v>
      </c>
      <c r="E1535" s="2" t="s">
        <v>724</v>
      </c>
      <c r="F1535" s="2" t="str" cm="1">
        <f t="array" ref="F1535">INDEX(_xlfn.TEXTSPLIT(E1535,"-"),2)</f>
        <v>女装</v>
      </c>
      <c r="G1535" s="2" t="str" cm="1">
        <f t="array" ref="G1535">INDEX(_xlfn.TEXTSPLIT(E1535,"-"),3)</f>
        <v>羊毛衫</v>
      </c>
      <c r="H1535" s="5">
        <v>163100</v>
      </c>
      <c r="I1535" s="5">
        <v>23648060.24</v>
      </c>
      <c r="J1535" s="6">
        <v>0.0154</v>
      </c>
      <c r="K1535" s="6">
        <v>-0.1459</v>
      </c>
    </row>
    <row r="1536" ht="14.5" spans="1:11">
      <c r="A1536" s="3" t="str">
        <f t="shared" si="93"/>
        <v>2026年</v>
      </c>
      <c r="B1536" s="3" t="str">
        <f t="shared" si="94"/>
        <v>2月</v>
      </c>
      <c r="C1536" s="4" t="str">
        <f t="shared" si="95"/>
        <v>W7</v>
      </c>
      <c r="D1536" s="2" t="s">
        <v>780</v>
      </c>
      <c r="E1536" s="2" t="s">
        <v>725</v>
      </c>
      <c r="F1536" s="2" t="str" cm="1">
        <f t="array" ref="F1536">INDEX(_xlfn.TEXTSPLIT(E1536,"-"),2)</f>
        <v>女装</v>
      </c>
      <c r="G1536" s="2" t="str" cm="1">
        <f t="array" ref="G1536">INDEX(_xlfn.TEXTSPLIT(E1536,"-"),3)</f>
        <v>羊绒大衣</v>
      </c>
      <c r="H1536" s="5">
        <v>4631</v>
      </c>
      <c r="I1536" s="5">
        <v>2240406.76</v>
      </c>
      <c r="J1536" s="6">
        <v>0.0015</v>
      </c>
      <c r="K1536" s="6">
        <v>-0.2177</v>
      </c>
    </row>
    <row r="1537" ht="14.5" spans="1:11">
      <c r="A1537" s="3" t="str">
        <f t="shared" si="93"/>
        <v>2026年</v>
      </c>
      <c r="B1537" s="3" t="str">
        <f t="shared" si="94"/>
        <v>2月</v>
      </c>
      <c r="C1537" s="4" t="str">
        <f t="shared" si="95"/>
        <v>W7</v>
      </c>
      <c r="D1537" s="2" t="s">
        <v>780</v>
      </c>
      <c r="E1537" s="2" t="s">
        <v>726</v>
      </c>
      <c r="F1537" s="2" t="str" cm="1">
        <f t="array" ref="F1537">INDEX(_xlfn.TEXTSPLIT(E1537,"-"),2)</f>
        <v>女装</v>
      </c>
      <c r="G1537" s="2" t="str" cm="1">
        <f t="array" ref="G1537">INDEX(_xlfn.TEXTSPLIT(E1537,"-"),3)</f>
        <v>羊绒衫</v>
      </c>
      <c r="H1537" s="5">
        <v>47029</v>
      </c>
      <c r="I1537" s="5">
        <v>19644407.96</v>
      </c>
      <c r="J1537" s="6">
        <v>0.0128</v>
      </c>
      <c r="K1537" s="6">
        <v>0.0206</v>
      </c>
    </row>
    <row r="1538" ht="14.5" spans="1:11">
      <c r="A1538" s="3" t="str">
        <f t="shared" si="93"/>
        <v>2026年</v>
      </c>
      <c r="B1538" s="3" t="str">
        <f t="shared" si="94"/>
        <v>2月</v>
      </c>
      <c r="C1538" s="4" t="str">
        <f t="shared" si="95"/>
        <v>W7</v>
      </c>
      <c r="D1538" s="2" t="s">
        <v>780</v>
      </c>
      <c r="E1538" s="2" t="s">
        <v>727</v>
      </c>
      <c r="F1538" s="2" t="str" cm="1">
        <f t="array" ref="F1538">INDEX(_xlfn.TEXTSPLIT(E1538,"-"),2)</f>
        <v>女装</v>
      </c>
      <c r="G1538" s="2" t="str" cm="1">
        <f t="array" ref="G1538">INDEX(_xlfn.TEXTSPLIT(E1538,"-"),3)</f>
        <v>羽绒服</v>
      </c>
      <c r="H1538" s="5">
        <v>615143</v>
      </c>
      <c r="I1538" s="5">
        <v>204020100.75</v>
      </c>
      <c r="J1538" s="6">
        <v>0.1329</v>
      </c>
      <c r="K1538" s="6">
        <v>-0.1913</v>
      </c>
    </row>
    <row r="1539" ht="14.5" spans="1:11">
      <c r="A1539" s="3" t="str">
        <f t="shared" si="93"/>
        <v>2026年</v>
      </c>
      <c r="B1539" s="3" t="str">
        <f t="shared" si="94"/>
        <v>2月</v>
      </c>
      <c r="C1539" s="4" t="str">
        <f t="shared" si="95"/>
        <v>W7</v>
      </c>
      <c r="D1539" s="2" t="s">
        <v>780</v>
      </c>
      <c r="E1539" s="2" t="s">
        <v>728</v>
      </c>
      <c r="F1539" s="2" t="str" cm="1">
        <f t="array" ref="F1539">INDEX(_xlfn.TEXTSPLIT(E1539,"-"),2)</f>
        <v>女装</v>
      </c>
      <c r="G1539" s="2" t="str" cm="1">
        <f t="array" ref="G1539">INDEX(_xlfn.TEXTSPLIT(E1539,"-"),3)</f>
        <v>肌底衣/肌肤衣</v>
      </c>
      <c r="H1539" s="5">
        <v>2051</v>
      </c>
      <c r="I1539" s="5">
        <v>129970.18</v>
      </c>
      <c r="J1539" s="6">
        <v>0.0001</v>
      </c>
      <c r="K1539" s="6">
        <v>0.0459</v>
      </c>
    </row>
    <row r="1540" ht="14.5" spans="1:11">
      <c r="A1540" s="3" t="str">
        <f t="shared" si="93"/>
        <v>2026年</v>
      </c>
      <c r="B1540" s="3" t="str">
        <f t="shared" si="94"/>
        <v>2月</v>
      </c>
      <c r="C1540" s="4" t="str">
        <f t="shared" si="95"/>
        <v>W7</v>
      </c>
      <c r="D1540" s="2" t="s">
        <v>780</v>
      </c>
      <c r="E1540" s="2" t="s">
        <v>729</v>
      </c>
      <c r="F1540" s="2" t="str" cm="1">
        <f t="array" ref="F1540">INDEX(_xlfn.TEXTSPLIT(E1540,"-"),2)</f>
        <v>女装</v>
      </c>
      <c r="G1540" s="2" t="str" cm="1">
        <f t="array" ref="G1540">INDEX(_xlfn.TEXTSPLIT(E1540,"-"),3)</f>
        <v>背心吊带</v>
      </c>
      <c r="H1540" s="5">
        <v>154551</v>
      </c>
      <c r="I1540" s="5">
        <v>9005282.36</v>
      </c>
      <c r="J1540" s="6">
        <v>0.0059</v>
      </c>
      <c r="K1540" s="6">
        <v>0.0138</v>
      </c>
    </row>
    <row r="1541" ht="14.5" spans="1:11">
      <c r="A1541" s="3" t="str">
        <f t="shared" si="93"/>
        <v>2026年</v>
      </c>
      <c r="B1541" s="3" t="str">
        <f t="shared" si="94"/>
        <v>2月</v>
      </c>
      <c r="C1541" s="4" t="str">
        <f t="shared" si="95"/>
        <v>W7</v>
      </c>
      <c r="D1541" s="2" t="s">
        <v>780</v>
      </c>
      <c r="E1541" s="2" t="s">
        <v>730</v>
      </c>
      <c r="F1541" s="2" t="str" cm="1">
        <f t="array" ref="F1541">INDEX(_xlfn.TEXTSPLIT(E1541,"-"),2)</f>
        <v>女装</v>
      </c>
      <c r="G1541" s="2" t="str" cm="1">
        <f t="array" ref="G1541">INDEX(_xlfn.TEXTSPLIT(E1541,"-"),3)</f>
        <v>蕾丝衫/雪纺衫</v>
      </c>
      <c r="H1541" s="5">
        <v>92630</v>
      </c>
      <c r="I1541" s="5">
        <v>7697360.11</v>
      </c>
      <c r="J1541" s="6">
        <v>0.005</v>
      </c>
      <c r="K1541" s="6">
        <v>0.0423</v>
      </c>
    </row>
    <row r="1542" ht="14.5" spans="1:11">
      <c r="A1542" s="3" t="str">
        <f t="shared" si="93"/>
        <v>2026年</v>
      </c>
      <c r="B1542" s="3" t="str">
        <f t="shared" si="94"/>
        <v>2月</v>
      </c>
      <c r="C1542" s="4" t="str">
        <f t="shared" si="95"/>
        <v>W7</v>
      </c>
      <c r="D1542" s="2" t="s">
        <v>780</v>
      </c>
      <c r="E1542" s="2" t="s">
        <v>731</v>
      </c>
      <c r="F1542" s="2" t="str" cm="1">
        <f t="array" ref="F1542">INDEX(_xlfn.TEXTSPLIT(E1542,"-"),2)</f>
        <v>女装</v>
      </c>
      <c r="G1542" s="2" t="str" cm="1">
        <f t="array" ref="G1542">INDEX(_xlfn.TEXTSPLIT(E1542,"-"),3)</f>
        <v>衬衫</v>
      </c>
      <c r="H1542" s="5">
        <v>306805</v>
      </c>
      <c r="I1542" s="5">
        <v>38669803.34</v>
      </c>
      <c r="J1542" s="6">
        <v>0.0252</v>
      </c>
      <c r="K1542" s="6">
        <v>0.0428</v>
      </c>
    </row>
    <row r="1543" ht="14.5" spans="1:11">
      <c r="A1543" s="3" t="str">
        <f t="shared" si="93"/>
        <v>2026年</v>
      </c>
      <c r="B1543" s="3" t="str">
        <f t="shared" si="94"/>
        <v>2月</v>
      </c>
      <c r="C1543" s="4" t="str">
        <f t="shared" si="95"/>
        <v>W7</v>
      </c>
      <c r="D1543" s="2" t="s">
        <v>780</v>
      </c>
      <c r="E1543" s="2" t="s">
        <v>732</v>
      </c>
      <c r="F1543" s="2" t="str" cm="1">
        <f t="array" ref="F1543">INDEX(_xlfn.TEXTSPLIT(E1543,"-"),2)</f>
        <v>女装</v>
      </c>
      <c r="G1543" s="2" t="str" cm="1">
        <f t="array" ref="G1543">INDEX(_xlfn.TEXTSPLIT(E1543,"-"),3)</f>
        <v>裤子</v>
      </c>
      <c r="H1543" s="5">
        <v>1471871</v>
      </c>
      <c r="I1543" s="5">
        <v>162262548.28</v>
      </c>
      <c r="J1543" s="6">
        <v>0.1057</v>
      </c>
      <c r="K1543" s="6">
        <v>-0.1618</v>
      </c>
    </row>
    <row r="1544" ht="14.5" spans="1:11">
      <c r="A1544" s="3" t="str">
        <f t="shared" si="93"/>
        <v>2026年</v>
      </c>
      <c r="B1544" s="3" t="str">
        <f t="shared" si="94"/>
        <v>2月</v>
      </c>
      <c r="C1544" s="4" t="str">
        <f t="shared" si="95"/>
        <v>W7</v>
      </c>
      <c r="D1544" s="2" t="s">
        <v>780</v>
      </c>
      <c r="E1544" s="2" t="s">
        <v>733</v>
      </c>
      <c r="F1544" s="2" t="str" cm="1">
        <f t="array" ref="F1544">INDEX(_xlfn.TEXTSPLIT(E1544,"-"),2)</f>
        <v>女装</v>
      </c>
      <c r="G1544" s="2" t="str" cm="1">
        <f t="array" ref="G1544">INDEX(_xlfn.TEXTSPLIT(E1544,"-"),3)</f>
        <v>西装</v>
      </c>
      <c r="H1544" s="5">
        <v>46088</v>
      </c>
      <c r="I1544" s="5">
        <v>12483386.85</v>
      </c>
      <c r="J1544" s="6">
        <v>0.0081</v>
      </c>
      <c r="K1544" s="6">
        <v>0.132</v>
      </c>
    </row>
    <row r="1545" ht="14.5" spans="1:11">
      <c r="A1545" s="3" t="str">
        <f t="shared" si="93"/>
        <v>2026年</v>
      </c>
      <c r="B1545" s="3" t="str">
        <f t="shared" si="94"/>
        <v>2月</v>
      </c>
      <c r="C1545" s="4" t="str">
        <f t="shared" si="95"/>
        <v>W7</v>
      </c>
      <c r="D1545" s="2" t="s">
        <v>780</v>
      </c>
      <c r="E1545" s="2" t="s">
        <v>734</v>
      </c>
      <c r="F1545" s="2" t="str" cm="1">
        <f t="array" ref="F1545">INDEX(_xlfn.TEXTSPLIT(E1545,"-"),2)</f>
        <v>女装</v>
      </c>
      <c r="G1545" s="2" t="str" cm="1">
        <f t="array" ref="G1545">INDEX(_xlfn.TEXTSPLIT(E1545,"-"),3)</f>
        <v>设计师/潮牌女装</v>
      </c>
      <c r="H1545" s="5">
        <v>260507</v>
      </c>
      <c r="I1545" s="5">
        <v>27143611.82</v>
      </c>
      <c r="J1545" s="6">
        <v>0.0177</v>
      </c>
      <c r="K1545" s="6">
        <v>-0.1005</v>
      </c>
    </row>
    <row r="1546" ht="14.5" spans="1:11">
      <c r="A1546" s="3" t="str">
        <f t="shared" si="93"/>
        <v>2026年</v>
      </c>
      <c r="B1546" s="3" t="str">
        <f t="shared" si="94"/>
        <v>2月</v>
      </c>
      <c r="C1546" s="4" t="str">
        <f t="shared" si="95"/>
        <v>W7</v>
      </c>
      <c r="D1546" s="2" t="s">
        <v>780</v>
      </c>
      <c r="E1546" s="2" t="s">
        <v>735</v>
      </c>
      <c r="F1546" s="2" t="str" cm="1">
        <f t="array" ref="F1546">INDEX(_xlfn.TEXTSPLIT(E1546,"-"),2)</f>
        <v>女装</v>
      </c>
      <c r="G1546" s="2" t="str" cm="1">
        <f t="array" ref="G1546">INDEX(_xlfn.TEXTSPLIT(E1546,"-"),3)</f>
        <v>连体衣/裤</v>
      </c>
      <c r="H1546" s="5">
        <v>7501</v>
      </c>
      <c r="I1546" s="5">
        <v>2293592.36</v>
      </c>
      <c r="J1546" s="6">
        <v>0.0015</v>
      </c>
      <c r="K1546" s="6">
        <v>0.0835</v>
      </c>
    </row>
    <row r="1547" ht="14.5" spans="1:11">
      <c r="A1547" s="3" t="str">
        <f t="shared" si="93"/>
        <v>2026年</v>
      </c>
      <c r="B1547" s="3" t="str">
        <f t="shared" si="94"/>
        <v>2月</v>
      </c>
      <c r="C1547" s="4" t="str">
        <f t="shared" si="95"/>
        <v>W7</v>
      </c>
      <c r="D1547" s="2" t="s">
        <v>780</v>
      </c>
      <c r="E1547" s="2" t="s">
        <v>736</v>
      </c>
      <c r="F1547" s="2" t="str" cm="1">
        <f t="array" ref="F1547">INDEX(_xlfn.TEXTSPLIT(E1547,"-"),2)</f>
        <v>女装</v>
      </c>
      <c r="G1547" s="2" t="str" cm="1">
        <f t="array" ref="G1547">INDEX(_xlfn.TEXTSPLIT(E1547,"-"),3)</f>
        <v>连衣裙</v>
      </c>
      <c r="H1547" s="5">
        <v>431533</v>
      </c>
      <c r="I1547" s="5">
        <v>65094864.26</v>
      </c>
      <c r="J1547" s="6">
        <v>0.0424</v>
      </c>
      <c r="K1547" s="6">
        <v>-0.1408</v>
      </c>
    </row>
    <row r="1548" ht="14.5" spans="1:11">
      <c r="A1548" s="3" t="str">
        <f t="shared" si="93"/>
        <v>2026年</v>
      </c>
      <c r="B1548" s="3" t="str">
        <f t="shared" si="94"/>
        <v>2月</v>
      </c>
      <c r="C1548" s="4" t="str">
        <f t="shared" si="95"/>
        <v>W7</v>
      </c>
      <c r="D1548" s="2" t="s">
        <v>780</v>
      </c>
      <c r="E1548" s="2" t="s">
        <v>737</v>
      </c>
      <c r="F1548" s="2" t="str" cm="1">
        <f t="array" ref="F1548">INDEX(_xlfn.TEXTSPLIT(E1548,"-"),2)</f>
        <v>女装</v>
      </c>
      <c r="G1548" s="2" t="str" cm="1">
        <f t="array" ref="G1548">INDEX(_xlfn.TEXTSPLIT(E1548,"-"),3)</f>
        <v>风衣</v>
      </c>
      <c r="H1548" s="5">
        <v>87471</v>
      </c>
      <c r="I1548" s="5">
        <v>15007732.14</v>
      </c>
      <c r="J1548" s="6">
        <v>0.0098</v>
      </c>
      <c r="K1548" s="7">
        <v>-0.01</v>
      </c>
    </row>
    <row r="1549" ht="14.5" spans="1:11">
      <c r="A1549" s="3" t="str">
        <f t="shared" si="93"/>
        <v>2026年</v>
      </c>
      <c r="B1549" s="3" t="str">
        <f t="shared" si="94"/>
        <v>2月</v>
      </c>
      <c r="C1549" s="4" t="str">
        <f t="shared" si="95"/>
        <v>W7</v>
      </c>
      <c r="D1549" s="2" t="s">
        <v>780</v>
      </c>
      <c r="E1549" s="2" t="s">
        <v>738</v>
      </c>
      <c r="F1549" s="2" t="str" cm="1">
        <f t="array" ref="F1549">INDEX(_xlfn.TEXTSPLIT(E1549,"-"),2)</f>
        <v>女装</v>
      </c>
      <c r="G1549" s="2" t="str" cm="1">
        <f t="array" ref="G1549">INDEX(_xlfn.TEXTSPLIT(E1549,"-"),3)</f>
        <v>马夹</v>
      </c>
      <c r="H1549" s="5">
        <v>233048</v>
      </c>
      <c r="I1549" s="5">
        <v>26542127.75</v>
      </c>
      <c r="J1549" s="6">
        <v>0.0173</v>
      </c>
      <c r="K1549" s="7">
        <v>-0.01</v>
      </c>
    </row>
    <row r="1550" ht="14.5" spans="1:11">
      <c r="A1550" s="3" t="str">
        <f t="shared" si="93"/>
        <v>2026年</v>
      </c>
      <c r="B1550" s="3" t="str">
        <f t="shared" si="94"/>
        <v>2月</v>
      </c>
      <c r="C1550" s="4" t="str">
        <f t="shared" si="95"/>
        <v>W7</v>
      </c>
      <c r="D1550" s="2" t="s">
        <v>781</v>
      </c>
      <c r="E1550" s="2" t="s">
        <v>702</v>
      </c>
      <c r="F1550" s="2" t="str" cm="1">
        <f t="array" ref="F1550">INDEX(_xlfn.TEXTSPLIT(E1550,"-"),2)</f>
        <v>女装</v>
      </c>
      <c r="G1550" s="2" t="str" cm="1">
        <f t="array" ref="G1550">INDEX(_xlfn.TEXTSPLIT(E1550,"-"),3)</f>
        <v>POLO衫</v>
      </c>
      <c r="H1550" s="5">
        <v>4523</v>
      </c>
      <c r="I1550" s="5">
        <v>572038.27</v>
      </c>
      <c r="J1550" s="6">
        <v>0.0005</v>
      </c>
      <c r="K1550" s="6">
        <v>0.1778</v>
      </c>
    </row>
    <row r="1551" ht="14.5" spans="1:11">
      <c r="A1551" s="3" t="str">
        <f t="shared" si="93"/>
        <v>2026年</v>
      </c>
      <c r="B1551" s="3" t="str">
        <f t="shared" si="94"/>
        <v>2月</v>
      </c>
      <c r="C1551" s="4" t="str">
        <f t="shared" si="95"/>
        <v>W7</v>
      </c>
      <c r="D1551" s="2" t="s">
        <v>781</v>
      </c>
      <c r="E1551" s="2" t="s">
        <v>703</v>
      </c>
      <c r="F1551" s="2" t="str" cm="1">
        <f t="array" ref="F1551">INDEX(_xlfn.TEXTSPLIT(E1551,"-"),2)</f>
        <v>女装</v>
      </c>
      <c r="G1551" s="2" t="str" cm="1">
        <f t="array" ref="G1551">INDEX(_xlfn.TEXTSPLIT(E1551,"-"),3)</f>
        <v>T恤</v>
      </c>
      <c r="H1551" s="5">
        <v>738179</v>
      </c>
      <c r="I1551" s="5">
        <v>45755845.89</v>
      </c>
      <c r="J1551" s="6">
        <v>0.0366</v>
      </c>
      <c r="K1551" s="6">
        <v>-0.0486</v>
      </c>
    </row>
    <row r="1552" ht="14.5" spans="1:11">
      <c r="A1552" s="3" t="str">
        <f t="shared" si="93"/>
        <v>2026年</v>
      </c>
      <c r="B1552" s="3" t="str">
        <f t="shared" si="94"/>
        <v>2月</v>
      </c>
      <c r="C1552" s="4" t="str">
        <f t="shared" si="95"/>
        <v>W7</v>
      </c>
      <c r="D1552" s="2" t="s">
        <v>781</v>
      </c>
      <c r="E1552" s="2" t="s">
        <v>704</v>
      </c>
      <c r="F1552" s="2" t="str" cm="1">
        <f t="array" ref="F1552">INDEX(_xlfn.TEXTSPLIT(E1552,"-"),2)</f>
        <v>女装</v>
      </c>
      <c r="G1552" s="2" t="str" cm="1">
        <f t="array" ref="G1552">INDEX(_xlfn.TEXTSPLIT(E1552,"-"),3)</f>
        <v>中老年女装</v>
      </c>
      <c r="H1552" s="5">
        <v>112142</v>
      </c>
      <c r="I1552" s="5">
        <v>11336952.63</v>
      </c>
      <c r="J1552" s="6">
        <v>0.0091</v>
      </c>
      <c r="K1552" s="6">
        <v>-0.3678</v>
      </c>
    </row>
    <row r="1553" ht="14.5" spans="1:11">
      <c r="A1553" s="3" t="str">
        <f t="shared" si="93"/>
        <v>2026年</v>
      </c>
      <c r="B1553" s="3" t="str">
        <f t="shared" si="94"/>
        <v>2月</v>
      </c>
      <c r="C1553" s="4" t="str">
        <f t="shared" si="95"/>
        <v>W7</v>
      </c>
      <c r="D1553" s="2" t="s">
        <v>781</v>
      </c>
      <c r="E1553" s="2" t="s">
        <v>705</v>
      </c>
      <c r="F1553" s="2" t="str" cm="1">
        <f t="array" ref="F1553">INDEX(_xlfn.TEXTSPLIT(E1553,"-"),2)</f>
        <v>女装</v>
      </c>
      <c r="G1553" s="2" t="str" cm="1">
        <f t="array" ref="G1553">INDEX(_xlfn.TEXTSPLIT(E1553,"-"),3)</f>
        <v>半身裙</v>
      </c>
      <c r="H1553" s="5">
        <v>239874</v>
      </c>
      <c r="I1553" s="5">
        <v>28670736.83</v>
      </c>
      <c r="J1553" s="6">
        <v>0.023</v>
      </c>
      <c r="K1553" s="6">
        <v>-0.2183</v>
      </c>
    </row>
    <row r="1554" ht="14.5" spans="1:11">
      <c r="A1554" s="3" t="str">
        <f t="shared" si="93"/>
        <v>2026年</v>
      </c>
      <c r="B1554" s="3" t="str">
        <f t="shared" si="94"/>
        <v>2月</v>
      </c>
      <c r="C1554" s="4" t="str">
        <f t="shared" si="95"/>
        <v>W7</v>
      </c>
      <c r="D1554" s="2" t="s">
        <v>781</v>
      </c>
      <c r="E1554" s="2" t="s">
        <v>706</v>
      </c>
      <c r="F1554" s="2" t="str" cm="1">
        <f t="array" ref="F1554">INDEX(_xlfn.TEXTSPLIT(E1554,"-"),2)</f>
        <v>女装</v>
      </c>
      <c r="G1554" s="2" t="str" cm="1">
        <f t="array" ref="G1554">INDEX(_xlfn.TEXTSPLIT(E1554,"-"),3)</f>
        <v>卫衣/绒衫</v>
      </c>
      <c r="H1554" s="5">
        <v>189746</v>
      </c>
      <c r="I1554" s="5">
        <v>17468668.24</v>
      </c>
      <c r="J1554" s="6">
        <v>0.014</v>
      </c>
      <c r="K1554" s="6">
        <v>-0.1038</v>
      </c>
    </row>
    <row r="1555" ht="14.5" spans="1:11">
      <c r="A1555" s="3" t="str">
        <f t="shared" si="93"/>
        <v>2026年</v>
      </c>
      <c r="B1555" s="3" t="str">
        <f t="shared" si="94"/>
        <v>2月</v>
      </c>
      <c r="C1555" s="4" t="str">
        <f t="shared" si="95"/>
        <v>W7</v>
      </c>
      <c r="D1555" s="2" t="s">
        <v>781</v>
      </c>
      <c r="E1555" s="2" t="s">
        <v>707</v>
      </c>
      <c r="F1555" s="2" t="str" cm="1">
        <f t="array" ref="F1555">INDEX(_xlfn.TEXTSPLIT(E1555,"-"),2)</f>
        <v>女装</v>
      </c>
      <c r="G1555" s="2" t="str" cm="1">
        <f t="array" ref="G1555">INDEX(_xlfn.TEXTSPLIT(E1555,"-"),3)</f>
        <v>唐装/民族服装/舞台服装</v>
      </c>
      <c r="H1555" s="5">
        <v>154271</v>
      </c>
      <c r="I1555" s="5">
        <v>27770733.69</v>
      </c>
      <c r="J1555" s="6">
        <v>0.0222</v>
      </c>
      <c r="K1555" s="6">
        <v>-0.1341</v>
      </c>
    </row>
    <row r="1556" ht="14.5" spans="1:11">
      <c r="A1556" s="3" t="str">
        <f t="shared" si="93"/>
        <v>2026年</v>
      </c>
      <c r="B1556" s="3" t="str">
        <f t="shared" si="94"/>
        <v>2月</v>
      </c>
      <c r="C1556" s="4" t="str">
        <f t="shared" si="95"/>
        <v>W7</v>
      </c>
      <c r="D1556" s="2" t="s">
        <v>781</v>
      </c>
      <c r="E1556" s="2" t="s">
        <v>708</v>
      </c>
      <c r="F1556" s="2" t="str" cm="1">
        <f t="array" ref="F1556">INDEX(_xlfn.TEXTSPLIT(E1556,"-"),2)</f>
        <v>女装</v>
      </c>
      <c r="G1556" s="2" t="str" cm="1">
        <f t="array" ref="G1556">INDEX(_xlfn.TEXTSPLIT(E1556,"-"),3)</f>
        <v>大码女装</v>
      </c>
      <c r="H1556" s="5">
        <v>206663</v>
      </c>
      <c r="I1556" s="5">
        <v>17205405.07</v>
      </c>
      <c r="J1556" s="6">
        <v>0.0138</v>
      </c>
      <c r="K1556" s="6">
        <v>-0.1578</v>
      </c>
    </row>
    <row r="1557" ht="14.5" spans="1:11">
      <c r="A1557" s="3" t="str">
        <f t="shared" si="93"/>
        <v>2026年</v>
      </c>
      <c r="B1557" s="3" t="str">
        <f t="shared" si="94"/>
        <v>2月</v>
      </c>
      <c r="C1557" s="4" t="str">
        <f t="shared" si="95"/>
        <v>W7</v>
      </c>
      <c r="D1557" s="2" t="s">
        <v>781</v>
      </c>
      <c r="E1557" s="2" t="s">
        <v>709</v>
      </c>
      <c r="F1557" s="2" t="str" cm="1">
        <f t="array" ref="F1557">INDEX(_xlfn.TEXTSPLIT(E1557,"-"),2)</f>
        <v>女装</v>
      </c>
      <c r="G1557" s="2" t="str" cm="1">
        <f t="array" ref="G1557">INDEX(_xlfn.TEXTSPLIT(E1557,"-"),3)</f>
        <v>套装/学生校服/工作制服</v>
      </c>
      <c r="H1557" s="5">
        <v>400507</v>
      </c>
      <c r="I1557" s="5">
        <v>60242042.56</v>
      </c>
      <c r="J1557" s="6">
        <v>0.0482</v>
      </c>
      <c r="K1557" s="6">
        <v>-0.1817</v>
      </c>
    </row>
    <row r="1558" ht="14.5" spans="1:11">
      <c r="A1558" s="3" t="str">
        <f t="shared" si="93"/>
        <v>2026年</v>
      </c>
      <c r="B1558" s="3" t="str">
        <f t="shared" si="94"/>
        <v>2月</v>
      </c>
      <c r="C1558" s="4" t="str">
        <f t="shared" si="95"/>
        <v>W7</v>
      </c>
      <c r="D1558" s="2" t="s">
        <v>781</v>
      </c>
      <c r="E1558" s="2" t="s">
        <v>710</v>
      </c>
      <c r="F1558" s="2" t="str" cm="1">
        <f t="array" ref="F1558">INDEX(_xlfn.TEXTSPLIT(E1558,"-"),2)</f>
        <v>女装</v>
      </c>
      <c r="G1558" s="2" t="str" cm="1">
        <f t="array" ref="G1558">INDEX(_xlfn.TEXTSPLIT(E1558,"-"),3)</f>
        <v>婚纱/旗袍/礼服</v>
      </c>
      <c r="H1558" s="5">
        <v>27437</v>
      </c>
      <c r="I1558" s="5">
        <v>3989535.36</v>
      </c>
      <c r="J1558" s="6">
        <v>0.0032</v>
      </c>
      <c r="K1558" s="6">
        <v>-0.0625</v>
      </c>
    </row>
    <row r="1559" ht="14.5" spans="1:11">
      <c r="A1559" s="3" t="str">
        <f t="shared" si="93"/>
        <v>2026年</v>
      </c>
      <c r="B1559" s="3" t="str">
        <f t="shared" si="94"/>
        <v>2月</v>
      </c>
      <c r="C1559" s="4" t="str">
        <f t="shared" si="95"/>
        <v>W7</v>
      </c>
      <c r="D1559" s="2" t="s">
        <v>781</v>
      </c>
      <c r="E1559" s="2" t="s">
        <v>711</v>
      </c>
      <c r="F1559" s="2" t="str" cm="1">
        <f t="array" ref="F1559">INDEX(_xlfn.TEXTSPLIT(E1559,"-"),2)</f>
        <v>女装</v>
      </c>
      <c r="G1559" s="2" t="str" cm="1">
        <f t="array" ref="G1559">INDEX(_xlfn.TEXTSPLIT(E1559,"-"),3)</f>
        <v>新中式女装</v>
      </c>
      <c r="H1559" s="5">
        <v>52771</v>
      </c>
      <c r="I1559" s="5">
        <v>7171931.5</v>
      </c>
      <c r="J1559" s="6">
        <v>0.0057</v>
      </c>
      <c r="K1559" s="6">
        <v>0.0906</v>
      </c>
    </row>
    <row r="1560" ht="14.5" spans="1:11">
      <c r="A1560" s="3" t="str">
        <f t="shared" si="93"/>
        <v>2026年</v>
      </c>
      <c r="B1560" s="3" t="str">
        <f t="shared" si="94"/>
        <v>2月</v>
      </c>
      <c r="C1560" s="4" t="str">
        <f t="shared" si="95"/>
        <v>W7</v>
      </c>
      <c r="D1560" s="2" t="s">
        <v>781</v>
      </c>
      <c r="E1560" s="2" t="s">
        <v>712</v>
      </c>
      <c r="F1560" s="2" t="str" cm="1">
        <f t="array" ref="F1560">INDEX(_xlfn.TEXTSPLIT(E1560,"-"),2)</f>
        <v>女装</v>
      </c>
      <c r="G1560" s="2" t="str" cm="1">
        <f t="array" ref="G1560">INDEX(_xlfn.TEXTSPLIT(E1560,"-"),3)</f>
        <v>时尚防晒服</v>
      </c>
      <c r="H1560" s="5">
        <v>477</v>
      </c>
      <c r="I1560" s="5">
        <v>60309.37</v>
      </c>
      <c r="J1560" s="2" t="s">
        <v>713</v>
      </c>
      <c r="K1560" s="6">
        <v>0.6696</v>
      </c>
    </row>
    <row r="1561" ht="14.5" spans="1:11">
      <c r="A1561" s="3" t="str">
        <f t="shared" si="93"/>
        <v>2026年</v>
      </c>
      <c r="B1561" s="3" t="str">
        <f t="shared" si="94"/>
        <v>2月</v>
      </c>
      <c r="C1561" s="4" t="str">
        <f t="shared" si="95"/>
        <v>W7</v>
      </c>
      <c r="D1561" s="2" t="s">
        <v>781</v>
      </c>
      <c r="E1561" s="2" t="s">
        <v>714</v>
      </c>
      <c r="F1561" s="2" t="str" cm="1">
        <f t="array" ref="F1561">INDEX(_xlfn.TEXTSPLIT(E1561,"-"),2)</f>
        <v>女装</v>
      </c>
      <c r="G1561" s="2" t="str" cm="1">
        <f t="array" ref="G1561">INDEX(_xlfn.TEXTSPLIT(E1561,"-"),3)</f>
        <v>棉衣/棉服</v>
      </c>
      <c r="H1561" s="5">
        <v>179118</v>
      </c>
      <c r="I1561" s="5">
        <v>20738091.95</v>
      </c>
      <c r="J1561" s="6">
        <v>0.0166</v>
      </c>
      <c r="K1561" s="6">
        <v>-0.3146</v>
      </c>
    </row>
    <row r="1562" ht="14.5" spans="1:11">
      <c r="A1562" s="3" t="str">
        <f t="shared" si="93"/>
        <v>2026年</v>
      </c>
      <c r="B1562" s="3" t="str">
        <f t="shared" si="94"/>
        <v>2月</v>
      </c>
      <c r="C1562" s="4" t="str">
        <f t="shared" si="95"/>
        <v>W7</v>
      </c>
      <c r="D1562" s="2" t="s">
        <v>781</v>
      </c>
      <c r="E1562" s="2" t="s">
        <v>715</v>
      </c>
      <c r="F1562" s="2" t="str" cm="1">
        <f t="array" ref="F1562">INDEX(_xlfn.TEXTSPLIT(E1562,"-"),2)</f>
        <v>女装</v>
      </c>
      <c r="G1562" s="2" t="str" cm="1">
        <f t="array" ref="G1562">INDEX(_xlfn.TEXTSPLIT(E1562,"-"),3)</f>
        <v>毛呢外套</v>
      </c>
      <c r="H1562" s="5">
        <v>464244</v>
      </c>
      <c r="I1562" s="5">
        <v>153356118.33</v>
      </c>
      <c r="J1562" s="6">
        <v>0.1228</v>
      </c>
      <c r="K1562" s="6">
        <v>-0.1662</v>
      </c>
    </row>
    <row r="1563" ht="14.5" spans="1:11">
      <c r="A1563" s="3" t="str">
        <f t="shared" si="93"/>
        <v>2026年</v>
      </c>
      <c r="B1563" s="3" t="str">
        <f t="shared" si="94"/>
        <v>2月</v>
      </c>
      <c r="C1563" s="4" t="str">
        <f t="shared" si="95"/>
        <v>W7</v>
      </c>
      <c r="D1563" s="2" t="s">
        <v>781</v>
      </c>
      <c r="E1563" s="2" t="s">
        <v>716</v>
      </c>
      <c r="F1563" s="2" t="str" cm="1">
        <f t="array" ref="F1563">INDEX(_xlfn.TEXTSPLIT(E1563,"-"),2)</f>
        <v>女装</v>
      </c>
      <c r="G1563" s="2" t="str" cm="1">
        <f t="array" ref="G1563">INDEX(_xlfn.TEXTSPLIT(E1563,"-"),3)</f>
        <v>毛衣</v>
      </c>
      <c r="H1563" s="5">
        <v>123258</v>
      </c>
      <c r="I1563" s="5">
        <v>11973138.73</v>
      </c>
      <c r="J1563" s="6">
        <v>0.0096</v>
      </c>
      <c r="K1563" s="6">
        <v>-0.2392</v>
      </c>
    </row>
    <row r="1564" ht="14.5" spans="1:11">
      <c r="A1564" s="3" t="str">
        <f t="shared" si="93"/>
        <v>2026年</v>
      </c>
      <c r="B1564" s="3" t="str">
        <f t="shared" si="94"/>
        <v>2月</v>
      </c>
      <c r="C1564" s="4" t="str">
        <f t="shared" si="95"/>
        <v>W7</v>
      </c>
      <c r="D1564" s="2" t="s">
        <v>781</v>
      </c>
      <c r="E1564" s="2" t="s">
        <v>717</v>
      </c>
      <c r="F1564" s="2" t="str" cm="1">
        <f t="array" ref="F1564">INDEX(_xlfn.TEXTSPLIT(E1564,"-"),2)</f>
        <v>女装</v>
      </c>
      <c r="G1564" s="2" t="str" cm="1">
        <f t="array" ref="G1564">INDEX(_xlfn.TEXTSPLIT(E1564,"-"),3)</f>
        <v>毛针织衫</v>
      </c>
      <c r="H1564" s="5">
        <v>697505</v>
      </c>
      <c r="I1564" s="5">
        <v>69215488.92</v>
      </c>
      <c r="J1564" s="6">
        <v>0.0554</v>
      </c>
      <c r="K1564" s="6">
        <v>-0.1718</v>
      </c>
    </row>
    <row r="1565" ht="14.5" spans="1:11">
      <c r="A1565" s="3" t="str">
        <f t="shared" si="93"/>
        <v>2026年</v>
      </c>
      <c r="B1565" s="3" t="str">
        <f t="shared" si="94"/>
        <v>2月</v>
      </c>
      <c r="C1565" s="4" t="str">
        <f t="shared" si="95"/>
        <v>W7</v>
      </c>
      <c r="D1565" s="2" t="s">
        <v>781</v>
      </c>
      <c r="E1565" s="2" t="s">
        <v>718</v>
      </c>
      <c r="F1565" s="2" t="str" cm="1">
        <f t="array" ref="F1565">INDEX(_xlfn.TEXTSPLIT(E1565,"-"),2)</f>
        <v>女装</v>
      </c>
      <c r="G1565" s="2" t="str" cm="1">
        <f t="array" ref="G1565">INDEX(_xlfn.TEXTSPLIT(E1565,"-"),3)</f>
        <v>汉服</v>
      </c>
      <c r="H1565" s="5">
        <v>58278</v>
      </c>
      <c r="I1565" s="5">
        <v>25296095.43</v>
      </c>
      <c r="J1565" s="6">
        <v>0.0203</v>
      </c>
      <c r="K1565" s="6">
        <v>-0.2686</v>
      </c>
    </row>
    <row r="1566" ht="14.5" spans="1:11">
      <c r="A1566" s="3" t="str">
        <f t="shared" ref="A1566:A1629" si="96">TEXT(YEAR(D1566),"0")&amp;"年"</f>
        <v>2026年</v>
      </c>
      <c r="B1566" s="3" t="str">
        <f t="shared" ref="B1566:B1629" si="97">TEXT(MONTH(D1566),"0")&amp;"月"</f>
        <v>2月</v>
      </c>
      <c r="C1566" s="4" t="str">
        <f t="shared" ref="C1566:C1629" si="98">"W"&amp;TEXT(WEEKNUM(D1566,2),"0")</f>
        <v>W7</v>
      </c>
      <c r="D1566" s="2" t="s">
        <v>781</v>
      </c>
      <c r="E1566" s="2" t="s">
        <v>719</v>
      </c>
      <c r="F1566" s="2" t="str" cm="1">
        <f t="array" ref="F1566">INDEX(_xlfn.TEXTSPLIT(E1566,"-"),2)</f>
        <v>女装</v>
      </c>
      <c r="G1566" s="2" t="str" cm="1">
        <f t="array" ref="G1566">INDEX(_xlfn.TEXTSPLIT(E1566,"-"),3)</f>
        <v>派克服</v>
      </c>
      <c r="H1566" s="5">
        <v>12322</v>
      </c>
      <c r="I1566" s="5">
        <v>1995371.66</v>
      </c>
      <c r="J1566" s="6">
        <v>0.0016</v>
      </c>
      <c r="K1566" s="6">
        <v>-0.4204</v>
      </c>
    </row>
    <row r="1567" ht="14.5" spans="1:11">
      <c r="A1567" s="3" t="str">
        <f t="shared" si="96"/>
        <v>2026年</v>
      </c>
      <c r="B1567" s="3" t="str">
        <f t="shared" si="97"/>
        <v>2月</v>
      </c>
      <c r="C1567" s="4" t="str">
        <f t="shared" si="98"/>
        <v>W7</v>
      </c>
      <c r="D1567" s="2" t="s">
        <v>781</v>
      </c>
      <c r="E1567" s="2" t="s">
        <v>720</v>
      </c>
      <c r="F1567" s="2" t="str" cm="1">
        <f t="array" ref="F1567">INDEX(_xlfn.TEXTSPLIT(E1567,"-"),2)</f>
        <v>女装</v>
      </c>
      <c r="G1567" s="2" t="str" cm="1">
        <f t="array" ref="G1567">INDEX(_xlfn.TEXTSPLIT(E1567,"-"),3)</f>
        <v>皮草</v>
      </c>
      <c r="H1567" s="5">
        <v>57029</v>
      </c>
      <c r="I1567" s="5">
        <v>115949515.47</v>
      </c>
      <c r="J1567" s="6">
        <v>0.0928</v>
      </c>
      <c r="K1567" s="6">
        <v>-0.1753</v>
      </c>
    </row>
    <row r="1568" ht="14.5" spans="1:11">
      <c r="A1568" s="3" t="str">
        <f t="shared" si="96"/>
        <v>2026年</v>
      </c>
      <c r="B1568" s="3" t="str">
        <f t="shared" si="97"/>
        <v>2月</v>
      </c>
      <c r="C1568" s="4" t="str">
        <f t="shared" si="98"/>
        <v>W7</v>
      </c>
      <c r="D1568" s="2" t="s">
        <v>781</v>
      </c>
      <c r="E1568" s="2" t="s">
        <v>721</v>
      </c>
      <c r="F1568" s="2" t="str" cm="1">
        <f t="array" ref="F1568">INDEX(_xlfn.TEXTSPLIT(E1568,"-"),2)</f>
        <v>女装</v>
      </c>
      <c r="G1568" s="2" t="str" cm="1">
        <f t="array" ref="G1568">INDEX(_xlfn.TEXTSPLIT(E1568,"-"),3)</f>
        <v>皮衣</v>
      </c>
      <c r="H1568" s="5">
        <v>96321</v>
      </c>
      <c r="I1568" s="5">
        <v>31838033.05</v>
      </c>
      <c r="J1568" s="6">
        <v>0.0255</v>
      </c>
      <c r="K1568" s="6">
        <v>-0.1485</v>
      </c>
    </row>
    <row r="1569" ht="14.5" spans="1:11">
      <c r="A1569" s="3" t="str">
        <f t="shared" si="96"/>
        <v>2026年</v>
      </c>
      <c r="B1569" s="3" t="str">
        <f t="shared" si="97"/>
        <v>2月</v>
      </c>
      <c r="C1569" s="4" t="str">
        <f t="shared" si="98"/>
        <v>W7</v>
      </c>
      <c r="D1569" s="2" t="s">
        <v>781</v>
      </c>
      <c r="E1569" s="2" t="s">
        <v>722</v>
      </c>
      <c r="F1569" s="2" t="str" cm="1">
        <f t="array" ref="F1569">INDEX(_xlfn.TEXTSPLIT(E1569,"-"),2)</f>
        <v>女装</v>
      </c>
      <c r="G1569" s="2" t="str" cm="1">
        <f t="array" ref="G1569">INDEX(_xlfn.TEXTSPLIT(E1569,"-"),3)</f>
        <v>短外套</v>
      </c>
      <c r="H1569" s="5">
        <v>498869</v>
      </c>
      <c r="I1569" s="5">
        <v>100987180.82</v>
      </c>
      <c r="J1569" s="6">
        <v>0.0809</v>
      </c>
      <c r="K1569" s="6">
        <v>-0.198</v>
      </c>
    </row>
    <row r="1570" ht="14.5" spans="1:11">
      <c r="A1570" s="3" t="str">
        <f t="shared" si="96"/>
        <v>2026年</v>
      </c>
      <c r="B1570" s="3" t="str">
        <f t="shared" si="97"/>
        <v>2月</v>
      </c>
      <c r="C1570" s="4" t="str">
        <f t="shared" si="98"/>
        <v>W7</v>
      </c>
      <c r="D1570" s="2" t="s">
        <v>781</v>
      </c>
      <c r="E1570" s="2" t="s">
        <v>723</v>
      </c>
      <c r="F1570" s="2" t="str" cm="1">
        <f t="array" ref="F1570">INDEX(_xlfn.TEXTSPLIT(E1570,"-"),2)</f>
        <v>女装</v>
      </c>
      <c r="G1570" s="2" t="str" cm="1">
        <f t="array" ref="G1570">INDEX(_xlfn.TEXTSPLIT(E1570,"-"),3)</f>
        <v>短裤</v>
      </c>
      <c r="H1570" s="5">
        <v>40299</v>
      </c>
      <c r="I1570" s="5">
        <v>3261377.78</v>
      </c>
      <c r="J1570" s="6">
        <v>0.0026</v>
      </c>
      <c r="K1570" s="6">
        <v>-0.176</v>
      </c>
    </row>
    <row r="1571" ht="14.5" spans="1:11">
      <c r="A1571" s="3" t="str">
        <f t="shared" si="96"/>
        <v>2026年</v>
      </c>
      <c r="B1571" s="3" t="str">
        <f t="shared" si="97"/>
        <v>2月</v>
      </c>
      <c r="C1571" s="4" t="str">
        <f t="shared" si="98"/>
        <v>W7</v>
      </c>
      <c r="D1571" s="2" t="s">
        <v>781</v>
      </c>
      <c r="E1571" s="2" t="s">
        <v>724</v>
      </c>
      <c r="F1571" s="2" t="str" cm="1">
        <f t="array" ref="F1571">INDEX(_xlfn.TEXTSPLIT(E1571,"-"),2)</f>
        <v>女装</v>
      </c>
      <c r="G1571" s="2" t="str" cm="1">
        <f t="array" ref="G1571">INDEX(_xlfn.TEXTSPLIT(E1571,"-"),3)</f>
        <v>羊毛衫</v>
      </c>
      <c r="H1571" s="5">
        <v>126544</v>
      </c>
      <c r="I1571" s="5">
        <v>21232697.79</v>
      </c>
      <c r="J1571" s="6">
        <v>0.017</v>
      </c>
      <c r="K1571" s="6">
        <v>-0.1021</v>
      </c>
    </row>
    <row r="1572" ht="14.5" spans="1:11">
      <c r="A1572" s="3" t="str">
        <f t="shared" si="96"/>
        <v>2026年</v>
      </c>
      <c r="B1572" s="3" t="str">
        <f t="shared" si="97"/>
        <v>2月</v>
      </c>
      <c r="C1572" s="4" t="str">
        <f t="shared" si="98"/>
        <v>W7</v>
      </c>
      <c r="D1572" s="2" t="s">
        <v>781</v>
      </c>
      <c r="E1572" s="2" t="s">
        <v>725</v>
      </c>
      <c r="F1572" s="2" t="str" cm="1">
        <f t="array" ref="F1572">INDEX(_xlfn.TEXTSPLIT(E1572,"-"),2)</f>
        <v>女装</v>
      </c>
      <c r="G1572" s="2" t="str" cm="1">
        <f t="array" ref="G1572">INDEX(_xlfn.TEXTSPLIT(E1572,"-"),3)</f>
        <v>羊绒大衣</v>
      </c>
      <c r="H1572" s="5">
        <v>4068</v>
      </c>
      <c r="I1572" s="5">
        <v>1943591.28</v>
      </c>
      <c r="J1572" s="6">
        <v>0.0016</v>
      </c>
      <c r="K1572" s="6">
        <v>-0.1325</v>
      </c>
    </row>
    <row r="1573" ht="14.5" spans="1:11">
      <c r="A1573" s="3" t="str">
        <f t="shared" si="96"/>
        <v>2026年</v>
      </c>
      <c r="B1573" s="3" t="str">
        <f t="shared" si="97"/>
        <v>2月</v>
      </c>
      <c r="C1573" s="4" t="str">
        <f t="shared" si="98"/>
        <v>W7</v>
      </c>
      <c r="D1573" s="2" t="s">
        <v>781</v>
      </c>
      <c r="E1573" s="2" t="s">
        <v>726</v>
      </c>
      <c r="F1573" s="2" t="str" cm="1">
        <f t="array" ref="F1573">INDEX(_xlfn.TEXTSPLIT(E1573,"-"),2)</f>
        <v>女装</v>
      </c>
      <c r="G1573" s="2" t="str" cm="1">
        <f t="array" ref="G1573">INDEX(_xlfn.TEXTSPLIT(E1573,"-"),3)</f>
        <v>羊绒衫</v>
      </c>
      <c r="H1573" s="5">
        <v>35290</v>
      </c>
      <c r="I1573" s="5">
        <v>14833365.83</v>
      </c>
      <c r="J1573" s="6">
        <v>0.0119</v>
      </c>
      <c r="K1573" s="6">
        <v>-0.2449</v>
      </c>
    </row>
    <row r="1574" ht="14.5" spans="1:11">
      <c r="A1574" s="3" t="str">
        <f t="shared" si="96"/>
        <v>2026年</v>
      </c>
      <c r="B1574" s="3" t="str">
        <f t="shared" si="97"/>
        <v>2月</v>
      </c>
      <c r="C1574" s="4" t="str">
        <f t="shared" si="98"/>
        <v>W7</v>
      </c>
      <c r="D1574" s="2" t="s">
        <v>781</v>
      </c>
      <c r="E1574" s="2" t="s">
        <v>727</v>
      </c>
      <c r="F1574" s="2" t="str" cm="1">
        <f t="array" ref="F1574">INDEX(_xlfn.TEXTSPLIT(E1574,"-"),2)</f>
        <v>女装</v>
      </c>
      <c r="G1574" s="2" t="str" cm="1">
        <f t="array" ref="G1574">INDEX(_xlfn.TEXTSPLIT(E1574,"-"),3)</f>
        <v>羽绒服</v>
      </c>
      <c r="H1574" s="5">
        <v>406688</v>
      </c>
      <c r="I1574" s="5">
        <v>148633825.12</v>
      </c>
      <c r="J1574" s="6">
        <v>0.119</v>
      </c>
      <c r="K1574" s="6">
        <v>-0.2715</v>
      </c>
    </row>
    <row r="1575" ht="14.5" spans="1:11">
      <c r="A1575" s="3" t="str">
        <f t="shared" si="96"/>
        <v>2026年</v>
      </c>
      <c r="B1575" s="3" t="str">
        <f t="shared" si="97"/>
        <v>2月</v>
      </c>
      <c r="C1575" s="4" t="str">
        <f t="shared" si="98"/>
        <v>W7</v>
      </c>
      <c r="D1575" s="2" t="s">
        <v>781</v>
      </c>
      <c r="E1575" s="2" t="s">
        <v>728</v>
      </c>
      <c r="F1575" s="2" t="str" cm="1">
        <f t="array" ref="F1575">INDEX(_xlfn.TEXTSPLIT(E1575,"-"),2)</f>
        <v>女装</v>
      </c>
      <c r="G1575" s="2" t="str" cm="1">
        <f t="array" ref="G1575">INDEX(_xlfn.TEXTSPLIT(E1575,"-"),3)</f>
        <v>肌底衣/肌肤衣</v>
      </c>
      <c r="H1575" s="5">
        <v>3345</v>
      </c>
      <c r="I1575" s="5">
        <v>146121.04</v>
      </c>
      <c r="J1575" s="6">
        <v>0.0001</v>
      </c>
      <c r="K1575" s="6">
        <v>0.1243</v>
      </c>
    </row>
    <row r="1576" ht="14.5" spans="1:11">
      <c r="A1576" s="3" t="str">
        <f t="shared" si="96"/>
        <v>2026年</v>
      </c>
      <c r="B1576" s="3" t="str">
        <f t="shared" si="97"/>
        <v>2月</v>
      </c>
      <c r="C1576" s="4" t="str">
        <f t="shared" si="98"/>
        <v>W7</v>
      </c>
      <c r="D1576" s="2" t="s">
        <v>781</v>
      </c>
      <c r="E1576" s="2" t="s">
        <v>729</v>
      </c>
      <c r="F1576" s="2" t="str" cm="1">
        <f t="array" ref="F1576">INDEX(_xlfn.TEXTSPLIT(E1576,"-"),2)</f>
        <v>女装</v>
      </c>
      <c r="G1576" s="2" t="str" cm="1">
        <f t="array" ref="G1576">INDEX(_xlfn.TEXTSPLIT(E1576,"-"),3)</f>
        <v>背心吊带</v>
      </c>
      <c r="H1576" s="5">
        <v>123638</v>
      </c>
      <c r="I1576" s="5">
        <v>7411156.86</v>
      </c>
      <c r="J1576" s="6">
        <v>0.0059</v>
      </c>
      <c r="K1576" s="6">
        <v>-0.177</v>
      </c>
    </row>
    <row r="1577" ht="14.5" spans="1:11">
      <c r="A1577" s="3" t="str">
        <f t="shared" si="96"/>
        <v>2026年</v>
      </c>
      <c r="B1577" s="3" t="str">
        <f t="shared" si="97"/>
        <v>2月</v>
      </c>
      <c r="C1577" s="4" t="str">
        <f t="shared" si="98"/>
        <v>W7</v>
      </c>
      <c r="D1577" s="2" t="s">
        <v>781</v>
      </c>
      <c r="E1577" s="2" t="s">
        <v>730</v>
      </c>
      <c r="F1577" s="2" t="str" cm="1">
        <f t="array" ref="F1577">INDEX(_xlfn.TEXTSPLIT(E1577,"-"),2)</f>
        <v>女装</v>
      </c>
      <c r="G1577" s="2" t="str" cm="1">
        <f t="array" ref="G1577">INDEX(_xlfn.TEXTSPLIT(E1577,"-"),3)</f>
        <v>蕾丝衫/雪纺衫</v>
      </c>
      <c r="H1577" s="5">
        <v>80826</v>
      </c>
      <c r="I1577" s="5">
        <v>6281083.13</v>
      </c>
      <c r="J1577" s="6">
        <v>0.005</v>
      </c>
      <c r="K1577" s="6">
        <v>-0.184</v>
      </c>
    </row>
    <row r="1578" ht="14.5" spans="1:11">
      <c r="A1578" s="3" t="str">
        <f t="shared" si="96"/>
        <v>2026年</v>
      </c>
      <c r="B1578" s="3" t="str">
        <f t="shared" si="97"/>
        <v>2月</v>
      </c>
      <c r="C1578" s="4" t="str">
        <f t="shared" si="98"/>
        <v>W7</v>
      </c>
      <c r="D1578" s="2" t="s">
        <v>781</v>
      </c>
      <c r="E1578" s="2" t="s">
        <v>731</v>
      </c>
      <c r="F1578" s="2" t="str" cm="1">
        <f t="array" ref="F1578">INDEX(_xlfn.TEXTSPLIT(E1578,"-"),2)</f>
        <v>女装</v>
      </c>
      <c r="G1578" s="2" t="str" cm="1">
        <f t="array" ref="G1578">INDEX(_xlfn.TEXTSPLIT(E1578,"-"),3)</f>
        <v>衬衫</v>
      </c>
      <c r="H1578" s="5">
        <v>273672</v>
      </c>
      <c r="I1578" s="5">
        <v>33042713.07</v>
      </c>
      <c r="J1578" s="6">
        <v>0.0265</v>
      </c>
      <c r="K1578" s="6">
        <v>-0.1455</v>
      </c>
    </row>
    <row r="1579" ht="14.5" spans="1:11">
      <c r="A1579" s="3" t="str">
        <f t="shared" si="96"/>
        <v>2026年</v>
      </c>
      <c r="B1579" s="3" t="str">
        <f t="shared" si="97"/>
        <v>2月</v>
      </c>
      <c r="C1579" s="4" t="str">
        <f t="shared" si="98"/>
        <v>W7</v>
      </c>
      <c r="D1579" s="2" t="s">
        <v>781</v>
      </c>
      <c r="E1579" s="2" t="s">
        <v>732</v>
      </c>
      <c r="F1579" s="2" t="str" cm="1">
        <f t="array" ref="F1579">INDEX(_xlfn.TEXTSPLIT(E1579,"-"),2)</f>
        <v>女装</v>
      </c>
      <c r="G1579" s="2" t="str" cm="1">
        <f t="array" ref="G1579">INDEX(_xlfn.TEXTSPLIT(E1579,"-"),3)</f>
        <v>裤子</v>
      </c>
      <c r="H1579" s="5">
        <v>1125229</v>
      </c>
      <c r="I1579" s="5">
        <v>128062671.99</v>
      </c>
      <c r="J1579" s="6">
        <v>0.1025</v>
      </c>
      <c r="K1579" s="6">
        <v>-0.2108</v>
      </c>
    </row>
    <row r="1580" ht="14.5" spans="1:11">
      <c r="A1580" s="3" t="str">
        <f t="shared" si="96"/>
        <v>2026年</v>
      </c>
      <c r="B1580" s="3" t="str">
        <f t="shared" si="97"/>
        <v>2月</v>
      </c>
      <c r="C1580" s="4" t="str">
        <f t="shared" si="98"/>
        <v>W7</v>
      </c>
      <c r="D1580" s="2" t="s">
        <v>781</v>
      </c>
      <c r="E1580" s="2" t="s">
        <v>733</v>
      </c>
      <c r="F1580" s="2" t="str" cm="1">
        <f t="array" ref="F1580">INDEX(_xlfn.TEXTSPLIT(E1580,"-"),2)</f>
        <v>女装</v>
      </c>
      <c r="G1580" s="2" t="str" cm="1">
        <f t="array" ref="G1580">INDEX(_xlfn.TEXTSPLIT(E1580,"-"),3)</f>
        <v>西装</v>
      </c>
      <c r="H1580" s="5">
        <v>35990</v>
      </c>
      <c r="I1580" s="5">
        <v>11365367.5</v>
      </c>
      <c r="J1580" s="6">
        <v>0.0091</v>
      </c>
      <c r="K1580" s="6">
        <v>-0.0896</v>
      </c>
    </row>
    <row r="1581" ht="14.5" spans="1:11">
      <c r="A1581" s="3" t="str">
        <f t="shared" si="96"/>
        <v>2026年</v>
      </c>
      <c r="B1581" s="3" t="str">
        <f t="shared" si="97"/>
        <v>2月</v>
      </c>
      <c r="C1581" s="4" t="str">
        <f t="shared" si="98"/>
        <v>W7</v>
      </c>
      <c r="D1581" s="2" t="s">
        <v>781</v>
      </c>
      <c r="E1581" s="2" t="s">
        <v>734</v>
      </c>
      <c r="F1581" s="2" t="str" cm="1">
        <f t="array" ref="F1581">INDEX(_xlfn.TEXTSPLIT(E1581,"-"),2)</f>
        <v>女装</v>
      </c>
      <c r="G1581" s="2" t="str" cm="1">
        <f t="array" ref="G1581">INDEX(_xlfn.TEXTSPLIT(E1581,"-"),3)</f>
        <v>设计师/潮牌女装</v>
      </c>
      <c r="H1581" s="5">
        <v>146036</v>
      </c>
      <c r="I1581" s="5">
        <v>21626523.35</v>
      </c>
      <c r="J1581" s="6">
        <v>0.0173</v>
      </c>
      <c r="K1581" s="6">
        <v>-0.2033</v>
      </c>
    </row>
    <row r="1582" ht="14.5" spans="1:11">
      <c r="A1582" s="3" t="str">
        <f t="shared" si="96"/>
        <v>2026年</v>
      </c>
      <c r="B1582" s="3" t="str">
        <f t="shared" si="97"/>
        <v>2月</v>
      </c>
      <c r="C1582" s="4" t="str">
        <f t="shared" si="98"/>
        <v>W7</v>
      </c>
      <c r="D1582" s="2" t="s">
        <v>781</v>
      </c>
      <c r="E1582" s="2" t="s">
        <v>735</v>
      </c>
      <c r="F1582" s="2" t="str" cm="1">
        <f t="array" ref="F1582">INDEX(_xlfn.TEXTSPLIT(E1582,"-"),2)</f>
        <v>女装</v>
      </c>
      <c r="G1582" s="2" t="str" cm="1">
        <f t="array" ref="G1582">INDEX(_xlfn.TEXTSPLIT(E1582,"-"),3)</f>
        <v>连体衣/裤</v>
      </c>
      <c r="H1582" s="5">
        <v>6593</v>
      </c>
      <c r="I1582" s="5">
        <v>1738646.65</v>
      </c>
      <c r="J1582" s="6">
        <v>0.0014</v>
      </c>
      <c r="K1582" s="6">
        <v>-0.242</v>
      </c>
    </row>
    <row r="1583" ht="14.5" spans="1:11">
      <c r="A1583" s="3" t="str">
        <f t="shared" si="96"/>
        <v>2026年</v>
      </c>
      <c r="B1583" s="3" t="str">
        <f t="shared" si="97"/>
        <v>2月</v>
      </c>
      <c r="C1583" s="4" t="str">
        <f t="shared" si="98"/>
        <v>W7</v>
      </c>
      <c r="D1583" s="2" t="s">
        <v>781</v>
      </c>
      <c r="E1583" s="2" t="s">
        <v>736</v>
      </c>
      <c r="F1583" s="2" t="str" cm="1">
        <f t="array" ref="F1583">INDEX(_xlfn.TEXTSPLIT(E1583,"-"),2)</f>
        <v>女装</v>
      </c>
      <c r="G1583" s="2" t="str" cm="1">
        <f t="array" ref="G1583">INDEX(_xlfn.TEXTSPLIT(E1583,"-"),3)</f>
        <v>连衣裙</v>
      </c>
      <c r="H1583" s="5">
        <v>424840</v>
      </c>
      <c r="I1583" s="5">
        <v>63859390.66</v>
      </c>
      <c r="J1583" s="6">
        <v>0.0511</v>
      </c>
      <c r="K1583" s="6">
        <v>-0.019</v>
      </c>
    </row>
    <row r="1584" ht="14.5" spans="1:11">
      <c r="A1584" s="3" t="str">
        <f t="shared" si="96"/>
        <v>2026年</v>
      </c>
      <c r="B1584" s="3" t="str">
        <f t="shared" si="97"/>
        <v>2月</v>
      </c>
      <c r="C1584" s="4" t="str">
        <f t="shared" si="98"/>
        <v>W7</v>
      </c>
      <c r="D1584" s="2" t="s">
        <v>781</v>
      </c>
      <c r="E1584" s="2" t="s">
        <v>737</v>
      </c>
      <c r="F1584" s="2" t="str" cm="1">
        <f t="array" ref="F1584">INDEX(_xlfn.TEXTSPLIT(E1584,"-"),2)</f>
        <v>女装</v>
      </c>
      <c r="G1584" s="2" t="str" cm="1">
        <f t="array" ref="G1584">INDEX(_xlfn.TEXTSPLIT(E1584,"-"),3)</f>
        <v>风衣</v>
      </c>
      <c r="H1584" s="5">
        <v>55562</v>
      </c>
      <c r="I1584" s="5">
        <v>13835273.92</v>
      </c>
      <c r="J1584" s="6">
        <v>0.0111</v>
      </c>
      <c r="K1584" s="6">
        <v>-0.0781</v>
      </c>
    </row>
    <row r="1585" ht="14.5" spans="1:11">
      <c r="A1585" s="3" t="str">
        <f t="shared" si="96"/>
        <v>2026年</v>
      </c>
      <c r="B1585" s="3" t="str">
        <f t="shared" si="97"/>
        <v>2月</v>
      </c>
      <c r="C1585" s="4" t="str">
        <f t="shared" si="98"/>
        <v>W7</v>
      </c>
      <c r="D1585" s="2" t="s">
        <v>781</v>
      </c>
      <c r="E1585" s="2" t="s">
        <v>738</v>
      </c>
      <c r="F1585" s="2" t="str" cm="1">
        <f t="array" ref="F1585">INDEX(_xlfn.TEXTSPLIT(E1585,"-"),2)</f>
        <v>女装</v>
      </c>
      <c r="G1585" s="2" t="str" cm="1">
        <f t="array" ref="G1585">INDEX(_xlfn.TEXTSPLIT(E1585,"-"),3)</f>
        <v>马夹</v>
      </c>
      <c r="H1585" s="5">
        <v>171135</v>
      </c>
      <c r="I1585" s="5">
        <v>20011040.56</v>
      </c>
      <c r="J1585" s="6">
        <v>0.016</v>
      </c>
      <c r="K1585" s="6">
        <v>-0.2461</v>
      </c>
    </row>
    <row r="1586" ht="14.5" spans="1:11">
      <c r="A1586" s="3" t="str">
        <f t="shared" si="96"/>
        <v>2026年</v>
      </c>
      <c r="B1586" s="3" t="str">
        <f t="shared" si="97"/>
        <v>2月</v>
      </c>
      <c r="C1586" s="4" t="str">
        <f t="shared" si="98"/>
        <v>W7</v>
      </c>
      <c r="D1586" s="2" t="s">
        <v>782</v>
      </c>
      <c r="E1586" s="2" t="s">
        <v>702</v>
      </c>
      <c r="F1586" s="2" t="str" cm="1">
        <f t="array" ref="F1586">INDEX(_xlfn.TEXTSPLIT(E1586,"-"),2)</f>
        <v>女装</v>
      </c>
      <c r="G1586" s="2" t="str" cm="1">
        <f t="array" ref="G1586">INDEX(_xlfn.TEXTSPLIT(E1586,"-"),3)</f>
        <v>POLO衫</v>
      </c>
      <c r="H1586" s="5">
        <v>5259</v>
      </c>
      <c r="I1586" s="5">
        <v>766761.6</v>
      </c>
      <c r="J1586" s="6">
        <v>0.0008</v>
      </c>
      <c r="K1586" s="6">
        <v>0.3404</v>
      </c>
    </row>
    <row r="1587" ht="14.5" spans="1:11">
      <c r="A1587" s="3" t="str">
        <f t="shared" si="96"/>
        <v>2026年</v>
      </c>
      <c r="B1587" s="3" t="str">
        <f t="shared" si="97"/>
        <v>2月</v>
      </c>
      <c r="C1587" s="4" t="str">
        <f t="shared" si="98"/>
        <v>W7</v>
      </c>
      <c r="D1587" s="2" t="s">
        <v>782</v>
      </c>
      <c r="E1587" s="2" t="s">
        <v>703</v>
      </c>
      <c r="F1587" s="2" t="str" cm="1">
        <f t="array" ref="F1587">INDEX(_xlfn.TEXTSPLIT(E1587,"-"),2)</f>
        <v>女装</v>
      </c>
      <c r="G1587" s="2" t="str" cm="1">
        <f t="array" ref="G1587">INDEX(_xlfn.TEXTSPLIT(E1587,"-"),3)</f>
        <v>T恤</v>
      </c>
      <c r="H1587" s="5">
        <v>747436</v>
      </c>
      <c r="I1587" s="5">
        <v>46933620.28</v>
      </c>
      <c r="J1587" s="6">
        <v>0.0462</v>
      </c>
      <c r="K1587" s="6">
        <v>0.0257</v>
      </c>
    </row>
    <row r="1588" ht="14.5" spans="1:11">
      <c r="A1588" s="3" t="str">
        <f t="shared" si="96"/>
        <v>2026年</v>
      </c>
      <c r="B1588" s="3" t="str">
        <f t="shared" si="97"/>
        <v>2月</v>
      </c>
      <c r="C1588" s="4" t="str">
        <f t="shared" si="98"/>
        <v>W7</v>
      </c>
      <c r="D1588" s="2" t="s">
        <v>782</v>
      </c>
      <c r="E1588" s="2" t="s">
        <v>704</v>
      </c>
      <c r="F1588" s="2" t="str" cm="1">
        <f t="array" ref="F1588">INDEX(_xlfn.TEXTSPLIT(E1588,"-"),2)</f>
        <v>女装</v>
      </c>
      <c r="G1588" s="2" t="str" cm="1">
        <f t="array" ref="G1588">INDEX(_xlfn.TEXTSPLIT(E1588,"-"),3)</f>
        <v>中老年女装</v>
      </c>
      <c r="H1588" s="5">
        <v>91256</v>
      </c>
      <c r="I1588" s="5">
        <v>8070666.29</v>
      </c>
      <c r="J1588" s="6">
        <v>0.0079</v>
      </c>
      <c r="K1588" s="6">
        <v>-0.2881</v>
      </c>
    </row>
    <row r="1589" ht="14.5" spans="1:11">
      <c r="A1589" s="3" t="str">
        <f t="shared" si="96"/>
        <v>2026年</v>
      </c>
      <c r="B1589" s="3" t="str">
        <f t="shared" si="97"/>
        <v>2月</v>
      </c>
      <c r="C1589" s="4" t="str">
        <f t="shared" si="98"/>
        <v>W7</v>
      </c>
      <c r="D1589" s="2" t="s">
        <v>782</v>
      </c>
      <c r="E1589" s="2" t="s">
        <v>705</v>
      </c>
      <c r="F1589" s="2" t="str" cm="1">
        <f t="array" ref="F1589">INDEX(_xlfn.TEXTSPLIT(E1589,"-"),2)</f>
        <v>女装</v>
      </c>
      <c r="G1589" s="2" t="str" cm="1">
        <f t="array" ref="G1589">INDEX(_xlfn.TEXTSPLIT(E1589,"-"),3)</f>
        <v>半身裙</v>
      </c>
      <c r="H1589" s="5">
        <v>184878</v>
      </c>
      <c r="I1589" s="5">
        <v>23373854.4</v>
      </c>
      <c r="J1589" s="6">
        <v>0.023</v>
      </c>
      <c r="K1589" s="6">
        <v>-0.1847</v>
      </c>
    </row>
    <row r="1590" ht="14.5" spans="1:11">
      <c r="A1590" s="3" t="str">
        <f t="shared" si="96"/>
        <v>2026年</v>
      </c>
      <c r="B1590" s="3" t="str">
        <f t="shared" si="97"/>
        <v>2月</v>
      </c>
      <c r="C1590" s="4" t="str">
        <f t="shared" si="98"/>
        <v>W7</v>
      </c>
      <c r="D1590" s="2" t="s">
        <v>782</v>
      </c>
      <c r="E1590" s="2" t="s">
        <v>706</v>
      </c>
      <c r="F1590" s="2" t="str" cm="1">
        <f t="array" ref="F1590">INDEX(_xlfn.TEXTSPLIT(E1590,"-"),2)</f>
        <v>女装</v>
      </c>
      <c r="G1590" s="2" t="str" cm="1">
        <f t="array" ref="G1590">INDEX(_xlfn.TEXTSPLIT(E1590,"-"),3)</f>
        <v>卫衣/绒衫</v>
      </c>
      <c r="H1590" s="5">
        <v>146213</v>
      </c>
      <c r="I1590" s="5">
        <v>13669105.59</v>
      </c>
      <c r="J1590" s="6">
        <v>0.0134</v>
      </c>
      <c r="K1590" s="6">
        <v>-0.2175</v>
      </c>
    </row>
    <row r="1591" ht="14.5" spans="1:11">
      <c r="A1591" s="3" t="str">
        <f t="shared" si="96"/>
        <v>2026年</v>
      </c>
      <c r="B1591" s="3" t="str">
        <f t="shared" si="97"/>
        <v>2月</v>
      </c>
      <c r="C1591" s="4" t="str">
        <f t="shared" si="98"/>
        <v>W7</v>
      </c>
      <c r="D1591" s="2" t="s">
        <v>782</v>
      </c>
      <c r="E1591" s="2" t="s">
        <v>707</v>
      </c>
      <c r="F1591" s="2" t="str" cm="1">
        <f t="array" ref="F1591">INDEX(_xlfn.TEXTSPLIT(E1591,"-"),2)</f>
        <v>女装</v>
      </c>
      <c r="G1591" s="2" t="str" cm="1">
        <f t="array" ref="G1591">INDEX(_xlfn.TEXTSPLIT(E1591,"-"),3)</f>
        <v>唐装/民族服装/舞台服装</v>
      </c>
      <c r="H1591" s="5">
        <v>145970</v>
      </c>
      <c r="I1591" s="5">
        <v>28537625.37</v>
      </c>
      <c r="J1591" s="6">
        <v>0.0281</v>
      </c>
      <c r="K1591" s="6">
        <v>0.0276</v>
      </c>
    </row>
    <row r="1592" ht="14.5" spans="1:11">
      <c r="A1592" s="3" t="str">
        <f t="shared" si="96"/>
        <v>2026年</v>
      </c>
      <c r="B1592" s="3" t="str">
        <f t="shared" si="97"/>
        <v>2月</v>
      </c>
      <c r="C1592" s="4" t="str">
        <f t="shared" si="98"/>
        <v>W7</v>
      </c>
      <c r="D1592" s="2" t="s">
        <v>782</v>
      </c>
      <c r="E1592" s="2" t="s">
        <v>708</v>
      </c>
      <c r="F1592" s="2" t="str" cm="1">
        <f t="array" ref="F1592">INDEX(_xlfn.TEXTSPLIT(E1592,"-"),2)</f>
        <v>女装</v>
      </c>
      <c r="G1592" s="2" t="str" cm="1">
        <f t="array" ref="G1592">INDEX(_xlfn.TEXTSPLIT(E1592,"-"),3)</f>
        <v>大码女装</v>
      </c>
      <c r="H1592" s="5">
        <v>149981</v>
      </c>
      <c r="I1592" s="5">
        <v>13062024.26</v>
      </c>
      <c r="J1592" s="6">
        <v>0.0128</v>
      </c>
      <c r="K1592" s="6">
        <v>-0.2408</v>
      </c>
    </row>
    <row r="1593" ht="14.5" spans="1:11">
      <c r="A1593" s="3" t="str">
        <f t="shared" si="96"/>
        <v>2026年</v>
      </c>
      <c r="B1593" s="3" t="str">
        <f t="shared" si="97"/>
        <v>2月</v>
      </c>
      <c r="C1593" s="4" t="str">
        <f t="shared" si="98"/>
        <v>W7</v>
      </c>
      <c r="D1593" s="2" t="s">
        <v>782</v>
      </c>
      <c r="E1593" s="2" t="s">
        <v>709</v>
      </c>
      <c r="F1593" s="2" t="str" cm="1">
        <f t="array" ref="F1593">INDEX(_xlfn.TEXTSPLIT(E1593,"-"),2)</f>
        <v>女装</v>
      </c>
      <c r="G1593" s="2" t="str" cm="1">
        <f t="array" ref="G1593">INDEX(_xlfn.TEXTSPLIT(E1593,"-"),3)</f>
        <v>套装/学生校服/工作制服</v>
      </c>
      <c r="H1593" s="5">
        <v>363097</v>
      </c>
      <c r="I1593" s="5">
        <v>55218309.74</v>
      </c>
      <c r="J1593" s="6">
        <v>0.0543</v>
      </c>
      <c r="K1593" s="6">
        <v>-0.0834</v>
      </c>
    </row>
    <row r="1594" ht="14.5" spans="1:11">
      <c r="A1594" s="3" t="str">
        <f t="shared" si="96"/>
        <v>2026年</v>
      </c>
      <c r="B1594" s="3" t="str">
        <f t="shared" si="97"/>
        <v>2月</v>
      </c>
      <c r="C1594" s="4" t="str">
        <f t="shared" si="98"/>
        <v>W7</v>
      </c>
      <c r="D1594" s="2" t="s">
        <v>782</v>
      </c>
      <c r="E1594" s="2" t="s">
        <v>710</v>
      </c>
      <c r="F1594" s="2" t="str" cm="1">
        <f t="array" ref="F1594">INDEX(_xlfn.TEXTSPLIT(E1594,"-"),2)</f>
        <v>女装</v>
      </c>
      <c r="G1594" s="2" t="str" cm="1">
        <f t="array" ref="G1594">INDEX(_xlfn.TEXTSPLIT(E1594,"-"),3)</f>
        <v>婚纱/旗袍/礼服</v>
      </c>
      <c r="H1594" s="5">
        <v>22821</v>
      </c>
      <c r="I1594" s="5">
        <v>3303269.55</v>
      </c>
      <c r="J1594" s="6">
        <v>0.0032</v>
      </c>
      <c r="K1594" s="6">
        <v>-0.172</v>
      </c>
    </row>
    <row r="1595" ht="14.5" spans="1:11">
      <c r="A1595" s="3" t="str">
        <f t="shared" si="96"/>
        <v>2026年</v>
      </c>
      <c r="B1595" s="3" t="str">
        <f t="shared" si="97"/>
        <v>2月</v>
      </c>
      <c r="C1595" s="4" t="str">
        <f t="shared" si="98"/>
        <v>W7</v>
      </c>
      <c r="D1595" s="2" t="s">
        <v>782</v>
      </c>
      <c r="E1595" s="2" t="s">
        <v>711</v>
      </c>
      <c r="F1595" s="2" t="str" cm="1">
        <f t="array" ref="F1595">INDEX(_xlfn.TEXTSPLIT(E1595,"-"),2)</f>
        <v>女装</v>
      </c>
      <c r="G1595" s="2" t="str" cm="1">
        <f t="array" ref="G1595">INDEX(_xlfn.TEXTSPLIT(E1595,"-"),3)</f>
        <v>新中式女装</v>
      </c>
      <c r="H1595" s="5">
        <v>40849</v>
      </c>
      <c r="I1595" s="5">
        <v>5179626.3</v>
      </c>
      <c r="J1595" s="6">
        <v>0.0051</v>
      </c>
      <c r="K1595" s="6">
        <v>-0.2778</v>
      </c>
    </row>
    <row r="1596" ht="14.5" spans="1:11">
      <c r="A1596" s="3" t="str">
        <f t="shared" si="96"/>
        <v>2026年</v>
      </c>
      <c r="B1596" s="3" t="str">
        <f t="shared" si="97"/>
        <v>2月</v>
      </c>
      <c r="C1596" s="4" t="str">
        <f t="shared" si="98"/>
        <v>W7</v>
      </c>
      <c r="D1596" s="2" t="s">
        <v>782</v>
      </c>
      <c r="E1596" s="2" t="s">
        <v>712</v>
      </c>
      <c r="F1596" s="2" t="str" cm="1">
        <f t="array" ref="F1596">INDEX(_xlfn.TEXTSPLIT(E1596,"-"),2)</f>
        <v>女装</v>
      </c>
      <c r="G1596" s="2" t="str" cm="1">
        <f t="array" ref="G1596">INDEX(_xlfn.TEXTSPLIT(E1596,"-"),3)</f>
        <v>时尚防晒服</v>
      </c>
      <c r="H1596" s="5">
        <v>451</v>
      </c>
      <c r="I1596" s="5">
        <v>31592.3</v>
      </c>
      <c r="J1596" s="2" t="s">
        <v>713</v>
      </c>
      <c r="K1596" s="6">
        <v>-0.4762</v>
      </c>
    </row>
    <row r="1597" ht="14.5" spans="1:11">
      <c r="A1597" s="3" t="str">
        <f t="shared" si="96"/>
        <v>2026年</v>
      </c>
      <c r="B1597" s="3" t="str">
        <f t="shared" si="97"/>
        <v>2月</v>
      </c>
      <c r="C1597" s="4" t="str">
        <f t="shared" si="98"/>
        <v>W7</v>
      </c>
      <c r="D1597" s="2" t="s">
        <v>782</v>
      </c>
      <c r="E1597" s="2" t="s">
        <v>714</v>
      </c>
      <c r="F1597" s="2" t="str" cm="1">
        <f t="array" ref="F1597">INDEX(_xlfn.TEXTSPLIT(E1597,"-"),2)</f>
        <v>女装</v>
      </c>
      <c r="G1597" s="2" t="str" cm="1">
        <f t="array" ref="G1597">INDEX(_xlfn.TEXTSPLIT(E1597,"-"),3)</f>
        <v>棉衣/棉服</v>
      </c>
      <c r="H1597" s="5">
        <v>119211</v>
      </c>
      <c r="I1597" s="5">
        <v>14103442.85</v>
      </c>
      <c r="J1597" s="6">
        <v>0.0139</v>
      </c>
      <c r="K1597" s="6">
        <v>-0.3199</v>
      </c>
    </row>
    <row r="1598" ht="14.5" spans="1:11">
      <c r="A1598" s="3" t="str">
        <f t="shared" si="96"/>
        <v>2026年</v>
      </c>
      <c r="B1598" s="3" t="str">
        <f t="shared" si="97"/>
        <v>2月</v>
      </c>
      <c r="C1598" s="4" t="str">
        <f t="shared" si="98"/>
        <v>W7</v>
      </c>
      <c r="D1598" s="2" t="s">
        <v>782</v>
      </c>
      <c r="E1598" s="2" t="s">
        <v>715</v>
      </c>
      <c r="F1598" s="2" t="str" cm="1">
        <f t="array" ref="F1598">INDEX(_xlfn.TEXTSPLIT(E1598,"-"),2)</f>
        <v>女装</v>
      </c>
      <c r="G1598" s="2" t="str" cm="1">
        <f t="array" ref="G1598">INDEX(_xlfn.TEXTSPLIT(E1598,"-"),3)</f>
        <v>毛呢外套</v>
      </c>
      <c r="H1598" s="5">
        <v>334168</v>
      </c>
      <c r="I1598" s="5">
        <v>113472600.77</v>
      </c>
      <c r="J1598" s="6">
        <v>0.1116</v>
      </c>
      <c r="K1598" s="6">
        <v>-0.2601</v>
      </c>
    </row>
    <row r="1599" ht="14.5" spans="1:11">
      <c r="A1599" s="3" t="str">
        <f t="shared" si="96"/>
        <v>2026年</v>
      </c>
      <c r="B1599" s="3" t="str">
        <f t="shared" si="97"/>
        <v>2月</v>
      </c>
      <c r="C1599" s="4" t="str">
        <f t="shared" si="98"/>
        <v>W7</v>
      </c>
      <c r="D1599" s="2" t="s">
        <v>782</v>
      </c>
      <c r="E1599" s="2" t="s">
        <v>716</v>
      </c>
      <c r="F1599" s="2" t="str" cm="1">
        <f t="array" ref="F1599">INDEX(_xlfn.TEXTSPLIT(E1599,"-"),2)</f>
        <v>女装</v>
      </c>
      <c r="G1599" s="2" t="str" cm="1">
        <f t="array" ref="G1599">INDEX(_xlfn.TEXTSPLIT(E1599,"-"),3)</f>
        <v>毛衣</v>
      </c>
      <c r="H1599" s="5">
        <v>86992</v>
      </c>
      <c r="I1599" s="5">
        <v>8478339.76</v>
      </c>
      <c r="J1599" s="6">
        <v>0.0083</v>
      </c>
      <c r="K1599" s="6">
        <v>-0.2919</v>
      </c>
    </row>
    <row r="1600" ht="14.5" spans="1:11">
      <c r="A1600" s="3" t="str">
        <f t="shared" si="96"/>
        <v>2026年</v>
      </c>
      <c r="B1600" s="3" t="str">
        <f t="shared" si="97"/>
        <v>2月</v>
      </c>
      <c r="C1600" s="4" t="str">
        <f t="shared" si="98"/>
        <v>W7</v>
      </c>
      <c r="D1600" s="2" t="s">
        <v>782</v>
      </c>
      <c r="E1600" s="2" t="s">
        <v>717</v>
      </c>
      <c r="F1600" s="2" t="str" cm="1">
        <f t="array" ref="F1600">INDEX(_xlfn.TEXTSPLIT(E1600,"-"),2)</f>
        <v>女装</v>
      </c>
      <c r="G1600" s="2" t="str" cm="1">
        <f t="array" ref="G1600">INDEX(_xlfn.TEXTSPLIT(E1600,"-"),3)</f>
        <v>毛针织衫</v>
      </c>
      <c r="H1600" s="5">
        <v>536025</v>
      </c>
      <c r="I1600" s="5">
        <v>53437181.69</v>
      </c>
      <c r="J1600" s="6">
        <v>0.0525</v>
      </c>
      <c r="K1600" s="6">
        <v>-0.228</v>
      </c>
    </row>
    <row r="1601" ht="14.5" spans="1:11">
      <c r="A1601" s="3" t="str">
        <f t="shared" si="96"/>
        <v>2026年</v>
      </c>
      <c r="B1601" s="3" t="str">
        <f t="shared" si="97"/>
        <v>2月</v>
      </c>
      <c r="C1601" s="4" t="str">
        <f t="shared" si="98"/>
        <v>W7</v>
      </c>
      <c r="D1601" s="2" t="s">
        <v>782</v>
      </c>
      <c r="E1601" s="2" t="s">
        <v>718</v>
      </c>
      <c r="F1601" s="2" t="str" cm="1">
        <f t="array" ref="F1601">INDEX(_xlfn.TEXTSPLIT(E1601,"-"),2)</f>
        <v>女装</v>
      </c>
      <c r="G1601" s="2" t="str" cm="1">
        <f t="array" ref="G1601">INDEX(_xlfn.TEXTSPLIT(E1601,"-"),3)</f>
        <v>汉服</v>
      </c>
      <c r="H1601" s="5">
        <v>93423</v>
      </c>
      <c r="I1601" s="5">
        <v>29675403.89</v>
      </c>
      <c r="J1601" s="6">
        <v>0.0292</v>
      </c>
      <c r="K1601" s="6">
        <v>0.1731</v>
      </c>
    </row>
    <row r="1602" ht="14.5" spans="1:11">
      <c r="A1602" s="3" t="str">
        <f t="shared" si="96"/>
        <v>2026年</v>
      </c>
      <c r="B1602" s="3" t="str">
        <f t="shared" si="97"/>
        <v>2月</v>
      </c>
      <c r="C1602" s="4" t="str">
        <f t="shared" si="98"/>
        <v>W7</v>
      </c>
      <c r="D1602" s="2" t="s">
        <v>782</v>
      </c>
      <c r="E1602" s="2" t="s">
        <v>719</v>
      </c>
      <c r="F1602" s="2" t="str" cm="1">
        <f t="array" ref="F1602">INDEX(_xlfn.TEXTSPLIT(E1602,"-"),2)</f>
        <v>女装</v>
      </c>
      <c r="G1602" s="2" t="str" cm="1">
        <f t="array" ref="G1602">INDEX(_xlfn.TEXTSPLIT(E1602,"-"),3)</f>
        <v>派克服</v>
      </c>
      <c r="H1602" s="5">
        <v>5986</v>
      </c>
      <c r="I1602" s="5">
        <v>1009784.2</v>
      </c>
      <c r="J1602" s="6">
        <v>0.001</v>
      </c>
      <c r="K1602" s="6">
        <v>-0.4939</v>
      </c>
    </row>
    <row r="1603" ht="14.5" spans="1:11">
      <c r="A1603" s="3" t="str">
        <f t="shared" si="96"/>
        <v>2026年</v>
      </c>
      <c r="B1603" s="3" t="str">
        <f t="shared" si="97"/>
        <v>2月</v>
      </c>
      <c r="C1603" s="4" t="str">
        <f t="shared" si="98"/>
        <v>W7</v>
      </c>
      <c r="D1603" s="2" t="s">
        <v>782</v>
      </c>
      <c r="E1603" s="2" t="s">
        <v>720</v>
      </c>
      <c r="F1603" s="2" t="str" cm="1">
        <f t="array" ref="F1603">INDEX(_xlfn.TEXTSPLIT(E1603,"-"),2)</f>
        <v>女装</v>
      </c>
      <c r="G1603" s="2" t="str" cm="1">
        <f t="array" ref="G1603">INDEX(_xlfn.TEXTSPLIT(E1603,"-"),3)</f>
        <v>皮草</v>
      </c>
      <c r="H1603" s="5">
        <v>35223</v>
      </c>
      <c r="I1603" s="5">
        <v>86678726.43</v>
      </c>
      <c r="J1603" s="6">
        <v>0.0852</v>
      </c>
      <c r="K1603" s="6">
        <v>-0.2524</v>
      </c>
    </row>
    <row r="1604" ht="14.5" spans="1:11">
      <c r="A1604" s="3" t="str">
        <f t="shared" si="96"/>
        <v>2026年</v>
      </c>
      <c r="B1604" s="3" t="str">
        <f t="shared" si="97"/>
        <v>2月</v>
      </c>
      <c r="C1604" s="4" t="str">
        <f t="shared" si="98"/>
        <v>W7</v>
      </c>
      <c r="D1604" s="2" t="s">
        <v>782</v>
      </c>
      <c r="E1604" s="2" t="s">
        <v>721</v>
      </c>
      <c r="F1604" s="2" t="str" cm="1">
        <f t="array" ref="F1604">INDEX(_xlfn.TEXTSPLIT(E1604,"-"),2)</f>
        <v>女装</v>
      </c>
      <c r="G1604" s="2" t="str" cm="1">
        <f t="array" ref="G1604">INDEX(_xlfn.TEXTSPLIT(E1604,"-"),3)</f>
        <v>皮衣</v>
      </c>
      <c r="H1604" s="5">
        <v>81760</v>
      </c>
      <c r="I1604" s="5">
        <v>25441891.69</v>
      </c>
      <c r="J1604" s="6">
        <v>0.025</v>
      </c>
      <c r="K1604" s="6">
        <v>-0.2009</v>
      </c>
    </row>
    <row r="1605" ht="14.5" spans="1:11">
      <c r="A1605" s="3" t="str">
        <f t="shared" si="96"/>
        <v>2026年</v>
      </c>
      <c r="B1605" s="3" t="str">
        <f t="shared" si="97"/>
        <v>2月</v>
      </c>
      <c r="C1605" s="4" t="str">
        <f t="shared" si="98"/>
        <v>W7</v>
      </c>
      <c r="D1605" s="2" t="s">
        <v>782</v>
      </c>
      <c r="E1605" s="2" t="s">
        <v>722</v>
      </c>
      <c r="F1605" s="2" t="str" cm="1">
        <f t="array" ref="F1605">INDEX(_xlfn.TEXTSPLIT(E1605,"-"),2)</f>
        <v>女装</v>
      </c>
      <c r="G1605" s="2" t="str" cm="1">
        <f t="array" ref="G1605">INDEX(_xlfn.TEXTSPLIT(E1605,"-"),3)</f>
        <v>短外套</v>
      </c>
      <c r="H1605" s="5">
        <v>390124</v>
      </c>
      <c r="I1605" s="5">
        <v>85287633.21</v>
      </c>
      <c r="J1605" s="6">
        <v>0.0839</v>
      </c>
      <c r="K1605" s="6">
        <v>-0.1555</v>
      </c>
    </row>
    <row r="1606" ht="14.5" spans="1:11">
      <c r="A1606" s="3" t="str">
        <f t="shared" si="96"/>
        <v>2026年</v>
      </c>
      <c r="B1606" s="3" t="str">
        <f t="shared" si="97"/>
        <v>2月</v>
      </c>
      <c r="C1606" s="4" t="str">
        <f t="shared" si="98"/>
        <v>W7</v>
      </c>
      <c r="D1606" s="2" t="s">
        <v>782</v>
      </c>
      <c r="E1606" s="2" t="s">
        <v>723</v>
      </c>
      <c r="F1606" s="2" t="str" cm="1">
        <f t="array" ref="F1606">INDEX(_xlfn.TEXTSPLIT(E1606,"-"),2)</f>
        <v>女装</v>
      </c>
      <c r="G1606" s="2" t="str" cm="1">
        <f t="array" ref="G1606">INDEX(_xlfn.TEXTSPLIT(E1606,"-"),3)</f>
        <v>短裤</v>
      </c>
      <c r="H1606" s="5">
        <v>36182</v>
      </c>
      <c r="I1606" s="5">
        <v>2949319.8</v>
      </c>
      <c r="J1606" s="6">
        <v>0.0029</v>
      </c>
      <c r="K1606" s="6">
        <v>-0.0957</v>
      </c>
    </row>
    <row r="1607" ht="14.5" spans="1:11">
      <c r="A1607" s="3" t="str">
        <f t="shared" si="96"/>
        <v>2026年</v>
      </c>
      <c r="B1607" s="3" t="str">
        <f t="shared" si="97"/>
        <v>2月</v>
      </c>
      <c r="C1607" s="4" t="str">
        <f t="shared" si="98"/>
        <v>W7</v>
      </c>
      <c r="D1607" s="2" t="s">
        <v>782</v>
      </c>
      <c r="E1607" s="2" t="s">
        <v>724</v>
      </c>
      <c r="F1607" s="2" t="str" cm="1">
        <f t="array" ref="F1607">INDEX(_xlfn.TEXTSPLIT(E1607,"-"),2)</f>
        <v>女装</v>
      </c>
      <c r="G1607" s="2" t="str" cm="1">
        <f t="array" ref="G1607">INDEX(_xlfn.TEXTSPLIT(E1607,"-"),3)</f>
        <v>羊毛衫</v>
      </c>
      <c r="H1607" s="5">
        <v>93049</v>
      </c>
      <c r="I1607" s="5">
        <v>14311651.63</v>
      </c>
      <c r="J1607" s="6">
        <v>0.0141</v>
      </c>
      <c r="K1607" s="6">
        <v>-0.326</v>
      </c>
    </row>
    <row r="1608" ht="14.5" spans="1:11">
      <c r="A1608" s="3" t="str">
        <f t="shared" si="96"/>
        <v>2026年</v>
      </c>
      <c r="B1608" s="3" t="str">
        <f t="shared" si="97"/>
        <v>2月</v>
      </c>
      <c r="C1608" s="4" t="str">
        <f t="shared" si="98"/>
        <v>W7</v>
      </c>
      <c r="D1608" s="2" t="s">
        <v>782</v>
      </c>
      <c r="E1608" s="2" t="s">
        <v>725</v>
      </c>
      <c r="F1608" s="2" t="str" cm="1">
        <f t="array" ref="F1608">INDEX(_xlfn.TEXTSPLIT(E1608,"-"),2)</f>
        <v>女装</v>
      </c>
      <c r="G1608" s="2" t="str" cm="1">
        <f t="array" ref="G1608">INDEX(_xlfn.TEXTSPLIT(E1608,"-"),3)</f>
        <v>羊绒大衣</v>
      </c>
      <c r="H1608" s="5">
        <v>4344</v>
      </c>
      <c r="I1608" s="5">
        <v>1620346.71</v>
      </c>
      <c r="J1608" s="6">
        <v>0.0016</v>
      </c>
      <c r="K1608" s="6">
        <v>-0.1663</v>
      </c>
    </row>
    <row r="1609" ht="14.5" spans="1:11">
      <c r="A1609" s="3" t="str">
        <f t="shared" si="96"/>
        <v>2026年</v>
      </c>
      <c r="B1609" s="3" t="str">
        <f t="shared" si="97"/>
        <v>2月</v>
      </c>
      <c r="C1609" s="4" t="str">
        <f t="shared" si="98"/>
        <v>W7</v>
      </c>
      <c r="D1609" s="2" t="s">
        <v>782</v>
      </c>
      <c r="E1609" s="2" t="s">
        <v>726</v>
      </c>
      <c r="F1609" s="2" t="str" cm="1">
        <f t="array" ref="F1609">INDEX(_xlfn.TEXTSPLIT(E1609,"-"),2)</f>
        <v>女装</v>
      </c>
      <c r="G1609" s="2" t="str" cm="1">
        <f t="array" ref="G1609">INDEX(_xlfn.TEXTSPLIT(E1609,"-"),3)</f>
        <v>羊绒衫</v>
      </c>
      <c r="H1609" s="5">
        <v>27118</v>
      </c>
      <c r="I1609" s="5">
        <v>11331642.29</v>
      </c>
      <c r="J1609" s="6">
        <v>0.0111</v>
      </c>
      <c r="K1609" s="6">
        <v>-0.2361</v>
      </c>
    </row>
    <row r="1610" ht="14.5" spans="1:11">
      <c r="A1610" s="3" t="str">
        <f t="shared" si="96"/>
        <v>2026年</v>
      </c>
      <c r="B1610" s="3" t="str">
        <f t="shared" si="97"/>
        <v>2月</v>
      </c>
      <c r="C1610" s="4" t="str">
        <f t="shared" si="98"/>
        <v>W7</v>
      </c>
      <c r="D1610" s="2" t="s">
        <v>782</v>
      </c>
      <c r="E1610" s="2" t="s">
        <v>727</v>
      </c>
      <c r="F1610" s="2" t="str" cm="1">
        <f t="array" ref="F1610">INDEX(_xlfn.TEXTSPLIT(E1610,"-"),2)</f>
        <v>女装</v>
      </c>
      <c r="G1610" s="2" t="str" cm="1">
        <f t="array" ref="G1610">INDEX(_xlfn.TEXTSPLIT(E1610,"-"),3)</f>
        <v>羽绒服</v>
      </c>
      <c r="H1610" s="5">
        <v>284458</v>
      </c>
      <c r="I1610" s="5">
        <v>94509920.79</v>
      </c>
      <c r="J1610" s="6">
        <v>0.0929</v>
      </c>
      <c r="K1610" s="6">
        <v>-0.3641</v>
      </c>
    </row>
    <row r="1611" ht="14.5" spans="1:11">
      <c r="A1611" s="3" t="str">
        <f t="shared" si="96"/>
        <v>2026年</v>
      </c>
      <c r="B1611" s="3" t="str">
        <f t="shared" si="97"/>
        <v>2月</v>
      </c>
      <c r="C1611" s="4" t="str">
        <f t="shared" si="98"/>
        <v>W7</v>
      </c>
      <c r="D1611" s="2" t="s">
        <v>782</v>
      </c>
      <c r="E1611" s="2" t="s">
        <v>728</v>
      </c>
      <c r="F1611" s="2" t="str" cm="1">
        <f t="array" ref="F1611">INDEX(_xlfn.TEXTSPLIT(E1611,"-"),2)</f>
        <v>女装</v>
      </c>
      <c r="G1611" s="2" t="str" cm="1">
        <f t="array" ref="G1611">INDEX(_xlfn.TEXTSPLIT(E1611,"-"),3)</f>
        <v>肌底衣/肌肤衣</v>
      </c>
      <c r="H1611" s="5">
        <v>2563</v>
      </c>
      <c r="I1611" s="5">
        <v>169217.6</v>
      </c>
      <c r="J1611" s="6">
        <v>0.0002</v>
      </c>
      <c r="K1611" s="6">
        <v>0.1581</v>
      </c>
    </row>
    <row r="1612" ht="14.5" spans="1:11">
      <c r="A1612" s="3" t="str">
        <f t="shared" si="96"/>
        <v>2026年</v>
      </c>
      <c r="B1612" s="3" t="str">
        <f t="shared" si="97"/>
        <v>2月</v>
      </c>
      <c r="C1612" s="4" t="str">
        <f t="shared" si="98"/>
        <v>W7</v>
      </c>
      <c r="D1612" s="2" t="s">
        <v>782</v>
      </c>
      <c r="E1612" s="2" t="s">
        <v>729</v>
      </c>
      <c r="F1612" s="2" t="str" cm="1">
        <f t="array" ref="F1612">INDEX(_xlfn.TEXTSPLIT(E1612,"-"),2)</f>
        <v>女装</v>
      </c>
      <c r="G1612" s="2" t="str" cm="1">
        <f t="array" ref="G1612">INDEX(_xlfn.TEXTSPLIT(E1612,"-"),3)</f>
        <v>背心吊带</v>
      </c>
      <c r="H1612" s="5">
        <v>110261</v>
      </c>
      <c r="I1612" s="5">
        <v>7109248</v>
      </c>
      <c r="J1612" s="6">
        <v>0.007</v>
      </c>
      <c r="K1612" s="6">
        <v>-0.0407</v>
      </c>
    </row>
    <row r="1613" ht="14.5" spans="1:11">
      <c r="A1613" s="3" t="str">
        <f t="shared" si="96"/>
        <v>2026年</v>
      </c>
      <c r="B1613" s="3" t="str">
        <f t="shared" si="97"/>
        <v>2月</v>
      </c>
      <c r="C1613" s="4" t="str">
        <f t="shared" si="98"/>
        <v>W7</v>
      </c>
      <c r="D1613" s="2" t="s">
        <v>782</v>
      </c>
      <c r="E1613" s="2" t="s">
        <v>730</v>
      </c>
      <c r="F1613" s="2" t="str" cm="1">
        <f t="array" ref="F1613">INDEX(_xlfn.TEXTSPLIT(E1613,"-"),2)</f>
        <v>女装</v>
      </c>
      <c r="G1613" s="2" t="str" cm="1">
        <f t="array" ref="G1613">INDEX(_xlfn.TEXTSPLIT(E1613,"-"),3)</f>
        <v>蕾丝衫/雪纺衫</v>
      </c>
      <c r="H1613" s="5">
        <v>64660</v>
      </c>
      <c r="I1613" s="5">
        <v>5199978.18</v>
      </c>
      <c r="J1613" s="6">
        <v>0.0051</v>
      </c>
      <c r="K1613" s="6">
        <v>-0.1721</v>
      </c>
    </row>
    <row r="1614" ht="14.5" spans="1:11">
      <c r="A1614" s="3" t="str">
        <f t="shared" si="96"/>
        <v>2026年</v>
      </c>
      <c r="B1614" s="3" t="str">
        <f t="shared" si="97"/>
        <v>2月</v>
      </c>
      <c r="C1614" s="4" t="str">
        <f t="shared" si="98"/>
        <v>W7</v>
      </c>
      <c r="D1614" s="2" t="s">
        <v>782</v>
      </c>
      <c r="E1614" s="2" t="s">
        <v>731</v>
      </c>
      <c r="F1614" s="2" t="str" cm="1">
        <f t="array" ref="F1614">INDEX(_xlfn.TEXTSPLIT(E1614,"-"),2)</f>
        <v>女装</v>
      </c>
      <c r="G1614" s="2" t="str" cm="1">
        <f t="array" ref="G1614">INDEX(_xlfn.TEXTSPLIT(E1614,"-"),3)</f>
        <v>衬衫</v>
      </c>
      <c r="H1614" s="5">
        <v>284420</v>
      </c>
      <c r="I1614" s="5">
        <v>33930504.24</v>
      </c>
      <c r="J1614" s="6">
        <v>0.0334</v>
      </c>
      <c r="K1614" s="6">
        <v>0.0269</v>
      </c>
    </row>
    <row r="1615" ht="14.5" spans="1:11">
      <c r="A1615" s="3" t="str">
        <f t="shared" si="96"/>
        <v>2026年</v>
      </c>
      <c r="B1615" s="3" t="str">
        <f t="shared" si="97"/>
        <v>2月</v>
      </c>
      <c r="C1615" s="4" t="str">
        <f t="shared" si="98"/>
        <v>W7</v>
      </c>
      <c r="D1615" s="2" t="s">
        <v>782</v>
      </c>
      <c r="E1615" s="2" t="s">
        <v>732</v>
      </c>
      <c r="F1615" s="2" t="str" cm="1">
        <f t="array" ref="F1615">INDEX(_xlfn.TEXTSPLIT(E1615,"-"),2)</f>
        <v>女装</v>
      </c>
      <c r="G1615" s="2" t="str" cm="1">
        <f t="array" ref="G1615">INDEX(_xlfn.TEXTSPLIT(E1615,"-"),3)</f>
        <v>裤子</v>
      </c>
      <c r="H1615" s="5">
        <v>900961</v>
      </c>
      <c r="I1615" s="5">
        <v>104642887.84</v>
      </c>
      <c r="J1615" s="6">
        <v>0.1029</v>
      </c>
      <c r="K1615" s="6">
        <v>-0.1829</v>
      </c>
    </row>
    <row r="1616" ht="14.5" spans="1:11">
      <c r="A1616" s="3" t="str">
        <f t="shared" si="96"/>
        <v>2026年</v>
      </c>
      <c r="B1616" s="3" t="str">
        <f t="shared" si="97"/>
        <v>2月</v>
      </c>
      <c r="C1616" s="4" t="str">
        <f t="shared" si="98"/>
        <v>W7</v>
      </c>
      <c r="D1616" s="2" t="s">
        <v>782</v>
      </c>
      <c r="E1616" s="2" t="s">
        <v>733</v>
      </c>
      <c r="F1616" s="2" t="str" cm="1">
        <f t="array" ref="F1616">INDEX(_xlfn.TEXTSPLIT(E1616,"-"),2)</f>
        <v>女装</v>
      </c>
      <c r="G1616" s="2" t="str" cm="1">
        <f t="array" ref="G1616">INDEX(_xlfn.TEXTSPLIT(E1616,"-"),3)</f>
        <v>西装</v>
      </c>
      <c r="H1616" s="5">
        <v>37378</v>
      </c>
      <c r="I1616" s="5">
        <v>10817970.83</v>
      </c>
      <c r="J1616" s="6">
        <v>0.0106</v>
      </c>
      <c r="K1616" s="6">
        <v>-0.0482</v>
      </c>
    </row>
    <row r="1617" ht="14.5" spans="1:11">
      <c r="A1617" s="3" t="str">
        <f t="shared" si="96"/>
        <v>2026年</v>
      </c>
      <c r="B1617" s="3" t="str">
        <f t="shared" si="97"/>
        <v>2月</v>
      </c>
      <c r="C1617" s="4" t="str">
        <f t="shared" si="98"/>
        <v>W7</v>
      </c>
      <c r="D1617" s="2" t="s">
        <v>782</v>
      </c>
      <c r="E1617" s="2" t="s">
        <v>734</v>
      </c>
      <c r="F1617" s="2" t="str" cm="1">
        <f t="array" ref="F1617">INDEX(_xlfn.TEXTSPLIT(E1617,"-"),2)</f>
        <v>女装</v>
      </c>
      <c r="G1617" s="2" t="str" cm="1">
        <f t="array" ref="G1617">INDEX(_xlfn.TEXTSPLIT(E1617,"-"),3)</f>
        <v>设计师/潮牌女装</v>
      </c>
      <c r="H1617" s="5">
        <v>119862</v>
      </c>
      <c r="I1617" s="5">
        <v>18132358.19</v>
      </c>
      <c r="J1617" s="6">
        <v>0.0178</v>
      </c>
      <c r="K1617" s="6">
        <v>-0.1616</v>
      </c>
    </row>
    <row r="1618" ht="14.5" spans="1:11">
      <c r="A1618" s="3" t="str">
        <f t="shared" si="96"/>
        <v>2026年</v>
      </c>
      <c r="B1618" s="3" t="str">
        <f t="shared" si="97"/>
        <v>2月</v>
      </c>
      <c r="C1618" s="4" t="str">
        <f t="shared" si="98"/>
        <v>W7</v>
      </c>
      <c r="D1618" s="2" t="s">
        <v>782</v>
      </c>
      <c r="E1618" s="2" t="s">
        <v>735</v>
      </c>
      <c r="F1618" s="2" t="str" cm="1">
        <f t="array" ref="F1618">INDEX(_xlfn.TEXTSPLIT(E1618,"-"),2)</f>
        <v>女装</v>
      </c>
      <c r="G1618" s="2" t="str" cm="1">
        <f t="array" ref="G1618">INDEX(_xlfn.TEXTSPLIT(E1618,"-"),3)</f>
        <v>连体衣/裤</v>
      </c>
      <c r="H1618" s="5">
        <v>5249</v>
      </c>
      <c r="I1618" s="5">
        <v>1460575.79</v>
      </c>
      <c r="J1618" s="6">
        <v>0.0014</v>
      </c>
      <c r="K1618" s="6">
        <v>-0.1599</v>
      </c>
    </row>
    <row r="1619" ht="14.5" spans="1:11">
      <c r="A1619" s="3" t="str">
        <f t="shared" si="96"/>
        <v>2026年</v>
      </c>
      <c r="B1619" s="3" t="str">
        <f t="shared" si="97"/>
        <v>2月</v>
      </c>
      <c r="C1619" s="4" t="str">
        <f t="shared" si="98"/>
        <v>W7</v>
      </c>
      <c r="D1619" s="2" t="s">
        <v>782</v>
      </c>
      <c r="E1619" s="2" t="s">
        <v>736</v>
      </c>
      <c r="F1619" s="2" t="str" cm="1">
        <f t="array" ref="F1619">INDEX(_xlfn.TEXTSPLIT(E1619,"-"),2)</f>
        <v>女装</v>
      </c>
      <c r="G1619" s="2" t="str" cm="1">
        <f t="array" ref="G1619">INDEX(_xlfn.TEXTSPLIT(E1619,"-"),3)</f>
        <v>连衣裙</v>
      </c>
      <c r="H1619" s="5">
        <v>363835</v>
      </c>
      <c r="I1619" s="5">
        <v>60706363.87</v>
      </c>
      <c r="J1619" s="6">
        <v>0.0597</v>
      </c>
      <c r="K1619" s="6">
        <v>-0.0494</v>
      </c>
    </row>
    <row r="1620" ht="14.5" spans="1:11">
      <c r="A1620" s="3" t="str">
        <f t="shared" si="96"/>
        <v>2026年</v>
      </c>
      <c r="B1620" s="3" t="str">
        <f t="shared" si="97"/>
        <v>2月</v>
      </c>
      <c r="C1620" s="4" t="str">
        <f t="shared" si="98"/>
        <v>W7</v>
      </c>
      <c r="D1620" s="2" t="s">
        <v>782</v>
      </c>
      <c r="E1620" s="2" t="s">
        <v>737</v>
      </c>
      <c r="F1620" s="2" t="str" cm="1">
        <f t="array" ref="F1620">INDEX(_xlfn.TEXTSPLIT(E1620,"-"),2)</f>
        <v>女装</v>
      </c>
      <c r="G1620" s="2" t="str" cm="1">
        <f t="array" ref="G1620">INDEX(_xlfn.TEXTSPLIT(E1620,"-"),3)</f>
        <v>风衣</v>
      </c>
      <c r="H1620" s="5">
        <v>57408</v>
      </c>
      <c r="I1620" s="5">
        <v>15775910.14</v>
      </c>
      <c r="J1620" s="6">
        <v>0.0155</v>
      </c>
      <c r="K1620" s="6">
        <v>0.1403</v>
      </c>
    </row>
    <row r="1621" ht="14.5" spans="1:11">
      <c r="A1621" s="3" t="str">
        <f t="shared" si="96"/>
        <v>2026年</v>
      </c>
      <c r="B1621" s="3" t="str">
        <f t="shared" si="97"/>
        <v>2月</v>
      </c>
      <c r="C1621" s="4" t="str">
        <f t="shared" si="98"/>
        <v>W7</v>
      </c>
      <c r="D1621" s="2" t="s">
        <v>782</v>
      </c>
      <c r="E1621" s="2" t="s">
        <v>738</v>
      </c>
      <c r="F1621" s="2" t="str" cm="1">
        <f t="array" ref="F1621">INDEX(_xlfn.TEXTSPLIT(E1621,"-"),2)</f>
        <v>女装</v>
      </c>
      <c r="G1621" s="2" t="str" cm="1">
        <f t="array" ref="G1621">INDEX(_xlfn.TEXTSPLIT(E1621,"-"),3)</f>
        <v>马夹</v>
      </c>
      <c r="H1621" s="5">
        <v>165104</v>
      </c>
      <c r="I1621" s="5">
        <v>18555598.56</v>
      </c>
      <c r="J1621" s="6">
        <v>0.0182</v>
      </c>
      <c r="K1621" s="6">
        <v>-0.0727</v>
      </c>
    </row>
    <row r="1622" ht="14.5" spans="1:11">
      <c r="A1622" s="3" t="str">
        <f t="shared" si="96"/>
        <v>2026年</v>
      </c>
      <c r="B1622" s="3" t="str">
        <f t="shared" si="97"/>
        <v>2月</v>
      </c>
      <c r="C1622" s="4" t="str">
        <f t="shared" si="98"/>
        <v>W7</v>
      </c>
      <c r="D1622" s="2" t="s">
        <v>783</v>
      </c>
      <c r="E1622" s="2" t="s">
        <v>702</v>
      </c>
      <c r="F1622" s="2" t="str" cm="1">
        <f t="array" ref="F1622">INDEX(_xlfn.TEXTSPLIT(E1622,"-"),2)</f>
        <v>女装</v>
      </c>
      <c r="G1622" s="2" t="str" cm="1">
        <f t="array" ref="G1622">INDEX(_xlfn.TEXTSPLIT(E1622,"-"),3)</f>
        <v>POLO衫</v>
      </c>
      <c r="H1622" s="5">
        <v>4377</v>
      </c>
      <c r="I1622" s="5">
        <v>610238.71</v>
      </c>
      <c r="J1622" s="6">
        <v>0.0007</v>
      </c>
      <c r="K1622" s="6">
        <v>-0.2041</v>
      </c>
    </row>
    <row r="1623" ht="14.5" spans="1:11">
      <c r="A1623" s="3" t="str">
        <f t="shared" si="96"/>
        <v>2026年</v>
      </c>
      <c r="B1623" s="3" t="str">
        <f t="shared" si="97"/>
        <v>2月</v>
      </c>
      <c r="C1623" s="4" t="str">
        <f t="shared" si="98"/>
        <v>W7</v>
      </c>
      <c r="D1623" s="2" t="s">
        <v>783</v>
      </c>
      <c r="E1623" s="2" t="s">
        <v>703</v>
      </c>
      <c r="F1623" s="2" t="str" cm="1">
        <f t="array" ref="F1623">INDEX(_xlfn.TEXTSPLIT(E1623,"-"),2)</f>
        <v>女装</v>
      </c>
      <c r="G1623" s="2" t="str" cm="1">
        <f t="array" ref="G1623">INDEX(_xlfn.TEXTSPLIT(E1623,"-"),3)</f>
        <v>T恤</v>
      </c>
      <c r="H1623" s="5">
        <v>831438</v>
      </c>
      <c r="I1623" s="5">
        <v>44633803.76</v>
      </c>
      <c r="J1623" s="6">
        <v>0.052</v>
      </c>
      <c r="K1623" s="6">
        <v>-0.049</v>
      </c>
    </row>
    <row r="1624" ht="14.5" spans="1:11">
      <c r="A1624" s="3" t="str">
        <f t="shared" si="96"/>
        <v>2026年</v>
      </c>
      <c r="B1624" s="3" t="str">
        <f t="shared" si="97"/>
        <v>2月</v>
      </c>
      <c r="C1624" s="4" t="str">
        <f t="shared" si="98"/>
        <v>W7</v>
      </c>
      <c r="D1624" s="2" t="s">
        <v>783</v>
      </c>
      <c r="E1624" s="2" t="s">
        <v>704</v>
      </c>
      <c r="F1624" s="2" t="str" cm="1">
        <f t="array" ref="F1624">INDEX(_xlfn.TEXTSPLIT(E1624,"-"),2)</f>
        <v>女装</v>
      </c>
      <c r="G1624" s="2" t="str" cm="1">
        <f t="array" ref="G1624">INDEX(_xlfn.TEXTSPLIT(E1624,"-"),3)</f>
        <v>中老年女装</v>
      </c>
      <c r="H1624" s="5">
        <v>84837</v>
      </c>
      <c r="I1624" s="5">
        <v>7048732.64</v>
      </c>
      <c r="J1624" s="6">
        <v>0.0082</v>
      </c>
      <c r="K1624" s="6">
        <v>-0.1266</v>
      </c>
    </row>
    <row r="1625" ht="14.5" spans="1:11">
      <c r="A1625" s="3" t="str">
        <f t="shared" si="96"/>
        <v>2026年</v>
      </c>
      <c r="B1625" s="3" t="str">
        <f t="shared" si="97"/>
        <v>2月</v>
      </c>
      <c r="C1625" s="4" t="str">
        <f t="shared" si="98"/>
        <v>W7</v>
      </c>
      <c r="D1625" s="2" t="s">
        <v>783</v>
      </c>
      <c r="E1625" s="2" t="s">
        <v>705</v>
      </c>
      <c r="F1625" s="2" t="str" cm="1">
        <f t="array" ref="F1625">INDEX(_xlfn.TEXTSPLIT(E1625,"-"),2)</f>
        <v>女装</v>
      </c>
      <c r="G1625" s="2" t="str" cm="1">
        <f t="array" ref="G1625">INDEX(_xlfn.TEXTSPLIT(E1625,"-"),3)</f>
        <v>半身裙</v>
      </c>
      <c r="H1625" s="5">
        <v>176158</v>
      </c>
      <c r="I1625" s="5">
        <v>22218085.79</v>
      </c>
      <c r="J1625" s="6">
        <v>0.0259</v>
      </c>
      <c r="K1625" s="6">
        <v>-0.0494</v>
      </c>
    </row>
    <row r="1626" ht="14.5" spans="1:11">
      <c r="A1626" s="3" t="str">
        <f t="shared" si="96"/>
        <v>2026年</v>
      </c>
      <c r="B1626" s="3" t="str">
        <f t="shared" si="97"/>
        <v>2月</v>
      </c>
      <c r="C1626" s="4" t="str">
        <f t="shared" si="98"/>
        <v>W7</v>
      </c>
      <c r="D1626" s="2" t="s">
        <v>783</v>
      </c>
      <c r="E1626" s="2" t="s">
        <v>706</v>
      </c>
      <c r="F1626" s="2" t="str" cm="1">
        <f t="array" ref="F1626">INDEX(_xlfn.TEXTSPLIT(E1626,"-"),2)</f>
        <v>女装</v>
      </c>
      <c r="G1626" s="2" t="str" cm="1">
        <f t="array" ref="G1626">INDEX(_xlfn.TEXTSPLIT(E1626,"-"),3)</f>
        <v>卫衣/绒衫</v>
      </c>
      <c r="H1626" s="5">
        <v>135849</v>
      </c>
      <c r="I1626" s="5">
        <v>12635297.52</v>
      </c>
      <c r="J1626" s="6">
        <v>0.0147</v>
      </c>
      <c r="K1626" s="6">
        <v>-0.0756</v>
      </c>
    </row>
    <row r="1627" ht="14.5" spans="1:11">
      <c r="A1627" s="3" t="str">
        <f t="shared" si="96"/>
        <v>2026年</v>
      </c>
      <c r="B1627" s="3" t="str">
        <f t="shared" si="97"/>
        <v>2月</v>
      </c>
      <c r="C1627" s="4" t="str">
        <f t="shared" si="98"/>
        <v>W7</v>
      </c>
      <c r="D1627" s="2" t="s">
        <v>783</v>
      </c>
      <c r="E1627" s="2" t="s">
        <v>707</v>
      </c>
      <c r="F1627" s="2" t="str" cm="1">
        <f t="array" ref="F1627">INDEX(_xlfn.TEXTSPLIT(E1627,"-"),2)</f>
        <v>女装</v>
      </c>
      <c r="G1627" s="2" t="str" cm="1">
        <f t="array" ref="G1627">INDEX(_xlfn.TEXTSPLIT(E1627,"-"),3)</f>
        <v>唐装/民族服装/舞台服装</v>
      </c>
      <c r="H1627" s="5">
        <v>166482</v>
      </c>
      <c r="I1627" s="5">
        <v>27580622.02</v>
      </c>
      <c r="J1627" s="6">
        <v>0.0321</v>
      </c>
      <c r="K1627" s="6">
        <v>-0.0335</v>
      </c>
    </row>
    <row r="1628" ht="14.5" spans="1:11">
      <c r="A1628" s="3" t="str">
        <f t="shared" si="96"/>
        <v>2026年</v>
      </c>
      <c r="B1628" s="3" t="str">
        <f t="shared" si="97"/>
        <v>2月</v>
      </c>
      <c r="C1628" s="4" t="str">
        <f t="shared" si="98"/>
        <v>W7</v>
      </c>
      <c r="D1628" s="2" t="s">
        <v>783</v>
      </c>
      <c r="E1628" s="2" t="s">
        <v>708</v>
      </c>
      <c r="F1628" s="2" t="str" cm="1">
        <f t="array" ref="F1628">INDEX(_xlfn.TEXTSPLIT(E1628,"-"),2)</f>
        <v>女装</v>
      </c>
      <c r="G1628" s="2" t="str" cm="1">
        <f t="array" ref="G1628">INDEX(_xlfn.TEXTSPLIT(E1628,"-"),3)</f>
        <v>大码女装</v>
      </c>
      <c r="H1628" s="5">
        <v>159836</v>
      </c>
      <c r="I1628" s="5">
        <v>11367007.49</v>
      </c>
      <c r="J1628" s="6">
        <v>0.0132</v>
      </c>
      <c r="K1628" s="6">
        <v>-0.1298</v>
      </c>
    </row>
    <row r="1629" ht="14.5" spans="1:11">
      <c r="A1629" s="3" t="str">
        <f t="shared" si="96"/>
        <v>2026年</v>
      </c>
      <c r="B1629" s="3" t="str">
        <f t="shared" si="97"/>
        <v>2月</v>
      </c>
      <c r="C1629" s="4" t="str">
        <f t="shared" si="98"/>
        <v>W7</v>
      </c>
      <c r="D1629" s="2" t="s">
        <v>783</v>
      </c>
      <c r="E1629" s="2" t="s">
        <v>709</v>
      </c>
      <c r="F1629" s="2" t="str" cm="1">
        <f t="array" ref="F1629">INDEX(_xlfn.TEXTSPLIT(E1629,"-"),2)</f>
        <v>女装</v>
      </c>
      <c r="G1629" s="2" t="str" cm="1">
        <f t="array" ref="G1629">INDEX(_xlfn.TEXTSPLIT(E1629,"-"),3)</f>
        <v>套装/学生校服/工作制服</v>
      </c>
      <c r="H1629" s="5">
        <v>357761</v>
      </c>
      <c r="I1629" s="5">
        <v>53597336.48</v>
      </c>
      <c r="J1629" s="6">
        <v>0.0624</v>
      </c>
      <c r="K1629" s="6">
        <v>-0.0294</v>
      </c>
    </row>
    <row r="1630" ht="14.5" spans="1:11">
      <c r="A1630" s="3" t="str">
        <f t="shared" ref="A1630:A1693" si="99">TEXT(YEAR(D1630),"0")&amp;"年"</f>
        <v>2026年</v>
      </c>
      <c r="B1630" s="3" t="str">
        <f t="shared" ref="B1630:B1693" si="100">TEXT(MONTH(D1630),"0")&amp;"月"</f>
        <v>2月</v>
      </c>
      <c r="C1630" s="4" t="str">
        <f t="shared" ref="C1630:C1693" si="101">"W"&amp;TEXT(WEEKNUM(D1630,2),"0")</f>
        <v>W7</v>
      </c>
      <c r="D1630" s="2" t="s">
        <v>783</v>
      </c>
      <c r="E1630" s="2" t="s">
        <v>710</v>
      </c>
      <c r="F1630" s="2" t="str" cm="1">
        <f t="array" ref="F1630">INDEX(_xlfn.TEXTSPLIT(E1630,"-"),2)</f>
        <v>女装</v>
      </c>
      <c r="G1630" s="2" t="str" cm="1">
        <f t="array" ref="G1630">INDEX(_xlfn.TEXTSPLIT(E1630,"-"),3)</f>
        <v>婚纱/旗袍/礼服</v>
      </c>
      <c r="H1630" s="5">
        <v>26692</v>
      </c>
      <c r="I1630" s="5">
        <v>3717503.76</v>
      </c>
      <c r="J1630" s="6">
        <v>0.0043</v>
      </c>
      <c r="K1630" s="6">
        <v>0.1254</v>
      </c>
    </row>
    <row r="1631" ht="14.5" spans="1:11">
      <c r="A1631" s="3" t="str">
        <f t="shared" si="99"/>
        <v>2026年</v>
      </c>
      <c r="B1631" s="3" t="str">
        <f t="shared" si="100"/>
        <v>2月</v>
      </c>
      <c r="C1631" s="4" t="str">
        <f t="shared" si="101"/>
        <v>W7</v>
      </c>
      <c r="D1631" s="2" t="s">
        <v>783</v>
      </c>
      <c r="E1631" s="2" t="s">
        <v>711</v>
      </c>
      <c r="F1631" s="2" t="str" cm="1">
        <f t="array" ref="F1631">INDEX(_xlfn.TEXTSPLIT(E1631,"-"),2)</f>
        <v>女装</v>
      </c>
      <c r="G1631" s="2" t="str" cm="1">
        <f t="array" ref="G1631">INDEX(_xlfn.TEXTSPLIT(E1631,"-"),3)</f>
        <v>新中式女装</v>
      </c>
      <c r="H1631" s="5">
        <v>36186</v>
      </c>
      <c r="I1631" s="5">
        <v>3850477.73</v>
      </c>
      <c r="J1631" s="6">
        <v>0.0045</v>
      </c>
      <c r="K1631" s="6">
        <v>-0.2566</v>
      </c>
    </row>
    <row r="1632" ht="14.5" spans="1:11">
      <c r="A1632" s="3" t="str">
        <f t="shared" si="99"/>
        <v>2026年</v>
      </c>
      <c r="B1632" s="3" t="str">
        <f t="shared" si="100"/>
        <v>2月</v>
      </c>
      <c r="C1632" s="4" t="str">
        <f t="shared" si="101"/>
        <v>W7</v>
      </c>
      <c r="D1632" s="2" t="s">
        <v>783</v>
      </c>
      <c r="E1632" s="2" t="s">
        <v>712</v>
      </c>
      <c r="F1632" s="2" t="str" cm="1">
        <f t="array" ref="F1632">INDEX(_xlfn.TEXTSPLIT(E1632,"-"),2)</f>
        <v>女装</v>
      </c>
      <c r="G1632" s="2" t="str" cm="1">
        <f t="array" ref="G1632">INDEX(_xlfn.TEXTSPLIT(E1632,"-"),3)</f>
        <v>时尚防晒服</v>
      </c>
      <c r="H1632" s="5">
        <v>243</v>
      </c>
      <c r="I1632" s="5">
        <v>24579.47</v>
      </c>
      <c r="J1632" s="2" t="s">
        <v>713</v>
      </c>
      <c r="K1632" s="6">
        <v>-0.222</v>
      </c>
    </row>
    <row r="1633" ht="14.5" spans="1:11">
      <c r="A1633" s="3" t="str">
        <f t="shared" si="99"/>
        <v>2026年</v>
      </c>
      <c r="B1633" s="3" t="str">
        <f t="shared" si="100"/>
        <v>2月</v>
      </c>
      <c r="C1633" s="4" t="str">
        <f t="shared" si="101"/>
        <v>W7</v>
      </c>
      <c r="D1633" s="2" t="s">
        <v>783</v>
      </c>
      <c r="E1633" s="2" t="s">
        <v>714</v>
      </c>
      <c r="F1633" s="2" t="str" cm="1">
        <f t="array" ref="F1633">INDEX(_xlfn.TEXTSPLIT(E1633,"-"),2)</f>
        <v>女装</v>
      </c>
      <c r="G1633" s="2" t="str" cm="1">
        <f t="array" ref="G1633">INDEX(_xlfn.TEXTSPLIT(E1633,"-"),3)</f>
        <v>棉衣/棉服</v>
      </c>
      <c r="H1633" s="5">
        <v>107577</v>
      </c>
      <c r="I1633" s="5">
        <v>12192651.73</v>
      </c>
      <c r="J1633" s="6">
        <v>0.0142</v>
      </c>
      <c r="K1633" s="6">
        <v>-0.1355</v>
      </c>
    </row>
    <row r="1634" ht="14.5" spans="1:11">
      <c r="A1634" s="3" t="str">
        <f t="shared" si="99"/>
        <v>2026年</v>
      </c>
      <c r="B1634" s="3" t="str">
        <f t="shared" si="100"/>
        <v>2月</v>
      </c>
      <c r="C1634" s="4" t="str">
        <f t="shared" si="101"/>
        <v>W7</v>
      </c>
      <c r="D1634" s="2" t="s">
        <v>783</v>
      </c>
      <c r="E1634" s="2" t="s">
        <v>715</v>
      </c>
      <c r="F1634" s="2" t="str" cm="1">
        <f t="array" ref="F1634">INDEX(_xlfn.TEXTSPLIT(E1634,"-"),2)</f>
        <v>女装</v>
      </c>
      <c r="G1634" s="2" t="str" cm="1">
        <f t="array" ref="G1634">INDEX(_xlfn.TEXTSPLIT(E1634,"-"),3)</f>
        <v>毛呢外套</v>
      </c>
      <c r="H1634" s="5">
        <v>257019</v>
      </c>
      <c r="I1634" s="5">
        <v>85429657.24</v>
      </c>
      <c r="J1634" s="6">
        <v>0.0995</v>
      </c>
      <c r="K1634" s="6">
        <v>-0.2471</v>
      </c>
    </row>
    <row r="1635" ht="14.5" spans="1:11">
      <c r="A1635" s="3" t="str">
        <f t="shared" si="99"/>
        <v>2026年</v>
      </c>
      <c r="B1635" s="3" t="str">
        <f t="shared" si="100"/>
        <v>2月</v>
      </c>
      <c r="C1635" s="4" t="str">
        <f t="shared" si="101"/>
        <v>W7</v>
      </c>
      <c r="D1635" s="2" t="s">
        <v>783</v>
      </c>
      <c r="E1635" s="2" t="s">
        <v>716</v>
      </c>
      <c r="F1635" s="2" t="str" cm="1">
        <f t="array" ref="F1635">INDEX(_xlfn.TEXTSPLIT(E1635,"-"),2)</f>
        <v>女装</v>
      </c>
      <c r="G1635" s="2" t="str" cm="1">
        <f t="array" ref="G1635">INDEX(_xlfn.TEXTSPLIT(E1635,"-"),3)</f>
        <v>毛衣</v>
      </c>
      <c r="H1635" s="5">
        <v>74585</v>
      </c>
      <c r="I1635" s="5">
        <v>7637410.97</v>
      </c>
      <c r="J1635" s="6">
        <v>0.0089</v>
      </c>
      <c r="K1635" s="6">
        <v>-0.0992</v>
      </c>
    </row>
    <row r="1636" ht="14.5" spans="1:11">
      <c r="A1636" s="3" t="str">
        <f t="shared" si="99"/>
        <v>2026年</v>
      </c>
      <c r="B1636" s="3" t="str">
        <f t="shared" si="100"/>
        <v>2月</v>
      </c>
      <c r="C1636" s="4" t="str">
        <f t="shared" si="101"/>
        <v>W7</v>
      </c>
      <c r="D1636" s="2" t="s">
        <v>783</v>
      </c>
      <c r="E1636" s="2" t="s">
        <v>717</v>
      </c>
      <c r="F1636" s="2" t="str" cm="1">
        <f t="array" ref="F1636">INDEX(_xlfn.TEXTSPLIT(E1636,"-"),2)</f>
        <v>女装</v>
      </c>
      <c r="G1636" s="2" t="str" cm="1">
        <f t="array" ref="G1636">INDEX(_xlfn.TEXTSPLIT(E1636,"-"),3)</f>
        <v>毛针织衫</v>
      </c>
      <c r="H1636" s="5">
        <v>542864</v>
      </c>
      <c r="I1636" s="5">
        <v>51376797.89</v>
      </c>
      <c r="J1636" s="6">
        <v>0.0598</v>
      </c>
      <c r="K1636" s="6">
        <v>-0.0386</v>
      </c>
    </row>
    <row r="1637" ht="14.5" spans="1:11">
      <c r="A1637" s="3" t="str">
        <f t="shared" si="99"/>
        <v>2026年</v>
      </c>
      <c r="B1637" s="3" t="str">
        <f t="shared" si="100"/>
        <v>2月</v>
      </c>
      <c r="C1637" s="4" t="str">
        <f t="shared" si="101"/>
        <v>W7</v>
      </c>
      <c r="D1637" s="2" t="s">
        <v>783</v>
      </c>
      <c r="E1637" s="2" t="s">
        <v>718</v>
      </c>
      <c r="F1637" s="2" t="str" cm="1">
        <f t="array" ref="F1637">INDEX(_xlfn.TEXTSPLIT(E1637,"-"),2)</f>
        <v>女装</v>
      </c>
      <c r="G1637" s="2" t="str" cm="1">
        <f t="array" ref="G1637">INDEX(_xlfn.TEXTSPLIT(E1637,"-"),3)</f>
        <v>汉服</v>
      </c>
      <c r="H1637" s="5">
        <v>50242</v>
      </c>
      <c r="I1637" s="5">
        <v>17135158.4</v>
      </c>
      <c r="J1637" s="7">
        <v>0.02</v>
      </c>
      <c r="K1637" s="6">
        <v>-0.4226</v>
      </c>
    </row>
    <row r="1638" ht="14.5" spans="1:11">
      <c r="A1638" s="3" t="str">
        <f t="shared" si="99"/>
        <v>2026年</v>
      </c>
      <c r="B1638" s="3" t="str">
        <f t="shared" si="100"/>
        <v>2月</v>
      </c>
      <c r="C1638" s="4" t="str">
        <f t="shared" si="101"/>
        <v>W7</v>
      </c>
      <c r="D1638" s="2" t="s">
        <v>783</v>
      </c>
      <c r="E1638" s="2" t="s">
        <v>719</v>
      </c>
      <c r="F1638" s="2" t="str" cm="1">
        <f t="array" ref="F1638">INDEX(_xlfn.TEXTSPLIT(E1638,"-"),2)</f>
        <v>女装</v>
      </c>
      <c r="G1638" s="2" t="str" cm="1">
        <f t="array" ref="G1638">INDEX(_xlfn.TEXTSPLIT(E1638,"-"),3)</f>
        <v>派克服</v>
      </c>
      <c r="H1638" s="5">
        <v>2949</v>
      </c>
      <c r="I1638" s="5">
        <v>684550.71</v>
      </c>
      <c r="J1638" s="6">
        <v>0.0008</v>
      </c>
      <c r="K1638" s="6">
        <v>-0.3221</v>
      </c>
    </row>
    <row r="1639" ht="14.5" spans="1:11">
      <c r="A1639" s="3" t="str">
        <f t="shared" si="99"/>
        <v>2026年</v>
      </c>
      <c r="B1639" s="3" t="str">
        <f t="shared" si="100"/>
        <v>2月</v>
      </c>
      <c r="C1639" s="4" t="str">
        <f t="shared" si="101"/>
        <v>W7</v>
      </c>
      <c r="D1639" s="2" t="s">
        <v>783</v>
      </c>
      <c r="E1639" s="2" t="s">
        <v>720</v>
      </c>
      <c r="F1639" s="2" t="str" cm="1">
        <f t="array" ref="F1639">INDEX(_xlfn.TEXTSPLIT(E1639,"-"),2)</f>
        <v>女装</v>
      </c>
      <c r="G1639" s="2" t="str" cm="1">
        <f t="array" ref="G1639">INDEX(_xlfn.TEXTSPLIT(E1639,"-"),3)</f>
        <v>皮草</v>
      </c>
      <c r="H1639" s="5">
        <v>26620</v>
      </c>
      <c r="I1639" s="5">
        <v>59502195.33</v>
      </c>
      <c r="J1639" s="6">
        <v>0.0693</v>
      </c>
      <c r="K1639" s="6">
        <v>-0.3135</v>
      </c>
    </row>
    <row r="1640" ht="14.5" spans="1:11">
      <c r="A1640" s="3" t="str">
        <f t="shared" si="99"/>
        <v>2026年</v>
      </c>
      <c r="B1640" s="3" t="str">
        <f t="shared" si="100"/>
        <v>2月</v>
      </c>
      <c r="C1640" s="4" t="str">
        <f t="shared" si="101"/>
        <v>W7</v>
      </c>
      <c r="D1640" s="2" t="s">
        <v>783</v>
      </c>
      <c r="E1640" s="2" t="s">
        <v>721</v>
      </c>
      <c r="F1640" s="2" t="str" cm="1">
        <f t="array" ref="F1640">INDEX(_xlfn.TEXTSPLIT(E1640,"-"),2)</f>
        <v>女装</v>
      </c>
      <c r="G1640" s="2" t="str" cm="1">
        <f t="array" ref="G1640">INDEX(_xlfn.TEXTSPLIT(E1640,"-"),3)</f>
        <v>皮衣</v>
      </c>
      <c r="H1640" s="5">
        <v>80172</v>
      </c>
      <c r="I1640" s="5">
        <v>22452838.45</v>
      </c>
      <c r="J1640" s="6">
        <v>0.0261</v>
      </c>
      <c r="K1640" s="6">
        <v>-0.1175</v>
      </c>
    </row>
    <row r="1641" ht="14.5" spans="1:11">
      <c r="A1641" s="3" t="str">
        <f t="shared" si="99"/>
        <v>2026年</v>
      </c>
      <c r="B1641" s="3" t="str">
        <f t="shared" si="100"/>
        <v>2月</v>
      </c>
      <c r="C1641" s="4" t="str">
        <f t="shared" si="101"/>
        <v>W7</v>
      </c>
      <c r="D1641" s="2" t="s">
        <v>783</v>
      </c>
      <c r="E1641" s="2" t="s">
        <v>722</v>
      </c>
      <c r="F1641" s="2" t="str" cm="1">
        <f t="array" ref="F1641">INDEX(_xlfn.TEXTSPLIT(E1641,"-"),2)</f>
        <v>女装</v>
      </c>
      <c r="G1641" s="2" t="str" cm="1">
        <f t="array" ref="G1641">INDEX(_xlfn.TEXTSPLIT(E1641,"-"),3)</f>
        <v>短外套</v>
      </c>
      <c r="H1641" s="5">
        <v>350456</v>
      </c>
      <c r="I1641" s="5">
        <v>67988179.57</v>
      </c>
      <c r="J1641" s="6">
        <v>0.0792</v>
      </c>
      <c r="K1641" s="6">
        <v>-0.2028</v>
      </c>
    </row>
    <row r="1642" ht="14.5" spans="1:11">
      <c r="A1642" s="3" t="str">
        <f t="shared" si="99"/>
        <v>2026年</v>
      </c>
      <c r="B1642" s="3" t="str">
        <f t="shared" si="100"/>
        <v>2月</v>
      </c>
      <c r="C1642" s="4" t="str">
        <f t="shared" si="101"/>
        <v>W7</v>
      </c>
      <c r="D1642" s="2" t="s">
        <v>783</v>
      </c>
      <c r="E1642" s="2" t="s">
        <v>723</v>
      </c>
      <c r="F1642" s="2" t="str" cm="1">
        <f t="array" ref="F1642">INDEX(_xlfn.TEXTSPLIT(E1642,"-"),2)</f>
        <v>女装</v>
      </c>
      <c r="G1642" s="2" t="str" cm="1">
        <f t="array" ref="G1642">INDEX(_xlfn.TEXTSPLIT(E1642,"-"),3)</f>
        <v>短裤</v>
      </c>
      <c r="H1642" s="5">
        <v>31542</v>
      </c>
      <c r="I1642" s="5">
        <v>2218919.56</v>
      </c>
      <c r="J1642" s="6">
        <v>0.0026</v>
      </c>
      <c r="K1642" s="6">
        <v>-0.2477</v>
      </c>
    </row>
    <row r="1643" ht="14.5" spans="1:11">
      <c r="A1643" s="3" t="str">
        <f t="shared" si="99"/>
        <v>2026年</v>
      </c>
      <c r="B1643" s="3" t="str">
        <f t="shared" si="100"/>
        <v>2月</v>
      </c>
      <c r="C1643" s="4" t="str">
        <f t="shared" si="101"/>
        <v>W7</v>
      </c>
      <c r="D1643" s="2" t="s">
        <v>783</v>
      </c>
      <c r="E1643" s="2" t="s">
        <v>724</v>
      </c>
      <c r="F1643" s="2" t="str" cm="1">
        <f t="array" ref="F1643">INDEX(_xlfn.TEXTSPLIT(E1643,"-"),2)</f>
        <v>女装</v>
      </c>
      <c r="G1643" s="2" t="str" cm="1">
        <f t="array" ref="G1643">INDEX(_xlfn.TEXTSPLIT(E1643,"-"),3)</f>
        <v>羊毛衫</v>
      </c>
      <c r="H1643" s="5">
        <v>74541</v>
      </c>
      <c r="I1643" s="5">
        <v>10054962.12</v>
      </c>
      <c r="J1643" s="6">
        <v>0.0117</v>
      </c>
      <c r="K1643" s="6">
        <v>-0.2974</v>
      </c>
    </row>
    <row r="1644" ht="14.5" spans="1:11">
      <c r="A1644" s="3" t="str">
        <f t="shared" si="99"/>
        <v>2026年</v>
      </c>
      <c r="B1644" s="3" t="str">
        <f t="shared" si="100"/>
        <v>2月</v>
      </c>
      <c r="C1644" s="4" t="str">
        <f t="shared" si="101"/>
        <v>W7</v>
      </c>
      <c r="D1644" s="2" t="s">
        <v>783</v>
      </c>
      <c r="E1644" s="2" t="s">
        <v>725</v>
      </c>
      <c r="F1644" s="2" t="str" cm="1">
        <f t="array" ref="F1644">INDEX(_xlfn.TEXTSPLIT(E1644,"-"),2)</f>
        <v>女装</v>
      </c>
      <c r="G1644" s="2" t="str" cm="1">
        <f t="array" ref="G1644">INDEX(_xlfn.TEXTSPLIT(E1644,"-"),3)</f>
        <v>羊绒大衣</v>
      </c>
      <c r="H1644" s="5">
        <v>991</v>
      </c>
      <c r="I1644" s="5">
        <v>589048.52</v>
      </c>
      <c r="J1644" s="6">
        <v>0.0007</v>
      </c>
      <c r="K1644" s="6">
        <v>-0.6365</v>
      </c>
    </row>
    <row r="1645" ht="14.5" spans="1:11">
      <c r="A1645" s="3" t="str">
        <f t="shared" si="99"/>
        <v>2026年</v>
      </c>
      <c r="B1645" s="3" t="str">
        <f t="shared" si="100"/>
        <v>2月</v>
      </c>
      <c r="C1645" s="4" t="str">
        <f t="shared" si="101"/>
        <v>W7</v>
      </c>
      <c r="D1645" s="2" t="s">
        <v>783</v>
      </c>
      <c r="E1645" s="2" t="s">
        <v>726</v>
      </c>
      <c r="F1645" s="2" t="str" cm="1">
        <f t="array" ref="F1645">INDEX(_xlfn.TEXTSPLIT(E1645,"-"),2)</f>
        <v>女装</v>
      </c>
      <c r="G1645" s="2" t="str" cm="1">
        <f t="array" ref="G1645">INDEX(_xlfn.TEXTSPLIT(E1645,"-"),3)</f>
        <v>羊绒衫</v>
      </c>
      <c r="H1645" s="5">
        <v>23629</v>
      </c>
      <c r="I1645" s="5">
        <v>9732377.73</v>
      </c>
      <c r="J1645" s="6">
        <v>0.0113</v>
      </c>
      <c r="K1645" s="6">
        <v>-0.1411</v>
      </c>
    </row>
    <row r="1646" ht="14.5" spans="1:11">
      <c r="A1646" s="3" t="str">
        <f t="shared" si="99"/>
        <v>2026年</v>
      </c>
      <c r="B1646" s="3" t="str">
        <f t="shared" si="100"/>
        <v>2月</v>
      </c>
      <c r="C1646" s="4" t="str">
        <f t="shared" si="101"/>
        <v>W7</v>
      </c>
      <c r="D1646" s="2" t="s">
        <v>783</v>
      </c>
      <c r="E1646" s="2" t="s">
        <v>727</v>
      </c>
      <c r="F1646" s="2" t="str" cm="1">
        <f t="array" ref="F1646">INDEX(_xlfn.TEXTSPLIT(E1646,"-"),2)</f>
        <v>女装</v>
      </c>
      <c r="G1646" s="2" t="str" cm="1">
        <f t="array" ref="G1646">INDEX(_xlfn.TEXTSPLIT(E1646,"-"),3)</f>
        <v>羽绒服</v>
      </c>
      <c r="H1646" s="5">
        <v>204867</v>
      </c>
      <c r="I1646" s="5">
        <v>64110388.98</v>
      </c>
      <c r="J1646" s="6">
        <v>0.0747</v>
      </c>
      <c r="K1646" s="6">
        <v>-0.3217</v>
      </c>
    </row>
    <row r="1647" ht="14.5" spans="1:11">
      <c r="A1647" s="3" t="str">
        <f t="shared" si="99"/>
        <v>2026年</v>
      </c>
      <c r="B1647" s="3" t="str">
        <f t="shared" si="100"/>
        <v>2月</v>
      </c>
      <c r="C1647" s="4" t="str">
        <f t="shared" si="101"/>
        <v>W7</v>
      </c>
      <c r="D1647" s="2" t="s">
        <v>783</v>
      </c>
      <c r="E1647" s="2" t="s">
        <v>728</v>
      </c>
      <c r="F1647" s="2" t="str" cm="1">
        <f t="array" ref="F1647">INDEX(_xlfn.TEXTSPLIT(E1647,"-"),2)</f>
        <v>女装</v>
      </c>
      <c r="G1647" s="2" t="str" cm="1">
        <f t="array" ref="G1647">INDEX(_xlfn.TEXTSPLIT(E1647,"-"),3)</f>
        <v>肌底衣/肌肤衣</v>
      </c>
      <c r="H1647" s="5">
        <v>1722</v>
      </c>
      <c r="I1647" s="5">
        <v>97901.35</v>
      </c>
      <c r="J1647" s="6">
        <v>0.0001</v>
      </c>
      <c r="K1647" s="6">
        <v>-0.4214</v>
      </c>
    </row>
    <row r="1648" ht="14.5" spans="1:11">
      <c r="A1648" s="3" t="str">
        <f t="shared" si="99"/>
        <v>2026年</v>
      </c>
      <c r="B1648" s="3" t="str">
        <f t="shared" si="100"/>
        <v>2月</v>
      </c>
      <c r="C1648" s="4" t="str">
        <f t="shared" si="101"/>
        <v>W7</v>
      </c>
      <c r="D1648" s="2" t="s">
        <v>783</v>
      </c>
      <c r="E1648" s="2" t="s">
        <v>729</v>
      </c>
      <c r="F1648" s="2" t="str" cm="1">
        <f t="array" ref="F1648">INDEX(_xlfn.TEXTSPLIT(E1648,"-"),2)</f>
        <v>女装</v>
      </c>
      <c r="G1648" s="2" t="str" cm="1">
        <f t="array" ref="G1648">INDEX(_xlfn.TEXTSPLIT(E1648,"-"),3)</f>
        <v>背心吊带</v>
      </c>
      <c r="H1648" s="5">
        <v>122085</v>
      </c>
      <c r="I1648" s="5">
        <v>7206076.58</v>
      </c>
      <c r="J1648" s="6">
        <v>0.0084</v>
      </c>
      <c r="K1648" s="6">
        <v>0.0136</v>
      </c>
    </row>
    <row r="1649" ht="14.5" spans="1:11">
      <c r="A1649" s="3" t="str">
        <f t="shared" si="99"/>
        <v>2026年</v>
      </c>
      <c r="B1649" s="3" t="str">
        <f t="shared" si="100"/>
        <v>2月</v>
      </c>
      <c r="C1649" s="4" t="str">
        <f t="shared" si="101"/>
        <v>W7</v>
      </c>
      <c r="D1649" s="2" t="s">
        <v>783</v>
      </c>
      <c r="E1649" s="2" t="s">
        <v>730</v>
      </c>
      <c r="F1649" s="2" t="str" cm="1">
        <f t="array" ref="F1649">INDEX(_xlfn.TEXTSPLIT(E1649,"-"),2)</f>
        <v>女装</v>
      </c>
      <c r="G1649" s="2" t="str" cm="1">
        <f t="array" ref="G1649">INDEX(_xlfn.TEXTSPLIT(E1649,"-"),3)</f>
        <v>蕾丝衫/雪纺衫</v>
      </c>
      <c r="H1649" s="5">
        <v>86011</v>
      </c>
      <c r="I1649" s="5">
        <v>5229297.26</v>
      </c>
      <c r="J1649" s="6">
        <v>0.0061</v>
      </c>
      <c r="K1649" s="6">
        <v>0.0056</v>
      </c>
    </row>
    <row r="1650" ht="14.5" spans="1:11">
      <c r="A1650" s="3" t="str">
        <f t="shared" si="99"/>
        <v>2026年</v>
      </c>
      <c r="B1650" s="3" t="str">
        <f t="shared" si="100"/>
        <v>2月</v>
      </c>
      <c r="C1650" s="4" t="str">
        <f t="shared" si="101"/>
        <v>W7</v>
      </c>
      <c r="D1650" s="2" t="s">
        <v>783</v>
      </c>
      <c r="E1650" s="2" t="s">
        <v>731</v>
      </c>
      <c r="F1650" s="2" t="str" cm="1">
        <f t="array" ref="F1650">INDEX(_xlfn.TEXTSPLIT(E1650,"-"),2)</f>
        <v>女装</v>
      </c>
      <c r="G1650" s="2" t="str" cm="1">
        <f t="array" ref="G1650">INDEX(_xlfn.TEXTSPLIT(E1650,"-"),3)</f>
        <v>衬衫</v>
      </c>
      <c r="H1650" s="5">
        <v>299282</v>
      </c>
      <c r="I1650" s="5">
        <v>33348411.63</v>
      </c>
      <c r="J1650" s="6">
        <v>0.0388</v>
      </c>
      <c r="K1650" s="6">
        <v>-0.0172</v>
      </c>
    </row>
    <row r="1651" ht="14.5" spans="1:11">
      <c r="A1651" s="3" t="str">
        <f t="shared" si="99"/>
        <v>2026年</v>
      </c>
      <c r="B1651" s="3" t="str">
        <f t="shared" si="100"/>
        <v>2月</v>
      </c>
      <c r="C1651" s="4" t="str">
        <f t="shared" si="101"/>
        <v>W7</v>
      </c>
      <c r="D1651" s="2" t="s">
        <v>783</v>
      </c>
      <c r="E1651" s="2" t="s">
        <v>732</v>
      </c>
      <c r="F1651" s="2" t="str" cm="1">
        <f t="array" ref="F1651">INDEX(_xlfn.TEXTSPLIT(E1651,"-"),2)</f>
        <v>女装</v>
      </c>
      <c r="G1651" s="2" t="str" cm="1">
        <f t="array" ref="G1651">INDEX(_xlfn.TEXTSPLIT(E1651,"-"),3)</f>
        <v>裤子</v>
      </c>
      <c r="H1651" s="5">
        <v>815599</v>
      </c>
      <c r="I1651" s="5">
        <v>94292239.71</v>
      </c>
      <c r="J1651" s="6">
        <v>0.1098</v>
      </c>
      <c r="K1651" s="6">
        <v>-0.0989</v>
      </c>
    </row>
    <row r="1652" ht="14.5" spans="1:11">
      <c r="A1652" s="3" t="str">
        <f t="shared" si="99"/>
        <v>2026年</v>
      </c>
      <c r="B1652" s="3" t="str">
        <f t="shared" si="100"/>
        <v>2月</v>
      </c>
      <c r="C1652" s="4" t="str">
        <f t="shared" si="101"/>
        <v>W7</v>
      </c>
      <c r="D1652" s="2" t="s">
        <v>783</v>
      </c>
      <c r="E1652" s="2" t="s">
        <v>733</v>
      </c>
      <c r="F1652" s="2" t="str" cm="1">
        <f t="array" ref="F1652">INDEX(_xlfn.TEXTSPLIT(E1652,"-"),2)</f>
        <v>女装</v>
      </c>
      <c r="G1652" s="2" t="str" cm="1">
        <f t="array" ref="G1652">INDEX(_xlfn.TEXTSPLIT(E1652,"-"),3)</f>
        <v>西装</v>
      </c>
      <c r="H1652" s="5">
        <v>38581</v>
      </c>
      <c r="I1652" s="5">
        <v>10360170.63</v>
      </c>
      <c r="J1652" s="6">
        <v>0.0121</v>
      </c>
      <c r="K1652" s="6">
        <v>-0.0423</v>
      </c>
    </row>
    <row r="1653" ht="14.5" spans="1:11">
      <c r="A1653" s="3" t="str">
        <f t="shared" si="99"/>
        <v>2026年</v>
      </c>
      <c r="B1653" s="3" t="str">
        <f t="shared" si="100"/>
        <v>2月</v>
      </c>
      <c r="C1653" s="4" t="str">
        <f t="shared" si="101"/>
        <v>W7</v>
      </c>
      <c r="D1653" s="2" t="s">
        <v>783</v>
      </c>
      <c r="E1653" s="2" t="s">
        <v>734</v>
      </c>
      <c r="F1653" s="2" t="str" cm="1">
        <f t="array" ref="F1653">INDEX(_xlfn.TEXTSPLIT(E1653,"-"),2)</f>
        <v>女装</v>
      </c>
      <c r="G1653" s="2" t="str" cm="1">
        <f t="array" ref="G1653">INDEX(_xlfn.TEXTSPLIT(E1653,"-"),3)</f>
        <v>设计师/潮牌女装</v>
      </c>
      <c r="H1653" s="5">
        <v>90207</v>
      </c>
      <c r="I1653" s="5">
        <v>18163481.45</v>
      </c>
      <c r="J1653" s="6">
        <v>0.0212</v>
      </c>
      <c r="K1653" s="6">
        <v>0.0017</v>
      </c>
    </row>
    <row r="1654" ht="14.5" spans="1:11">
      <c r="A1654" s="3" t="str">
        <f t="shared" si="99"/>
        <v>2026年</v>
      </c>
      <c r="B1654" s="3" t="str">
        <f t="shared" si="100"/>
        <v>2月</v>
      </c>
      <c r="C1654" s="4" t="str">
        <f t="shared" si="101"/>
        <v>W7</v>
      </c>
      <c r="D1654" s="2" t="s">
        <v>783</v>
      </c>
      <c r="E1654" s="2" t="s">
        <v>735</v>
      </c>
      <c r="F1654" s="2" t="str" cm="1">
        <f t="array" ref="F1654">INDEX(_xlfn.TEXTSPLIT(E1654,"-"),2)</f>
        <v>女装</v>
      </c>
      <c r="G1654" s="2" t="str" cm="1">
        <f t="array" ref="G1654">INDEX(_xlfn.TEXTSPLIT(E1654,"-"),3)</f>
        <v>连体衣/裤</v>
      </c>
      <c r="H1654" s="5">
        <v>6348</v>
      </c>
      <c r="I1654" s="5">
        <v>1490834.46</v>
      </c>
      <c r="J1654" s="6">
        <v>0.0017</v>
      </c>
      <c r="K1654" s="6">
        <v>0.0207</v>
      </c>
    </row>
    <row r="1655" ht="14.5" spans="1:11">
      <c r="A1655" s="3" t="str">
        <f t="shared" si="99"/>
        <v>2026年</v>
      </c>
      <c r="B1655" s="3" t="str">
        <f t="shared" si="100"/>
        <v>2月</v>
      </c>
      <c r="C1655" s="4" t="str">
        <f t="shared" si="101"/>
        <v>W7</v>
      </c>
      <c r="D1655" s="2" t="s">
        <v>783</v>
      </c>
      <c r="E1655" s="2" t="s">
        <v>736</v>
      </c>
      <c r="F1655" s="2" t="str" cm="1">
        <f t="array" ref="F1655">INDEX(_xlfn.TEXTSPLIT(E1655,"-"),2)</f>
        <v>女装</v>
      </c>
      <c r="G1655" s="2" t="str" cm="1">
        <f t="array" ref="G1655">INDEX(_xlfn.TEXTSPLIT(E1655,"-"),3)</f>
        <v>连衣裙</v>
      </c>
      <c r="H1655" s="5">
        <v>351889</v>
      </c>
      <c r="I1655" s="5">
        <v>59833991.2</v>
      </c>
      <c r="J1655" s="6">
        <v>0.0697</v>
      </c>
      <c r="K1655" s="6">
        <v>-0.0144</v>
      </c>
    </row>
    <row r="1656" ht="14.5" spans="1:11">
      <c r="A1656" s="3" t="str">
        <f t="shared" si="99"/>
        <v>2026年</v>
      </c>
      <c r="B1656" s="3" t="str">
        <f t="shared" si="100"/>
        <v>2月</v>
      </c>
      <c r="C1656" s="4" t="str">
        <f t="shared" si="101"/>
        <v>W7</v>
      </c>
      <c r="D1656" s="2" t="s">
        <v>783</v>
      </c>
      <c r="E1656" s="2" t="s">
        <v>737</v>
      </c>
      <c r="F1656" s="2" t="str" cm="1">
        <f t="array" ref="F1656">INDEX(_xlfn.TEXTSPLIT(E1656,"-"),2)</f>
        <v>女装</v>
      </c>
      <c r="G1656" s="2" t="str" cm="1">
        <f t="array" ref="G1656">INDEX(_xlfn.TEXTSPLIT(E1656,"-"),3)</f>
        <v>风衣</v>
      </c>
      <c r="H1656" s="5">
        <v>88503</v>
      </c>
      <c r="I1656" s="5">
        <v>14069778.96</v>
      </c>
      <c r="J1656" s="6">
        <v>0.0164</v>
      </c>
      <c r="K1656" s="6">
        <v>-0.1081</v>
      </c>
    </row>
    <row r="1657" ht="14.5" spans="1:11">
      <c r="A1657" s="3" t="str">
        <f t="shared" si="99"/>
        <v>2026年</v>
      </c>
      <c r="B1657" s="3" t="str">
        <f t="shared" si="100"/>
        <v>2月</v>
      </c>
      <c r="C1657" s="4" t="str">
        <f t="shared" si="101"/>
        <v>W7</v>
      </c>
      <c r="D1657" s="2" t="s">
        <v>783</v>
      </c>
      <c r="E1657" s="2" t="s">
        <v>738</v>
      </c>
      <c r="F1657" s="2" t="str" cm="1">
        <f t="array" ref="F1657">INDEX(_xlfn.TEXTSPLIT(E1657,"-"),2)</f>
        <v>女装</v>
      </c>
      <c r="G1657" s="2" t="str" cm="1">
        <f t="array" ref="G1657">INDEX(_xlfn.TEXTSPLIT(E1657,"-"),3)</f>
        <v>马夹</v>
      </c>
      <c r="H1657" s="5">
        <v>151118</v>
      </c>
      <c r="I1657" s="5">
        <v>16258815.6</v>
      </c>
      <c r="J1657" s="6">
        <v>0.0189</v>
      </c>
      <c r="K1657" s="6">
        <v>-0.1238</v>
      </c>
    </row>
    <row r="1658" ht="14.5" spans="1:11">
      <c r="A1658" s="3" t="str">
        <f t="shared" si="99"/>
        <v>2026年</v>
      </c>
      <c r="B1658" s="3" t="str">
        <f t="shared" si="100"/>
        <v>2月</v>
      </c>
      <c r="C1658" s="4" t="str">
        <f t="shared" si="101"/>
        <v>W8</v>
      </c>
      <c r="D1658" s="2" t="s">
        <v>784</v>
      </c>
      <c r="E1658" s="2" t="s">
        <v>702</v>
      </c>
      <c r="F1658" s="2" t="str" cm="1">
        <f t="array" ref="F1658">INDEX(_xlfn.TEXTSPLIT(E1658,"-"),2)</f>
        <v>女装</v>
      </c>
      <c r="G1658" s="2" t="str" cm="1">
        <f t="array" ref="G1658">INDEX(_xlfn.TEXTSPLIT(E1658,"-"),3)</f>
        <v>POLO衫</v>
      </c>
      <c r="H1658" s="5">
        <v>7282</v>
      </c>
      <c r="I1658" s="5">
        <v>625937.71</v>
      </c>
      <c r="J1658" s="6">
        <v>0.0009</v>
      </c>
      <c r="K1658" s="6">
        <v>0.0257</v>
      </c>
    </row>
    <row r="1659" ht="14.5" spans="1:11">
      <c r="A1659" s="3" t="str">
        <f t="shared" si="99"/>
        <v>2026年</v>
      </c>
      <c r="B1659" s="3" t="str">
        <f t="shared" si="100"/>
        <v>2月</v>
      </c>
      <c r="C1659" s="4" t="str">
        <f t="shared" si="101"/>
        <v>W8</v>
      </c>
      <c r="D1659" s="2" t="s">
        <v>784</v>
      </c>
      <c r="E1659" s="2" t="s">
        <v>703</v>
      </c>
      <c r="F1659" s="2" t="str" cm="1">
        <f t="array" ref="F1659">INDEX(_xlfn.TEXTSPLIT(E1659,"-"),2)</f>
        <v>女装</v>
      </c>
      <c r="G1659" s="2" t="str" cm="1">
        <f t="array" ref="G1659">INDEX(_xlfn.TEXTSPLIT(E1659,"-"),3)</f>
        <v>T恤</v>
      </c>
      <c r="H1659" s="5">
        <v>617429</v>
      </c>
      <c r="I1659" s="5">
        <v>33731274.77</v>
      </c>
      <c r="J1659" s="6">
        <v>0.0509</v>
      </c>
      <c r="K1659" s="6">
        <v>-0.2443</v>
      </c>
    </row>
    <row r="1660" ht="14.5" spans="1:11">
      <c r="A1660" s="3" t="str">
        <f t="shared" si="99"/>
        <v>2026年</v>
      </c>
      <c r="B1660" s="3" t="str">
        <f t="shared" si="100"/>
        <v>2月</v>
      </c>
      <c r="C1660" s="4" t="str">
        <f t="shared" si="101"/>
        <v>W8</v>
      </c>
      <c r="D1660" s="2" t="s">
        <v>784</v>
      </c>
      <c r="E1660" s="2" t="s">
        <v>704</v>
      </c>
      <c r="F1660" s="2" t="str" cm="1">
        <f t="array" ref="F1660">INDEX(_xlfn.TEXTSPLIT(E1660,"-"),2)</f>
        <v>女装</v>
      </c>
      <c r="G1660" s="2" t="str" cm="1">
        <f t="array" ref="G1660">INDEX(_xlfn.TEXTSPLIT(E1660,"-"),3)</f>
        <v>中老年女装</v>
      </c>
      <c r="H1660" s="5">
        <v>68203</v>
      </c>
      <c r="I1660" s="5">
        <v>5477653.8</v>
      </c>
      <c r="J1660" s="6">
        <v>0.0083</v>
      </c>
      <c r="K1660" s="6">
        <v>-0.2229</v>
      </c>
    </row>
    <row r="1661" ht="14.5" spans="1:11">
      <c r="A1661" s="3" t="str">
        <f t="shared" si="99"/>
        <v>2026年</v>
      </c>
      <c r="B1661" s="3" t="str">
        <f t="shared" si="100"/>
        <v>2月</v>
      </c>
      <c r="C1661" s="4" t="str">
        <f t="shared" si="101"/>
        <v>W8</v>
      </c>
      <c r="D1661" s="2" t="s">
        <v>784</v>
      </c>
      <c r="E1661" s="2" t="s">
        <v>705</v>
      </c>
      <c r="F1661" s="2" t="str" cm="1">
        <f t="array" ref="F1661">INDEX(_xlfn.TEXTSPLIT(E1661,"-"),2)</f>
        <v>女装</v>
      </c>
      <c r="G1661" s="2" t="str" cm="1">
        <f t="array" ref="G1661">INDEX(_xlfn.TEXTSPLIT(E1661,"-"),3)</f>
        <v>半身裙</v>
      </c>
      <c r="H1661" s="5">
        <v>140018</v>
      </c>
      <c r="I1661" s="5">
        <v>17068628.59</v>
      </c>
      <c r="J1661" s="6">
        <v>0.0258</v>
      </c>
      <c r="K1661" s="6">
        <v>-0.2318</v>
      </c>
    </row>
    <row r="1662" ht="14.5" spans="1:11">
      <c r="A1662" s="3" t="str">
        <f t="shared" si="99"/>
        <v>2026年</v>
      </c>
      <c r="B1662" s="3" t="str">
        <f t="shared" si="100"/>
        <v>2月</v>
      </c>
      <c r="C1662" s="4" t="str">
        <f t="shared" si="101"/>
        <v>W8</v>
      </c>
      <c r="D1662" s="2" t="s">
        <v>784</v>
      </c>
      <c r="E1662" s="2" t="s">
        <v>706</v>
      </c>
      <c r="F1662" s="2" t="str" cm="1">
        <f t="array" ref="F1662">INDEX(_xlfn.TEXTSPLIT(E1662,"-"),2)</f>
        <v>女装</v>
      </c>
      <c r="G1662" s="2" t="str" cm="1">
        <f t="array" ref="G1662">INDEX(_xlfn.TEXTSPLIT(E1662,"-"),3)</f>
        <v>卫衣/绒衫</v>
      </c>
      <c r="H1662" s="5">
        <v>111176</v>
      </c>
      <c r="I1662" s="5">
        <v>10082390.98</v>
      </c>
      <c r="J1662" s="6">
        <v>0.0152</v>
      </c>
      <c r="K1662" s="6">
        <v>-0.202</v>
      </c>
    </row>
    <row r="1663" ht="14.5" spans="1:11">
      <c r="A1663" s="3" t="str">
        <f t="shared" si="99"/>
        <v>2026年</v>
      </c>
      <c r="B1663" s="3" t="str">
        <f t="shared" si="100"/>
        <v>2月</v>
      </c>
      <c r="C1663" s="4" t="str">
        <f t="shared" si="101"/>
        <v>W8</v>
      </c>
      <c r="D1663" s="2" t="s">
        <v>784</v>
      </c>
      <c r="E1663" s="2" t="s">
        <v>707</v>
      </c>
      <c r="F1663" s="2" t="str" cm="1">
        <f t="array" ref="F1663">INDEX(_xlfn.TEXTSPLIT(E1663,"-"),2)</f>
        <v>女装</v>
      </c>
      <c r="G1663" s="2" t="str" cm="1">
        <f t="array" ref="G1663">INDEX(_xlfn.TEXTSPLIT(E1663,"-"),3)</f>
        <v>唐装/民族服装/舞台服装</v>
      </c>
      <c r="H1663" s="5">
        <v>127381</v>
      </c>
      <c r="I1663" s="5">
        <v>19681042.29</v>
      </c>
      <c r="J1663" s="6">
        <v>0.0297</v>
      </c>
      <c r="K1663" s="6">
        <v>-0.2864</v>
      </c>
    </row>
    <row r="1664" ht="14.5" spans="1:11">
      <c r="A1664" s="3" t="str">
        <f t="shared" si="99"/>
        <v>2026年</v>
      </c>
      <c r="B1664" s="3" t="str">
        <f t="shared" si="100"/>
        <v>2月</v>
      </c>
      <c r="C1664" s="4" t="str">
        <f t="shared" si="101"/>
        <v>W8</v>
      </c>
      <c r="D1664" s="2" t="s">
        <v>784</v>
      </c>
      <c r="E1664" s="2" t="s">
        <v>708</v>
      </c>
      <c r="F1664" s="2" t="str" cm="1">
        <f t="array" ref="F1664">INDEX(_xlfn.TEXTSPLIT(E1664,"-"),2)</f>
        <v>女装</v>
      </c>
      <c r="G1664" s="2" t="str" cm="1">
        <f t="array" ref="G1664">INDEX(_xlfn.TEXTSPLIT(E1664,"-"),3)</f>
        <v>大码女装</v>
      </c>
      <c r="H1664" s="5">
        <v>120997</v>
      </c>
      <c r="I1664" s="5">
        <v>8609424.63</v>
      </c>
      <c r="J1664" s="6">
        <v>0.013</v>
      </c>
      <c r="K1664" s="6">
        <v>-0.2426</v>
      </c>
    </row>
    <row r="1665" ht="14.5" spans="1:11">
      <c r="A1665" s="3" t="str">
        <f t="shared" si="99"/>
        <v>2026年</v>
      </c>
      <c r="B1665" s="3" t="str">
        <f t="shared" si="100"/>
        <v>2月</v>
      </c>
      <c r="C1665" s="4" t="str">
        <f t="shared" si="101"/>
        <v>W8</v>
      </c>
      <c r="D1665" s="2" t="s">
        <v>784</v>
      </c>
      <c r="E1665" s="2" t="s">
        <v>709</v>
      </c>
      <c r="F1665" s="2" t="str" cm="1">
        <f t="array" ref="F1665">INDEX(_xlfn.TEXTSPLIT(E1665,"-"),2)</f>
        <v>女装</v>
      </c>
      <c r="G1665" s="2" t="str" cm="1">
        <f t="array" ref="G1665">INDEX(_xlfn.TEXTSPLIT(E1665,"-"),3)</f>
        <v>套装/学生校服/工作制服</v>
      </c>
      <c r="H1665" s="5">
        <v>353983</v>
      </c>
      <c r="I1665" s="5">
        <v>48991755.96</v>
      </c>
      <c r="J1665" s="6">
        <v>0.0739</v>
      </c>
      <c r="K1665" s="6">
        <v>-0.0859</v>
      </c>
    </row>
    <row r="1666" ht="14.5" spans="1:11">
      <c r="A1666" s="3" t="str">
        <f t="shared" si="99"/>
        <v>2026年</v>
      </c>
      <c r="B1666" s="3" t="str">
        <f t="shared" si="100"/>
        <v>2月</v>
      </c>
      <c r="C1666" s="4" t="str">
        <f t="shared" si="101"/>
        <v>W8</v>
      </c>
      <c r="D1666" s="2" t="s">
        <v>784</v>
      </c>
      <c r="E1666" s="2" t="s">
        <v>710</v>
      </c>
      <c r="F1666" s="2" t="str" cm="1">
        <f t="array" ref="F1666">INDEX(_xlfn.TEXTSPLIT(E1666,"-"),2)</f>
        <v>女装</v>
      </c>
      <c r="G1666" s="2" t="str" cm="1">
        <f t="array" ref="G1666">INDEX(_xlfn.TEXTSPLIT(E1666,"-"),3)</f>
        <v>婚纱/旗袍/礼服</v>
      </c>
      <c r="H1666" s="5">
        <v>25754</v>
      </c>
      <c r="I1666" s="5">
        <v>3853365.26</v>
      </c>
      <c r="J1666" s="6">
        <v>0.0058</v>
      </c>
      <c r="K1666" s="6">
        <v>0.0365</v>
      </c>
    </row>
    <row r="1667" ht="14.5" spans="1:11">
      <c r="A1667" s="3" t="str">
        <f t="shared" si="99"/>
        <v>2026年</v>
      </c>
      <c r="B1667" s="3" t="str">
        <f t="shared" si="100"/>
        <v>2月</v>
      </c>
      <c r="C1667" s="4" t="str">
        <f t="shared" si="101"/>
        <v>W8</v>
      </c>
      <c r="D1667" s="2" t="s">
        <v>784</v>
      </c>
      <c r="E1667" s="2" t="s">
        <v>711</v>
      </c>
      <c r="F1667" s="2" t="str" cm="1">
        <f t="array" ref="F1667">INDEX(_xlfn.TEXTSPLIT(E1667,"-"),2)</f>
        <v>女装</v>
      </c>
      <c r="G1667" s="2" t="str" cm="1">
        <f t="array" ref="G1667">INDEX(_xlfn.TEXTSPLIT(E1667,"-"),3)</f>
        <v>新中式女装</v>
      </c>
      <c r="H1667" s="5">
        <v>21107</v>
      </c>
      <c r="I1667" s="5">
        <v>2372410.88</v>
      </c>
      <c r="J1667" s="6">
        <v>0.0036</v>
      </c>
      <c r="K1667" s="6">
        <v>-0.3839</v>
      </c>
    </row>
    <row r="1668" ht="14.5" spans="1:11">
      <c r="A1668" s="3" t="str">
        <f t="shared" si="99"/>
        <v>2026年</v>
      </c>
      <c r="B1668" s="3" t="str">
        <f t="shared" si="100"/>
        <v>2月</v>
      </c>
      <c r="C1668" s="4" t="str">
        <f t="shared" si="101"/>
        <v>W8</v>
      </c>
      <c r="D1668" s="2" t="s">
        <v>784</v>
      </c>
      <c r="E1668" s="2" t="s">
        <v>712</v>
      </c>
      <c r="F1668" s="2" t="str" cm="1">
        <f t="array" ref="F1668">INDEX(_xlfn.TEXTSPLIT(E1668,"-"),2)</f>
        <v>女装</v>
      </c>
      <c r="G1668" s="2" t="str" cm="1">
        <f t="array" ref="G1668">INDEX(_xlfn.TEXTSPLIT(E1668,"-"),3)</f>
        <v>时尚防晒服</v>
      </c>
      <c r="H1668" s="5">
        <v>141</v>
      </c>
      <c r="I1668" s="5">
        <v>22437.74</v>
      </c>
      <c r="J1668" s="2" t="s">
        <v>713</v>
      </c>
      <c r="K1668" s="6">
        <v>-0.0871</v>
      </c>
    </row>
    <row r="1669" ht="14.5" spans="1:11">
      <c r="A1669" s="3" t="str">
        <f t="shared" si="99"/>
        <v>2026年</v>
      </c>
      <c r="B1669" s="3" t="str">
        <f t="shared" si="100"/>
        <v>2月</v>
      </c>
      <c r="C1669" s="4" t="str">
        <f t="shared" si="101"/>
        <v>W8</v>
      </c>
      <c r="D1669" s="2" t="s">
        <v>784</v>
      </c>
      <c r="E1669" s="2" t="s">
        <v>714</v>
      </c>
      <c r="F1669" s="2" t="str" cm="1">
        <f t="array" ref="F1669">INDEX(_xlfn.TEXTSPLIT(E1669,"-"),2)</f>
        <v>女装</v>
      </c>
      <c r="G1669" s="2" t="str" cm="1">
        <f t="array" ref="G1669">INDEX(_xlfn.TEXTSPLIT(E1669,"-"),3)</f>
        <v>棉衣/棉服</v>
      </c>
      <c r="H1669" s="5">
        <v>67829</v>
      </c>
      <c r="I1669" s="5">
        <v>7605885.3</v>
      </c>
      <c r="J1669" s="6">
        <v>0.0115</v>
      </c>
      <c r="K1669" s="6">
        <v>-0.3762</v>
      </c>
    </row>
    <row r="1670" ht="14.5" spans="1:11">
      <c r="A1670" s="3" t="str">
        <f t="shared" si="99"/>
        <v>2026年</v>
      </c>
      <c r="B1670" s="3" t="str">
        <f t="shared" si="100"/>
        <v>2月</v>
      </c>
      <c r="C1670" s="4" t="str">
        <f t="shared" si="101"/>
        <v>W8</v>
      </c>
      <c r="D1670" s="2" t="s">
        <v>784</v>
      </c>
      <c r="E1670" s="2" t="s">
        <v>715</v>
      </c>
      <c r="F1670" s="2" t="str" cm="1">
        <f t="array" ref="F1670">INDEX(_xlfn.TEXTSPLIT(E1670,"-"),2)</f>
        <v>女装</v>
      </c>
      <c r="G1670" s="2" t="str" cm="1">
        <f t="array" ref="G1670">INDEX(_xlfn.TEXTSPLIT(E1670,"-"),3)</f>
        <v>毛呢外套</v>
      </c>
      <c r="H1670" s="5">
        <v>157041</v>
      </c>
      <c r="I1670" s="5">
        <v>49630905.57</v>
      </c>
      <c r="J1670" s="6">
        <v>0.0749</v>
      </c>
      <c r="K1670" s="6">
        <v>-0.419</v>
      </c>
    </row>
    <row r="1671" ht="14.5" spans="1:11">
      <c r="A1671" s="3" t="str">
        <f t="shared" si="99"/>
        <v>2026年</v>
      </c>
      <c r="B1671" s="3" t="str">
        <f t="shared" si="100"/>
        <v>2月</v>
      </c>
      <c r="C1671" s="4" t="str">
        <f t="shared" si="101"/>
        <v>W8</v>
      </c>
      <c r="D1671" s="2" t="s">
        <v>784</v>
      </c>
      <c r="E1671" s="2" t="s">
        <v>716</v>
      </c>
      <c r="F1671" s="2" t="str" cm="1">
        <f t="array" ref="F1671">INDEX(_xlfn.TEXTSPLIT(E1671,"-"),2)</f>
        <v>女装</v>
      </c>
      <c r="G1671" s="2" t="str" cm="1">
        <f t="array" ref="G1671">INDEX(_xlfn.TEXTSPLIT(E1671,"-"),3)</f>
        <v>毛衣</v>
      </c>
      <c r="H1671" s="5">
        <v>65416</v>
      </c>
      <c r="I1671" s="5">
        <v>6533089.57</v>
      </c>
      <c r="J1671" s="6">
        <v>0.0099</v>
      </c>
      <c r="K1671" s="6">
        <v>-0.1446</v>
      </c>
    </row>
    <row r="1672" ht="14.5" spans="1:11">
      <c r="A1672" s="3" t="str">
        <f t="shared" si="99"/>
        <v>2026年</v>
      </c>
      <c r="B1672" s="3" t="str">
        <f t="shared" si="100"/>
        <v>2月</v>
      </c>
      <c r="C1672" s="4" t="str">
        <f t="shared" si="101"/>
        <v>W8</v>
      </c>
      <c r="D1672" s="2" t="s">
        <v>784</v>
      </c>
      <c r="E1672" s="2" t="s">
        <v>717</v>
      </c>
      <c r="F1672" s="2" t="str" cm="1">
        <f t="array" ref="F1672">INDEX(_xlfn.TEXTSPLIT(E1672,"-"),2)</f>
        <v>女装</v>
      </c>
      <c r="G1672" s="2" t="str" cm="1">
        <f t="array" ref="G1672">INDEX(_xlfn.TEXTSPLIT(E1672,"-"),3)</f>
        <v>毛针织衫</v>
      </c>
      <c r="H1672" s="5">
        <v>410897</v>
      </c>
      <c r="I1672" s="5">
        <v>38303442.11</v>
      </c>
      <c r="J1672" s="6">
        <v>0.0578</v>
      </c>
      <c r="K1672" s="6">
        <v>-0.2545</v>
      </c>
    </row>
    <row r="1673" ht="14.5" spans="1:11">
      <c r="A1673" s="3" t="str">
        <f t="shared" si="99"/>
        <v>2026年</v>
      </c>
      <c r="B1673" s="3" t="str">
        <f t="shared" si="100"/>
        <v>2月</v>
      </c>
      <c r="C1673" s="4" t="str">
        <f t="shared" si="101"/>
        <v>W8</v>
      </c>
      <c r="D1673" s="2" t="s">
        <v>784</v>
      </c>
      <c r="E1673" s="2" t="s">
        <v>718</v>
      </c>
      <c r="F1673" s="2" t="str" cm="1">
        <f t="array" ref="F1673">INDEX(_xlfn.TEXTSPLIT(E1673,"-"),2)</f>
        <v>女装</v>
      </c>
      <c r="G1673" s="2" t="str" cm="1">
        <f t="array" ref="G1673">INDEX(_xlfn.TEXTSPLIT(E1673,"-"),3)</f>
        <v>汉服</v>
      </c>
      <c r="H1673" s="5">
        <v>83580</v>
      </c>
      <c r="I1673" s="5">
        <v>17724630.21</v>
      </c>
      <c r="J1673" s="6">
        <v>0.0267</v>
      </c>
      <c r="K1673" s="6">
        <v>0.0344</v>
      </c>
    </row>
    <row r="1674" ht="14.5" spans="1:11">
      <c r="A1674" s="3" t="str">
        <f t="shared" si="99"/>
        <v>2026年</v>
      </c>
      <c r="B1674" s="3" t="str">
        <f t="shared" si="100"/>
        <v>2月</v>
      </c>
      <c r="C1674" s="4" t="str">
        <f t="shared" si="101"/>
        <v>W8</v>
      </c>
      <c r="D1674" s="2" t="s">
        <v>784</v>
      </c>
      <c r="E1674" s="2" t="s">
        <v>719</v>
      </c>
      <c r="F1674" s="2" t="str" cm="1">
        <f t="array" ref="F1674">INDEX(_xlfn.TEXTSPLIT(E1674,"-"),2)</f>
        <v>女装</v>
      </c>
      <c r="G1674" s="2" t="str" cm="1">
        <f t="array" ref="G1674">INDEX(_xlfn.TEXTSPLIT(E1674,"-"),3)</f>
        <v>派克服</v>
      </c>
      <c r="H1674" s="5">
        <v>4266</v>
      </c>
      <c r="I1674" s="5">
        <v>723048.56</v>
      </c>
      <c r="J1674" s="6">
        <v>0.0011</v>
      </c>
      <c r="K1674" s="6">
        <v>0.0562</v>
      </c>
    </row>
    <row r="1675" ht="14.5" spans="1:11">
      <c r="A1675" s="3" t="str">
        <f t="shared" si="99"/>
        <v>2026年</v>
      </c>
      <c r="B1675" s="3" t="str">
        <f t="shared" si="100"/>
        <v>2月</v>
      </c>
      <c r="C1675" s="4" t="str">
        <f t="shared" si="101"/>
        <v>W8</v>
      </c>
      <c r="D1675" s="2" t="s">
        <v>784</v>
      </c>
      <c r="E1675" s="2" t="s">
        <v>720</v>
      </c>
      <c r="F1675" s="2" t="str" cm="1">
        <f t="array" ref="F1675">INDEX(_xlfn.TEXTSPLIT(E1675,"-"),2)</f>
        <v>女装</v>
      </c>
      <c r="G1675" s="2" t="str" cm="1">
        <f t="array" ref="G1675">INDEX(_xlfn.TEXTSPLIT(E1675,"-"),3)</f>
        <v>皮草</v>
      </c>
      <c r="H1675" s="5">
        <v>21362</v>
      </c>
      <c r="I1675" s="5">
        <v>48259048.75</v>
      </c>
      <c r="J1675" s="6">
        <v>0.0728</v>
      </c>
      <c r="K1675" s="6">
        <v>-0.189</v>
      </c>
    </row>
    <row r="1676" ht="14.5" spans="1:11">
      <c r="A1676" s="3" t="str">
        <f t="shared" si="99"/>
        <v>2026年</v>
      </c>
      <c r="B1676" s="3" t="str">
        <f t="shared" si="100"/>
        <v>2月</v>
      </c>
      <c r="C1676" s="4" t="str">
        <f t="shared" si="101"/>
        <v>W8</v>
      </c>
      <c r="D1676" s="2" t="s">
        <v>784</v>
      </c>
      <c r="E1676" s="2" t="s">
        <v>721</v>
      </c>
      <c r="F1676" s="2" t="str" cm="1">
        <f t="array" ref="F1676">INDEX(_xlfn.TEXTSPLIT(E1676,"-"),2)</f>
        <v>女装</v>
      </c>
      <c r="G1676" s="2" t="str" cm="1">
        <f t="array" ref="G1676">INDEX(_xlfn.TEXTSPLIT(E1676,"-"),3)</f>
        <v>皮衣</v>
      </c>
      <c r="H1676" s="5">
        <v>54592</v>
      </c>
      <c r="I1676" s="5">
        <v>14943554.57</v>
      </c>
      <c r="J1676" s="6">
        <v>0.0225</v>
      </c>
      <c r="K1676" s="6">
        <v>-0.3344</v>
      </c>
    </row>
    <row r="1677" ht="14.5" spans="1:11">
      <c r="A1677" s="3" t="str">
        <f t="shared" si="99"/>
        <v>2026年</v>
      </c>
      <c r="B1677" s="3" t="str">
        <f t="shared" si="100"/>
        <v>2月</v>
      </c>
      <c r="C1677" s="4" t="str">
        <f t="shared" si="101"/>
        <v>W8</v>
      </c>
      <c r="D1677" s="2" t="s">
        <v>784</v>
      </c>
      <c r="E1677" s="2" t="s">
        <v>722</v>
      </c>
      <c r="F1677" s="2" t="str" cm="1">
        <f t="array" ref="F1677">INDEX(_xlfn.TEXTSPLIT(E1677,"-"),2)</f>
        <v>女装</v>
      </c>
      <c r="G1677" s="2" t="str" cm="1">
        <f t="array" ref="G1677">INDEX(_xlfn.TEXTSPLIT(E1677,"-"),3)</f>
        <v>短外套</v>
      </c>
      <c r="H1677" s="5">
        <v>280526</v>
      </c>
      <c r="I1677" s="5">
        <v>54537780.52</v>
      </c>
      <c r="J1677" s="6">
        <v>0.0823</v>
      </c>
      <c r="K1677" s="6">
        <v>-0.1978</v>
      </c>
    </row>
    <row r="1678" ht="14.5" spans="1:11">
      <c r="A1678" s="3" t="str">
        <f t="shared" si="99"/>
        <v>2026年</v>
      </c>
      <c r="B1678" s="3" t="str">
        <f t="shared" si="100"/>
        <v>2月</v>
      </c>
      <c r="C1678" s="4" t="str">
        <f t="shared" si="101"/>
        <v>W8</v>
      </c>
      <c r="D1678" s="2" t="s">
        <v>784</v>
      </c>
      <c r="E1678" s="2" t="s">
        <v>723</v>
      </c>
      <c r="F1678" s="2" t="str" cm="1">
        <f t="array" ref="F1678">INDEX(_xlfn.TEXTSPLIT(E1678,"-"),2)</f>
        <v>女装</v>
      </c>
      <c r="G1678" s="2" t="str" cm="1">
        <f t="array" ref="G1678">INDEX(_xlfn.TEXTSPLIT(E1678,"-"),3)</f>
        <v>短裤</v>
      </c>
      <c r="H1678" s="5">
        <v>29279</v>
      </c>
      <c r="I1678" s="5">
        <v>2293207.78</v>
      </c>
      <c r="J1678" s="6">
        <v>0.0035</v>
      </c>
      <c r="K1678" s="6">
        <v>0.0335</v>
      </c>
    </row>
    <row r="1679" ht="14.5" spans="1:11">
      <c r="A1679" s="3" t="str">
        <f t="shared" si="99"/>
        <v>2026年</v>
      </c>
      <c r="B1679" s="3" t="str">
        <f t="shared" si="100"/>
        <v>2月</v>
      </c>
      <c r="C1679" s="4" t="str">
        <f t="shared" si="101"/>
        <v>W8</v>
      </c>
      <c r="D1679" s="2" t="s">
        <v>784</v>
      </c>
      <c r="E1679" s="2" t="s">
        <v>724</v>
      </c>
      <c r="F1679" s="2" t="str" cm="1">
        <f t="array" ref="F1679">INDEX(_xlfn.TEXTSPLIT(E1679,"-"),2)</f>
        <v>女装</v>
      </c>
      <c r="G1679" s="2" t="str" cm="1">
        <f t="array" ref="G1679">INDEX(_xlfn.TEXTSPLIT(E1679,"-"),3)</f>
        <v>羊毛衫</v>
      </c>
      <c r="H1679" s="5">
        <v>53216</v>
      </c>
      <c r="I1679" s="5">
        <v>7042106.3</v>
      </c>
      <c r="J1679" s="6">
        <v>0.0106</v>
      </c>
      <c r="K1679" s="6">
        <v>-0.2996</v>
      </c>
    </row>
    <row r="1680" ht="14.5" spans="1:11">
      <c r="A1680" s="3" t="str">
        <f t="shared" si="99"/>
        <v>2026年</v>
      </c>
      <c r="B1680" s="3" t="str">
        <f t="shared" si="100"/>
        <v>2月</v>
      </c>
      <c r="C1680" s="4" t="str">
        <f t="shared" si="101"/>
        <v>W8</v>
      </c>
      <c r="D1680" s="2" t="s">
        <v>784</v>
      </c>
      <c r="E1680" s="2" t="s">
        <v>725</v>
      </c>
      <c r="F1680" s="2" t="str" cm="1">
        <f t="array" ref="F1680">INDEX(_xlfn.TEXTSPLIT(E1680,"-"),2)</f>
        <v>女装</v>
      </c>
      <c r="G1680" s="2" t="str" cm="1">
        <f t="array" ref="G1680">INDEX(_xlfn.TEXTSPLIT(E1680,"-"),3)</f>
        <v>羊绒大衣</v>
      </c>
      <c r="H1680" s="5">
        <v>668</v>
      </c>
      <c r="I1680" s="5">
        <v>668908.31</v>
      </c>
      <c r="J1680" s="6">
        <v>0.001</v>
      </c>
      <c r="K1680" s="6">
        <v>0.1356</v>
      </c>
    </row>
    <row r="1681" ht="14.5" spans="1:11">
      <c r="A1681" s="3" t="str">
        <f t="shared" si="99"/>
        <v>2026年</v>
      </c>
      <c r="B1681" s="3" t="str">
        <f t="shared" si="100"/>
        <v>2月</v>
      </c>
      <c r="C1681" s="4" t="str">
        <f t="shared" si="101"/>
        <v>W8</v>
      </c>
      <c r="D1681" s="2" t="s">
        <v>784</v>
      </c>
      <c r="E1681" s="2" t="s">
        <v>726</v>
      </c>
      <c r="F1681" s="2" t="str" cm="1">
        <f t="array" ref="F1681">INDEX(_xlfn.TEXTSPLIT(E1681,"-"),2)</f>
        <v>女装</v>
      </c>
      <c r="G1681" s="2" t="str" cm="1">
        <f t="array" ref="G1681">INDEX(_xlfn.TEXTSPLIT(E1681,"-"),3)</f>
        <v>羊绒衫</v>
      </c>
      <c r="H1681" s="5">
        <v>16768</v>
      </c>
      <c r="I1681" s="5">
        <v>6387694.34</v>
      </c>
      <c r="J1681" s="6">
        <v>0.0096</v>
      </c>
      <c r="K1681" s="6">
        <v>-0.3437</v>
      </c>
    </row>
    <row r="1682" ht="14.5" spans="1:11">
      <c r="A1682" s="3" t="str">
        <f t="shared" si="99"/>
        <v>2026年</v>
      </c>
      <c r="B1682" s="3" t="str">
        <f t="shared" si="100"/>
        <v>2月</v>
      </c>
      <c r="C1682" s="4" t="str">
        <f t="shared" si="101"/>
        <v>W8</v>
      </c>
      <c r="D1682" s="2" t="s">
        <v>784</v>
      </c>
      <c r="E1682" s="2" t="s">
        <v>727</v>
      </c>
      <c r="F1682" s="2" t="str" cm="1">
        <f t="array" ref="F1682">INDEX(_xlfn.TEXTSPLIT(E1682,"-"),2)</f>
        <v>女装</v>
      </c>
      <c r="G1682" s="2" t="str" cm="1">
        <f t="array" ref="G1682">INDEX(_xlfn.TEXTSPLIT(E1682,"-"),3)</f>
        <v>羽绒服</v>
      </c>
      <c r="H1682" s="5">
        <v>167604</v>
      </c>
      <c r="I1682" s="5">
        <v>51204596.33</v>
      </c>
      <c r="J1682" s="6">
        <v>0.0773</v>
      </c>
      <c r="K1682" s="6">
        <v>-0.2013</v>
      </c>
    </row>
    <row r="1683" ht="14.5" spans="1:11">
      <c r="A1683" s="3" t="str">
        <f t="shared" si="99"/>
        <v>2026年</v>
      </c>
      <c r="B1683" s="3" t="str">
        <f t="shared" si="100"/>
        <v>2月</v>
      </c>
      <c r="C1683" s="4" t="str">
        <f t="shared" si="101"/>
        <v>W8</v>
      </c>
      <c r="D1683" s="2" t="s">
        <v>784</v>
      </c>
      <c r="E1683" s="2" t="s">
        <v>728</v>
      </c>
      <c r="F1683" s="2" t="str" cm="1">
        <f t="array" ref="F1683">INDEX(_xlfn.TEXTSPLIT(E1683,"-"),2)</f>
        <v>女装</v>
      </c>
      <c r="G1683" s="2" t="str" cm="1">
        <f t="array" ref="G1683">INDEX(_xlfn.TEXTSPLIT(E1683,"-"),3)</f>
        <v>肌底衣/肌肤衣</v>
      </c>
      <c r="H1683" s="5">
        <v>1384</v>
      </c>
      <c r="I1683" s="5">
        <v>75635.34</v>
      </c>
      <c r="J1683" s="6">
        <v>0.0001</v>
      </c>
      <c r="K1683" s="6">
        <v>-0.2274</v>
      </c>
    </row>
    <row r="1684" ht="14.5" spans="1:11">
      <c r="A1684" s="3" t="str">
        <f t="shared" si="99"/>
        <v>2026年</v>
      </c>
      <c r="B1684" s="3" t="str">
        <f t="shared" si="100"/>
        <v>2月</v>
      </c>
      <c r="C1684" s="4" t="str">
        <f t="shared" si="101"/>
        <v>W8</v>
      </c>
      <c r="D1684" s="2" t="s">
        <v>784</v>
      </c>
      <c r="E1684" s="2" t="s">
        <v>729</v>
      </c>
      <c r="F1684" s="2" t="str" cm="1">
        <f t="array" ref="F1684">INDEX(_xlfn.TEXTSPLIT(E1684,"-"),2)</f>
        <v>女装</v>
      </c>
      <c r="G1684" s="2" t="str" cm="1">
        <f t="array" ref="G1684">INDEX(_xlfn.TEXTSPLIT(E1684,"-"),3)</f>
        <v>背心吊带</v>
      </c>
      <c r="H1684" s="5">
        <v>118388</v>
      </c>
      <c r="I1684" s="5">
        <v>6317973.59</v>
      </c>
      <c r="J1684" s="6">
        <v>0.0095</v>
      </c>
      <c r="K1684" s="6">
        <v>-0.1232</v>
      </c>
    </row>
    <row r="1685" ht="14.5" spans="1:11">
      <c r="A1685" s="3" t="str">
        <f t="shared" si="99"/>
        <v>2026年</v>
      </c>
      <c r="B1685" s="3" t="str">
        <f t="shared" si="100"/>
        <v>2月</v>
      </c>
      <c r="C1685" s="4" t="str">
        <f t="shared" si="101"/>
        <v>W8</v>
      </c>
      <c r="D1685" s="2" t="s">
        <v>784</v>
      </c>
      <c r="E1685" s="2" t="s">
        <v>730</v>
      </c>
      <c r="F1685" s="2" t="str" cm="1">
        <f t="array" ref="F1685">INDEX(_xlfn.TEXTSPLIT(E1685,"-"),2)</f>
        <v>女装</v>
      </c>
      <c r="G1685" s="2" t="str" cm="1">
        <f t="array" ref="G1685">INDEX(_xlfn.TEXTSPLIT(E1685,"-"),3)</f>
        <v>蕾丝衫/雪纺衫</v>
      </c>
      <c r="H1685" s="5">
        <v>54354</v>
      </c>
      <c r="I1685" s="5">
        <v>3688932.51</v>
      </c>
      <c r="J1685" s="6">
        <v>0.0056</v>
      </c>
      <c r="K1685" s="6">
        <v>-0.2946</v>
      </c>
    </row>
    <row r="1686" ht="14.5" spans="1:11">
      <c r="A1686" s="3" t="str">
        <f t="shared" si="99"/>
        <v>2026年</v>
      </c>
      <c r="B1686" s="3" t="str">
        <f t="shared" si="100"/>
        <v>2月</v>
      </c>
      <c r="C1686" s="4" t="str">
        <f t="shared" si="101"/>
        <v>W8</v>
      </c>
      <c r="D1686" s="2" t="s">
        <v>784</v>
      </c>
      <c r="E1686" s="2" t="s">
        <v>731</v>
      </c>
      <c r="F1686" s="2" t="str" cm="1">
        <f t="array" ref="F1686">INDEX(_xlfn.TEXTSPLIT(E1686,"-"),2)</f>
        <v>女装</v>
      </c>
      <c r="G1686" s="2" t="str" cm="1">
        <f t="array" ref="G1686">INDEX(_xlfn.TEXTSPLIT(E1686,"-"),3)</f>
        <v>衬衫</v>
      </c>
      <c r="H1686" s="5">
        <v>280535</v>
      </c>
      <c r="I1686" s="5">
        <v>27402079.34</v>
      </c>
      <c r="J1686" s="6">
        <v>0.0413</v>
      </c>
      <c r="K1686" s="6">
        <v>-0.1783</v>
      </c>
    </row>
    <row r="1687" ht="14.5" spans="1:11">
      <c r="A1687" s="3" t="str">
        <f t="shared" si="99"/>
        <v>2026年</v>
      </c>
      <c r="B1687" s="3" t="str">
        <f t="shared" si="100"/>
        <v>2月</v>
      </c>
      <c r="C1687" s="4" t="str">
        <f t="shared" si="101"/>
        <v>W8</v>
      </c>
      <c r="D1687" s="2" t="s">
        <v>784</v>
      </c>
      <c r="E1687" s="2" t="s">
        <v>732</v>
      </c>
      <c r="F1687" s="2" t="str" cm="1">
        <f t="array" ref="F1687">INDEX(_xlfn.TEXTSPLIT(E1687,"-"),2)</f>
        <v>女装</v>
      </c>
      <c r="G1687" s="2" t="str" cm="1">
        <f t="array" ref="G1687">INDEX(_xlfn.TEXTSPLIT(E1687,"-"),3)</f>
        <v>裤子</v>
      </c>
      <c r="H1687" s="5">
        <v>609461</v>
      </c>
      <c r="I1687" s="5">
        <v>71064909.54</v>
      </c>
      <c r="J1687" s="6">
        <v>0.1072</v>
      </c>
      <c r="K1687" s="6">
        <v>-0.2463</v>
      </c>
    </row>
    <row r="1688" ht="14.5" spans="1:11">
      <c r="A1688" s="3" t="str">
        <f t="shared" si="99"/>
        <v>2026年</v>
      </c>
      <c r="B1688" s="3" t="str">
        <f t="shared" si="100"/>
        <v>2月</v>
      </c>
      <c r="C1688" s="4" t="str">
        <f t="shared" si="101"/>
        <v>W8</v>
      </c>
      <c r="D1688" s="2" t="s">
        <v>784</v>
      </c>
      <c r="E1688" s="2" t="s">
        <v>733</v>
      </c>
      <c r="F1688" s="2" t="str" cm="1">
        <f t="array" ref="F1688">INDEX(_xlfn.TEXTSPLIT(E1688,"-"),2)</f>
        <v>女装</v>
      </c>
      <c r="G1688" s="2" t="str" cm="1">
        <f t="array" ref="G1688">INDEX(_xlfn.TEXTSPLIT(E1688,"-"),3)</f>
        <v>西装</v>
      </c>
      <c r="H1688" s="5">
        <v>30965</v>
      </c>
      <c r="I1688" s="5">
        <v>9026308.86</v>
      </c>
      <c r="J1688" s="6">
        <v>0.0136</v>
      </c>
      <c r="K1688" s="6">
        <v>-0.1287</v>
      </c>
    </row>
    <row r="1689" ht="14.5" spans="1:11">
      <c r="A1689" s="3" t="str">
        <f t="shared" si="99"/>
        <v>2026年</v>
      </c>
      <c r="B1689" s="3" t="str">
        <f t="shared" si="100"/>
        <v>2月</v>
      </c>
      <c r="C1689" s="4" t="str">
        <f t="shared" si="101"/>
        <v>W8</v>
      </c>
      <c r="D1689" s="2" t="s">
        <v>784</v>
      </c>
      <c r="E1689" s="2" t="s">
        <v>734</v>
      </c>
      <c r="F1689" s="2" t="str" cm="1">
        <f t="array" ref="F1689">INDEX(_xlfn.TEXTSPLIT(E1689,"-"),2)</f>
        <v>女装</v>
      </c>
      <c r="G1689" s="2" t="str" cm="1">
        <f t="array" ref="G1689">INDEX(_xlfn.TEXTSPLIT(E1689,"-"),3)</f>
        <v>设计师/潮牌女装</v>
      </c>
      <c r="H1689" s="5">
        <v>96674</v>
      </c>
      <c r="I1689" s="5">
        <v>14787058.46</v>
      </c>
      <c r="J1689" s="6">
        <v>0.0223</v>
      </c>
      <c r="K1689" s="6">
        <v>-0.1859</v>
      </c>
    </row>
    <row r="1690" ht="14.5" spans="1:11">
      <c r="A1690" s="3" t="str">
        <f t="shared" si="99"/>
        <v>2026年</v>
      </c>
      <c r="B1690" s="3" t="str">
        <f t="shared" si="100"/>
        <v>2月</v>
      </c>
      <c r="C1690" s="4" t="str">
        <f t="shared" si="101"/>
        <v>W8</v>
      </c>
      <c r="D1690" s="2" t="s">
        <v>784</v>
      </c>
      <c r="E1690" s="2" t="s">
        <v>735</v>
      </c>
      <c r="F1690" s="2" t="str" cm="1">
        <f t="array" ref="F1690">INDEX(_xlfn.TEXTSPLIT(E1690,"-"),2)</f>
        <v>女装</v>
      </c>
      <c r="G1690" s="2" t="str" cm="1">
        <f t="array" ref="G1690">INDEX(_xlfn.TEXTSPLIT(E1690,"-"),3)</f>
        <v>连体衣/裤</v>
      </c>
      <c r="H1690" s="5">
        <v>5896</v>
      </c>
      <c r="I1690" s="5">
        <v>1208987.58</v>
      </c>
      <c r="J1690" s="6">
        <v>0.0018</v>
      </c>
      <c r="K1690" s="6">
        <v>-0.1891</v>
      </c>
    </row>
    <row r="1691" ht="14.5" spans="1:11">
      <c r="A1691" s="3" t="str">
        <f t="shared" si="99"/>
        <v>2026年</v>
      </c>
      <c r="B1691" s="3" t="str">
        <f t="shared" si="100"/>
        <v>2月</v>
      </c>
      <c r="C1691" s="4" t="str">
        <f t="shared" si="101"/>
        <v>W8</v>
      </c>
      <c r="D1691" s="2" t="s">
        <v>784</v>
      </c>
      <c r="E1691" s="2" t="s">
        <v>736</v>
      </c>
      <c r="F1691" s="2" t="str" cm="1">
        <f t="array" ref="F1691">INDEX(_xlfn.TEXTSPLIT(E1691,"-"),2)</f>
        <v>女装</v>
      </c>
      <c r="G1691" s="2" t="str" cm="1">
        <f t="array" ref="G1691">INDEX(_xlfn.TEXTSPLIT(E1691,"-"),3)</f>
        <v>连衣裙</v>
      </c>
      <c r="H1691" s="5">
        <v>273529</v>
      </c>
      <c r="I1691" s="5">
        <v>47073410.63</v>
      </c>
      <c r="J1691" s="6">
        <v>0.071</v>
      </c>
      <c r="K1691" s="6">
        <v>-0.2133</v>
      </c>
    </row>
    <row r="1692" ht="14.5" spans="1:11">
      <c r="A1692" s="3" t="str">
        <f t="shared" si="99"/>
        <v>2026年</v>
      </c>
      <c r="B1692" s="3" t="str">
        <f t="shared" si="100"/>
        <v>2月</v>
      </c>
      <c r="C1692" s="4" t="str">
        <f t="shared" si="101"/>
        <v>W8</v>
      </c>
      <c r="D1692" s="2" t="s">
        <v>784</v>
      </c>
      <c r="E1692" s="2" t="s">
        <v>737</v>
      </c>
      <c r="F1692" s="2" t="str" cm="1">
        <f t="array" ref="F1692">INDEX(_xlfn.TEXTSPLIT(E1692,"-"),2)</f>
        <v>女装</v>
      </c>
      <c r="G1692" s="2" t="str" cm="1">
        <f t="array" ref="G1692">INDEX(_xlfn.TEXTSPLIT(E1692,"-"),3)</f>
        <v>风衣</v>
      </c>
      <c r="H1692" s="5">
        <v>45033</v>
      </c>
      <c r="I1692" s="5">
        <v>11816222.66</v>
      </c>
      <c r="J1692" s="6">
        <v>0.0178</v>
      </c>
      <c r="K1692" s="6">
        <v>-0.1602</v>
      </c>
    </row>
    <row r="1693" ht="14.5" spans="1:11">
      <c r="A1693" s="3" t="str">
        <f t="shared" si="99"/>
        <v>2026年</v>
      </c>
      <c r="B1693" s="3" t="str">
        <f t="shared" si="100"/>
        <v>2月</v>
      </c>
      <c r="C1693" s="4" t="str">
        <f t="shared" si="101"/>
        <v>W8</v>
      </c>
      <c r="D1693" s="2" t="s">
        <v>784</v>
      </c>
      <c r="E1693" s="2" t="s">
        <v>738</v>
      </c>
      <c r="F1693" s="2" t="str" cm="1">
        <f t="array" ref="F1693">INDEX(_xlfn.TEXTSPLIT(E1693,"-"),2)</f>
        <v>女装</v>
      </c>
      <c r="G1693" s="2" t="str" cm="1">
        <f t="array" ref="G1693">INDEX(_xlfn.TEXTSPLIT(E1693,"-"),3)</f>
        <v>马夹</v>
      </c>
      <c r="H1693" s="5">
        <v>122175</v>
      </c>
      <c r="I1693" s="5">
        <v>13908052.02</v>
      </c>
      <c r="J1693" s="6">
        <v>0.021</v>
      </c>
      <c r="K1693" s="6">
        <v>-0.1446</v>
      </c>
    </row>
    <row r="1694" ht="14.5" spans="1:11">
      <c r="A1694" s="3" t="str">
        <f t="shared" ref="A1694:A1757" si="102">TEXT(YEAR(D1694),"0")&amp;"年"</f>
        <v>2026年</v>
      </c>
      <c r="B1694" s="3" t="str">
        <f t="shared" ref="B1694:B1757" si="103">TEXT(MONTH(D1694),"0")&amp;"月"</f>
        <v>2月</v>
      </c>
      <c r="C1694" s="4" t="str">
        <f t="shared" ref="C1694:C1757" si="104">"W"&amp;TEXT(WEEKNUM(D1694,2),"0")</f>
        <v>W8</v>
      </c>
      <c r="D1694" s="2" t="s">
        <v>785</v>
      </c>
      <c r="E1694" s="2" t="s">
        <v>702</v>
      </c>
      <c r="F1694" s="2" t="str" cm="1">
        <f t="array" ref="F1694">INDEX(_xlfn.TEXTSPLIT(E1694,"-"),2)</f>
        <v>女装</v>
      </c>
      <c r="G1694" s="2" t="str" cm="1">
        <f t="array" ref="G1694">INDEX(_xlfn.TEXTSPLIT(E1694,"-"),3)</f>
        <v>POLO衫</v>
      </c>
      <c r="H1694" s="5">
        <v>10349</v>
      </c>
      <c r="I1694" s="5">
        <v>768392.3</v>
      </c>
      <c r="J1694" s="6">
        <v>0.0009</v>
      </c>
      <c r="K1694" s="6">
        <v>0.2276</v>
      </c>
    </row>
    <row r="1695" ht="14.5" spans="1:11">
      <c r="A1695" s="3" t="str">
        <f t="shared" si="102"/>
        <v>2026年</v>
      </c>
      <c r="B1695" s="3" t="str">
        <f t="shared" si="103"/>
        <v>2月</v>
      </c>
      <c r="C1695" s="4" t="str">
        <f t="shared" si="104"/>
        <v>W8</v>
      </c>
      <c r="D1695" s="2" t="s">
        <v>785</v>
      </c>
      <c r="E1695" s="2" t="s">
        <v>703</v>
      </c>
      <c r="F1695" s="2" t="str" cm="1">
        <f t="array" ref="F1695">INDEX(_xlfn.TEXTSPLIT(E1695,"-"),2)</f>
        <v>女装</v>
      </c>
      <c r="G1695" s="2" t="str" cm="1">
        <f t="array" ref="G1695">INDEX(_xlfn.TEXTSPLIT(E1695,"-"),3)</f>
        <v>T恤</v>
      </c>
      <c r="H1695" s="5">
        <v>687196</v>
      </c>
      <c r="I1695" s="5">
        <v>42907354.21</v>
      </c>
      <c r="J1695" s="6">
        <v>0.0495</v>
      </c>
      <c r="K1695" s="6">
        <v>0.272</v>
      </c>
    </row>
    <row r="1696" ht="14.5" spans="1:11">
      <c r="A1696" s="3" t="str">
        <f t="shared" si="102"/>
        <v>2026年</v>
      </c>
      <c r="B1696" s="3" t="str">
        <f t="shared" si="103"/>
        <v>2月</v>
      </c>
      <c r="C1696" s="4" t="str">
        <f t="shared" si="104"/>
        <v>W8</v>
      </c>
      <c r="D1696" s="2" t="s">
        <v>785</v>
      </c>
      <c r="E1696" s="2" t="s">
        <v>704</v>
      </c>
      <c r="F1696" s="2" t="str" cm="1">
        <f t="array" ref="F1696">INDEX(_xlfn.TEXTSPLIT(E1696,"-"),2)</f>
        <v>女装</v>
      </c>
      <c r="G1696" s="2" t="str" cm="1">
        <f t="array" ref="G1696">INDEX(_xlfn.TEXTSPLIT(E1696,"-"),3)</f>
        <v>中老年女装</v>
      </c>
      <c r="H1696" s="5">
        <v>69371</v>
      </c>
      <c r="I1696" s="5">
        <v>6188224.53</v>
      </c>
      <c r="J1696" s="6">
        <v>0.0071</v>
      </c>
      <c r="K1696" s="6">
        <v>0.1297</v>
      </c>
    </row>
    <row r="1697" ht="14.5" spans="1:11">
      <c r="A1697" s="3" t="str">
        <f t="shared" si="102"/>
        <v>2026年</v>
      </c>
      <c r="B1697" s="3" t="str">
        <f t="shared" si="103"/>
        <v>2月</v>
      </c>
      <c r="C1697" s="4" t="str">
        <f t="shared" si="104"/>
        <v>W8</v>
      </c>
      <c r="D1697" s="2" t="s">
        <v>785</v>
      </c>
      <c r="E1697" s="2" t="s">
        <v>705</v>
      </c>
      <c r="F1697" s="2" t="str" cm="1">
        <f t="array" ref="F1697">INDEX(_xlfn.TEXTSPLIT(E1697,"-"),2)</f>
        <v>女装</v>
      </c>
      <c r="G1697" s="2" t="str" cm="1">
        <f t="array" ref="G1697">INDEX(_xlfn.TEXTSPLIT(E1697,"-"),3)</f>
        <v>半身裙</v>
      </c>
      <c r="H1697" s="5">
        <v>183969</v>
      </c>
      <c r="I1697" s="5">
        <v>21807244.88</v>
      </c>
      <c r="J1697" s="6">
        <v>0.0252</v>
      </c>
      <c r="K1697" s="6">
        <v>0.2776</v>
      </c>
    </row>
    <row r="1698" ht="14.5" spans="1:11">
      <c r="A1698" s="3" t="str">
        <f t="shared" si="102"/>
        <v>2026年</v>
      </c>
      <c r="B1698" s="3" t="str">
        <f t="shared" si="103"/>
        <v>2月</v>
      </c>
      <c r="C1698" s="4" t="str">
        <f t="shared" si="104"/>
        <v>W8</v>
      </c>
      <c r="D1698" s="2" t="s">
        <v>785</v>
      </c>
      <c r="E1698" s="2" t="s">
        <v>706</v>
      </c>
      <c r="F1698" s="2" t="str" cm="1">
        <f t="array" ref="F1698">INDEX(_xlfn.TEXTSPLIT(E1698,"-"),2)</f>
        <v>女装</v>
      </c>
      <c r="G1698" s="2" t="str" cm="1">
        <f t="array" ref="G1698">INDEX(_xlfn.TEXTSPLIT(E1698,"-"),3)</f>
        <v>卫衣/绒衫</v>
      </c>
      <c r="H1698" s="5">
        <v>123921</v>
      </c>
      <c r="I1698" s="5">
        <v>11585649.02</v>
      </c>
      <c r="J1698" s="6">
        <v>0.0134</v>
      </c>
      <c r="K1698" s="6">
        <v>0.1491</v>
      </c>
    </row>
    <row r="1699" ht="14.5" spans="1:11">
      <c r="A1699" s="3" t="str">
        <f t="shared" si="102"/>
        <v>2026年</v>
      </c>
      <c r="B1699" s="3" t="str">
        <f t="shared" si="103"/>
        <v>2月</v>
      </c>
      <c r="C1699" s="4" t="str">
        <f t="shared" si="104"/>
        <v>W8</v>
      </c>
      <c r="D1699" s="2" t="s">
        <v>785</v>
      </c>
      <c r="E1699" s="2" t="s">
        <v>707</v>
      </c>
      <c r="F1699" s="2" t="str" cm="1">
        <f t="array" ref="F1699">INDEX(_xlfn.TEXTSPLIT(E1699,"-"),2)</f>
        <v>女装</v>
      </c>
      <c r="G1699" s="2" t="str" cm="1">
        <f t="array" ref="G1699">INDEX(_xlfn.TEXTSPLIT(E1699,"-"),3)</f>
        <v>唐装/民族服装/舞台服装</v>
      </c>
      <c r="H1699" s="5">
        <v>213577</v>
      </c>
      <c r="I1699" s="5">
        <v>32130502.85</v>
      </c>
      <c r="J1699" s="6">
        <v>0.0371</v>
      </c>
      <c r="K1699" s="6">
        <v>0.6326</v>
      </c>
    </row>
    <row r="1700" ht="14.5" spans="1:11">
      <c r="A1700" s="3" t="str">
        <f t="shared" si="102"/>
        <v>2026年</v>
      </c>
      <c r="B1700" s="3" t="str">
        <f t="shared" si="103"/>
        <v>2月</v>
      </c>
      <c r="C1700" s="4" t="str">
        <f t="shared" si="104"/>
        <v>W8</v>
      </c>
      <c r="D1700" s="2" t="s">
        <v>785</v>
      </c>
      <c r="E1700" s="2" t="s">
        <v>708</v>
      </c>
      <c r="F1700" s="2" t="str" cm="1">
        <f t="array" ref="F1700">INDEX(_xlfn.TEXTSPLIT(E1700,"-"),2)</f>
        <v>女装</v>
      </c>
      <c r="G1700" s="2" t="str" cm="1">
        <f t="array" ref="G1700">INDEX(_xlfn.TEXTSPLIT(E1700,"-"),3)</f>
        <v>大码女装</v>
      </c>
      <c r="H1700" s="5">
        <v>135476</v>
      </c>
      <c r="I1700" s="5">
        <v>10952186.96</v>
      </c>
      <c r="J1700" s="6">
        <v>0.0126</v>
      </c>
      <c r="K1700" s="6">
        <v>0.2721</v>
      </c>
    </row>
    <row r="1701" ht="14.5" spans="1:11">
      <c r="A1701" s="3" t="str">
        <f t="shared" si="102"/>
        <v>2026年</v>
      </c>
      <c r="B1701" s="3" t="str">
        <f t="shared" si="103"/>
        <v>2月</v>
      </c>
      <c r="C1701" s="4" t="str">
        <f t="shared" si="104"/>
        <v>W8</v>
      </c>
      <c r="D1701" s="2" t="s">
        <v>785</v>
      </c>
      <c r="E1701" s="2" t="s">
        <v>709</v>
      </c>
      <c r="F1701" s="2" t="str" cm="1">
        <f t="array" ref="F1701">INDEX(_xlfn.TEXTSPLIT(E1701,"-"),2)</f>
        <v>女装</v>
      </c>
      <c r="G1701" s="2" t="str" cm="1">
        <f t="array" ref="G1701">INDEX(_xlfn.TEXTSPLIT(E1701,"-"),3)</f>
        <v>套装/学生校服/工作制服</v>
      </c>
      <c r="H1701" s="5">
        <v>472325</v>
      </c>
      <c r="I1701" s="5">
        <v>68732364.69</v>
      </c>
      <c r="J1701" s="6">
        <v>0.0793</v>
      </c>
      <c r="K1701" s="6">
        <v>0.4029</v>
      </c>
    </row>
    <row r="1702" ht="14.5" spans="1:11">
      <c r="A1702" s="3" t="str">
        <f t="shared" si="102"/>
        <v>2026年</v>
      </c>
      <c r="B1702" s="3" t="str">
        <f t="shared" si="103"/>
        <v>2月</v>
      </c>
      <c r="C1702" s="4" t="str">
        <f t="shared" si="104"/>
        <v>W8</v>
      </c>
      <c r="D1702" s="2" t="s">
        <v>785</v>
      </c>
      <c r="E1702" s="2" t="s">
        <v>710</v>
      </c>
      <c r="F1702" s="2" t="str" cm="1">
        <f t="array" ref="F1702">INDEX(_xlfn.TEXTSPLIT(E1702,"-"),2)</f>
        <v>女装</v>
      </c>
      <c r="G1702" s="2" t="str" cm="1">
        <f t="array" ref="G1702">INDEX(_xlfn.TEXTSPLIT(E1702,"-"),3)</f>
        <v>婚纱/旗袍/礼服</v>
      </c>
      <c r="H1702" s="5">
        <v>54675</v>
      </c>
      <c r="I1702" s="5">
        <v>7197747.67</v>
      </c>
      <c r="J1702" s="6">
        <v>0.0083</v>
      </c>
      <c r="K1702" s="6">
        <v>0.8679</v>
      </c>
    </row>
    <row r="1703" ht="14.5" spans="1:11">
      <c r="A1703" s="3" t="str">
        <f t="shared" si="102"/>
        <v>2026年</v>
      </c>
      <c r="B1703" s="3" t="str">
        <f t="shared" si="103"/>
        <v>2月</v>
      </c>
      <c r="C1703" s="4" t="str">
        <f t="shared" si="104"/>
        <v>W8</v>
      </c>
      <c r="D1703" s="2" t="s">
        <v>785</v>
      </c>
      <c r="E1703" s="2" t="s">
        <v>711</v>
      </c>
      <c r="F1703" s="2" t="str" cm="1">
        <f t="array" ref="F1703">INDEX(_xlfn.TEXTSPLIT(E1703,"-"),2)</f>
        <v>女装</v>
      </c>
      <c r="G1703" s="2" t="str" cm="1">
        <f t="array" ref="G1703">INDEX(_xlfn.TEXTSPLIT(E1703,"-"),3)</f>
        <v>新中式女装</v>
      </c>
      <c r="H1703" s="5">
        <v>36670</v>
      </c>
      <c r="I1703" s="5">
        <v>4775922.95</v>
      </c>
      <c r="J1703" s="6">
        <v>0.0055</v>
      </c>
      <c r="K1703" s="6">
        <v>1.0131</v>
      </c>
    </row>
    <row r="1704" ht="14.5" spans="1:11">
      <c r="A1704" s="3" t="str">
        <f t="shared" si="102"/>
        <v>2026年</v>
      </c>
      <c r="B1704" s="3" t="str">
        <f t="shared" si="103"/>
        <v>2月</v>
      </c>
      <c r="C1704" s="4" t="str">
        <f t="shared" si="104"/>
        <v>W8</v>
      </c>
      <c r="D1704" s="2" t="s">
        <v>785</v>
      </c>
      <c r="E1704" s="2" t="s">
        <v>712</v>
      </c>
      <c r="F1704" s="2" t="str" cm="1">
        <f t="array" ref="F1704">INDEX(_xlfn.TEXTSPLIT(E1704,"-"),2)</f>
        <v>女装</v>
      </c>
      <c r="G1704" s="2" t="str" cm="1">
        <f t="array" ref="G1704">INDEX(_xlfn.TEXTSPLIT(E1704,"-"),3)</f>
        <v>时尚防晒服</v>
      </c>
      <c r="H1704" s="5">
        <v>269</v>
      </c>
      <c r="I1704" s="5">
        <v>57132.1</v>
      </c>
      <c r="J1704" s="6">
        <v>0.0001</v>
      </c>
      <c r="K1704" s="6">
        <v>1.5463</v>
      </c>
    </row>
    <row r="1705" ht="14.5" spans="1:11">
      <c r="A1705" s="3" t="str">
        <f t="shared" si="102"/>
        <v>2026年</v>
      </c>
      <c r="B1705" s="3" t="str">
        <f t="shared" si="103"/>
        <v>2月</v>
      </c>
      <c r="C1705" s="4" t="str">
        <f t="shared" si="104"/>
        <v>W8</v>
      </c>
      <c r="D1705" s="2" t="s">
        <v>785</v>
      </c>
      <c r="E1705" s="2" t="s">
        <v>714</v>
      </c>
      <c r="F1705" s="2" t="str" cm="1">
        <f t="array" ref="F1705">INDEX(_xlfn.TEXTSPLIT(E1705,"-"),2)</f>
        <v>女装</v>
      </c>
      <c r="G1705" s="2" t="str" cm="1">
        <f t="array" ref="G1705">INDEX(_xlfn.TEXTSPLIT(E1705,"-"),3)</f>
        <v>棉衣/棉服</v>
      </c>
      <c r="H1705" s="5">
        <v>97218</v>
      </c>
      <c r="I1705" s="5">
        <v>9967619.09</v>
      </c>
      <c r="J1705" s="6">
        <v>0.0115</v>
      </c>
      <c r="K1705" s="6">
        <v>0.3105</v>
      </c>
    </row>
    <row r="1706" ht="14.5" spans="1:11">
      <c r="A1706" s="3" t="str">
        <f t="shared" si="102"/>
        <v>2026年</v>
      </c>
      <c r="B1706" s="3" t="str">
        <f t="shared" si="103"/>
        <v>2月</v>
      </c>
      <c r="C1706" s="4" t="str">
        <f t="shared" si="104"/>
        <v>W8</v>
      </c>
      <c r="D1706" s="2" t="s">
        <v>785</v>
      </c>
      <c r="E1706" s="2" t="s">
        <v>715</v>
      </c>
      <c r="F1706" s="2" t="str" cm="1">
        <f t="array" ref="F1706">INDEX(_xlfn.TEXTSPLIT(E1706,"-"),2)</f>
        <v>女装</v>
      </c>
      <c r="G1706" s="2" t="str" cm="1">
        <f t="array" ref="G1706">INDEX(_xlfn.TEXTSPLIT(E1706,"-"),3)</f>
        <v>毛呢外套</v>
      </c>
      <c r="H1706" s="5">
        <v>198413</v>
      </c>
      <c r="I1706" s="5">
        <v>57499986.86</v>
      </c>
      <c r="J1706" s="6">
        <v>0.0663</v>
      </c>
      <c r="K1706" s="6">
        <v>0.1586</v>
      </c>
    </row>
    <row r="1707" ht="14.5" spans="1:11">
      <c r="A1707" s="3" t="str">
        <f t="shared" si="102"/>
        <v>2026年</v>
      </c>
      <c r="B1707" s="3" t="str">
        <f t="shared" si="103"/>
        <v>2月</v>
      </c>
      <c r="C1707" s="4" t="str">
        <f t="shared" si="104"/>
        <v>W8</v>
      </c>
      <c r="D1707" s="2" t="s">
        <v>785</v>
      </c>
      <c r="E1707" s="2" t="s">
        <v>716</v>
      </c>
      <c r="F1707" s="2" t="str" cm="1">
        <f t="array" ref="F1707">INDEX(_xlfn.TEXTSPLIT(E1707,"-"),2)</f>
        <v>女装</v>
      </c>
      <c r="G1707" s="2" t="str" cm="1">
        <f t="array" ref="G1707">INDEX(_xlfn.TEXTSPLIT(E1707,"-"),3)</f>
        <v>毛衣</v>
      </c>
      <c r="H1707" s="5">
        <v>69483</v>
      </c>
      <c r="I1707" s="5">
        <v>7274132.73</v>
      </c>
      <c r="J1707" s="6">
        <v>0.0084</v>
      </c>
      <c r="K1707" s="6">
        <v>0.1134</v>
      </c>
    </row>
    <row r="1708" ht="14.5" spans="1:11">
      <c r="A1708" s="3" t="str">
        <f t="shared" si="102"/>
        <v>2026年</v>
      </c>
      <c r="B1708" s="3" t="str">
        <f t="shared" si="103"/>
        <v>2月</v>
      </c>
      <c r="C1708" s="4" t="str">
        <f t="shared" si="104"/>
        <v>W8</v>
      </c>
      <c r="D1708" s="2" t="s">
        <v>785</v>
      </c>
      <c r="E1708" s="2" t="s">
        <v>717</v>
      </c>
      <c r="F1708" s="2" t="str" cm="1">
        <f t="array" ref="F1708">INDEX(_xlfn.TEXTSPLIT(E1708,"-"),2)</f>
        <v>女装</v>
      </c>
      <c r="G1708" s="2" t="str" cm="1">
        <f t="array" ref="G1708">INDEX(_xlfn.TEXTSPLIT(E1708,"-"),3)</f>
        <v>毛针织衫</v>
      </c>
      <c r="H1708" s="5">
        <v>516775</v>
      </c>
      <c r="I1708" s="5">
        <v>47015116.2</v>
      </c>
      <c r="J1708" s="6">
        <v>0.0542</v>
      </c>
      <c r="K1708" s="6">
        <v>0.2274</v>
      </c>
    </row>
    <row r="1709" ht="14.5" spans="1:11">
      <c r="A1709" s="3" t="str">
        <f t="shared" si="102"/>
        <v>2026年</v>
      </c>
      <c r="B1709" s="3" t="str">
        <f t="shared" si="103"/>
        <v>2月</v>
      </c>
      <c r="C1709" s="4" t="str">
        <f t="shared" si="104"/>
        <v>W8</v>
      </c>
      <c r="D1709" s="2" t="s">
        <v>785</v>
      </c>
      <c r="E1709" s="2" t="s">
        <v>718</v>
      </c>
      <c r="F1709" s="2" t="str" cm="1">
        <f t="array" ref="F1709">INDEX(_xlfn.TEXTSPLIT(E1709,"-"),2)</f>
        <v>女装</v>
      </c>
      <c r="G1709" s="2" t="str" cm="1">
        <f t="array" ref="G1709">INDEX(_xlfn.TEXTSPLIT(E1709,"-"),3)</f>
        <v>汉服</v>
      </c>
      <c r="H1709" s="5">
        <v>73100</v>
      </c>
      <c r="I1709" s="5">
        <v>27796420.99</v>
      </c>
      <c r="J1709" s="6">
        <v>0.0321</v>
      </c>
      <c r="K1709" s="6">
        <v>0.5682</v>
      </c>
    </row>
    <row r="1710" ht="14.5" spans="1:11">
      <c r="A1710" s="3" t="str">
        <f t="shared" si="102"/>
        <v>2026年</v>
      </c>
      <c r="B1710" s="3" t="str">
        <f t="shared" si="103"/>
        <v>2月</v>
      </c>
      <c r="C1710" s="4" t="str">
        <f t="shared" si="104"/>
        <v>W8</v>
      </c>
      <c r="D1710" s="2" t="s">
        <v>785</v>
      </c>
      <c r="E1710" s="2" t="s">
        <v>719</v>
      </c>
      <c r="F1710" s="2" t="str" cm="1">
        <f t="array" ref="F1710">INDEX(_xlfn.TEXTSPLIT(E1710,"-"),2)</f>
        <v>女装</v>
      </c>
      <c r="G1710" s="2" t="str" cm="1">
        <f t="array" ref="G1710">INDEX(_xlfn.TEXTSPLIT(E1710,"-"),3)</f>
        <v>派克服</v>
      </c>
      <c r="H1710" s="5">
        <v>5085</v>
      </c>
      <c r="I1710" s="5">
        <v>857104.7</v>
      </c>
      <c r="J1710" s="6">
        <v>0.001</v>
      </c>
      <c r="K1710" s="6">
        <v>0.1854</v>
      </c>
    </row>
    <row r="1711" ht="14.5" spans="1:11">
      <c r="A1711" s="3" t="str">
        <f t="shared" si="102"/>
        <v>2026年</v>
      </c>
      <c r="B1711" s="3" t="str">
        <f t="shared" si="103"/>
        <v>2月</v>
      </c>
      <c r="C1711" s="4" t="str">
        <f t="shared" si="104"/>
        <v>W8</v>
      </c>
      <c r="D1711" s="2" t="s">
        <v>785</v>
      </c>
      <c r="E1711" s="2" t="s">
        <v>720</v>
      </c>
      <c r="F1711" s="2" t="str" cm="1">
        <f t="array" ref="F1711">INDEX(_xlfn.TEXTSPLIT(E1711,"-"),2)</f>
        <v>女装</v>
      </c>
      <c r="G1711" s="2" t="str" cm="1">
        <f t="array" ref="G1711">INDEX(_xlfn.TEXTSPLIT(E1711,"-"),3)</f>
        <v>皮草</v>
      </c>
      <c r="H1711" s="5">
        <v>21452</v>
      </c>
      <c r="I1711" s="5">
        <v>53712331.19</v>
      </c>
      <c r="J1711" s="6">
        <v>0.062</v>
      </c>
      <c r="K1711" s="6">
        <v>0.113</v>
      </c>
    </row>
    <row r="1712" ht="14.5" spans="1:11">
      <c r="A1712" s="3" t="str">
        <f t="shared" si="102"/>
        <v>2026年</v>
      </c>
      <c r="B1712" s="3" t="str">
        <f t="shared" si="103"/>
        <v>2月</v>
      </c>
      <c r="C1712" s="4" t="str">
        <f t="shared" si="104"/>
        <v>W8</v>
      </c>
      <c r="D1712" s="2" t="s">
        <v>785</v>
      </c>
      <c r="E1712" s="2" t="s">
        <v>721</v>
      </c>
      <c r="F1712" s="2" t="str" cm="1">
        <f t="array" ref="F1712">INDEX(_xlfn.TEXTSPLIT(E1712,"-"),2)</f>
        <v>女装</v>
      </c>
      <c r="G1712" s="2" t="str" cm="1">
        <f t="array" ref="G1712">INDEX(_xlfn.TEXTSPLIT(E1712,"-"),3)</f>
        <v>皮衣</v>
      </c>
      <c r="H1712" s="5">
        <v>68047</v>
      </c>
      <c r="I1712" s="5">
        <v>21727384.37</v>
      </c>
      <c r="J1712" s="6">
        <v>0.0251</v>
      </c>
      <c r="K1712" s="6">
        <v>0.454</v>
      </c>
    </row>
    <row r="1713" ht="14.5" spans="1:11">
      <c r="A1713" s="3" t="str">
        <f t="shared" si="102"/>
        <v>2026年</v>
      </c>
      <c r="B1713" s="3" t="str">
        <f t="shared" si="103"/>
        <v>2月</v>
      </c>
      <c r="C1713" s="4" t="str">
        <f t="shared" si="104"/>
        <v>W8</v>
      </c>
      <c r="D1713" s="2" t="s">
        <v>785</v>
      </c>
      <c r="E1713" s="2" t="s">
        <v>722</v>
      </c>
      <c r="F1713" s="2" t="str" cm="1">
        <f t="array" ref="F1713">INDEX(_xlfn.TEXTSPLIT(E1713,"-"),2)</f>
        <v>女装</v>
      </c>
      <c r="G1713" s="2" t="str" cm="1">
        <f t="array" ref="G1713">INDEX(_xlfn.TEXTSPLIT(E1713,"-"),3)</f>
        <v>短外套</v>
      </c>
      <c r="H1713" s="5">
        <v>358900</v>
      </c>
      <c r="I1713" s="5">
        <v>74102322.29</v>
      </c>
      <c r="J1713" s="6">
        <v>0.0855</v>
      </c>
      <c r="K1713" s="6">
        <v>0.3587</v>
      </c>
    </row>
    <row r="1714" ht="14.5" spans="1:11">
      <c r="A1714" s="3" t="str">
        <f t="shared" si="102"/>
        <v>2026年</v>
      </c>
      <c r="B1714" s="3" t="str">
        <f t="shared" si="103"/>
        <v>2月</v>
      </c>
      <c r="C1714" s="4" t="str">
        <f t="shared" si="104"/>
        <v>W8</v>
      </c>
      <c r="D1714" s="2" t="s">
        <v>785</v>
      </c>
      <c r="E1714" s="2" t="s">
        <v>723</v>
      </c>
      <c r="F1714" s="2" t="str" cm="1">
        <f t="array" ref="F1714">INDEX(_xlfn.TEXTSPLIT(E1714,"-"),2)</f>
        <v>女装</v>
      </c>
      <c r="G1714" s="2" t="str" cm="1">
        <f t="array" ref="G1714">INDEX(_xlfn.TEXTSPLIT(E1714,"-"),3)</f>
        <v>短裤</v>
      </c>
      <c r="H1714" s="5">
        <v>34547</v>
      </c>
      <c r="I1714" s="5">
        <v>2403786.56</v>
      </c>
      <c r="J1714" s="6">
        <v>0.0028</v>
      </c>
      <c r="K1714" s="6">
        <v>0.0482</v>
      </c>
    </row>
    <row r="1715" ht="14.5" spans="1:11">
      <c r="A1715" s="3" t="str">
        <f t="shared" si="102"/>
        <v>2026年</v>
      </c>
      <c r="B1715" s="3" t="str">
        <f t="shared" si="103"/>
        <v>2月</v>
      </c>
      <c r="C1715" s="4" t="str">
        <f t="shared" si="104"/>
        <v>W8</v>
      </c>
      <c r="D1715" s="2" t="s">
        <v>785</v>
      </c>
      <c r="E1715" s="2" t="s">
        <v>724</v>
      </c>
      <c r="F1715" s="2" t="str" cm="1">
        <f t="array" ref="F1715">INDEX(_xlfn.TEXTSPLIT(E1715,"-"),2)</f>
        <v>女装</v>
      </c>
      <c r="G1715" s="2" t="str" cm="1">
        <f t="array" ref="G1715">INDEX(_xlfn.TEXTSPLIT(E1715,"-"),3)</f>
        <v>羊毛衫</v>
      </c>
      <c r="H1715" s="5">
        <v>64355</v>
      </c>
      <c r="I1715" s="5">
        <v>9565538.33</v>
      </c>
      <c r="J1715" s="6">
        <v>0.011</v>
      </c>
      <c r="K1715" s="6">
        <v>0.3583</v>
      </c>
    </row>
    <row r="1716" ht="14.5" spans="1:11">
      <c r="A1716" s="3" t="str">
        <f t="shared" si="102"/>
        <v>2026年</v>
      </c>
      <c r="B1716" s="3" t="str">
        <f t="shared" si="103"/>
        <v>2月</v>
      </c>
      <c r="C1716" s="4" t="str">
        <f t="shared" si="104"/>
        <v>W8</v>
      </c>
      <c r="D1716" s="2" t="s">
        <v>785</v>
      </c>
      <c r="E1716" s="2" t="s">
        <v>725</v>
      </c>
      <c r="F1716" s="2" t="str" cm="1">
        <f t="array" ref="F1716">INDEX(_xlfn.TEXTSPLIT(E1716,"-"),2)</f>
        <v>女装</v>
      </c>
      <c r="G1716" s="2" t="str" cm="1">
        <f t="array" ref="G1716">INDEX(_xlfn.TEXTSPLIT(E1716,"-"),3)</f>
        <v>羊绒大衣</v>
      </c>
      <c r="H1716" s="5">
        <v>633</v>
      </c>
      <c r="I1716" s="5">
        <v>500511.59</v>
      </c>
      <c r="J1716" s="6">
        <v>0.0006</v>
      </c>
      <c r="K1716" s="6">
        <v>-0.2517</v>
      </c>
    </row>
    <row r="1717" ht="14.5" spans="1:11">
      <c r="A1717" s="3" t="str">
        <f t="shared" si="102"/>
        <v>2026年</v>
      </c>
      <c r="B1717" s="3" t="str">
        <f t="shared" si="103"/>
        <v>2月</v>
      </c>
      <c r="C1717" s="4" t="str">
        <f t="shared" si="104"/>
        <v>W8</v>
      </c>
      <c r="D1717" s="2" t="s">
        <v>785</v>
      </c>
      <c r="E1717" s="2" t="s">
        <v>726</v>
      </c>
      <c r="F1717" s="2" t="str" cm="1">
        <f t="array" ref="F1717">INDEX(_xlfn.TEXTSPLIT(E1717,"-"),2)</f>
        <v>女装</v>
      </c>
      <c r="G1717" s="2" t="str" cm="1">
        <f t="array" ref="G1717">INDEX(_xlfn.TEXTSPLIT(E1717,"-"),3)</f>
        <v>羊绒衫</v>
      </c>
      <c r="H1717" s="5">
        <v>17782</v>
      </c>
      <c r="I1717" s="5">
        <v>6285332.2</v>
      </c>
      <c r="J1717" s="6">
        <v>0.0073</v>
      </c>
      <c r="K1717" s="6">
        <v>-0.016</v>
      </c>
    </row>
    <row r="1718" ht="14.5" spans="1:11">
      <c r="A1718" s="3" t="str">
        <f t="shared" si="102"/>
        <v>2026年</v>
      </c>
      <c r="B1718" s="3" t="str">
        <f t="shared" si="103"/>
        <v>2月</v>
      </c>
      <c r="C1718" s="4" t="str">
        <f t="shared" si="104"/>
        <v>W8</v>
      </c>
      <c r="D1718" s="2" t="s">
        <v>785</v>
      </c>
      <c r="E1718" s="2" t="s">
        <v>727</v>
      </c>
      <c r="F1718" s="2" t="str" cm="1">
        <f t="array" ref="F1718">INDEX(_xlfn.TEXTSPLIT(E1718,"-"),2)</f>
        <v>女装</v>
      </c>
      <c r="G1718" s="2" t="str" cm="1">
        <f t="array" ref="G1718">INDEX(_xlfn.TEXTSPLIT(E1718,"-"),3)</f>
        <v>羽绒服</v>
      </c>
      <c r="H1718" s="5">
        <v>168344</v>
      </c>
      <c r="I1718" s="5">
        <v>53957594.8</v>
      </c>
      <c r="J1718" s="6">
        <v>0.0623</v>
      </c>
      <c r="K1718" s="6">
        <v>0.0538</v>
      </c>
    </row>
    <row r="1719" ht="14.5" spans="1:11">
      <c r="A1719" s="3" t="str">
        <f t="shared" si="102"/>
        <v>2026年</v>
      </c>
      <c r="B1719" s="3" t="str">
        <f t="shared" si="103"/>
        <v>2月</v>
      </c>
      <c r="C1719" s="4" t="str">
        <f t="shared" si="104"/>
        <v>W8</v>
      </c>
      <c r="D1719" s="2" t="s">
        <v>785</v>
      </c>
      <c r="E1719" s="2" t="s">
        <v>728</v>
      </c>
      <c r="F1719" s="2" t="str" cm="1">
        <f t="array" ref="F1719">INDEX(_xlfn.TEXTSPLIT(E1719,"-"),2)</f>
        <v>女装</v>
      </c>
      <c r="G1719" s="2" t="str" cm="1">
        <f t="array" ref="G1719">INDEX(_xlfn.TEXTSPLIT(E1719,"-"),3)</f>
        <v>肌底衣/肌肤衣</v>
      </c>
      <c r="H1719" s="5">
        <v>1616</v>
      </c>
      <c r="I1719" s="5">
        <v>82373.42</v>
      </c>
      <c r="J1719" s="6">
        <v>0.0001</v>
      </c>
      <c r="K1719" s="6">
        <v>0.0891</v>
      </c>
    </row>
    <row r="1720" ht="14.5" spans="1:11">
      <c r="A1720" s="3" t="str">
        <f t="shared" si="102"/>
        <v>2026年</v>
      </c>
      <c r="B1720" s="3" t="str">
        <f t="shared" si="103"/>
        <v>2月</v>
      </c>
      <c r="C1720" s="4" t="str">
        <f t="shared" si="104"/>
        <v>W8</v>
      </c>
      <c r="D1720" s="2" t="s">
        <v>785</v>
      </c>
      <c r="E1720" s="2" t="s">
        <v>729</v>
      </c>
      <c r="F1720" s="2" t="str" cm="1">
        <f t="array" ref="F1720">INDEX(_xlfn.TEXTSPLIT(E1720,"-"),2)</f>
        <v>女装</v>
      </c>
      <c r="G1720" s="2" t="str" cm="1">
        <f t="array" ref="G1720">INDEX(_xlfn.TEXTSPLIT(E1720,"-"),3)</f>
        <v>背心吊带</v>
      </c>
      <c r="H1720" s="5">
        <v>165317</v>
      </c>
      <c r="I1720" s="5">
        <v>10482875.97</v>
      </c>
      <c r="J1720" s="6">
        <v>0.0121</v>
      </c>
      <c r="K1720" s="6">
        <v>0.6592</v>
      </c>
    </row>
    <row r="1721" ht="14.5" spans="1:11">
      <c r="A1721" s="3" t="str">
        <f t="shared" si="102"/>
        <v>2026年</v>
      </c>
      <c r="B1721" s="3" t="str">
        <f t="shared" si="103"/>
        <v>2月</v>
      </c>
      <c r="C1721" s="4" t="str">
        <f t="shared" si="104"/>
        <v>W8</v>
      </c>
      <c r="D1721" s="2" t="s">
        <v>785</v>
      </c>
      <c r="E1721" s="2" t="s">
        <v>730</v>
      </c>
      <c r="F1721" s="2" t="str" cm="1">
        <f t="array" ref="F1721">INDEX(_xlfn.TEXTSPLIT(E1721,"-"),2)</f>
        <v>女装</v>
      </c>
      <c r="G1721" s="2" t="str" cm="1">
        <f t="array" ref="G1721">INDEX(_xlfn.TEXTSPLIT(E1721,"-"),3)</f>
        <v>蕾丝衫/雪纺衫</v>
      </c>
      <c r="H1721" s="5">
        <v>88050</v>
      </c>
      <c r="I1721" s="5">
        <v>5566167.05</v>
      </c>
      <c r="J1721" s="6">
        <v>0.0064</v>
      </c>
      <c r="K1721" s="6">
        <v>0.5089</v>
      </c>
    </row>
    <row r="1722" ht="14.5" spans="1:11">
      <c r="A1722" s="3" t="str">
        <f t="shared" si="102"/>
        <v>2026年</v>
      </c>
      <c r="B1722" s="3" t="str">
        <f t="shared" si="103"/>
        <v>2月</v>
      </c>
      <c r="C1722" s="4" t="str">
        <f t="shared" si="104"/>
        <v>W8</v>
      </c>
      <c r="D1722" s="2" t="s">
        <v>785</v>
      </c>
      <c r="E1722" s="2" t="s">
        <v>731</v>
      </c>
      <c r="F1722" s="2" t="str" cm="1">
        <f t="array" ref="F1722">INDEX(_xlfn.TEXTSPLIT(E1722,"-"),2)</f>
        <v>女装</v>
      </c>
      <c r="G1722" s="2" t="str" cm="1">
        <f t="array" ref="G1722">INDEX(_xlfn.TEXTSPLIT(E1722,"-"),3)</f>
        <v>衬衫</v>
      </c>
      <c r="H1722" s="5">
        <v>314309</v>
      </c>
      <c r="I1722" s="5">
        <v>36831835.16</v>
      </c>
      <c r="J1722" s="6">
        <v>0.0425</v>
      </c>
      <c r="K1722" s="6">
        <v>0.3441</v>
      </c>
    </row>
    <row r="1723" ht="14.5" spans="1:11">
      <c r="A1723" s="3" t="str">
        <f t="shared" si="102"/>
        <v>2026年</v>
      </c>
      <c r="B1723" s="3" t="str">
        <f t="shared" si="103"/>
        <v>2月</v>
      </c>
      <c r="C1723" s="4" t="str">
        <f t="shared" si="104"/>
        <v>W8</v>
      </c>
      <c r="D1723" s="2" t="s">
        <v>785</v>
      </c>
      <c r="E1723" s="2" t="s">
        <v>732</v>
      </c>
      <c r="F1723" s="2" t="str" cm="1">
        <f t="array" ref="F1723">INDEX(_xlfn.TEXTSPLIT(E1723,"-"),2)</f>
        <v>女装</v>
      </c>
      <c r="G1723" s="2" t="str" cm="1">
        <f t="array" ref="G1723">INDEX(_xlfn.TEXTSPLIT(E1723,"-"),3)</f>
        <v>裤子</v>
      </c>
      <c r="H1723" s="5">
        <v>903782</v>
      </c>
      <c r="I1723" s="5">
        <v>109149108.3</v>
      </c>
      <c r="J1723" s="6">
        <v>0.1259</v>
      </c>
      <c r="K1723" s="6">
        <v>0.5359</v>
      </c>
    </row>
    <row r="1724" ht="14.5" spans="1:11">
      <c r="A1724" s="3" t="str">
        <f t="shared" si="102"/>
        <v>2026年</v>
      </c>
      <c r="B1724" s="3" t="str">
        <f t="shared" si="103"/>
        <v>2月</v>
      </c>
      <c r="C1724" s="4" t="str">
        <f t="shared" si="104"/>
        <v>W8</v>
      </c>
      <c r="D1724" s="2" t="s">
        <v>785</v>
      </c>
      <c r="E1724" s="2" t="s">
        <v>733</v>
      </c>
      <c r="F1724" s="2" t="str" cm="1">
        <f t="array" ref="F1724">INDEX(_xlfn.TEXTSPLIT(E1724,"-"),2)</f>
        <v>女装</v>
      </c>
      <c r="G1724" s="2" t="str" cm="1">
        <f t="array" ref="G1724">INDEX(_xlfn.TEXTSPLIT(E1724,"-"),3)</f>
        <v>西装</v>
      </c>
      <c r="H1724" s="5">
        <v>40668</v>
      </c>
      <c r="I1724" s="5">
        <v>11561030.74</v>
      </c>
      <c r="J1724" s="6">
        <v>0.0133</v>
      </c>
      <c r="K1724" s="6">
        <v>0.2808</v>
      </c>
    </row>
    <row r="1725" ht="14.5" spans="1:11">
      <c r="A1725" s="3" t="str">
        <f t="shared" si="102"/>
        <v>2026年</v>
      </c>
      <c r="B1725" s="3" t="str">
        <f t="shared" si="103"/>
        <v>2月</v>
      </c>
      <c r="C1725" s="4" t="str">
        <f t="shared" si="104"/>
        <v>W8</v>
      </c>
      <c r="D1725" s="2" t="s">
        <v>785</v>
      </c>
      <c r="E1725" s="2" t="s">
        <v>734</v>
      </c>
      <c r="F1725" s="2" t="str" cm="1">
        <f t="array" ref="F1725">INDEX(_xlfn.TEXTSPLIT(E1725,"-"),2)</f>
        <v>女装</v>
      </c>
      <c r="G1725" s="2" t="str" cm="1">
        <f t="array" ref="G1725">INDEX(_xlfn.TEXTSPLIT(E1725,"-"),3)</f>
        <v>设计师/潮牌女装</v>
      </c>
      <c r="H1725" s="5">
        <v>102467</v>
      </c>
      <c r="I1725" s="5">
        <v>16631028.57</v>
      </c>
      <c r="J1725" s="6">
        <v>0.0192</v>
      </c>
      <c r="K1725" s="6">
        <v>0.1247</v>
      </c>
    </row>
    <row r="1726" ht="14.5" spans="1:11">
      <c r="A1726" s="3" t="str">
        <f t="shared" si="102"/>
        <v>2026年</v>
      </c>
      <c r="B1726" s="3" t="str">
        <f t="shared" si="103"/>
        <v>2月</v>
      </c>
      <c r="C1726" s="4" t="str">
        <f t="shared" si="104"/>
        <v>W8</v>
      </c>
      <c r="D1726" s="2" t="s">
        <v>785</v>
      </c>
      <c r="E1726" s="2" t="s">
        <v>735</v>
      </c>
      <c r="F1726" s="2" t="str" cm="1">
        <f t="array" ref="F1726">INDEX(_xlfn.TEXTSPLIT(E1726,"-"),2)</f>
        <v>女装</v>
      </c>
      <c r="G1726" s="2" t="str" cm="1">
        <f t="array" ref="G1726">INDEX(_xlfn.TEXTSPLIT(E1726,"-"),3)</f>
        <v>连体衣/裤</v>
      </c>
      <c r="H1726" s="5">
        <v>5880</v>
      </c>
      <c r="I1726" s="5">
        <v>1718640.18</v>
      </c>
      <c r="J1726" s="6">
        <v>0.002</v>
      </c>
      <c r="K1726" s="6">
        <v>0.4216</v>
      </c>
    </row>
    <row r="1727" ht="14.5" spans="1:11">
      <c r="A1727" s="3" t="str">
        <f t="shared" si="102"/>
        <v>2026年</v>
      </c>
      <c r="B1727" s="3" t="str">
        <f t="shared" si="103"/>
        <v>2月</v>
      </c>
      <c r="C1727" s="4" t="str">
        <f t="shared" si="104"/>
        <v>W8</v>
      </c>
      <c r="D1727" s="2" t="s">
        <v>785</v>
      </c>
      <c r="E1727" s="2" t="s">
        <v>736</v>
      </c>
      <c r="F1727" s="2" t="str" cm="1">
        <f t="array" ref="F1727">INDEX(_xlfn.TEXTSPLIT(E1727,"-"),2)</f>
        <v>女装</v>
      </c>
      <c r="G1727" s="2" t="str" cm="1">
        <f t="array" ref="G1727">INDEX(_xlfn.TEXTSPLIT(E1727,"-"),3)</f>
        <v>连衣裙</v>
      </c>
      <c r="H1727" s="5">
        <v>355816</v>
      </c>
      <c r="I1727" s="5">
        <v>59081229.94</v>
      </c>
      <c r="J1727" s="6">
        <v>0.0682</v>
      </c>
      <c r="K1727" s="6">
        <v>0.2551</v>
      </c>
    </row>
    <row r="1728" ht="14.5" spans="1:11">
      <c r="A1728" s="3" t="str">
        <f t="shared" si="102"/>
        <v>2026年</v>
      </c>
      <c r="B1728" s="3" t="str">
        <f t="shared" si="103"/>
        <v>2月</v>
      </c>
      <c r="C1728" s="4" t="str">
        <f t="shared" si="104"/>
        <v>W8</v>
      </c>
      <c r="D1728" s="2" t="s">
        <v>785</v>
      </c>
      <c r="E1728" s="2" t="s">
        <v>737</v>
      </c>
      <c r="F1728" s="2" t="str" cm="1">
        <f t="array" ref="F1728">INDEX(_xlfn.TEXTSPLIT(E1728,"-"),2)</f>
        <v>女装</v>
      </c>
      <c r="G1728" s="2" t="str" cm="1">
        <f t="array" ref="G1728">INDEX(_xlfn.TEXTSPLIT(E1728,"-"),3)</f>
        <v>风衣</v>
      </c>
      <c r="H1728" s="5">
        <v>55190</v>
      </c>
      <c r="I1728" s="5">
        <v>16157993.29</v>
      </c>
      <c r="J1728" s="6">
        <v>0.0186</v>
      </c>
      <c r="K1728" s="6">
        <v>0.3674</v>
      </c>
    </row>
    <row r="1729" ht="14.5" spans="1:11">
      <c r="A1729" s="3" t="str">
        <f t="shared" si="102"/>
        <v>2026年</v>
      </c>
      <c r="B1729" s="3" t="str">
        <f t="shared" si="103"/>
        <v>2月</v>
      </c>
      <c r="C1729" s="4" t="str">
        <f t="shared" si="104"/>
        <v>W8</v>
      </c>
      <c r="D1729" s="2" t="s">
        <v>785</v>
      </c>
      <c r="E1729" s="2" t="s">
        <v>738</v>
      </c>
      <c r="F1729" s="2" t="str" cm="1">
        <f t="array" ref="F1729">INDEX(_xlfn.TEXTSPLIT(E1729,"-"),2)</f>
        <v>女装</v>
      </c>
      <c r="G1729" s="2" t="str" cm="1">
        <f t="array" ref="G1729">INDEX(_xlfn.TEXTSPLIT(E1729,"-"),3)</f>
        <v>马夹</v>
      </c>
      <c r="H1729" s="5">
        <v>173758</v>
      </c>
      <c r="I1729" s="5">
        <v>19640831.95</v>
      </c>
      <c r="J1729" s="6">
        <v>0.0227</v>
      </c>
      <c r="K1729" s="6">
        <v>0.4122</v>
      </c>
    </row>
    <row r="1730" ht="14.5" spans="1:11">
      <c r="A1730" s="3" t="str">
        <f t="shared" si="102"/>
        <v>2026年</v>
      </c>
      <c r="B1730" s="3" t="str">
        <f t="shared" si="103"/>
        <v>2月</v>
      </c>
      <c r="C1730" s="4" t="str">
        <f t="shared" si="104"/>
        <v>W8</v>
      </c>
      <c r="D1730" s="2" t="s">
        <v>786</v>
      </c>
      <c r="E1730" s="2" t="s">
        <v>702</v>
      </c>
      <c r="F1730" s="2" t="str" cm="1">
        <f t="array" ref="F1730">INDEX(_xlfn.TEXTSPLIT(E1730,"-"),2)</f>
        <v>女装</v>
      </c>
      <c r="G1730" s="2" t="str" cm="1">
        <f t="array" ref="G1730">INDEX(_xlfn.TEXTSPLIT(E1730,"-"),3)</f>
        <v>POLO衫</v>
      </c>
      <c r="H1730" s="5">
        <v>10423</v>
      </c>
      <c r="I1730" s="5">
        <v>985829.66</v>
      </c>
      <c r="J1730" s="6">
        <v>0.0009</v>
      </c>
      <c r="K1730" s="6">
        <v>0.283</v>
      </c>
    </row>
    <row r="1731" ht="14.5" spans="1:11">
      <c r="A1731" s="3" t="str">
        <f t="shared" si="102"/>
        <v>2026年</v>
      </c>
      <c r="B1731" s="3" t="str">
        <f t="shared" si="103"/>
        <v>2月</v>
      </c>
      <c r="C1731" s="4" t="str">
        <f t="shared" si="104"/>
        <v>W8</v>
      </c>
      <c r="D1731" s="2" t="s">
        <v>786</v>
      </c>
      <c r="E1731" s="2" t="s">
        <v>703</v>
      </c>
      <c r="F1731" s="2" t="str" cm="1">
        <f t="array" ref="F1731">INDEX(_xlfn.TEXTSPLIT(E1731,"-"),2)</f>
        <v>女装</v>
      </c>
      <c r="G1731" s="2" t="str" cm="1">
        <f t="array" ref="G1731">INDEX(_xlfn.TEXTSPLIT(E1731,"-"),3)</f>
        <v>T恤</v>
      </c>
      <c r="H1731" s="5">
        <v>924802</v>
      </c>
      <c r="I1731" s="5">
        <v>53236467.34</v>
      </c>
      <c r="J1731" s="6">
        <v>0.0503</v>
      </c>
      <c r="K1731" s="6">
        <v>0.2407</v>
      </c>
    </row>
    <row r="1732" ht="14.5" spans="1:11">
      <c r="A1732" s="3" t="str">
        <f t="shared" si="102"/>
        <v>2026年</v>
      </c>
      <c r="B1732" s="3" t="str">
        <f t="shared" si="103"/>
        <v>2月</v>
      </c>
      <c r="C1732" s="4" t="str">
        <f t="shared" si="104"/>
        <v>W8</v>
      </c>
      <c r="D1732" s="2" t="s">
        <v>786</v>
      </c>
      <c r="E1732" s="2" t="s">
        <v>704</v>
      </c>
      <c r="F1732" s="2" t="str" cm="1">
        <f t="array" ref="F1732">INDEX(_xlfn.TEXTSPLIT(E1732,"-"),2)</f>
        <v>女装</v>
      </c>
      <c r="G1732" s="2" t="str" cm="1">
        <f t="array" ref="G1732">INDEX(_xlfn.TEXTSPLIT(E1732,"-"),3)</f>
        <v>中老年女装</v>
      </c>
      <c r="H1732" s="5">
        <v>96867</v>
      </c>
      <c r="I1732" s="5">
        <v>8153157.6</v>
      </c>
      <c r="J1732" s="6">
        <v>0.0077</v>
      </c>
      <c r="K1732" s="6">
        <v>0.3175</v>
      </c>
    </row>
    <row r="1733" ht="14.5" spans="1:11">
      <c r="A1733" s="3" t="str">
        <f t="shared" si="102"/>
        <v>2026年</v>
      </c>
      <c r="B1733" s="3" t="str">
        <f t="shared" si="103"/>
        <v>2月</v>
      </c>
      <c r="C1733" s="4" t="str">
        <f t="shared" si="104"/>
        <v>W8</v>
      </c>
      <c r="D1733" s="2" t="s">
        <v>786</v>
      </c>
      <c r="E1733" s="2" t="s">
        <v>705</v>
      </c>
      <c r="F1733" s="2" t="str" cm="1">
        <f t="array" ref="F1733">INDEX(_xlfn.TEXTSPLIT(E1733,"-"),2)</f>
        <v>女装</v>
      </c>
      <c r="G1733" s="2" t="str" cm="1">
        <f t="array" ref="G1733">INDEX(_xlfn.TEXTSPLIT(E1733,"-"),3)</f>
        <v>半身裙</v>
      </c>
      <c r="H1733" s="5">
        <v>228559</v>
      </c>
      <c r="I1733" s="5">
        <v>26218486.27</v>
      </c>
      <c r="J1733" s="6">
        <v>0.0248</v>
      </c>
      <c r="K1733" s="6">
        <v>0.2023</v>
      </c>
    </row>
    <row r="1734" ht="14.5" spans="1:11">
      <c r="A1734" s="3" t="str">
        <f t="shared" si="102"/>
        <v>2026年</v>
      </c>
      <c r="B1734" s="3" t="str">
        <f t="shared" si="103"/>
        <v>2月</v>
      </c>
      <c r="C1734" s="4" t="str">
        <f t="shared" si="104"/>
        <v>W8</v>
      </c>
      <c r="D1734" s="2" t="s">
        <v>786</v>
      </c>
      <c r="E1734" s="2" t="s">
        <v>706</v>
      </c>
      <c r="F1734" s="2" t="str" cm="1">
        <f t="array" ref="F1734">INDEX(_xlfn.TEXTSPLIT(E1734,"-"),2)</f>
        <v>女装</v>
      </c>
      <c r="G1734" s="2" t="str" cm="1">
        <f t="array" ref="G1734">INDEX(_xlfn.TEXTSPLIT(E1734,"-"),3)</f>
        <v>卫衣/绒衫</v>
      </c>
      <c r="H1734" s="5">
        <v>186262</v>
      </c>
      <c r="I1734" s="5">
        <v>17587372.72</v>
      </c>
      <c r="J1734" s="6">
        <v>0.0166</v>
      </c>
      <c r="K1734" s="6">
        <v>0.518</v>
      </c>
    </row>
    <row r="1735" ht="14.5" spans="1:11">
      <c r="A1735" s="3" t="str">
        <f t="shared" si="102"/>
        <v>2026年</v>
      </c>
      <c r="B1735" s="3" t="str">
        <f t="shared" si="103"/>
        <v>2月</v>
      </c>
      <c r="C1735" s="4" t="str">
        <f t="shared" si="104"/>
        <v>W8</v>
      </c>
      <c r="D1735" s="2" t="s">
        <v>786</v>
      </c>
      <c r="E1735" s="2" t="s">
        <v>707</v>
      </c>
      <c r="F1735" s="2" t="str" cm="1">
        <f t="array" ref="F1735">INDEX(_xlfn.TEXTSPLIT(E1735,"-"),2)</f>
        <v>女装</v>
      </c>
      <c r="G1735" s="2" t="str" cm="1">
        <f t="array" ref="G1735">INDEX(_xlfn.TEXTSPLIT(E1735,"-"),3)</f>
        <v>唐装/民族服装/舞台服装</v>
      </c>
      <c r="H1735" s="5">
        <v>203571</v>
      </c>
      <c r="I1735" s="5">
        <v>33714813.49</v>
      </c>
      <c r="J1735" s="6">
        <v>0.0319</v>
      </c>
      <c r="K1735" s="6">
        <v>0.0493</v>
      </c>
    </row>
    <row r="1736" ht="14.5" spans="1:11">
      <c r="A1736" s="3" t="str">
        <f t="shared" si="102"/>
        <v>2026年</v>
      </c>
      <c r="B1736" s="3" t="str">
        <f t="shared" si="103"/>
        <v>2月</v>
      </c>
      <c r="C1736" s="4" t="str">
        <f t="shared" si="104"/>
        <v>W8</v>
      </c>
      <c r="D1736" s="2" t="s">
        <v>786</v>
      </c>
      <c r="E1736" s="2" t="s">
        <v>708</v>
      </c>
      <c r="F1736" s="2" t="str" cm="1">
        <f t="array" ref="F1736">INDEX(_xlfn.TEXTSPLIT(E1736,"-"),2)</f>
        <v>女装</v>
      </c>
      <c r="G1736" s="2" t="str" cm="1">
        <f t="array" ref="G1736">INDEX(_xlfn.TEXTSPLIT(E1736,"-"),3)</f>
        <v>大码女装</v>
      </c>
      <c r="H1736" s="5">
        <v>193914</v>
      </c>
      <c r="I1736" s="5">
        <v>14540892.31</v>
      </c>
      <c r="J1736" s="6">
        <v>0.0137</v>
      </c>
      <c r="K1736" s="6">
        <v>0.3277</v>
      </c>
    </row>
    <row r="1737" ht="14.5" spans="1:11">
      <c r="A1737" s="3" t="str">
        <f t="shared" si="102"/>
        <v>2026年</v>
      </c>
      <c r="B1737" s="3" t="str">
        <f t="shared" si="103"/>
        <v>2月</v>
      </c>
      <c r="C1737" s="4" t="str">
        <f t="shared" si="104"/>
        <v>W8</v>
      </c>
      <c r="D1737" s="2" t="s">
        <v>786</v>
      </c>
      <c r="E1737" s="2" t="s">
        <v>709</v>
      </c>
      <c r="F1737" s="2" t="str" cm="1">
        <f t="array" ref="F1737">INDEX(_xlfn.TEXTSPLIT(E1737,"-"),2)</f>
        <v>女装</v>
      </c>
      <c r="G1737" s="2" t="str" cm="1">
        <f t="array" ref="G1737">INDEX(_xlfn.TEXTSPLIT(E1737,"-"),3)</f>
        <v>套装/学生校服/工作制服</v>
      </c>
      <c r="H1737" s="5">
        <v>551801</v>
      </c>
      <c r="I1737" s="5">
        <v>80260117.99</v>
      </c>
      <c r="J1737" s="6">
        <v>0.0759</v>
      </c>
      <c r="K1737" s="6">
        <v>0.1677</v>
      </c>
    </row>
    <row r="1738" ht="14.5" spans="1:11">
      <c r="A1738" s="3" t="str">
        <f t="shared" si="102"/>
        <v>2026年</v>
      </c>
      <c r="B1738" s="3" t="str">
        <f t="shared" si="103"/>
        <v>2月</v>
      </c>
      <c r="C1738" s="4" t="str">
        <f t="shared" si="104"/>
        <v>W8</v>
      </c>
      <c r="D1738" s="2" t="s">
        <v>786</v>
      </c>
      <c r="E1738" s="2" t="s">
        <v>710</v>
      </c>
      <c r="F1738" s="2" t="str" cm="1">
        <f t="array" ref="F1738">INDEX(_xlfn.TEXTSPLIT(E1738,"-"),2)</f>
        <v>女装</v>
      </c>
      <c r="G1738" s="2" t="str" cm="1">
        <f t="array" ref="G1738">INDEX(_xlfn.TEXTSPLIT(E1738,"-"),3)</f>
        <v>婚纱/旗袍/礼服</v>
      </c>
      <c r="H1738" s="5">
        <v>48380</v>
      </c>
      <c r="I1738" s="5">
        <v>6691893.39</v>
      </c>
      <c r="J1738" s="6">
        <v>0.0063</v>
      </c>
      <c r="K1738" s="6">
        <v>-0.0703</v>
      </c>
    </row>
    <row r="1739" ht="14.5" spans="1:11">
      <c r="A1739" s="3" t="str">
        <f t="shared" si="102"/>
        <v>2026年</v>
      </c>
      <c r="B1739" s="3" t="str">
        <f t="shared" si="103"/>
        <v>2月</v>
      </c>
      <c r="C1739" s="4" t="str">
        <f t="shared" si="104"/>
        <v>W8</v>
      </c>
      <c r="D1739" s="2" t="s">
        <v>786</v>
      </c>
      <c r="E1739" s="2" t="s">
        <v>711</v>
      </c>
      <c r="F1739" s="2" t="str" cm="1">
        <f t="array" ref="F1739">INDEX(_xlfn.TEXTSPLIT(E1739,"-"),2)</f>
        <v>女装</v>
      </c>
      <c r="G1739" s="2" t="str" cm="1">
        <f t="array" ref="G1739">INDEX(_xlfn.TEXTSPLIT(E1739,"-"),3)</f>
        <v>新中式女装</v>
      </c>
      <c r="H1739" s="5">
        <v>39421</v>
      </c>
      <c r="I1739" s="5">
        <v>4971120.22</v>
      </c>
      <c r="J1739" s="6">
        <v>0.0047</v>
      </c>
      <c r="K1739" s="6">
        <v>0.0409</v>
      </c>
    </row>
    <row r="1740" ht="14.5" spans="1:11">
      <c r="A1740" s="3" t="str">
        <f t="shared" si="102"/>
        <v>2026年</v>
      </c>
      <c r="B1740" s="3" t="str">
        <f t="shared" si="103"/>
        <v>2月</v>
      </c>
      <c r="C1740" s="4" t="str">
        <f t="shared" si="104"/>
        <v>W8</v>
      </c>
      <c r="D1740" s="2" t="s">
        <v>786</v>
      </c>
      <c r="E1740" s="2" t="s">
        <v>712</v>
      </c>
      <c r="F1740" s="2" t="str" cm="1">
        <f t="array" ref="F1740">INDEX(_xlfn.TEXTSPLIT(E1740,"-"),2)</f>
        <v>女装</v>
      </c>
      <c r="G1740" s="2" t="str" cm="1">
        <f t="array" ref="G1740">INDEX(_xlfn.TEXTSPLIT(E1740,"-"),3)</f>
        <v>时尚防晒服</v>
      </c>
      <c r="H1740" s="5">
        <v>931</v>
      </c>
      <c r="I1740" s="5">
        <v>464401.71</v>
      </c>
      <c r="J1740" s="6">
        <v>0.0004</v>
      </c>
      <c r="K1740" s="6">
        <v>7.1286</v>
      </c>
    </row>
    <row r="1741" ht="14.5" spans="1:11">
      <c r="A1741" s="3" t="str">
        <f t="shared" si="102"/>
        <v>2026年</v>
      </c>
      <c r="B1741" s="3" t="str">
        <f t="shared" si="103"/>
        <v>2月</v>
      </c>
      <c r="C1741" s="4" t="str">
        <f t="shared" si="104"/>
        <v>W8</v>
      </c>
      <c r="D1741" s="2" t="s">
        <v>786</v>
      </c>
      <c r="E1741" s="2" t="s">
        <v>714</v>
      </c>
      <c r="F1741" s="2" t="str" cm="1">
        <f t="array" ref="F1741">INDEX(_xlfn.TEXTSPLIT(E1741,"-"),2)</f>
        <v>女装</v>
      </c>
      <c r="G1741" s="2" t="str" cm="1">
        <f t="array" ref="G1741">INDEX(_xlfn.TEXTSPLIT(E1741,"-"),3)</f>
        <v>棉衣/棉服</v>
      </c>
      <c r="H1741" s="5">
        <v>117400</v>
      </c>
      <c r="I1741" s="5">
        <v>11285775.17</v>
      </c>
      <c r="J1741" s="6">
        <v>0.0107</v>
      </c>
      <c r="K1741" s="6">
        <v>0.1322</v>
      </c>
    </row>
    <row r="1742" ht="14.5" spans="1:11">
      <c r="A1742" s="3" t="str">
        <f t="shared" si="102"/>
        <v>2026年</v>
      </c>
      <c r="B1742" s="3" t="str">
        <f t="shared" si="103"/>
        <v>2月</v>
      </c>
      <c r="C1742" s="4" t="str">
        <f t="shared" si="104"/>
        <v>W8</v>
      </c>
      <c r="D1742" s="2" t="s">
        <v>786</v>
      </c>
      <c r="E1742" s="2" t="s">
        <v>715</v>
      </c>
      <c r="F1742" s="2" t="str" cm="1">
        <f t="array" ref="F1742">INDEX(_xlfn.TEXTSPLIT(E1742,"-"),2)</f>
        <v>女装</v>
      </c>
      <c r="G1742" s="2" t="str" cm="1">
        <f t="array" ref="G1742">INDEX(_xlfn.TEXTSPLIT(E1742,"-"),3)</f>
        <v>毛呢外套</v>
      </c>
      <c r="H1742" s="5">
        <v>256184</v>
      </c>
      <c r="I1742" s="5">
        <v>77093922.34</v>
      </c>
      <c r="J1742" s="6">
        <v>0.0729</v>
      </c>
      <c r="K1742" s="6">
        <v>0.3408</v>
      </c>
    </row>
    <row r="1743" ht="14.5" spans="1:11">
      <c r="A1743" s="3" t="str">
        <f t="shared" si="102"/>
        <v>2026年</v>
      </c>
      <c r="B1743" s="3" t="str">
        <f t="shared" si="103"/>
        <v>2月</v>
      </c>
      <c r="C1743" s="4" t="str">
        <f t="shared" si="104"/>
        <v>W8</v>
      </c>
      <c r="D1743" s="2" t="s">
        <v>786</v>
      </c>
      <c r="E1743" s="2" t="s">
        <v>716</v>
      </c>
      <c r="F1743" s="2" t="str" cm="1">
        <f t="array" ref="F1743">INDEX(_xlfn.TEXTSPLIT(E1743,"-"),2)</f>
        <v>女装</v>
      </c>
      <c r="G1743" s="2" t="str" cm="1">
        <f t="array" ref="G1743">INDEX(_xlfn.TEXTSPLIT(E1743,"-"),3)</f>
        <v>毛衣</v>
      </c>
      <c r="H1743" s="5">
        <v>118963</v>
      </c>
      <c r="I1743" s="5">
        <v>11417366.48</v>
      </c>
      <c r="J1743" s="6">
        <v>0.0108</v>
      </c>
      <c r="K1743" s="6">
        <v>0.5696</v>
      </c>
    </row>
    <row r="1744" ht="14.5" spans="1:11">
      <c r="A1744" s="3" t="str">
        <f t="shared" si="102"/>
        <v>2026年</v>
      </c>
      <c r="B1744" s="3" t="str">
        <f t="shared" si="103"/>
        <v>2月</v>
      </c>
      <c r="C1744" s="4" t="str">
        <f t="shared" si="104"/>
        <v>W8</v>
      </c>
      <c r="D1744" s="2" t="s">
        <v>786</v>
      </c>
      <c r="E1744" s="2" t="s">
        <v>717</v>
      </c>
      <c r="F1744" s="2" t="str" cm="1">
        <f t="array" ref="F1744">INDEX(_xlfn.TEXTSPLIT(E1744,"-"),2)</f>
        <v>女装</v>
      </c>
      <c r="G1744" s="2" t="str" cm="1">
        <f t="array" ref="G1744">INDEX(_xlfn.TEXTSPLIT(E1744,"-"),3)</f>
        <v>毛针织衫</v>
      </c>
      <c r="H1744" s="5">
        <v>589095</v>
      </c>
      <c r="I1744" s="5">
        <v>54025739.38</v>
      </c>
      <c r="J1744" s="6">
        <v>0.0511</v>
      </c>
      <c r="K1744" s="6">
        <v>0.1491</v>
      </c>
    </row>
    <row r="1745" ht="14.5" spans="1:11">
      <c r="A1745" s="3" t="str">
        <f t="shared" si="102"/>
        <v>2026年</v>
      </c>
      <c r="B1745" s="3" t="str">
        <f t="shared" si="103"/>
        <v>2月</v>
      </c>
      <c r="C1745" s="4" t="str">
        <f t="shared" si="104"/>
        <v>W8</v>
      </c>
      <c r="D1745" s="2" t="s">
        <v>786</v>
      </c>
      <c r="E1745" s="2" t="s">
        <v>718</v>
      </c>
      <c r="F1745" s="2" t="str" cm="1">
        <f t="array" ref="F1745">INDEX(_xlfn.TEXTSPLIT(E1745,"-"),2)</f>
        <v>女装</v>
      </c>
      <c r="G1745" s="2" t="str" cm="1">
        <f t="array" ref="G1745">INDEX(_xlfn.TEXTSPLIT(E1745,"-"),3)</f>
        <v>汉服</v>
      </c>
      <c r="H1745" s="5">
        <v>79755</v>
      </c>
      <c r="I1745" s="5">
        <v>28760715.99</v>
      </c>
      <c r="J1745" s="6">
        <v>0.0272</v>
      </c>
      <c r="K1745" s="6">
        <v>0.0347</v>
      </c>
    </row>
    <row r="1746" ht="14.5" spans="1:11">
      <c r="A1746" s="3" t="str">
        <f t="shared" si="102"/>
        <v>2026年</v>
      </c>
      <c r="B1746" s="3" t="str">
        <f t="shared" si="103"/>
        <v>2月</v>
      </c>
      <c r="C1746" s="4" t="str">
        <f t="shared" si="104"/>
        <v>W8</v>
      </c>
      <c r="D1746" s="2" t="s">
        <v>786</v>
      </c>
      <c r="E1746" s="2" t="s">
        <v>719</v>
      </c>
      <c r="F1746" s="2" t="str" cm="1">
        <f t="array" ref="F1746">INDEX(_xlfn.TEXTSPLIT(E1746,"-"),2)</f>
        <v>女装</v>
      </c>
      <c r="G1746" s="2" t="str" cm="1">
        <f t="array" ref="G1746">INDEX(_xlfn.TEXTSPLIT(E1746,"-"),3)</f>
        <v>派克服</v>
      </c>
      <c r="H1746" s="5">
        <v>6206</v>
      </c>
      <c r="I1746" s="5">
        <v>863917.43</v>
      </c>
      <c r="J1746" s="6">
        <v>0.0008</v>
      </c>
      <c r="K1746" s="6">
        <v>0.0079</v>
      </c>
    </row>
    <row r="1747" ht="14.5" spans="1:11">
      <c r="A1747" s="3" t="str">
        <f t="shared" si="102"/>
        <v>2026年</v>
      </c>
      <c r="B1747" s="3" t="str">
        <f t="shared" si="103"/>
        <v>2月</v>
      </c>
      <c r="C1747" s="4" t="str">
        <f t="shared" si="104"/>
        <v>W8</v>
      </c>
      <c r="D1747" s="2" t="s">
        <v>786</v>
      </c>
      <c r="E1747" s="2" t="s">
        <v>720</v>
      </c>
      <c r="F1747" s="2" t="str" cm="1">
        <f t="array" ref="F1747">INDEX(_xlfn.TEXTSPLIT(E1747,"-"),2)</f>
        <v>女装</v>
      </c>
      <c r="G1747" s="2" t="str" cm="1">
        <f t="array" ref="G1747">INDEX(_xlfn.TEXTSPLIT(E1747,"-"),3)</f>
        <v>皮草</v>
      </c>
      <c r="H1747" s="5">
        <v>31671</v>
      </c>
      <c r="I1747" s="5">
        <v>64141213.17</v>
      </c>
      <c r="J1747" s="6">
        <v>0.0606</v>
      </c>
      <c r="K1747" s="6">
        <v>0.1942</v>
      </c>
    </row>
    <row r="1748" ht="14.5" spans="1:11">
      <c r="A1748" s="3" t="str">
        <f t="shared" si="102"/>
        <v>2026年</v>
      </c>
      <c r="B1748" s="3" t="str">
        <f t="shared" si="103"/>
        <v>2月</v>
      </c>
      <c r="C1748" s="4" t="str">
        <f t="shared" si="104"/>
        <v>W8</v>
      </c>
      <c r="D1748" s="2" t="s">
        <v>786</v>
      </c>
      <c r="E1748" s="2" t="s">
        <v>721</v>
      </c>
      <c r="F1748" s="2" t="str" cm="1">
        <f t="array" ref="F1748">INDEX(_xlfn.TEXTSPLIT(E1748,"-"),2)</f>
        <v>女装</v>
      </c>
      <c r="G1748" s="2" t="str" cm="1">
        <f t="array" ref="G1748">INDEX(_xlfn.TEXTSPLIT(E1748,"-"),3)</f>
        <v>皮衣</v>
      </c>
      <c r="H1748" s="5">
        <v>106434</v>
      </c>
      <c r="I1748" s="5">
        <v>30743746.52</v>
      </c>
      <c r="J1748" s="6">
        <v>0.0291</v>
      </c>
      <c r="K1748" s="6">
        <v>0.415</v>
      </c>
    </row>
    <row r="1749" ht="14.5" spans="1:11">
      <c r="A1749" s="3" t="str">
        <f t="shared" si="102"/>
        <v>2026年</v>
      </c>
      <c r="B1749" s="3" t="str">
        <f t="shared" si="103"/>
        <v>2月</v>
      </c>
      <c r="C1749" s="4" t="str">
        <f t="shared" si="104"/>
        <v>W8</v>
      </c>
      <c r="D1749" s="2" t="s">
        <v>786</v>
      </c>
      <c r="E1749" s="2" t="s">
        <v>722</v>
      </c>
      <c r="F1749" s="2" t="str" cm="1">
        <f t="array" ref="F1749">INDEX(_xlfn.TEXTSPLIT(E1749,"-"),2)</f>
        <v>女装</v>
      </c>
      <c r="G1749" s="2" t="str" cm="1">
        <f t="array" ref="G1749">INDEX(_xlfn.TEXTSPLIT(E1749,"-"),3)</f>
        <v>短外套</v>
      </c>
      <c r="H1749" s="5">
        <v>446764</v>
      </c>
      <c r="I1749" s="5">
        <v>99321352.79</v>
      </c>
      <c r="J1749" s="6">
        <v>0.0939</v>
      </c>
      <c r="K1749" s="6">
        <v>0.3403</v>
      </c>
    </row>
    <row r="1750" ht="14.5" spans="1:11">
      <c r="A1750" s="3" t="str">
        <f t="shared" si="102"/>
        <v>2026年</v>
      </c>
      <c r="B1750" s="3" t="str">
        <f t="shared" si="103"/>
        <v>2月</v>
      </c>
      <c r="C1750" s="4" t="str">
        <f t="shared" si="104"/>
        <v>W8</v>
      </c>
      <c r="D1750" s="2" t="s">
        <v>786</v>
      </c>
      <c r="E1750" s="2" t="s">
        <v>723</v>
      </c>
      <c r="F1750" s="2" t="str" cm="1">
        <f t="array" ref="F1750">INDEX(_xlfn.TEXTSPLIT(E1750,"-"),2)</f>
        <v>女装</v>
      </c>
      <c r="G1750" s="2" t="str" cm="1">
        <f t="array" ref="G1750">INDEX(_xlfn.TEXTSPLIT(E1750,"-"),3)</f>
        <v>短裤</v>
      </c>
      <c r="H1750" s="5">
        <v>54077</v>
      </c>
      <c r="I1750" s="5">
        <v>3334458.09</v>
      </c>
      <c r="J1750" s="6">
        <v>0.0032</v>
      </c>
      <c r="K1750" s="6">
        <v>0.3872</v>
      </c>
    </row>
    <row r="1751" ht="14.5" spans="1:11">
      <c r="A1751" s="3" t="str">
        <f t="shared" si="102"/>
        <v>2026年</v>
      </c>
      <c r="B1751" s="3" t="str">
        <f t="shared" si="103"/>
        <v>2月</v>
      </c>
      <c r="C1751" s="4" t="str">
        <f t="shared" si="104"/>
        <v>W8</v>
      </c>
      <c r="D1751" s="2" t="s">
        <v>786</v>
      </c>
      <c r="E1751" s="2" t="s">
        <v>724</v>
      </c>
      <c r="F1751" s="2" t="str" cm="1">
        <f t="array" ref="F1751">INDEX(_xlfn.TEXTSPLIT(E1751,"-"),2)</f>
        <v>女装</v>
      </c>
      <c r="G1751" s="2" t="str" cm="1">
        <f t="array" ref="G1751">INDEX(_xlfn.TEXTSPLIT(E1751,"-"),3)</f>
        <v>羊毛衫</v>
      </c>
      <c r="H1751" s="5">
        <v>78555</v>
      </c>
      <c r="I1751" s="5">
        <v>11403583.75</v>
      </c>
      <c r="J1751" s="6">
        <v>0.0108</v>
      </c>
      <c r="K1751" s="6">
        <v>0.1922</v>
      </c>
    </row>
    <row r="1752" ht="14.5" spans="1:11">
      <c r="A1752" s="3" t="str">
        <f t="shared" si="102"/>
        <v>2026年</v>
      </c>
      <c r="B1752" s="3" t="str">
        <f t="shared" si="103"/>
        <v>2月</v>
      </c>
      <c r="C1752" s="4" t="str">
        <f t="shared" si="104"/>
        <v>W8</v>
      </c>
      <c r="D1752" s="2" t="s">
        <v>786</v>
      </c>
      <c r="E1752" s="2" t="s">
        <v>725</v>
      </c>
      <c r="F1752" s="2" t="str" cm="1">
        <f t="array" ref="F1752">INDEX(_xlfn.TEXTSPLIT(E1752,"-"),2)</f>
        <v>女装</v>
      </c>
      <c r="G1752" s="2" t="str" cm="1">
        <f t="array" ref="G1752">INDEX(_xlfn.TEXTSPLIT(E1752,"-"),3)</f>
        <v>羊绒大衣</v>
      </c>
      <c r="H1752" s="5">
        <v>864</v>
      </c>
      <c r="I1752" s="5">
        <v>819596.29</v>
      </c>
      <c r="J1752" s="6">
        <v>0.0008</v>
      </c>
      <c r="K1752" s="6">
        <v>0.6375</v>
      </c>
    </row>
    <row r="1753" ht="14.5" spans="1:11">
      <c r="A1753" s="3" t="str">
        <f t="shared" si="102"/>
        <v>2026年</v>
      </c>
      <c r="B1753" s="3" t="str">
        <f t="shared" si="103"/>
        <v>2月</v>
      </c>
      <c r="C1753" s="4" t="str">
        <f t="shared" si="104"/>
        <v>W8</v>
      </c>
      <c r="D1753" s="2" t="s">
        <v>786</v>
      </c>
      <c r="E1753" s="2" t="s">
        <v>726</v>
      </c>
      <c r="F1753" s="2" t="str" cm="1">
        <f t="array" ref="F1753">INDEX(_xlfn.TEXTSPLIT(E1753,"-"),2)</f>
        <v>女装</v>
      </c>
      <c r="G1753" s="2" t="str" cm="1">
        <f t="array" ref="G1753">INDEX(_xlfn.TEXTSPLIT(E1753,"-"),3)</f>
        <v>羊绒衫</v>
      </c>
      <c r="H1753" s="5">
        <v>17814</v>
      </c>
      <c r="I1753" s="5">
        <v>6583826.57</v>
      </c>
      <c r="J1753" s="6">
        <v>0.0062</v>
      </c>
      <c r="K1753" s="6">
        <v>0.0475</v>
      </c>
    </row>
    <row r="1754" ht="14.5" spans="1:11">
      <c r="A1754" s="3" t="str">
        <f t="shared" si="102"/>
        <v>2026年</v>
      </c>
      <c r="B1754" s="3" t="str">
        <f t="shared" si="103"/>
        <v>2月</v>
      </c>
      <c r="C1754" s="4" t="str">
        <f t="shared" si="104"/>
        <v>W8</v>
      </c>
      <c r="D1754" s="2" t="s">
        <v>786</v>
      </c>
      <c r="E1754" s="2" t="s">
        <v>727</v>
      </c>
      <c r="F1754" s="2" t="str" cm="1">
        <f t="array" ref="F1754">INDEX(_xlfn.TEXTSPLIT(E1754,"-"),2)</f>
        <v>女装</v>
      </c>
      <c r="G1754" s="2" t="str" cm="1">
        <f t="array" ref="G1754">INDEX(_xlfn.TEXTSPLIT(E1754,"-"),3)</f>
        <v>羽绒服</v>
      </c>
      <c r="H1754" s="5">
        <v>234106</v>
      </c>
      <c r="I1754" s="5">
        <v>69738788.89</v>
      </c>
      <c r="J1754" s="6">
        <v>0.0659</v>
      </c>
      <c r="K1754" s="6">
        <v>0.2925</v>
      </c>
    </row>
    <row r="1755" ht="14.5" spans="1:11">
      <c r="A1755" s="3" t="str">
        <f t="shared" si="102"/>
        <v>2026年</v>
      </c>
      <c r="B1755" s="3" t="str">
        <f t="shared" si="103"/>
        <v>2月</v>
      </c>
      <c r="C1755" s="4" t="str">
        <f t="shared" si="104"/>
        <v>W8</v>
      </c>
      <c r="D1755" s="2" t="s">
        <v>786</v>
      </c>
      <c r="E1755" s="2" t="s">
        <v>728</v>
      </c>
      <c r="F1755" s="2" t="str" cm="1">
        <f t="array" ref="F1755">INDEX(_xlfn.TEXTSPLIT(E1755,"-"),2)</f>
        <v>女装</v>
      </c>
      <c r="G1755" s="2" t="str" cm="1">
        <f t="array" ref="G1755">INDEX(_xlfn.TEXTSPLIT(E1755,"-"),3)</f>
        <v>肌底衣/肌肤衣</v>
      </c>
      <c r="H1755" s="5">
        <v>1970</v>
      </c>
      <c r="I1755" s="5">
        <v>104610.61</v>
      </c>
      <c r="J1755" s="6">
        <v>0.0001</v>
      </c>
      <c r="K1755" s="7">
        <v>0.27</v>
      </c>
    </row>
    <row r="1756" ht="14.5" spans="1:11">
      <c r="A1756" s="3" t="str">
        <f t="shared" si="102"/>
        <v>2026年</v>
      </c>
      <c r="B1756" s="3" t="str">
        <f t="shared" si="103"/>
        <v>2月</v>
      </c>
      <c r="C1756" s="4" t="str">
        <f t="shared" si="104"/>
        <v>W8</v>
      </c>
      <c r="D1756" s="2" t="s">
        <v>786</v>
      </c>
      <c r="E1756" s="2" t="s">
        <v>729</v>
      </c>
      <c r="F1756" s="2" t="str" cm="1">
        <f t="array" ref="F1756">INDEX(_xlfn.TEXTSPLIT(E1756,"-"),2)</f>
        <v>女装</v>
      </c>
      <c r="G1756" s="2" t="str" cm="1">
        <f t="array" ref="G1756">INDEX(_xlfn.TEXTSPLIT(E1756,"-"),3)</f>
        <v>背心吊带</v>
      </c>
      <c r="H1756" s="5">
        <v>191487</v>
      </c>
      <c r="I1756" s="5">
        <v>11216026.74</v>
      </c>
      <c r="J1756" s="6">
        <v>0.0106</v>
      </c>
      <c r="K1756" s="6">
        <v>0.0699</v>
      </c>
    </row>
    <row r="1757" ht="14.5" spans="1:11">
      <c r="A1757" s="3" t="str">
        <f t="shared" si="102"/>
        <v>2026年</v>
      </c>
      <c r="B1757" s="3" t="str">
        <f t="shared" si="103"/>
        <v>2月</v>
      </c>
      <c r="C1757" s="4" t="str">
        <f t="shared" si="104"/>
        <v>W8</v>
      </c>
      <c r="D1757" s="2" t="s">
        <v>786</v>
      </c>
      <c r="E1757" s="2" t="s">
        <v>730</v>
      </c>
      <c r="F1757" s="2" t="str" cm="1">
        <f t="array" ref="F1757">INDEX(_xlfn.TEXTSPLIT(E1757,"-"),2)</f>
        <v>女装</v>
      </c>
      <c r="G1757" s="2" t="str" cm="1">
        <f t="array" ref="G1757">INDEX(_xlfn.TEXTSPLIT(E1757,"-"),3)</f>
        <v>蕾丝衫/雪纺衫</v>
      </c>
      <c r="H1757" s="5">
        <v>84294</v>
      </c>
      <c r="I1757" s="5">
        <v>6541004.02</v>
      </c>
      <c r="J1757" s="6">
        <v>0.0062</v>
      </c>
      <c r="K1757" s="6">
        <v>0.1751</v>
      </c>
    </row>
    <row r="1758" ht="14.5" spans="1:11">
      <c r="A1758" s="3" t="str">
        <f t="shared" ref="A1758:A1821" si="105">TEXT(YEAR(D1758),"0")&amp;"年"</f>
        <v>2026年</v>
      </c>
      <c r="B1758" s="3" t="str">
        <f t="shared" ref="B1758:B1821" si="106">TEXT(MONTH(D1758),"0")&amp;"月"</f>
        <v>2月</v>
      </c>
      <c r="C1758" s="4" t="str">
        <f t="shared" ref="C1758:C1821" si="107">"W"&amp;TEXT(WEEKNUM(D1758,2),"0")</f>
        <v>W8</v>
      </c>
      <c r="D1758" s="2" t="s">
        <v>786</v>
      </c>
      <c r="E1758" s="2" t="s">
        <v>731</v>
      </c>
      <c r="F1758" s="2" t="str" cm="1">
        <f t="array" ref="F1758">INDEX(_xlfn.TEXTSPLIT(E1758,"-"),2)</f>
        <v>女装</v>
      </c>
      <c r="G1758" s="2" t="str" cm="1">
        <f t="array" ref="G1758">INDEX(_xlfn.TEXTSPLIT(E1758,"-"),3)</f>
        <v>衬衫</v>
      </c>
      <c r="H1758" s="5">
        <v>371928</v>
      </c>
      <c r="I1758" s="5">
        <v>43400039.26</v>
      </c>
      <c r="J1758" s="6">
        <v>0.041</v>
      </c>
      <c r="K1758" s="6">
        <v>0.1783</v>
      </c>
    </row>
    <row r="1759" ht="14.5" spans="1:11">
      <c r="A1759" s="3" t="str">
        <f t="shared" si="105"/>
        <v>2026年</v>
      </c>
      <c r="B1759" s="3" t="str">
        <f t="shared" si="106"/>
        <v>2月</v>
      </c>
      <c r="C1759" s="4" t="str">
        <f t="shared" si="107"/>
        <v>W8</v>
      </c>
      <c r="D1759" s="2" t="s">
        <v>786</v>
      </c>
      <c r="E1759" s="2" t="s">
        <v>732</v>
      </c>
      <c r="F1759" s="2" t="str" cm="1">
        <f t="array" ref="F1759">INDEX(_xlfn.TEXTSPLIT(E1759,"-"),2)</f>
        <v>女装</v>
      </c>
      <c r="G1759" s="2" t="str" cm="1">
        <f t="array" ref="G1759">INDEX(_xlfn.TEXTSPLIT(E1759,"-"),3)</f>
        <v>裤子</v>
      </c>
      <c r="H1759" s="5">
        <v>1199038</v>
      </c>
      <c r="I1759" s="5">
        <v>133180219.13</v>
      </c>
      <c r="J1759" s="6">
        <v>0.1259</v>
      </c>
      <c r="K1759" s="6">
        <v>0.2202</v>
      </c>
    </row>
    <row r="1760" ht="14.5" spans="1:11">
      <c r="A1760" s="3" t="str">
        <f t="shared" si="105"/>
        <v>2026年</v>
      </c>
      <c r="B1760" s="3" t="str">
        <f t="shared" si="106"/>
        <v>2月</v>
      </c>
      <c r="C1760" s="4" t="str">
        <f t="shared" si="107"/>
        <v>W8</v>
      </c>
      <c r="D1760" s="2" t="s">
        <v>786</v>
      </c>
      <c r="E1760" s="2" t="s">
        <v>733</v>
      </c>
      <c r="F1760" s="2" t="str" cm="1">
        <f t="array" ref="F1760">INDEX(_xlfn.TEXTSPLIT(E1760,"-"),2)</f>
        <v>女装</v>
      </c>
      <c r="G1760" s="2" t="str" cm="1">
        <f t="array" ref="G1760">INDEX(_xlfn.TEXTSPLIT(E1760,"-"),3)</f>
        <v>西装</v>
      </c>
      <c r="H1760" s="5">
        <v>57971</v>
      </c>
      <c r="I1760" s="5">
        <v>13804686.6</v>
      </c>
      <c r="J1760" s="6">
        <v>0.0131</v>
      </c>
      <c r="K1760" s="6">
        <v>0.1941</v>
      </c>
    </row>
    <row r="1761" ht="14.5" spans="1:11">
      <c r="A1761" s="3" t="str">
        <f t="shared" si="105"/>
        <v>2026年</v>
      </c>
      <c r="B1761" s="3" t="str">
        <f t="shared" si="106"/>
        <v>2月</v>
      </c>
      <c r="C1761" s="4" t="str">
        <f t="shared" si="107"/>
        <v>W8</v>
      </c>
      <c r="D1761" s="2" t="s">
        <v>786</v>
      </c>
      <c r="E1761" s="2" t="s">
        <v>734</v>
      </c>
      <c r="F1761" s="2" t="str" cm="1">
        <f t="array" ref="F1761">INDEX(_xlfn.TEXTSPLIT(E1761,"-"),2)</f>
        <v>女装</v>
      </c>
      <c r="G1761" s="2" t="str" cm="1">
        <f t="array" ref="G1761">INDEX(_xlfn.TEXTSPLIT(E1761,"-"),3)</f>
        <v>设计师/潮牌女装</v>
      </c>
      <c r="H1761" s="5">
        <v>107338</v>
      </c>
      <c r="I1761" s="5">
        <v>19046624.57</v>
      </c>
      <c r="J1761" s="6">
        <v>0.018</v>
      </c>
      <c r="K1761" s="6">
        <v>0.1452</v>
      </c>
    </row>
    <row r="1762" ht="14.5" spans="1:11">
      <c r="A1762" s="3" t="str">
        <f t="shared" si="105"/>
        <v>2026年</v>
      </c>
      <c r="B1762" s="3" t="str">
        <f t="shared" si="106"/>
        <v>2月</v>
      </c>
      <c r="C1762" s="4" t="str">
        <f t="shared" si="107"/>
        <v>W8</v>
      </c>
      <c r="D1762" s="2" t="s">
        <v>786</v>
      </c>
      <c r="E1762" s="2" t="s">
        <v>735</v>
      </c>
      <c r="F1762" s="2" t="str" cm="1">
        <f t="array" ref="F1762">INDEX(_xlfn.TEXTSPLIT(E1762,"-"),2)</f>
        <v>女装</v>
      </c>
      <c r="G1762" s="2" t="str" cm="1">
        <f t="array" ref="G1762">INDEX(_xlfn.TEXTSPLIT(E1762,"-"),3)</f>
        <v>连体衣/裤</v>
      </c>
      <c r="H1762" s="5">
        <v>6524</v>
      </c>
      <c r="I1762" s="5">
        <v>2044434.1</v>
      </c>
      <c r="J1762" s="6">
        <v>0.0019</v>
      </c>
      <c r="K1762" s="6">
        <v>0.1896</v>
      </c>
    </row>
    <row r="1763" ht="14.5" spans="1:11">
      <c r="A1763" s="3" t="str">
        <f t="shared" si="105"/>
        <v>2026年</v>
      </c>
      <c r="B1763" s="3" t="str">
        <f t="shared" si="106"/>
        <v>2月</v>
      </c>
      <c r="C1763" s="4" t="str">
        <f t="shared" si="107"/>
        <v>W8</v>
      </c>
      <c r="D1763" s="2" t="s">
        <v>786</v>
      </c>
      <c r="E1763" s="2" t="s">
        <v>736</v>
      </c>
      <c r="F1763" s="2" t="str" cm="1">
        <f t="array" ref="F1763">INDEX(_xlfn.TEXTSPLIT(E1763,"-"),2)</f>
        <v>女装</v>
      </c>
      <c r="G1763" s="2" t="str" cm="1">
        <f t="array" ref="G1763">INDEX(_xlfn.TEXTSPLIT(E1763,"-"),3)</f>
        <v>连衣裙</v>
      </c>
      <c r="H1763" s="5">
        <v>407289</v>
      </c>
      <c r="I1763" s="5">
        <v>72785436.56</v>
      </c>
      <c r="J1763" s="6">
        <v>0.0688</v>
      </c>
      <c r="K1763" s="6">
        <v>0.232</v>
      </c>
    </row>
    <row r="1764" ht="14.5" spans="1:11">
      <c r="A1764" s="3" t="str">
        <f t="shared" si="105"/>
        <v>2026年</v>
      </c>
      <c r="B1764" s="3" t="str">
        <f t="shared" si="106"/>
        <v>2月</v>
      </c>
      <c r="C1764" s="4" t="str">
        <f t="shared" si="107"/>
        <v>W8</v>
      </c>
      <c r="D1764" s="2" t="s">
        <v>786</v>
      </c>
      <c r="E1764" s="2" t="s">
        <v>737</v>
      </c>
      <c r="F1764" s="2" t="str" cm="1">
        <f t="array" ref="F1764">INDEX(_xlfn.TEXTSPLIT(E1764,"-"),2)</f>
        <v>女装</v>
      </c>
      <c r="G1764" s="2" t="str" cm="1">
        <f t="array" ref="G1764">INDEX(_xlfn.TEXTSPLIT(E1764,"-"),3)</f>
        <v>风衣</v>
      </c>
      <c r="H1764" s="5">
        <v>79468</v>
      </c>
      <c r="I1764" s="5">
        <v>16889978.72</v>
      </c>
      <c r="J1764" s="6">
        <v>0.016</v>
      </c>
      <c r="K1764" s="6">
        <v>0.0453</v>
      </c>
    </row>
    <row r="1765" ht="14.5" spans="1:11">
      <c r="A1765" s="3" t="str">
        <f t="shared" si="105"/>
        <v>2026年</v>
      </c>
      <c r="B1765" s="3" t="str">
        <f t="shared" si="106"/>
        <v>2月</v>
      </c>
      <c r="C1765" s="4" t="str">
        <f t="shared" si="107"/>
        <v>W8</v>
      </c>
      <c r="D1765" s="2" t="s">
        <v>786</v>
      </c>
      <c r="E1765" s="2" t="s">
        <v>738</v>
      </c>
      <c r="F1765" s="2" t="str" cm="1">
        <f t="array" ref="F1765">INDEX(_xlfn.TEXTSPLIT(E1765,"-"),2)</f>
        <v>女装</v>
      </c>
      <c r="G1765" s="2" t="str" cm="1">
        <f t="array" ref="G1765">INDEX(_xlfn.TEXTSPLIT(E1765,"-"),3)</f>
        <v>马夹</v>
      </c>
      <c r="H1765" s="5">
        <v>220471</v>
      </c>
      <c r="I1765" s="5">
        <v>22384343.93</v>
      </c>
      <c r="J1765" s="6">
        <v>0.0212</v>
      </c>
      <c r="K1765" s="6">
        <v>0.1397</v>
      </c>
    </row>
    <row r="1766" ht="14.5" spans="1:11">
      <c r="A1766" s="3" t="str">
        <f t="shared" si="105"/>
        <v>2026年</v>
      </c>
      <c r="B1766" s="3" t="str">
        <f t="shared" si="106"/>
        <v>2月</v>
      </c>
      <c r="C1766" s="4" t="str">
        <f t="shared" si="107"/>
        <v>W8</v>
      </c>
      <c r="D1766" s="2" t="s">
        <v>787</v>
      </c>
      <c r="E1766" s="2" t="s">
        <v>702</v>
      </c>
      <c r="F1766" s="2" t="str" cm="1">
        <f t="array" ref="F1766">INDEX(_xlfn.TEXTSPLIT(E1766,"-"),2)</f>
        <v>女装</v>
      </c>
      <c r="G1766" s="2" t="str" cm="1">
        <f t="array" ref="G1766">INDEX(_xlfn.TEXTSPLIT(E1766,"-"),3)</f>
        <v>POLO衫</v>
      </c>
      <c r="H1766" s="5">
        <v>11114</v>
      </c>
      <c r="I1766" s="5">
        <v>994594.63</v>
      </c>
      <c r="J1766" s="6">
        <v>0.0009</v>
      </c>
      <c r="K1766" s="6">
        <v>0.0089</v>
      </c>
    </row>
    <row r="1767" ht="14.5" spans="1:11">
      <c r="A1767" s="3" t="str">
        <f t="shared" si="105"/>
        <v>2026年</v>
      </c>
      <c r="B1767" s="3" t="str">
        <f t="shared" si="106"/>
        <v>2月</v>
      </c>
      <c r="C1767" s="4" t="str">
        <f t="shared" si="107"/>
        <v>W8</v>
      </c>
      <c r="D1767" s="2" t="s">
        <v>787</v>
      </c>
      <c r="E1767" s="2" t="s">
        <v>703</v>
      </c>
      <c r="F1767" s="2" t="str" cm="1">
        <f t="array" ref="F1767">INDEX(_xlfn.TEXTSPLIT(E1767,"-"),2)</f>
        <v>女装</v>
      </c>
      <c r="G1767" s="2" t="str" cm="1">
        <f t="array" ref="G1767">INDEX(_xlfn.TEXTSPLIT(E1767,"-"),3)</f>
        <v>T恤</v>
      </c>
      <c r="H1767" s="5">
        <v>960754</v>
      </c>
      <c r="I1767" s="5">
        <v>57265672.46</v>
      </c>
      <c r="J1767" s="7">
        <v>0.05</v>
      </c>
      <c r="K1767" s="6">
        <v>0.0757</v>
      </c>
    </row>
    <row r="1768" ht="14.5" spans="1:11">
      <c r="A1768" s="3" t="str">
        <f t="shared" si="105"/>
        <v>2026年</v>
      </c>
      <c r="B1768" s="3" t="str">
        <f t="shared" si="106"/>
        <v>2月</v>
      </c>
      <c r="C1768" s="4" t="str">
        <f t="shared" si="107"/>
        <v>W8</v>
      </c>
      <c r="D1768" s="2" t="s">
        <v>787</v>
      </c>
      <c r="E1768" s="2" t="s">
        <v>704</v>
      </c>
      <c r="F1768" s="2" t="str" cm="1">
        <f t="array" ref="F1768">INDEX(_xlfn.TEXTSPLIT(E1768,"-"),2)</f>
        <v>女装</v>
      </c>
      <c r="G1768" s="2" t="str" cm="1">
        <f t="array" ref="G1768">INDEX(_xlfn.TEXTSPLIT(E1768,"-"),3)</f>
        <v>中老年女装</v>
      </c>
      <c r="H1768" s="5">
        <v>107287</v>
      </c>
      <c r="I1768" s="5">
        <v>9451415.96</v>
      </c>
      <c r="J1768" s="6">
        <v>0.0082</v>
      </c>
      <c r="K1768" s="6">
        <v>0.1592</v>
      </c>
    </row>
    <row r="1769" ht="14.5" spans="1:11">
      <c r="A1769" s="3" t="str">
        <f t="shared" si="105"/>
        <v>2026年</v>
      </c>
      <c r="B1769" s="3" t="str">
        <f t="shared" si="106"/>
        <v>2月</v>
      </c>
      <c r="C1769" s="4" t="str">
        <f t="shared" si="107"/>
        <v>W8</v>
      </c>
      <c r="D1769" s="2" t="s">
        <v>787</v>
      </c>
      <c r="E1769" s="2" t="s">
        <v>705</v>
      </c>
      <c r="F1769" s="2" t="str" cm="1">
        <f t="array" ref="F1769">INDEX(_xlfn.TEXTSPLIT(E1769,"-"),2)</f>
        <v>女装</v>
      </c>
      <c r="G1769" s="2" t="str" cm="1">
        <f t="array" ref="G1769">INDEX(_xlfn.TEXTSPLIT(E1769,"-"),3)</f>
        <v>半身裙</v>
      </c>
      <c r="H1769" s="5">
        <v>252756</v>
      </c>
      <c r="I1769" s="5">
        <v>31360832.05</v>
      </c>
      <c r="J1769" s="6">
        <v>0.0274</v>
      </c>
      <c r="K1769" s="6">
        <v>0.1961</v>
      </c>
    </row>
    <row r="1770" ht="14.5" spans="1:11">
      <c r="A1770" s="3" t="str">
        <f t="shared" si="105"/>
        <v>2026年</v>
      </c>
      <c r="B1770" s="3" t="str">
        <f t="shared" si="106"/>
        <v>2月</v>
      </c>
      <c r="C1770" s="4" t="str">
        <f t="shared" si="107"/>
        <v>W8</v>
      </c>
      <c r="D1770" s="2" t="s">
        <v>787</v>
      </c>
      <c r="E1770" s="2" t="s">
        <v>706</v>
      </c>
      <c r="F1770" s="2" t="str" cm="1">
        <f t="array" ref="F1770">INDEX(_xlfn.TEXTSPLIT(E1770,"-"),2)</f>
        <v>女装</v>
      </c>
      <c r="G1770" s="2" t="str" cm="1">
        <f t="array" ref="G1770">INDEX(_xlfn.TEXTSPLIT(E1770,"-"),3)</f>
        <v>卫衣/绒衫</v>
      </c>
      <c r="H1770" s="5">
        <v>191649</v>
      </c>
      <c r="I1770" s="5">
        <v>16607324.81</v>
      </c>
      <c r="J1770" s="6">
        <v>0.0145</v>
      </c>
      <c r="K1770" s="6">
        <v>-0.0557</v>
      </c>
    </row>
    <row r="1771" ht="14.5" spans="1:11">
      <c r="A1771" s="3" t="str">
        <f t="shared" si="105"/>
        <v>2026年</v>
      </c>
      <c r="B1771" s="3" t="str">
        <f t="shared" si="106"/>
        <v>2月</v>
      </c>
      <c r="C1771" s="4" t="str">
        <f t="shared" si="107"/>
        <v>W8</v>
      </c>
      <c r="D1771" s="2" t="s">
        <v>787</v>
      </c>
      <c r="E1771" s="2" t="s">
        <v>707</v>
      </c>
      <c r="F1771" s="2" t="str" cm="1">
        <f t="array" ref="F1771">INDEX(_xlfn.TEXTSPLIT(E1771,"-"),2)</f>
        <v>女装</v>
      </c>
      <c r="G1771" s="2" t="str" cm="1">
        <f t="array" ref="G1771">INDEX(_xlfn.TEXTSPLIT(E1771,"-"),3)</f>
        <v>唐装/民族服装/舞台服装</v>
      </c>
      <c r="H1771" s="5">
        <v>210232</v>
      </c>
      <c r="I1771" s="5">
        <v>35581047.98</v>
      </c>
      <c r="J1771" s="6">
        <v>0.0311</v>
      </c>
      <c r="K1771" s="6">
        <v>0.0554</v>
      </c>
    </row>
    <row r="1772" ht="14.5" spans="1:11">
      <c r="A1772" s="3" t="str">
        <f t="shared" si="105"/>
        <v>2026年</v>
      </c>
      <c r="B1772" s="3" t="str">
        <f t="shared" si="106"/>
        <v>2月</v>
      </c>
      <c r="C1772" s="4" t="str">
        <f t="shared" si="107"/>
        <v>W8</v>
      </c>
      <c r="D1772" s="2" t="s">
        <v>787</v>
      </c>
      <c r="E1772" s="2" t="s">
        <v>708</v>
      </c>
      <c r="F1772" s="2" t="str" cm="1">
        <f t="array" ref="F1772">INDEX(_xlfn.TEXTSPLIT(E1772,"-"),2)</f>
        <v>女装</v>
      </c>
      <c r="G1772" s="2" t="str" cm="1">
        <f t="array" ref="G1772">INDEX(_xlfn.TEXTSPLIT(E1772,"-"),3)</f>
        <v>大码女装</v>
      </c>
      <c r="H1772" s="5">
        <v>179253</v>
      </c>
      <c r="I1772" s="5">
        <v>14843282.41</v>
      </c>
      <c r="J1772" s="6">
        <v>0.013</v>
      </c>
      <c r="K1772" s="6">
        <v>0.0208</v>
      </c>
    </row>
    <row r="1773" ht="14.5" spans="1:11">
      <c r="A1773" s="3" t="str">
        <f t="shared" si="105"/>
        <v>2026年</v>
      </c>
      <c r="B1773" s="3" t="str">
        <f t="shared" si="106"/>
        <v>2月</v>
      </c>
      <c r="C1773" s="4" t="str">
        <f t="shared" si="107"/>
        <v>W8</v>
      </c>
      <c r="D1773" s="2" t="s">
        <v>787</v>
      </c>
      <c r="E1773" s="2" t="s">
        <v>709</v>
      </c>
      <c r="F1773" s="2" t="str" cm="1">
        <f t="array" ref="F1773">INDEX(_xlfn.TEXTSPLIT(E1773,"-"),2)</f>
        <v>女装</v>
      </c>
      <c r="G1773" s="2" t="str" cm="1">
        <f t="array" ref="G1773">INDEX(_xlfn.TEXTSPLIT(E1773,"-"),3)</f>
        <v>套装/学生校服/工作制服</v>
      </c>
      <c r="H1773" s="5">
        <v>608810</v>
      </c>
      <c r="I1773" s="5">
        <v>86457927.54</v>
      </c>
      <c r="J1773" s="6">
        <v>0.0755</v>
      </c>
      <c r="K1773" s="6">
        <v>0.0772</v>
      </c>
    </row>
    <row r="1774" ht="14.5" spans="1:11">
      <c r="A1774" s="3" t="str">
        <f t="shared" si="105"/>
        <v>2026年</v>
      </c>
      <c r="B1774" s="3" t="str">
        <f t="shared" si="106"/>
        <v>2月</v>
      </c>
      <c r="C1774" s="4" t="str">
        <f t="shared" si="107"/>
        <v>W8</v>
      </c>
      <c r="D1774" s="2" t="s">
        <v>787</v>
      </c>
      <c r="E1774" s="2" t="s">
        <v>710</v>
      </c>
      <c r="F1774" s="2" t="str" cm="1">
        <f t="array" ref="F1774">INDEX(_xlfn.TEXTSPLIT(E1774,"-"),2)</f>
        <v>女装</v>
      </c>
      <c r="G1774" s="2" t="str" cm="1">
        <f t="array" ref="G1774">INDEX(_xlfn.TEXTSPLIT(E1774,"-"),3)</f>
        <v>婚纱/旗袍/礼服</v>
      </c>
      <c r="H1774" s="5">
        <v>45758</v>
      </c>
      <c r="I1774" s="5">
        <v>7304339.15</v>
      </c>
      <c r="J1774" s="6">
        <v>0.0064</v>
      </c>
      <c r="K1774" s="6">
        <v>0.0915</v>
      </c>
    </row>
    <row r="1775" ht="14.5" spans="1:11">
      <c r="A1775" s="3" t="str">
        <f t="shared" si="105"/>
        <v>2026年</v>
      </c>
      <c r="B1775" s="3" t="str">
        <f t="shared" si="106"/>
        <v>2月</v>
      </c>
      <c r="C1775" s="4" t="str">
        <f t="shared" si="107"/>
        <v>W8</v>
      </c>
      <c r="D1775" s="2" t="s">
        <v>787</v>
      </c>
      <c r="E1775" s="2" t="s">
        <v>711</v>
      </c>
      <c r="F1775" s="2" t="str" cm="1">
        <f t="array" ref="F1775">INDEX(_xlfn.TEXTSPLIT(E1775,"-"),2)</f>
        <v>女装</v>
      </c>
      <c r="G1775" s="2" t="str" cm="1">
        <f t="array" ref="G1775">INDEX(_xlfn.TEXTSPLIT(E1775,"-"),3)</f>
        <v>新中式女装</v>
      </c>
      <c r="H1775" s="5">
        <v>26175</v>
      </c>
      <c r="I1775" s="5">
        <v>3430558.16</v>
      </c>
      <c r="J1775" s="6">
        <v>0.003</v>
      </c>
      <c r="K1775" s="6">
        <v>-0.3099</v>
      </c>
    </row>
    <row r="1776" ht="14.5" spans="1:11">
      <c r="A1776" s="3" t="str">
        <f t="shared" si="105"/>
        <v>2026年</v>
      </c>
      <c r="B1776" s="3" t="str">
        <f t="shared" si="106"/>
        <v>2月</v>
      </c>
      <c r="C1776" s="4" t="str">
        <f t="shared" si="107"/>
        <v>W8</v>
      </c>
      <c r="D1776" s="2" t="s">
        <v>787</v>
      </c>
      <c r="E1776" s="2" t="s">
        <v>712</v>
      </c>
      <c r="F1776" s="2" t="str" cm="1">
        <f t="array" ref="F1776">INDEX(_xlfn.TEXTSPLIT(E1776,"-"),2)</f>
        <v>女装</v>
      </c>
      <c r="G1776" s="2" t="str" cm="1">
        <f t="array" ref="G1776">INDEX(_xlfn.TEXTSPLIT(E1776,"-"),3)</f>
        <v>时尚防晒服</v>
      </c>
      <c r="H1776" s="5">
        <v>638</v>
      </c>
      <c r="I1776" s="5">
        <v>78096.68</v>
      </c>
      <c r="J1776" s="6">
        <v>0.0001</v>
      </c>
      <c r="K1776" s="6">
        <v>-0.8318</v>
      </c>
    </row>
    <row r="1777" ht="14.5" spans="1:11">
      <c r="A1777" s="3" t="str">
        <f t="shared" si="105"/>
        <v>2026年</v>
      </c>
      <c r="B1777" s="3" t="str">
        <f t="shared" si="106"/>
        <v>2月</v>
      </c>
      <c r="C1777" s="4" t="str">
        <f t="shared" si="107"/>
        <v>W8</v>
      </c>
      <c r="D1777" s="2" t="s">
        <v>787</v>
      </c>
      <c r="E1777" s="2" t="s">
        <v>714</v>
      </c>
      <c r="F1777" s="2" t="str" cm="1">
        <f t="array" ref="F1777">INDEX(_xlfn.TEXTSPLIT(E1777,"-"),2)</f>
        <v>女装</v>
      </c>
      <c r="G1777" s="2" t="str" cm="1">
        <f t="array" ref="G1777">INDEX(_xlfn.TEXTSPLIT(E1777,"-"),3)</f>
        <v>棉衣/棉服</v>
      </c>
      <c r="H1777" s="5">
        <v>133212</v>
      </c>
      <c r="I1777" s="5">
        <v>11834498.84</v>
      </c>
      <c r="J1777" s="6">
        <v>0.0103</v>
      </c>
      <c r="K1777" s="6">
        <v>0.0486</v>
      </c>
    </row>
    <row r="1778" ht="14.5" spans="1:11">
      <c r="A1778" s="3" t="str">
        <f t="shared" si="105"/>
        <v>2026年</v>
      </c>
      <c r="B1778" s="3" t="str">
        <f t="shared" si="106"/>
        <v>2月</v>
      </c>
      <c r="C1778" s="4" t="str">
        <f t="shared" si="107"/>
        <v>W8</v>
      </c>
      <c r="D1778" s="2" t="s">
        <v>787</v>
      </c>
      <c r="E1778" s="2" t="s">
        <v>715</v>
      </c>
      <c r="F1778" s="2" t="str" cm="1">
        <f t="array" ref="F1778">INDEX(_xlfn.TEXTSPLIT(E1778,"-"),2)</f>
        <v>女装</v>
      </c>
      <c r="G1778" s="2" t="str" cm="1">
        <f t="array" ref="G1778">INDEX(_xlfn.TEXTSPLIT(E1778,"-"),3)</f>
        <v>毛呢外套</v>
      </c>
      <c r="H1778" s="5">
        <v>290444</v>
      </c>
      <c r="I1778" s="5">
        <v>84369363.26</v>
      </c>
      <c r="J1778" s="6">
        <v>0.0736</v>
      </c>
      <c r="K1778" s="6">
        <v>0.0944</v>
      </c>
    </row>
    <row r="1779" ht="14.5" spans="1:11">
      <c r="A1779" s="3" t="str">
        <f t="shared" si="105"/>
        <v>2026年</v>
      </c>
      <c r="B1779" s="3" t="str">
        <f t="shared" si="106"/>
        <v>2月</v>
      </c>
      <c r="C1779" s="4" t="str">
        <f t="shared" si="107"/>
        <v>W8</v>
      </c>
      <c r="D1779" s="2" t="s">
        <v>787</v>
      </c>
      <c r="E1779" s="2" t="s">
        <v>716</v>
      </c>
      <c r="F1779" s="2" t="str" cm="1">
        <f t="array" ref="F1779">INDEX(_xlfn.TEXTSPLIT(E1779,"-"),2)</f>
        <v>女装</v>
      </c>
      <c r="G1779" s="2" t="str" cm="1">
        <f t="array" ref="G1779">INDEX(_xlfn.TEXTSPLIT(E1779,"-"),3)</f>
        <v>毛衣</v>
      </c>
      <c r="H1779" s="5">
        <v>113145</v>
      </c>
      <c r="I1779" s="5">
        <v>10127366.63</v>
      </c>
      <c r="J1779" s="6">
        <v>0.0088</v>
      </c>
      <c r="K1779" s="6">
        <v>-0.113</v>
      </c>
    </row>
    <row r="1780" ht="14.5" spans="1:11">
      <c r="A1780" s="3" t="str">
        <f t="shared" si="105"/>
        <v>2026年</v>
      </c>
      <c r="B1780" s="3" t="str">
        <f t="shared" si="106"/>
        <v>2月</v>
      </c>
      <c r="C1780" s="4" t="str">
        <f t="shared" si="107"/>
        <v>W8</v>
      </c>
      <c r="D1780" s="2" t="s">
        <v>787</v>
      </c>
      <c r="E1780" s="2" t="s">
        <v>717</v>
      </c>
      <c r="F1780" s="2" t="str" cm="1">
        <f t="array" ref="F1780">INDEX(_xlfn.TEXTSPLIT(E1780,"-"),2)</f>
        <v>女装</v>
      </c>
      <c r="G1780" s="2" t="str" cm="1">
        <f t="array" ref="G1780">INDEX(_xlfn.TEXTSPLIT(E1780,"-"),3)</f>
        <v>毛针织衫</v>
      </c>
      <c r="H1780" s="5">
        <v>702625</v>
      </c>
      <c r="I1780" s="5">
        <v>58615962.18</v>
      </c>
      <c r="J1780" s="6">
        <v>0.0512</v>
      </c>
      <c r="K1780" s="6">
        <v>0.085</v>
      </c>
    </row>
    <row r="1781" ht="14.5" spans="1:11">
      <c r="A1781" s="3" t="str">
        <f t="shared" si="105"/>
        <v>2026年</v>
      </c>
      <c r="B1781" s="3" t="str">
        <f t="shared" si="106"/>
        <v>2月</v>
      </c>
      <c r="C1781" s="4" t="str">
        <f t="shared" si="107"/>
        <v>W8</v>
      </c>
      <c r="D1781" s="2" t="s">
        <v>787</v>
      </c>
      <c r="E1781" s="2" t="s">
        <v>718</v>
      </c>
      <c r="F1781" s="2" t="str" cm="1">
        <f t="array" ref="F1781">INDEX(_xlfn.TEXTSPLIT(E1781,"-"),2)</f>
        <v>女装</v>
      </c>
      <c r="G1781" s="2" t="str" cm="1">
        <f t="array" ref="G1781">INDEX(_xlfn.TEXTSPLIT(E1781,"-"),3)</f>
        <v>汉服</v>
      </c>
      <c r="H1781" s="5">
        <v>130721</v>
      </c>
      <c r="I1781" s="5">
        <v>49691850.98</v>
      </c>
      <c r="J1781" s="6">
        <v>0.0434</v>
      </c>
      <c r="K1781" s="6">
        <v>0.7278</v>
      </c>
    </row>
    <row r="1782" ht="14.5" spans="1:11">
      <c r="A1782" s="3" t="str">
        <f t="shared" si="105"/>
        <v>2026年</v>
      </c>
      <c r="B1782" s="3" t="str">
        <f t="shared" si="106"/>
        <v>2月</v>
      </c>
      <c r="C1782" s="4" t="str">
        <f t="shared" si="107"/>
        <v>W8</v>
      </c>
      <c r="D1782" s="2" t="s">
        <v>787</v>
      </c>
      <c r="E1782" s="2" t="s">
        <v>719</v>
      </c>
      <c r="F1782" s="2" t="str" cm="1">
        <f t="array" ref="F1782">INDEX(_xlfn.TEXTSPLIT(E1782,"-"),2)</f>
        <v>女装</v>
      </c>
      <c r="G1782" s="2" t="str" cm="1">
        <f t="array" ref="G1782">INDEX(_xlfn.TEXTSPLIT(E1782,"-"),3)</f>
        <v>派克服</v>
      </c>
      <c r="H1782" s="5">
        <v>5171</v>
      </c>
      <c r="I1782" s="5">
        <v>759311.41</v>
      </c>
      <c r="J1782" s="6">
        <v>0.0007</v>
      </c>
      <c r="K1782" s="6">
        <v>-0.1211</v>
      </c>
    </row>
    <row r="1783" ht="14.5" spans="1:11">
      <c r="A1783" s="3" t="str">
        <f t="shared" si="105"/>
        <v>2026年</v>
      </c>
      <c r="B1783" s="3" t="str">
        <f t="shared" si="106"/>
        <v>2月</v>
      </c>
      <c r="C1783" s="4" t="str">
        <f t="shared" si="107"/>
        <v>W8</v>
      </c>
      <c r="D1783" s="2" t="s">
        <v>787</v>
      </c>
      <c r="E1783" s="2" t="s">
        <v>720</v>
      </c>
      <c r="F1783" s="2" t="str" cm="1">
        <f t="array" ref="F1783">INDEX(_xlfn.TEXTSPLIT(E1783,"-"),2)</f>
        <v>女装</v>
      </c>
      <c r="G1783" s="2" t="str" cm="1">
        <f t="array" ref="G1783">INDEX(_xlfn.TEXTSPLIT(E1783,"-"),3)</f>
        <v>皮草</v>
      </c>
      <c r="H1783" s="5">
        <v>30089</v>
      </c>
      <c r="I1783" s="5">
        <v>63511643.67</v>
      </c>
      <c r="J1783" s="6">
        <v>0.0554</v>
      </c>
      <c r="K1783" s="6">
        <v>-0.0098</v>
      </c>
    </row>
    <row r="1784" ht="14.5" spans="1:11">
      <c r="A1784" s="3" t="str">
        <f t="shared" si="105"/>
        <v>2026年</v>
      </c>
      <c r="B1784" s="3" t="str">
        <f t="shared" si="106"/>
        <v>2月</v>
      </c>
      <c r="C1784" s="4" t="str">
        <f t="shared" si="107"/>
        <v>W8</v>
      </c>
      <c r="D1784" s="2" t="s">
        <v>787</v>
      </c>
      <c r="E1784" s="2" t="s">
        <v>721</v>
      </c>
      <c r="F1784" s="2" t="str" cm="1">
        <f t="array" ref="F1784">INDEX(_xlfn.TEXTSPLIT(E1784,"-"),2)</f>
        <v>女装</v>
      </c>
      <c r="G1784" s="2" t="str" cm="1">
        <f t="array" ref="G1784">INDEX(_xlfn.TEXTSPLIT(E1784,"-"),3)</f>
        <v>皮衣</v>
      </c>
      <c r="H1784" s="5">
        <v>135791</v>
      </c>
      <c r="I1784" s="5">
        <v>37413443.15</v>
      </c>
      <c r="J1784" s="6">
        <v>0.0327</v>
      </c>
      <c r="K1784" s="6">
        <v>0.2169</v>
      </c>
    </row>
    <row r="1785" ht="14.5" spans="1:11">
      <c r="A1785" s="3" t="str">
        <f t="shared" si="105"/>
        <v>2026年</v>
      </c>
      <c r="B1785" s="3" t="str">
        <f t="shared" si="106"/>
        <v>2月</v>
      </c>
      <c r="C1785" s="4" t="str">
        <f t="shared" si="107"/>
        <v>W8</v>
      </c>
      <c r="D1785" s="2" t="s">
        <v>787</v>
      </c>
      <c r="E1785" s="2" t="s">
        <v>722</v>
      </c>
      <c r="F1785" s="2" t="str" cm="1">
        <f t="array" ref="F1785">INDEX(_xlfn.TEXTSPLIT(E1785,"-"),2)</f>
        <v>女装</v>
      </c>
      <c r="G1785" s="2" t="str" cm="1">
        <f t="array" ref="G1785">INDEX(_xlfn.TEXTSPLIT(E1785,"-"),3)</f>
        <v>短外套</v>
      </c>
      <c r="H1785" s="5">
        <v>500471</v>
      </c>
      <c r="I1785" s="5">
        <v>110839938.59</v>
      </c>
      <c r="J1785" s="6">
        <v>0.0967</v>
      </c>
      <c r="K1785" s="6">
        <v>0.116</v>
      </c>
    </row>
    <row r="1786" ht="14.5" spans="1:11">
      <c r="A1786" s="3" t="str">
        <f t="shared" si="105"/>
        <v>2026年</v>
      </c>
      <c r="B1786" s="3" t="str">
        <f t="shared" si="106"/>
        <v>2月</v>
      </c>
      <c r="C1786" s="4" t="str">
        <f t="shared" si="107"/>
        <v>W8</v>
      </c>
      <c r="D1786" s="2" t="s">
        <v>787</v>
      </c>
      <c r="E1786" s="2" t="s">
        <v>723</v>
      </c>
      <c r="F1786" s="2" t="str" cm="1">
        <f t="array" ref="F1786">INDEX(_xlfn.TEXTSPLIT(E1786,"-"),2)</f>
        <v>女装</v>
      </c>
      <c r="G1786" s="2" t="str" cm="1">
        <f t="array" ref="G1786">INDEX(_xlfn.TEXTSPLIT(E1786,"-"),3)</f>
        <v>短裤</v>
      </c>
      <c r="H1786" s="5">
        <v>58785</v>
      </c>
      <c r="I1786" s="5">
        <v>4131815.63</v>
      </c>
      <c r="J1786" s="6">
        <v>0.0036</v>
      </c>
      <c r="K1786" s="6">
        <v>0.2391</v>
      </c>
    </row>
    <row r="1787" ht="14.5" spans="1:11">
      <c r="A1787" s="3" t="str">
        <f t="shared" si="105"/>
        <v>2026年</v>
      </c>
      <c r="B1787" s="3" t="str">
        <f t="shared" si="106"/>
        <v>2月</v>
      </c>
      <c r="C1787" s="4" t="str">
        <f t="shared" si="107"/>
        <v>W8</v>
      </c>
      <c r="D1787" s="2" t="s">
        <v>787</v>
      </c>
      <c r="E1787" s="2" t="s">
        <v>724</v>
      </c>
      <c r="F1787" s="2" t="str" cm="1">
        <f t="array" ref="F1787">INDEX(_xlfn.TEXTSPLIT(E1787,"-"),2)</f>
        <v>女装</v>
      </c>
      <c r="G1787" s="2" t="str" cm="1">
        <f t="array" ref="G1787">INDEX(_xlfn.TEXTSPLIT(E1787,"-"),3)</f>
        <v>羊毛衫</v>
      </c>
      <c r="H1787" s="5">
        <v>92221</v>
      </c>
      <c r="I1787" s="5">
        <v>11651013.63</v>
      </c>
      <c r="J1787" s="6">
        <v>0.0102</v>
      </c>
      <c r="K1787" s="6">
        <v>0.0217</v>
      </c>
    </row>
    <row r="1788" ht="14.5" spans="1:11">
      <c r="A1788" s="3" t="str">
        <f t="shared" si="105"/>
        <v>2026年</v>
      </c>
      <c r="B1788" s="3" t="str">
        <f t="shared" si="106"/>
        <v>2月</v>
      </c>
      <c r="C1788" s="4" t="str">
        <f t="shared" si="107"/>
        <v>W8</v>
      </c>
      <c r="D1788" s="2" t="s">
        <v>787</v>
      </c>
      <c r="E1788" s="2" t="s">
        <v>725</v>
      </c>
      <c r="F1788" s="2" t="str" cm="1">
        <f t="array" ref="F1788">INDEX(_xlfn.TEXTSPLIT(E1788,"-"),2)</f>
        <v>女装</v>
      </c>
      <c r="G1788" s="2" t="str" cm="1">
        <f t="array" ref="G1788">INDEX(_xlfn.TEXTSPLIT(E1788,"-"),3)</f>
        <v>羊绒大衣</v>
      </c>
      <c r="H1788" s="5">
        <v>1126</v>
      </c>
      <c r="I1788" s="5">
        <v>574156.23</v>
      </c>
      <c r="J1788" s="6">
        <v>0.0005</v>
      </c>
      <c r="K1788" s="6">
        <v>-0.2995</v>
      </c>
    </row>
    <row r="1789" ht="14.5" spans="1:11">
      <c r="A1789" s="3" t="str">
        <f t="shared" si="105"/>
        <v>2026年</v>
      </c>
      <c r="B1789" s="3" t="str">
        <f t="shared" si="106"/>
        <v>2月</v>
      </c>
      <c r="C1789" s="4" t="str">
        <f t="shared" si="107"/>
        <v>W8</v>
      </c>
      <c r="D1789" s="2" t="s">
        <v>787</v>
      </c>
      <c r="E1789" s="2" t="s">
        <v>726</v>
      </c>
      <c r="F1789" s="2" t="str" cm="1">
        <f t="array" ref="F1789">INDEX(_xlfn.TEXTSPLIT(E1789,"-"),2)</f>
        <v>女装</v>
      </c>
      <c r="G1789" s="2" t="str" cm="1">
        <f t="array" ref="G1789">INDEX(_xlfn.TEXTSPLIT(E1789,"-"),3)</f>
        <v>羊绒衫</v>
      </c>
      <c r="H1789" s="5">
        <v>20703</v>
      </c>
      <c r="I1789" s="5">
        <v>7471344.85</v>
      </c>
      <c r="J1789" s="6">
        <v>0.0065</v>
      </c>
      <c r="K1789" s="6">
        <v>0.1348</v>
      </c>
    </row>
    <row r="1790" ht="14.5" spans="1:11">
      <c r="A1790" s="3" t="str">
        <f t="shared" si="105"/>
        <v>2026年</v>
      </c>
      <c r="B1790" s="3" t="str">
        <f t="shared" si="106"/>
        <v>2月</v>
      </c>
      <c r="C1790" s="4" t="str">
        <f t="shared" si="107"/>
        <v>W8</v>
      </c>
      <c r="D1790" s="2" t="s">
        <v>787</v>
      </c>
      <c r="E1790" s="2" t="s">
        <v>727</v>
      </c>
      <c r="F1790" s="2" t="str" cm="1">
        <f t="array" ref="F1790">INDEX(_xlfn.TEXTSPLIT(E1790,"-"),2)</f>
        <v>女装</v>
      </c>
      <c r="G1790" s="2" t="str" cm="1">
        <f t="array" ref="G1790">INDEX(_xlfn.TEXTSPLIT(E1790,"-"),3)</f>
        <v>羽绒服</v>
      </c>
      <c r="H1790" s="5">
        <v>201886</v>
      </c>
      <c r="I1790" s="5">
        <v>60124160.53</v>
      </c>
      <c r="J1790" s="6">
        <v>0.0525</v>
      </c>
      <c r="K1790" s="6">
        <v>-0.1379</v>
      </c>
    </row>
    <row r="1791" ht="14.5" spans="1:11">
      <c r="A1791" s="3" t="str">
        <f t="shared" si="105"/>
        <v>2026年</v>
      </c>
      <c r="B1791" s="3" t="str">
        <f t="shared" si="106"/>
        <v>2月</v>
      </c>
      <c r="C1791" s="4" t="str">
        <f t="shared" si="107"/>
        <v>W8</v>
      </c>
      <c r="D1791" s="2" t="s">
        <v>787</v>
      </c>
      <c r="E1791" s="2" t="s">
        <v>728</v>
      </c>
      <c r="F1791" s="2" t="str" cm="1">
        <f t="array" ref="F1791">INDEX(_xlfn.TEXTSPLIT(E1791,"-"),2)</f>
        <v>女装</v>
      </c>
      <c r="G1791" s="2" t="str" cm="1">
        <f t="array" ref="G1791">INDEX(_xlfn.TEXTSPLIT(E1791,"-"),3)</f>
        <v>肌底衣/肌肤衣</v>
      </c>
      <c r="H1791" s="5">
        <v>2600</v>
      </c>
      <c r="I1791" s="5">
        <v>131395.14</v>
      </c>
      <c r="J1791" s="6">
        <v>0.0001</v>
      </c>
      <c r="K1791" s="6">
        <v>0.256</v>
      </c>
    </row>
    <row r="1792" ht="14.5" spans="1:11">
      <c r="A1792" s="3" t="str">
        <f t="shared" si="105"/>
        <v>2026年</v>
      </c>
      <c r="B1792" s="3" t="str">
        <f t="shared" si="106"/>
        <v>2月</v>
      </c>
      <c r="C1792" s="4" t="str">
        <f t="shared" si="107"/>
        <v>W8</v>
      </c>
      <c r="D1792" s="2" t="s">
        <v>787</v>
      </c>
      <c r="E1792" s="2" t="s">
        <v>729</v>
      </c>
      <c r="F1792" s="2" t="str" cm="1">
        <f t="array" ref="F1792">INDEX(_xlfn.TEXTSPLIT(E1792,"-"),2)</f>
        <v>女装</v>
      </c>
      <c r="G1792" s="2" t="str" cm="1">
        <f t="array" ref="G1792">INDEX(_xlfn.TEXTSPLIT(E1792,"-"),3)</f>
        <v>背心吊带</v>
      </c>
      <c r="H1792" s="5">
        <v>197221</v>
      </c>
      <c r="I1792" s="5">
        <v>11589670.9</v>
      </c>
      <c r="J1792" s="6">
        <v>0.0101</v>
      </c>
      <c r="K1792" s="6">
        <v>0.0333</v>
      </c>
    </row>
    <row r="1793" ht="14.5" spans="1:11">
      <c r="A1793" s="3" t="str">
        <f t="shared" si="105"/>
        <v>2026年</v>
      </c>
      <c r="B1793" s="3" t="str">
        <f t="shared" si="106"/>
        <v>2月</v>
      </c>
      <c r="C1793" s="4" t="str">
        <f t="shared" si="107"/>
        <v>W8</v>
      </c>
      <c r="D1793" s="2" t="s">
        <v>787</v>
      </c>
      <c r="E1793" s="2" t="s">
        <v>730</v>
      </c>
      <c r="F1793" s="2" t="str" cm="1">
        <f t="array" ref="F1793">INDEX(_xlfn.TEXTSPLIT(E1793,"-"),2)</f>
        <v>女装</v>
      </c>
      <c r="G1793" s="2" t="str" cm="1">
        <f t="array" ref="G1793">INDEX(_xlfn.TEXTSPLIT(E1793,"-"),3)</f>
        <v>蕾丝衫/雪纺衫</v>
      </c>
      <c r="H1793" s="5">
        <v>94483</v>
      </c>
      <c r="I1793" s="5">
        <v>7392028.05</v>
      </c>
      <c r="J1793" s="6">
        <v>0.0065</v>
      </c>
      <c r="K1793" s="6">
        <v>0.1301</v>
      </c>
    </row>
    <row r="1794" ht="14.5" spans="1:11">
      <c r="A1794" s="3" t="str">
        <f t="shared" si="105"/>
        <v>2026年</v>
      </c>
      <c r="B1794" s="3" t="str">
        <f t="shared" si="106"/>
        <v>2月</v>
      </c>
      <c r="C1794" s="4" t="str">
        <f t="shared" si="107"/>
        <v>W8</v>
      </c>
      <c r="D1794" s="2" t="s">
        <v>787</v>
      </c>
      <c r="E1794" s="2" t="s">
        <v>731</v>
      </c>
      <c r="F1794" s="2" t="str" cm="1">
        <f t="array" ref="F1794">INDEX(_xlfn.TEXTSPLIT(E1794,"-"),2)</f>
        <v>女装</v>
      </c>
      <c r="G1794" s="2" t="str" cm="1">
        <f t="array" ref="G1794">INDEX(_xlfn.TEXTSPLIT(E1794,"-"),3)</f>
        <v>衬衫</v>
      </c>
      <c r="H1794" s="5">
        <v>427813</v>
      </c>
      <c r="I1794" s="5">
        <v>48119902.86</v>
      </c>
      <c r="J1794" s="6">
        <v>0.042</v>
      </c>
      <c r="K1794" s="6">
        <v>0.1088</v>
      </c>
    </row>
    <row r="1795" ht="14.5" spans="1:11">
      <c r="A1795" s="3" t="str">
        <f t="shared" si="105"/>
        <v>2026年</v>
      </c>
      <c r="B1795" s="3" t="str">
        <f t="shared" si="106"/>
        <v>2月</v>
      </c>
      <c r="C1795" s="4" t="str">
        <f t="shared" si="107"/>
        <v>W8</v>
      </c>
      <c r="D1795" s="2" t="s">
        <v>787</v>
      </c>
      <c r="E1795" s="2" t="s">
        <v>732</v>
      </c>
      <c r="F1795" s="2" t="str" cm="1">
        <f t="array" ref="F1795">INDEX(_xlfn.TEXTSPLIT(E1795,"-"),2)</f>
        <v>女装</v>
      </c>
      <c r="G1795" s="2" t="str" cm="1">
        <f t="array" ref="G1795">INDEX(_xlfn.TEXTSPLIT(E1795,"-"),3)</f>
        <v>裤子</v>
      </c>
      <c r="H1795" s="5">
        <v>1377786</v>
      </c>
      <c r="I1795" s="5">
        <v>148870117.21</v>
      </c>
      <c r="J1795" s="6">
        <v>0.1299</v>
      </c>
      <c r="K1795" s="6">
        <v>0.1178</v>
      </c>
    </row>
    <row r="1796" ht="14.5" spans="1:11">
      <c r="A1796" s="3" t="str">
        <f t="shared" si="105"/>
        <v>2026年</v>
      </c>
      <c r="B1796" s="3" t="str">
        <f t="shared" si="106"/>
        <v>2月</v>
      </c>
      <c r="C1796" s="4" t="str">
        <f t="shared" si="107"/>
        <v>W8</v>
      </c>
      <c r="D1796" s="2" t="s">
        <v>787</v>
      </c>
      <c r="E1796" s="2" t="s">
        <v>733</v>
      </c>
      <c r="F1796" s="2" t="str" cm="1">
        <f t="array" ref="F1796">INDEX(_xlfn.TEXTSPLIT(E1796,"-"),2)</f>
        <v>女装</v>
      </c>
      <c r="G1796" s="2" t="str" cm="1">
        <f t="array" ref="G1796">INDEX(_xlfn.TEXTSPLIT(E1796,"-"),3)</f>
        <v>西装</v>
      </c>
      <c r="H1796" s="5">
        <v>65073</v>
      </c>
      <c r="I1796" s="5">
        <v>16004148.67</v>
      </c>
      <c r="J1796" s="6">
        <v>0.014</v>
      </c>
      <c r="K1796" s="6">
        <v>0.1593</v>
      </c>
    </row>
    <row r="1797" ht="14.5" spans="1:11">
      <c r="A1797" s="3" t="str">
        <f t="shared" si="105"/>
        <v>2026年</v>
      </c>
      <c r="B1797" s="3" t="str">
        <f t="shared" si="106"/>
        <v>2月</v>
      </c>
      <c r="C1797" s="4" t="str">
        <f t="shared" si="107"/>
        <v>W8</v>
      </c>
      <c r="D1797" s="2" t="s">
        <v>787</v>
      </c>
      <c r="E1797" s="2" t="s">
        <v>734</v>
      </c>
      <c r="F1797" s="2" t="str" cm="1">
        <f t="array" ref="F1797">INDEX(_xlfn.TEXTSPLIT(E1797,"-"),2)</f>
        <v>女装</v>
      </c>
      <c r="G1797" s="2" t="str" cm="1">
        <f t="array" ref="G1797">INDEX(_xlfn.TEXTSPLIT(E1797,"-"),3)</f>
        <v>设计师/潮牌女装</v>
      </c>
      <c r="H1797" s="5">
        <v>104068</v>
      </c>
      <c r="I1797" s="5">
        <v>19318176.73</v>
      </c>
      <c r="J1797" s="6">
        <v>0.0169</v>
      </c>
      <c r="K1797" s="6">
        <v>0.0143</v>
      </c>
    </row>
    <row r="1798" ht="14.5" spans="1:11">
      <c r="A1798" s="3" t="str">
        <f t="shared" si="105"/>
        <v>2026年</v>
      </c>
      <c r="B1798" s="3" t="str">
        <f t="shared" si="106"/>
        <v>2月</v>
      </c>
      <c r="C1798" s="4" t="str">
        <f t="shared" si="107"/>
        <v>W8</v>
      </c>
      <c r="D1798" s="2" t="s">
        <v>787</v>
      </c>
      <c r="E1798" s="2" t="s">
        <v>735</v>
      </c>
      <c r="F1798" s="2" t="str" cm="1">
        <f t="array" ref="F1798">INDEX(_xlfn.TEXTSPLIT(E1798,"-"),2)</f>
        <v>女装</v>
      </c>
      <c r="G1798" s="2" t="str" cm="1">
        <f t="array" ref="G1798">INDEX(_xlfn.TEXTSPLIT(E1798,"-"),3)</f>
        <v>连体衣/裤</v>
      </c>
      <c r="H1798" s="5">
        <v>6717</v>
      </c>
      <c r="I1798" s="5">
        <v>1725970.23</v>
      </c>
      <c r="J1798" s="6">
        <v>0.0015</v>
      </c>
      <c r="K1798" s="6">
        <v>-0.1558</v>
      </c>
    </row>
    <row r="1799" ht="14.5" spans="1:11">
      <c r="A1799" s="3" t="str">
        <f t="shared" si="105"/>
        <v>2026年</v>
      </c>
      <c r="B1799" s="3" t="str">
        <f t="shared" si="106"/>
        <v>2月</v>
      </c>
      <c r="C1799" s="4" t="str">
        <f t="shared" si="107"/>
        <v>W8</v>
      </c>
      <c r="D1799" s="2" t="s">
        <v>787</v>
      </c>
      <c r="E1799" s="2" t="s">
        <v>736</v>
      </c>
      <c r="F1799" s="2" t="str" cm="1">
        <f t="array" ref="F1799">INDEX(_xlfn.TEXTSPLIT(E1799,"-"),2)</f>
        <v>女装</v>
      </c>
      <c r="G1799" s="2" t="str" cm="1">
        <f t="array" ref="G1799">INDEX(_xlfn.TEXTSPLIT(E1799,"-"),3)</f>
        <v>连衣裙</v>
      </c>
      <c r="H1799" s="5">
        <v>429830</v>
      </c>
      <c r="I1799" s="5">
        <v>74658331.14</v>
      </c>
      <c r="J1799" s="6">
        <v>0.0652</v>
      </c>
      <c r="K1799" s="6">
        <v>0.0257</v>
      </c>
    </row>
    <row r="1800" ht="14.5" spans="1:11">
      <c r="A1800" s="3" t="str">
        <f t="shared" si="105"/>
        <v>2026年</v>
      </c>
      <c r="B1800" s="3" t="str">
        <f t="shared" si="106"/>
        <v>2月</v>
      </c>
      <c r="C1800" s="4" t="str">
        <f t="shared" si="107"/>
        <v>W8</v>
      </c>
      <c r="D1800" s="2" t="s">
        <v>787</v>
      </c>
      <c r="E1800" s="2" t="s">
        <v>737</v>
      </c>
      <c r="F1800" s="2" t="str" cm="1">
        <f t="array" ref="F1800">INDEX(_xlfn.TEXTSPLIT(E1800,"-"),2)</f>
        <v>女装</v>
      </c>
      <c r="G1800" s="2" t="str" cm="1">
        <f t="array" ref="G1800">INDEX(_xlfn.TEXTSPLIT(E1800,"-"),3)</f>
        <v>风衣</v>
      </c>
      <c r="H1800" s="5">
        <v>80692</v>
      </c>
      <c r="I1800" s="5">
        <v>18848257.14</v>
      </c>
      <c r="J1800" s="6">
        <v>0.0165</v>
      </c>
      <c r="K1800" s="6">
        <v>0.1159</v>
      </c>
    </row>
    <row r="1801" ht="14.5" spans="1:11">
      <c r="A1801" s="3" t="str">
        <f t="shared" si="105"/>
        <v>2026年</v>
      </c>
      <c r="B1801" s="3" t="str">
        <f t="shared" si="106"/>
        <v>2月</v>
      </c>
      <c r="C1801" s="4" t="str">
        <f t="shared" si="107"/>
        <v>W8</v>
      </c>
      <c r="D1801" s="2" t="s">
        <v>787</v>
      </c>
      <c r="E1801" s="2" t="s">
        <v>738</v>
      </c>
      <c r="F1801" s="2" t="str" cm="1">
        <f t="array" ref="F1801">INDEX(_xlfn.TEXTSPLIT(E1801,"-"),2)</f>
        <v>女装</v>
      </c>
      <c r="G1801" s="2" t="str" cm="1">
        <f t="array" ref="G1801">INDEX(_xlfn.TEXTSPLIT(E1801,"-"),3)</f>
        <v>马夹</v>
      </c>
      <c r="H1801" s="5">
        <v>238691</v>
      </c>
      <c r="I1801" s="5">
        <v>24610062.27</v>
      </c>
      <c r="J1801" s="6">
        <v>0.0215</v>
      </c>
      <c r="K1801" s="6">
        <v>0.0994</v>
      </c>
    </row>
    <row r="1802" ht="14.5" spans="1:11">
      <c r="A1802" s="3" t="str">
        <f t="shared" si="105"/>
        <v>2026年</v>
      </c>
      <c r="B1802" s="3" t="str">
        <f t="shared" si="106"/>
        <v>2月</v>
      </c>
      <c r="C1802" s="4" t="str">
        <f t="shared" si="107"/>
        <v>W8</v>
      </c>
      <c r="D1802" s="2" t="s">
        <v>788</v>
      </c>
      <c r="E1802" s="2" t="s">
        <v>702</v>
      </c>
      <c r="F1802" s="2" t="str" cm="1">
        <f t="array" ref="F1802">INDEX(_xlfn.TEXTSPLIT(E1802,"-"),2)</f>
        <v>女装</v>
      </c>
      <c r="G1802" s="2" t="str" cm="1">
        <f t="array" ref="G1802">INDEX(_xlfn.TEXTSPLIT(E1802,"-"),3)</f>
        <v>POLO衫</v>
      </c>
      <c r="H1802" s="5">
        <v>16549</v>
      </c>
      <c r="I1802" s="5">
        <v>1089154.89</v>
      </c>
      <c r="J1802" s="6">
        <v>0.0009</v>
      </c>
      <c r="K1802" s="6">
        <v>0.0951</v>
      </c>
    </row>
    <row r="1803" ht="14.5" spans="1:11">
      <c r="A1803" s="3" t="str">
        <f t="shared" si="105"/>
        <v>2026年</v>
      </c>
      <c r="B1803" s="3" t="str">
        <f t="shared" si="106"/>
        <v>2月</v>
      </c>
      <c r="C1803" s="4" t="str">
        <f t="shared" si="107"/>
        <v>W8</v>
      </c>
      <c r="D1803" s="2" t="s">
        <v>788</v>
      </c>
      <c r="E1803" s="2" t="s">
        <v>703</v>
      </c>
      <c r="F1803" s="2" t="str" cm="1">
        <f t="array" ref="F1803">INDEX(_xlfn.TEXTSPLIT(E1803,"-"),2)</f>
        <v>女装</v>
      </c>
      <c r="G1803" s="2" t="str" cm="1">
        <f t="array" ref="G1803">INDEX(_xlfn.TEXTSPLIT(E1803,"-"),3)</f>
        <v>T恤</v>
      </c>
      <c r="H1803" s="5">
        <v>1145733</v>
      </c>
      <c r="I1803" s="5">
        <v>65308233.39</v>
      </c>
      <c r="J1803" s="6">
        <v>0.0549</v>
      </c>
      <c r="K1803" s="6">
        <v>0.1404</v>
      </c>
    </row>
    <row r="1804" ht="14.5" spans="1:11">
      <c r="A1804" s="3" t="str">
        <f t="shared" si="105"/>
        <v>2026年</v>
      </c>
      <c r="B1804" s="3" t="str">
        <f t="shared" si="106"/>
        <v>2月</v>
      </c>
      <c r="C1804" s="4" t="str">
        <f t="shared" si="107"/>
        <v>W8</v>
      </c>
      <c r="D1804" s="2" t="s">
        <v>788</v>
      </c>
      <c r="E1804" s="2" t="s">
        <v>704</v>
      </c>
      <c r="F1804" s="2" t="str" cm="1">
        <f t="array" ref="F1804">INDEX(_xlfn.TEXTSPLIT(E1804,"-"),2)</f>
        <v>女装</v>
      </c>
      <c r="G1804" s="2" t="str" cm="1">
        <f t="array" ref="G1804">INDEX(_xlfn.TEXTSPLIT(E1804,"-"),3)</f>
        <v>中老年女装</v>
      </c>
      <c r="H1804" s="5">
        <v>116069</v>
      </c>
      <c r="I1804" s="5">
        <v>9258199.4</v>
      </c>
      <c r="J1804" s="6">
        <v>0.0078</v>
      </c>
      <c r="K1804" s="6">
        <v>-0.0204</v>
      </c>
    </row>
    <row r="1805" ht="14.5" spans="1:11">
      <c r="A1805" s="3" t="str">
        <f t="shared" si="105"/>
        <v>2026年</v>
      </c>
      <c r="B1805" s="3" t="str">
        <f t="shared" si="106"/>
        <v>2月</v>
      </c>
      <c r="C1805" s="4" t="str">
        <f t="shared" si="107"/>
        <v>W8</v>
      </c>
      <c r="D1805" s="2" t="s">
        <v>788</v>
      </c>
      <c r="E1805" s="2" t="s">
        <v>705</v>
      </c>
      <c r="F1805" s="2" t="str" cm="1">
        <f t="array" ref="F1805">INDEX(_xlfn.TEXTSPLIT(E1805,"-"),2)</f>
        <v>女装</v>
      </c>
      <c r="G1805" s="2" t="str" cm="1">
        <f t="array" ref="G1805">INDEX(_xlfn.TEXTSPLIT(E1805,"-"),3)</f>
        <v>半身裙</v>
      </c>
      <c r="H1805" s="5">
        <v>309726</v>
      </c>
      <c r="I1805" s="5">
        <v>37029040.11</v>
      </c>
      <c r="J1805" s="6">
        <v>0.0311</v>
      </c>
      <c r="K1805" s="6">
        <v>0.1807</v>
      </c>
    </row>
    <row r="1806" ht="14.5" spans="1:11">
      <c r="A1806" s="3" t="str">
        <f t="shared" si="105"/>
        <v>2026年</v>
      </c>
      <c r="B1806" s="3" t="str">
        <f t="shared" si="106"/>
        <v>2月</v>
      </c>
      <c r="C1806" s="4" t="str">
        <f t="shared" si="107"/>
        <v>W8</v>
      </c>
      <c r="D1806" s="2" t="s">
        <v>788</v>
      </c>
      <c r="E1806" s="2" t="s">
        <v>706</v>
      </c>
      <c r="F1806" s="2" t="str" cm="1">
        <f t="array" ref="F1806">INDEX(_xlfn.TEXTSPLIT(E1806,"-"),2)</f>
        <v>女装</v>
      </c>
      <c r="G1806" s="2" t="str" cm="1">
        <f t="array" ref="G1806">INDEX(_xlfn.TEXTSPLIT(E1806,"-"),3)</f>
        <v>卫衣/绒衫</v>
      </c>
      <c r="H1806" s="5">
        <v>248667</v>
      </c>
      <c r="I1806" s="5">
        <v>19672393.23</v>
      </c>
      <c r="J1806" s="6">
        <v>0.0165</v>
      </c>
      <c r="K1806" s="6">
        <v>0.1846</v>
      </c>
    </row>
    <row r="1807" ht="14.5" spans="1:11">
      <c r="A1807" s="3" t="str">
        <f t="shared" si="105"/>
        <v>2026年</v>
      </c>
      <c r="B1807" s="3" t="str">
        <f t="shared" si="106"/>
        <v>2月</v>
      </c>
      <c r="C1807" s="4" t="str">
        <f t="shared" si="107"/>
        <v>W8</v>
      </c>
      <c r="D1807" s="2" t="s">
        <v>788</v>
      </c>
      <c r="E1807" s="2" t="s">
        <v>707</v>
      </c>
      <c r="F1807" s="2" t="str" cm="1">
        <f t="array" ref="F1807">INDEX(_xlfn.TEXTSPLIT(E1807,"-"),2)</f>
        <v>女装</v>
      </c>
      <c r="G1807" s="2" t="str" cm="1">
        <f t="array" ref="G1807">INDEX(_xlfn.TEXTSPLIT(E1807,"-"),3)</f>
        <v>唐装/民族服装/舞台服装</v>
      </c>
      <c r="H1807" s="5">
        <v>197709</v>
      </c>
      <c r="I1807" s="5">
        <v>33140871.98</v>
      </c>
      <c r="J1807" s="6">
        <v>0.0279</v>
      </c>
      <c r="K1807" s="6">
        <v>-0.0686</v>
      </c>
    </row>
    <row r="1808" ht="14.5" spans="1:11">
      <c r="A1808" s="3" t="str">
        <f t="shared" si="105"/>
        <v>2026年</v>
      </c>
      <c r="B1808" s="3" t="str">
        <f t="shared" si="106"/>
        <v>2月</v>
      </c>
      <c r="C1808" s="4" t="str">
        <f t="shared" si="107"/>
        <v>W8</v>
      </c>
      <c r="D1808" s="2" t="s">
        <v>788</v>
      </c>
      <c r="E1808" s="2" t="s">
        <v>708</v>
      </c>
      <c r="F1808" s="2" t="str" cm="1">
        <f t="array" ref="F1808">INDEX(_xlfn.TEXTSPLIT(E1808,"-"),2)</f>
        <v>女装</v>
      </c>
      <c r="G1808" s="2" t="str" cm="1">
        <f t="array" ref="G1808">INDEX(_xlfn.TEXTSPLIT(E1808,"-"),3)</f>
        <v>大码女装</v>
      </c>
      <c r="H1808" s="5">
        <v>222300</v>
      </c>
      <c r="I1808" s="5">
        <v>15866240.03</v>
      </c>
      <c r="J1808" s="6">
        <v>0.0133</v>
      </c>
      <c r="K1808" s="6">
        <v>0.0689</v>
      </c>
    </row>
    <row r="1809" ht="14.5" spans="1:11">
      <c r="A1809" s="3" t="str">
        <f t="shared" si="105"/>
        <v>2026年</v>
      </c>
      <c r="B1809" s="3" t="str">
        <f t="shared" si="106"/>
        <v>2月</v>
      </c>
      <c r="C1809" s="4" t="str">
        <f t="shared" si="107"/>
        <v>W8</v>
      </c>
      <c r="D1809" s="2" t="s">
        <v>788</v>
      </c>
      <c r="E1809" s="2" t="s">
        <v>709</v>
      </c>
      <c r="F1809" s="2" t="str" cm="1">
        <f t="array" ref="F1809">INDEX(_xlfn.TEXTSPLIT(E1809,"-"),2)</f>
        <v>女装</v>
      </c>
      <c r="G1809" s="2" t="str" cm="1">
        <f t="array" ref="G1809">INDEX(_xlfn.TEXTSPLIT(E1809,"-"),3)</f>
        <v>套装/学生校服/工作制服</v>
      </c>
      <c r="H1809" s="5">
        <v>670312</v>
      </c>
      <c r="I1809" s="5">
        <v>95726502.74</v>
      </c>
      <c r="J1809" s="6">
        <v>0.0805</v>
      </c>
      <c r="K1809" s="6">
        <v>0.1072</v>
      </c>
    </row>
    <row r="1810" ht="14.5" spans="1:11">
      <c r="A1810" s="3" t="str">
        <f t="shared" si="105"/>
        <v>2026年</v>
      </c>
      <c r="B1810" s="3" t="str">
        <f t="shared" si="106"/>
        <v>2月</v>
      </c>
      <c r="C1810" s="4" t="str">
        <f t="shared" si="107"/>
        <v>W8</v>
      </c>
      <c r="D1810" s="2" t="s">
        <v>788</v>
      </c>
      <c r="E1810" s="2" t="s">
        <v>710</v>
      </c>
      <c r="F1810" s="2" t="str" cm="1">
        <f t="array" ref="F1810">INDEX(_xlfn.TEXTSPLIT(E1810,"-"),2)</f>
        <v>女装</v>
      </c>
      <c r="G1810" s="2" t="str" cm="1">
        <f t="array" ref="G1810">INDEX(_xlfn.TEXTSPLIT(E1810,"-"),3)</f>
        <v>婚纱/旗袍/礼服</v>
      </c>
      <c r="H1810" s="5">
        <v>46056</v>
      </c>
      <c r="I1810" s="5">
        <v>7371070.66</v>
      </c>
      <c r="J1810" s="6">
        <v>0.0062</v>
      </c>
      <c r="K1810" s="6">
        <v>0.0091</v>
      </c>
    </row>
    <row r="1811" ht="14.5" spans="1:11">
      <c r="A1811" s="3" t="str">
        <f t="shared" si="105"/>
        <v>2026年</v>
      </c>
      <c r="B1811" s="3" t="str">
        <f t="shared" si="106"/>
        <v>2月</v>
      </c>
      <c r="C1811" s="4" t="str">
        <f t="shared" si="107"/>
        <v>W8</v>
      </c>
      <c r="D1811" s="2" t="s">
        <v>788</v>
      </c>
      <c r="E1811" s="2" t="s">
        <v>711</v>
      </c>
      <c r="F1811" s="2" t="str" cm="1">
        <f t="array" ref="F1811">INDEX(_xlfn.TEXTSPLIT(E1811,"-"),2)</f>
        <v>女装</v>
      </c>
      <c r="G1811" s="2" t="str" cm="1">
        <f t="array" ref="G1811">INDEX(_xlfn.TEXTSPLIT(E1811,"-"),3)</f>
        <v>新中式女装</v>
      </c>
      <c r="H1811" s="5">
        <v>39434</v>
      </c>
      <c r="I1811" s="5">
        <v>4154703</v>
      </c>
      <c r="J1811" s="6">
        <v>0.0035</v>
      </c>
      <c r="K1811" s="6">
        <v>0.2111</v>
      </c>
    </row>
    <row r="1812" ht="14.5" spans="1:11">
      <c r="A1812" s="3" t="str">
        <f t="shared" si="105"/>
        <v>2026年</v>
      </c>
      <c r="B1812" s="3" t="str">
        <f t="shared" si="106"/>
        <v>2月</v>
      </c>
      <c r="C1812" s="4" t="str">
        <f t="shared" si="107"/>
        <v>W8</v>
      </c>
      <c r="D1812" s="2" t="s">
        <v>788</v>
      </c>
      <c r="E1812" s="2" t="s">
        <v>712</v>
      </c>
      <c r="F1812" s="2" t="str" cm="1">
        <f t="array" ref="F1812">INDEX(_xlfn.TEXTSPLIT(E1812,"-"),2)</f>
        <v>女装</v>
      </c>
      <c r="G1812" s="2" t="str" cm="1">
        <f t="array" ref="G1812">INDEX(_xlfn.TEXTSPLIT(E1812,"-"),3)</f>
        <v>时尚防晒服</v>
      </c>
      <c r="H1812" s="5">
        <v>1274</v>
      </c>
      <c r="I1812" s="5">
        <v>372343.96</v>
      </c>
      <c r="J1812" s="6">
        <v>0.0003</v>
      </c>
      <c r="K1812" s="6">
        <v>3.7677</v>
      </c>
    </row>
    <row r="1813" ht="14.5" spans="1:11">
      <c r="A1813" s="3" t="str">
        <f t="shared" si="105"/>
        <v>2026年</v>
      </c>
      <c r="B1813" s="3" t="str">
        <f t="shared" si="106"/>
        <v>2月</v>
      </c>
      <c r="C1813" s="4" t="str">
        <f t="shared" si="107"/>
        <v>W8</v>
      </c>
      <c r="D1813" s="2" t="s">
        <v>788</v>
      </c>
      <c r="E1813" s="2" t="s">
        <v>714</v>
      </c>
      <c r="F1813" s="2" t="str" cm="1">
        <f t="array" ref="F1813">INDEX(_xlfn.TEXTSPLIT(E1813,"-"),2)</f>
        <v>女装</v>
      </c>
      <c r="G1813" s="2" t="str" cm="1">
        <f t="array" ref="G1813">INDEX(_xlfn.TEXTSPLIT(E1813,"-"),3)</f>
        <v>棉衣/棉服</v>
      </c>
      <c r="H1813" s="5">
        <v>120371</v>
      </c>
      <c r="I1813" s="5">
        <v>11980755.03</v>
      </c>
      <c r="J1813" s="6">
        <v>0.0101</v>
      </c>
      <c r="K1813" s="6">
        <v>0.0124</v>
      </c>
    </row>
    <row r="1814" ht="14.5" spans="1:11">
      <c r="A1814" s="3" t="str">
        <f t="shared" si="105"/>
        <v>2026年</v>
      </c>
      <c r="B1814" s="3" t="str">
        <f t="shared" si="106"/>
        <v>2月</v>
      </c>
      <c r="C1814" s="4" t="str">
        <f t="shared" si="107"/>
        <v>W8</v>
      </c>
      <c r="D1814" s="2" t="s">
        <v>788</v>
      </c>
      <c r="E1814" s="2" t="s">
        <v>715</v>
      </c>
      <c r="F1814" s="2" t="str" cm="1">
        <f t="array" ref="F1814">INDEX(_xlfn.TEXTSPLIT(E1814,"-"),2)</f>
        <v>女装</v>
      </c>
      <c r="G1814" s="2" t="str" cm="1">
        <f t="array" ref="G1814">INDEX(_xlfn.TEXTSPLIT(E1814,"-"),3)</f>
        <v>毛呢外套</v>
      </c>
      <c r="H1814" s="5">
        <v>324254</v>
      </c>
      <c r="I1814" s="5">
        <v>90858088.07</v>
      </c>
      <c r="J1814" s="6">
        <v>0.0764</v>
      </c>
      <c r="K1814" s="6">
        <v>0.0769</v>
      </c>
    </row>
    <row r="1815" ht="14.5" spans="1:11">
      <c r="A1815" s="3" t="str">
        <f t="shared" si="105"/>
        <v>2026年</v>
      </c>
      <c r="B1815" s="3" t="str">
        <f t="shared" si="106"/>
        <v>2月</v>
      </c>
      <c r="C1815" s="4" t="str">
        <f t="shared" si="107"/>
        <v>W8</v>
      </c>
      <c r="D1815" s="2" t="s">
        <v>788</v>
      </c>
      <c r="E1815" s="2" t="s">
        <v>716</v>
      </c>
      <c r="F1815" s="2" t="str" cm="1">
        <f t="array" ref="F1815">INDEX(_xlfn.TEXTSPLIT(E1815,"-"),2)</f>
        <v>女装</v>
      </c>
      <c r="G1815" s="2" t="str" cm="1">
        <f t="array" ref="G1815">INDEX(_xlfn.TEXTSPLIT(E1815,"-"),3)</f>
        <v>毛衣</v>
      </c>
      <c r="H1815" s="5">
        <v>137386</v>
      </c>
      <c r="I1815" s="5">
        <v>11948006.57</v>
      </c>
      <c r="J1815" s="6">
        <v>0.0101</v>
      </c>
      <c r="K1815" s="6">
        <v>0.1798</v>
      </c>
    </row>
    <row r="1816" ht="14.5" spans="1:11">
      <c r="A1816" s="3" t="str">
        <f t="shared" si="105"/>
        <v>2026年</v>
      </c>
      <c r="B1816" s="3" t="str">
        <f t="shared" si="106"/>
        <v>2月</v>
      </c>
      <c r="C1816" s="4" t="str">
        <f t="shared" si="107"/>
        <v>W8</v>
      </c>
      <c r="D1816" s="2" t="s">
        <v>788</v>
      </c>
      <c r="E1816" s="2" t="s">
        <v>717</v>
      </c>
      <c r="F1816" s="2" t="str" cm="1">
        <f t="array" ref="F1816">INDEX(_xlfn.TEXTSPLIT(E1816,"-"),2)</f>
        <v>女装</v>
      </c>
      <c r="G1816" s="2" t="str" cm="1">
        <f t="array" ref="G1816">INDEX(_xlfn.TEXTSPLIT(E1816,"-"),3)</f>
        <v>毛针织衫</v>
      </c>
      <c r="H1816" s="5">
        <v>802895</v>
      </c>
      <c r="I1816" s="5">
        <v>64446813.25</v>
      </c>
      <c r="J1816" s="6">
        <v>0.0542</v>
      </c>
      <c r="K1816" s="6">
        <v>0.0995</v>
      </c>
    </row>
    <row r="1817" ht="14.5" spans="1:11">
      <c r="A1817" s="3" t="str">
        <f t="shared" si="105"/>
        <v>2026年</v>
      </c>
      <c r="B1817" s="3" t="str">
        <f t="shared" si="106"/>
        <v>2月</v>
      </c>
      <c r="C1817" s="4" t="str">
        <f t="shared" si="107"/>
        <v>W8</v>
      </c>
      <c r="D1817" s="2" t="s">
        <v>788</v>
      </c>
      <c r="E1817" s="2" t="s">
        <v>718</v>
      </c>
      <c r="F1817" s="2" t="str" cm="1">
        <f t="array" ref="F1817">INDEX(_xlfn.TEXTSPLIT(E1817,"-"),2)</f>
        <v>女装</v>
      </c>
      <c r="G1817" s="2" t="str" cm="1">
        <f t="array" ref="G1817">INDEX(_xlfn.TEXTSPLIT(E1817,"-"),3)</f>
        <v>汉服</v>
      </c>
      <c r="H1817" s="5">
        <v>129102</v>
      </c>
      <c r="I1817" s="5">
        <v>40538060.25</v>
      </c>
      <c r="J1817" s="6">
        <v>0.0341</v>
      </c>
      <c r="K1817" s="6">
        <v>-0.1842</v>
      </c>
    </row>
    <row r="1818" ht="14.5" spans="1:11">
      <c r="A1818" s="3" t="str">
        <f t="shared" si="105"/>
        <v>2026年</v>
      </c>
      <c r="B1818" s="3" t="str">
        <f t="shared" si="106"/>
        <v>2月</v>
      </c>
      <c r="C1818" s="4" t="str">
        <f t="shared" si="107"/>
        <v>W8</v>
      </c>
      <c r="D1818" s="2" t="s">
        <v>788</v>
      </c>
      <c r="E1818" s="2" t="s">
        <v>719</v>
      </c>
      <c r="F1818" s="2" t="str" cm="1">
        <f t="array" ref="F1818">INDEX(_xlfn.TEXTSPLIT(E1818,"-"),2)</f>
        <v>女装</v>
      </c>
      <c r="G1818" s="2" t="str" cm="1">
        <f t="array" ref="G1818">INDEX(_xlfn.TEXTSPLIT(E1818,"-"),3)</f>
        <v>派克服</v>
      </c>
      <c r="H1818" s="5">
        <v>4252</v>
      </c>
      <c r="I1818" s="5">
        <v>737286.69</v>
      </c>
      <c r="J1818" s="6">
        <v>0.0006</v>
      </c>
      <c r="K1818" s="6">
        <v>-0.029</v>
      </c>
    </row>
    <row r="1819" ht="14.5" spans="1:11">
      <c r="A1819" s="3" t="str">
        <f t="shared" si="105"/>
        <v>2026年</v>
      </c>
      <c r="B1819" s="3" t="str">
        <f t="shared" si="106"/>
        <v>2月</v>
      </c>
      <c r="C1819" s="4" t="str">
        <f t="shared" si="107"/>
        <v>W8</v>
      </c>
      <c r="D1819" s="2" t="s">
        <v>788</v>
      </c>
      <c r="E1819" s="2" t="s">
        <v>720</v>
      </c>
      <c r="F1819" s="2" t="str" cm="1">
        <f t="array" ref="F1819">INDEX(_xlfn.TEXTSPLIT(E1819,"-"),2)</f>
        <v>女装</v>
      </c>
      <c r="G1819" s="2" t="str" cm="1">
        <f t="array" ref="G1819">INDEX(_xlfn.TEXTSPLIT(E1819,"-"),3)</f>
        <v>皮草</v>
      </c>
      <c r="H1819" s="5">
        <v>31199</v>
      </c>
      <c r="I1819" s="5">
        <v>59792217.27</v>
      </c>
      <c r="J1819" s="6">
        <v>0.0503</v>
      </c>
      <c r="K1819" s="6">
        <v>-0.0586</v>
      </c>
    </row>
    <row r="1820" ht="14.5" spans="1:11">
      <c r="A1820" s="3" t="str">
        <f t="shared" si="105"/>
        <v>2026年</v>
      </c>
      <c r="B1820" s="3" t="str">
        <f t="shared" si="106"/>
        <v>2月</v>
      </c>
      <c r="C1820" s="4" t="str">
        <f t="shared" si="107"/>
        <v>W8</v>
      </c>
      <c r="D1820" s="2" t="s">
        <v>788</v>
      </c>
      <c r="E1820" s="2" t="s">
        <v>721</v>
      </c>
      <c r="F1820" s="2" t="str" cm="1">
        <f t="array" ref="F1820">INDEX(_xlfn.TEXTSPLIT(E1820,"-"),2)</f>
        <v>女装</v>
      </c>
      <c r="G1820" s="2" t="str" cm="1">
        <f t="array" ref="G1820">INDEX(_xlfn.TEXTSPLIT(E1820,"-"),3)</f>
        <v>皮衣</v>
      </c>
      <c r="H1820" s="5">
        <v>148109</v>
      </c>
      <c r="I1820" s="5">
        <v>47101794.37</v>
      </c>
      <c r="J1820" s="6">
        <v>0.0396</v>
      </c>
      <c r="K1820" s="6">
        <v>0.259</v>
      </c>
    </row>
    <row r="1821" ht="14.5" spans="1:11">
      <c r="A1821" s="3" t="str">
        <f t="shared" si="105"/>
        <v>2026年</v>
      </c>
      <c r="B1821" s="3" t="str">
        <f t="shared" si="106"/>
        <v>2月</v>
      </c>
      <c r="C1821" s="4" t="str">
        <f t="shared" si="107"/>
        <v>W8</v>
      </c>
      <c r="D1821" s="2" t="s">
        <v>788</v>
      </c>
      <c r="E1821" s="2" t="s">
        <v>722</v>
      </c>
      <c r="F1821" s="2" t="str" cm="1">
        <f t="array" ref="F1821">INDEX(_xlfn.TEXTSPLIT(E1821,"-"),2)</f>
        <v>女装</v>
      </c>
      <c r="G1821" s="2" t="str" cm="1">
        <f t="array" ref="G1821">INDEX(_xlfn.TEXTSPLIT(E1821,"-"),3)</f>
        <v>短外套</v>
      </c>
      <c r="H1821" s="5">
        <v>565668</v>
      </c>
      <c r="I1821" s="5">
        <v>92837774.96</v>
      </c>
      <c r="J1821" s="6">
        <v>0.0781</v>
      </c>
      <c r="K1821" s="6">
        <v>-0.1624</v>
      </c>
    </row>
    <row r="1822" ht="14.5" spans="1:11">
      <c r="A1822" s="3" t="str">
        <f t="shared" ref="A1822:A1885" si="108">TEXT(YEAR(D1822),"0")&amp;"年"</f>
        <v>2026年</v>
      </c>
      <c r="B1822" s="3" t="str">
        <f t="shared" ref="B1822:B1885" si="109">TEXT(MONTH(D1822),"0")&amp;"月"</f>
        <v>2月</v>
      </c>
      <c r="C1822" s="4" t="str">
        <f t="shared" ref="C1822:C1885" si="110">"W"&amp;TEXT(WEEKNUM(D1822,2),"0")</f>
        <v>W8</v>
      </c>
      <c r="D1822" s="2" t="s">
        <v>788</v>
      </c>
      <c r="E1822" s="2" t="s">
        <v>723</v>
      </c>
      <c r="F1822" s="2" t="str" cm="1">
        <f t="array" ref="F1822">INDEX(_xlfn.TEXTSPLIT(E1822,"-"),2)</f>
        <v>女装</v>
      </c>
      <c r="G1822" s="2" t="str" cm="1">
        <f t="array" ref="G1822">INDEX(_xlfn.TEXTSPLIT(E1822,"-"),3)</f>
        <v>短裤</v>
      </c>
      <c r="H1822" s="5">
        <v>60591</v>
      </c>
      <c r="I1822" s="5">
        <v>4412440.22</v>
      </c>
      <c r="J1822" s="6">
        <v>0.0037</v>
      </c>
      <c r="K1822" s="6">
        <v>0.0679</v>
      </c>
    </row>
    <row r="1823" ht="14.5" spans="1:11">
      <c r="A1823" s="3" t="str">
        <f t="shared" si="108"/>
        <v>2026年</v>
      </c>
      <c r="B1823" s="3" t="str">
        <f t="shared" si="109"/>
        <v>2月</v>
      </c>
      <c r="C1823" s="4" t="str">
        <f t="shared" si="110"/>
        <v>W8</v>
      </c>
      <c r="D1823" s="2" t="s">
        <v>788</v>
      </c>
      <c r="E1823" s="2" t="s">
        <v>724</v>
      </c>
      <c r="F1823" s="2" t="str" cm="1">
        <f t="array" ref="F1823">INDEX(_xlfn.TEXTSPLIT(E1823,"-"),2)</f>
        <v>女装</v>
      </c>
      <c r="G1823" s="2" t="str" cm="1">
        <f t="array" ref="G1823">INDEX(_xlfn.TEXTSPLIT(E1823,"-"),3)</f>
        <v>羊毛衫</v>
      </c>
      <c r="H1823" s="5">
        <v>99286</v>
      </c>
      <c r="I1823" s="5">
        <v>12459388.13</v>
      </c>
      <c r="J1823" s="6">
        <v>0.0105</v>
      </c>
      <c r="K1823" s="6">
        <v>0.0694</v>
      </c>
    </row>
    <row r="1824" ht="14.5" spans="1:11">
      <c r="A1824" s="3" t="str">
        <f t="shared" si="108"/>
        <v>2026年</v>
      </c>
      <c r="B1824" s="3" t="str">
        <f t="shared" si="109"/>
        <v>2月</v>
      </c>
      <c r="C1824" s="4" t="str">
        <f t="shared" si="110"/>
        <v>W8</v>
      </c>
      <c r="D1824" s="2" t="s">
        <v>788</v>
      </c>
      <c r="E1824" s="2" t="s">
        <v>725</v>
      </c>
      <c r="F1824" s="2" t="str" cm="1">
        <f t="array" ref="F1824">INDEX(_xlfn.TEXTSPLIT(E1824,"-"),2)</f>
        <v>女装</v>
      </c>
      <c r="G1824" s="2" t="str" cm="1">
        <f t="array" ref="G1824">INDEX(_xlfn.TEXTSPLIT(E1824,"-"),3)</f>
        <v>羊绒大衣</v>
      </c>
      <c r="H1824" s="5">
        <v>1016</v>
      </c>
      <c r="I1824" s="5">
        <v>408690.49</v>
      </c>
      <c r="J1824" s="6">
        <v>0.0003</v>
      </c>
      <c r="K1824" s="6">
        <v>-0.2882</v>
      </c>
    </row>
    <row r="1825" ht="14.5" spans="1:11">
      <c r="A1825" s="3" t="str">
        <f t="shared" si="108"/>
        <v>2026年</v>
      </c>
      <c r="B1825" s="3" t="str">
        <f t="shared" si="109"/>
        <v>2月</v>
      </c>
      <c r="C1825" s="4" t="str">
        <f t="shared" si="110"/>
        <v>W8</v>
      </c>
      <c r="D1825" s="2" t="s">
        <v>788</v>
      </c>
      <c r="E1825" s="2" t="s">
        <v>726</v>
      </c>
      <c r="F1825" s="2" t="str" cm="1">
        <f t="array" ref="F1825">INDEX(_xlfn.TEXTSPLIT(E1825,"-"),2)</f>
        <v>女装</v>
      </c>
      <c r="G1825" s="2" t="str" cm="1">
        <f t="array" ref="G1825">INDEX(_xlfn.TEXTSPLIT(E1825,"-"),3)</f>
        <v>羊绒衫</v>
      </c>
      <c r="H1825" s="5">
        <v>19243</v>
      </c>
      <c r="I1825" s="5">
        <v>6261335.37</v>
      </c>
      <c r="J1825" s="6">
        <v>0.0053</v>
      </c>
      <c r="K1825" s="6">
        <v>-0.162</v>
      </c>
    </row>
    <row r="1826" ht="14.5" spans="1:11">
      <c r="A1826" s="3" t="str">
        <f t="shared" si="108"/>
        <v>2026年</v>
      </c>
      <c r="B1826" s="3" t="str">
        <f t="shared" si="109"/>
        <v>2月</v>
      </c>
      <c r="C1826" s="4" t="str">
        <f t="shared" si="110"/>
        <v>W8</v>
      </c>
      <c r="D1826" s="2" t="s">
        <v>788</v>
      </c>
      <c r="E1826" s="2" t="s">
        <v>727</v>
      </c>
      <c r="F1826" s="2" t="str" cm="1">
        <f t="array" ref="F1826">INDEX(_xlfn.TEXTSPLIT(E1826,"-"),2)</f>
        <v>女装</v>
      </c>
      <c r="G1826" s="2" t="str" cm="1">
        <f t="array" ref="G1826">INDEX(_xlfn.TEXTSPLIT(E1826,"-"),3)</f>
        <v>羽绒服</v>
      </c>
      <c r="H1826" s="5">
        <v>177159</v>
      </c>
      <c r="I1826" s="5">
        <v>52264279.56</v>
      </c>
      <c r="J1826" s="6">
        <v>0.044</v>
      </c>
      <c r="K1826" s="6">
        <v>-0.1307</v>
      </c>
    </row>
    <row r="1827" ht="14.5" spans="1:11">
      <c r="A1827" s="3" t="str">
        <f t="shared" si="108"/>
        <v>2026年</v>
      </c>
      <c r="B1827" s="3" t="str">
        <f t="shared" si="109"/>
        <v>2月</v>
      </c>
      <c r="C1827" s="4" t="str">
        <f t="shared" si="110"/>
        <v>W8</v>
      </c>
      <c r="D1827" s="2" t="s">
        <v>788</v>
      </c>
      <c r="E1827" s="2" t="s">
        <v>728</v>
      </c>
      <c r="F1827" s="2" t="str" cm="1">
        <f t="array" ref="F1827">INDEX(_xlfn.TEXTSPLIT(E1827,"-"),2)</f>
        <v>女装</v>
      </c>
      <c r="G1827" s="2" t="str" cm="1">
        <f t="array" ref="G1827">INDEX(_xlfn.TEXTSPLIT(E1827,"-"),3)</f>
        <v>肌底衣/肌肤衣</v>
      </c>
      <c r="H1827" s="5">
        <v>3938</v>
      </c>
      <c r="I1827" s="5">
        <v>201878.85</v>
      </c>
      <c r="J1827" s="6">
        <v>0.0002</v>
      </c>
      <c r="K1827" s="6">
        <v>0.5364</v>
      </c>
    </row>
    <row r="1828" ht="14.5" spans="1:11">
      <c r="A1828" s="3" t="str">
        <f t="shared" si="108"/>
        <v>2026年</v>
      </c>
      <c r="B1828" s="3" t="str">
        <f t="shared" si="109"/>
        <v>2月</v>
      </c>
      <c r="C1828" s="4" t="str">
        <f t="shared" si="110"/>
        <v>W8</v>
      </c>
      <c r="D1828" s="2" t="s">
        <v>788</v>
      </c>
      <c r="E1828" s="2" t="s">
        <v>729</v>
      </c>
      <c r="F1828" s="2" t="str" cm="1">
        <f t="array" ref="F1828">INDEX(_xlfn.TEXTSPLIT(E1828,"-"),2)</f>
        <v>女装</v>
      </c>
      <c r="G1828" s="2" t="str" cm="1">
        <f t="array" ref="G1828">INDEX(_xlfn.TEXTSPLIT(E1828,"-"),3)</f>
        <v>背心吊带</v>
      </c>
      <c r="H1828" s="5">
        <v>238317</v>
      </c>
      <c r="I1828" s="5">
        <v>13123719.02</v>
      </c>
      <c r="J1828" s="6">
        <v>0.011</v>
      </c>
      <c r="K1828" s="6">
        <v>0.1324</v>
      </c>
    </row>
    <row r="1829" ht="14.5" spans="1:11">
      <c r="A1829" s="3" t="str">
        <f t="shared" si="108"/>
        <v>2026年</v>
      </c>
      <c r="B1829" s="3" t="str">
        <f t="shared" si="109"/>
        <v>2月</v>
      </c>
      <c r="C1829" s="4" t="str">
        <f t="shared" si="110"/>
        <v>W8</v>
      </c>
      <c r="D1829" s="2" t="s">
        <v>788</v>
      </c>
      <c r="E1829" s="2" t="s">
        <v>730</v>
      </c>
      <c r="F1829" s="2" t="str" cm="1">
        <f t="array" ref="F1829">INDEX(_xlfn.TEXTSPLIT(E1829,"-"),2)</f>
        <v>女装</v>
      </c>
      <c r="G1829" s="2" t="str" cm="1">
        <f t="array" ref="G1829">INDEX(_xlfn.TEXTSPLIT(E1829,"-"),3)</f>
        <v>蕾丝衫/雪纺衫</v>
      </c>
      <c r="H1829" s="5">
        <v>110195</v>
      </c>
      <c r="I1829" s="5">
        <v>7859582.54</v>
      </c>
      <c r="J1829" s="6">
        <v>0.0066</v>
      </c>
      <c r="K1829" s="6">
        <v>0.0633</v>
      </c>
    </row>
    <row r="1830" ht="14.5" spans="1:11">
      <c r="A1830" s="3" t="str">
        <f t="shared" si="108"/>
        <v>2026年</v>
      </c>
      <c r="B1830" s="3" t="str">
        <f t="shared" si="109"/>
        <v>2月</v>
      </c>
      <c r="C1830" s="4" t="str">
        <f t="shared" si="110"/>
        <v>W8</v>
      </c>
      <c r="D1830" s="2" t="s">
        <v>788</v>
      </c>
      <c r="E1830" s="2" t="s">
        <v>731</v>
      </c>
      <c r="F1830" s="2" t="str" cm="1">
        <f t="array" ref="F1830">INDEX(_xlfn.TEXTSPLIT(E1830,"-"),2)</f>
        <v>女装</v>
      </c>
      <c r="G1830" s="2" t="str" cm="1">
        <f t="array" ref="G1830">INDEX(_xlfn.TEXTSPLIT(E1830,"-"),3)</f>
        <v>衬衫</v>
      </c>
      <c r="H1830" s="5">
        <v>489214</v>
      </c>
      <c r="I1830" s="5">
        <v>52444001.21</v>
      </c>
      <c r="J1830" s="6">
        <v>0.0441</v>
      </c>
      <c r="K1830" s="6">
        <v>0.0899</v>
      </c>
    </row>
    <row r="1831" ht="14.5" spans="1:11">
      <c r="A1831" s="3" t="str">
        <f t="shared" si="108"/>
        <v>2026年</v>
      </c>
      <c r="B1831" s="3" t="str">
        <f t="shared" si="109"/>
        <v>2月</v>
      </c>
      <c r="C1831" s="4" t="str">
        <f t="shared" si="110"/>
        <v>W8</v>
      </c>
      <c r="D1831" s="2" t="s">
        <v>788</v>
      </c>
      <c r="E1831" s="2" t="s">
        <v>732</v>
      </c>
      <c r="F1831" s="2" t="str" cm="1">
        <f t="array" ref="F1831">INDEX(_xlfn.TEXTSPLIT(E1831,"-"),2)</f>
        <v>女装</v>
      </c>
      <c r="G1831" s="2" t="str" cm="1">
        <f t="array" ref="G1831">INDEX(_xlfn.TEXTSPLIT(E1831,"-"),3)</f>
        <v>裤子</v>
      </c>
      <c r="H1831" s="5">
        <v>1563424</v>
      </c>
      <c r="I1831" s="5">
        <v>165726257.93</v>
      </c>
      <c r="J1831" s="6">
        <v>0.1394</v>
      </c>
      <c r="K1831" s="6">
        <v>0.1132</v>
      </c>
    </row>
    <row r="1832" ht="14.5" spans="1:11">
      <c r="A1832" s="3" t="str">
        <f t="shared" si="108"/>
        <v>2026年</v>
      </c>
      <c r="B1832" s="3" t="str">
        <f t="shared" si="109"/>
        <v>2月</v>
      </c>
      <c r="C1832" s="4" t="str">
        <f t="shared" si="110"/>
        <v>W8</v>
      </c>
      <c r="D1832" s="2" t="s">
        <v>788</v>
      </c>
      <c r="E1832" s="2" t="s">
        <v>733</v>
      </c>
      <c r="F1832" s="2" t="str" cm="1">
        <f t="array" ref="F1832">INDEX(_xlfn.TEXTSPLIT(E1832,"-"),2)</f>
        <v>女装</v>
      </c>
      <c r="G1832" s="2" t="str" cm="1">
        <f t="array" ref="G1832">INDEX(_xlfn.TEXTSPLIT(E1832,"-"),3)</f>
        <v>西装</v>
      </c>
      <c r="H1832" s="5">
        <v>68620</v>
      </c>
      <c r="I1832" s="5">
        <v>17798359.52</v>
      </c>
      <c r="J1832" s="6">
        <v>0.015</v>
      </c>
      <c r="K1832" s="6">
        <v>0.1121</v>
      </c>
    </row>
    <row r="1833" ht="14.5" spans="1:11">
      <c r="A1833" s="3" t="str">
        <f t="shared" si="108"/>
        <v>2026年</v>
      </c>
      <c r="B1833" s="3" t="str">
        <f t="shared" si="109"/>
        <v>2月</v>
      </c>
      <c r="C1833" s="4" t="str">
        <f t="shared" si="110"/>
        <v>W8</v>
      </c>
      <c r="D1833" s="2" t="s">
        <v>788</v>
      </c>
      <c r="E1833" s="2" t="s">
        <v>734</v>
      </c>
      <c r="F1833" s="2" t="str" cm="1">
        <f t="array" ref="F1833">INDEX(_xlfn.TEXTSPLIT(E1833,"-"),2)</f>
        <v>女装</v>
      </c>
      <c r="G1833" s="2" t="str" cm="1">
        <f t="array" ref="G1833">INDEX(_xlfn.TEXTSPLIT(E1833,"-"),3)</f>
        <v>设计师/潮牌女装</v>
      </c>
      <c r="H1833" s="5">
        <v>112531</v>
      </c>
      <c r="I1833" s="5">
        <v>19269945.16</v>
      </c>
      <c r="J1833" s="6">
        <v>0.0162</v>
      </c>
      <c r="K1833" s="6">
        <v>-0.0025</v>
      </c>
    </row>
    <row r="1834" ht="14.5" spans="1:11">
      <c r="A1834" s="3" t="str">
        <f t="shared" si="108"/>
        <v>2026年</v>
      </c>
      <c r="B1834" s="3" t="str">
        <f t="shared" si="109"/>
        <v>2月</v>
      </c>
      <c r="C1834" s="4" t="str">
        <f t="shared" si="110"/>
        <v>W8</v>
      </c>
      <c r="D1834" s="2" t="s">
        <v>788</v>
      </c>
      <c r="E1834" s="2" t="s">
        <v>735</v>
      </c>
      <c r="F1834" s="2" t="str" cm="1">
        <f t="array" ref="F1834">INDEX(_xlfn.TEXTSPLIT(E1834,"-"),2)</f>
        <v>女装</v>
      </c>
      <c r="G1834" s="2" t="str" cm="1">
        <f t="array" ref="G1834">INDEX(_xlfn.TEXTSPLIT(E1834,"-"),3)</f>
        <v>连体衣/裤</v>
      </c>
      <c r="H1834" s="5">
        <v>7753</v>
      </c>
      <c r="I1834" s="5">
        <v>1831774.78</v>
      </c>
      <c r="J1834" s="6">
        <v>0.0015</v>
      </c>
      <c r="K1834" s="6">
        <v>0.0613</v>
      </c>
    </row>
    <row r="1835" ht="14.5" spans="1:11">
      <c r="A1835" s="3" t="str">
        <f t="shared" si="108"/>
        <v>2026年</v>
      </c>
      <c r="B1835" s="3" t="str">
        <f t="shared" si="109"/>
        <v>2月</v>
      </c>
      <c r="C1835" s="4" t="str">
        <f t="shared" si="110"/>
        <v>W8</v>
      </c>
      <c r="D1835" s="2" t="s">
        <v>788</v>
      </c>
      <c r="E1835" s="2" t="s">
        <v>736</v>
      </c>
      <c r="F1835" s="2" t="str" cm="1">
        <f t="array" ref="F1835">INDEX(_xlfn.TEXTSPLIT(E1835,"-"),2)</f>
        <v>女装</v>
      </c>
      <c r="G1835" s="2" t="str" cm="1">
        <f t="array" ref="G1835">INDEX(_xlfn.TEXTSPLIT(E1835,"-"),3)</f>
        <v>连衣裙</v>
      </c>
      <c r="H1835" s="5">
        <v>461104</v>
      </c>
      <c r="I1835" s="5">
        <v>75125156.8</v>
      </c>
      <c r="J1835" s="6">
        <v>0.0632</v>
      </c>
      <c r="K1835" s="6">
        <v>0.0063</v>
      </c>
    </row>
    <row r="1836" ht="14.5" spans="1:11">
      <c r="A1836" s="3" t="str">
        <f t="shared" si="108"/>
        <v>2026年</v>
      </c>
      <c r="B1836" s="3" t="str">
        <f t="shared" si="109"/>
        <v>2月</v>
      </c>
      <c r="C1836" s="4" t="str">
        <f t="shared" si="110"/>
        <v>W8</v>
      </c>
      <c r="D1836" s="2" t="s">
        <v>788</v>
      </c>
      <c r="E1836" s="2" t="s">
        <v>737</v>
      </c>
      <c r="F1836" s="2" t="str" cm="1">
        <f t="array" ref="F1836">INDEX(_xlfn.TEXTSPLIT(E1836,"-"),2)</f>
        <v>女装</v>
      </c>
      <c r="G1836" s="2" t="str" cm="1">
        <f t="array" ref="G1836">INDEX(_xlfn.TEXTSPLIT(E1836,"-"),3)</f>
        <v>风衣</v>
      </c>
      <c r="H1836" s="5">
        <v>93232</v>
      </c>
      <c r="I1836" s="5">
        <v>24570602.76</v>
      </c>
      <c r="J1836" s="6">
        <v>0.0207</v>
      </c>
      <c r="K1836" s="6">
        <v>0.3036</v>
      </c>
    </row>
    <row r="1837" ht="14.5" spans="1:11">
      <c r="A1837" s="3" t="str">
        <f t="shared" si="108"/>
        <v>2026年</v>
      </c>
      <c r="B1837" s="3" t="str">
        <f t="shared" si="109"/>
        <v>2月</v>
      </c>
      <c r="C1837" s="4" t="str">
        <f t="shared" si="110"/>
        <v>W8</v>
      </c>
      <c r="D1837" s="2" t="s">
        <v>788</v>
      </c>
      <c r="E1837" s="2" t="s">
        <v>738</v>
      </c>
      <c r="F1837" s="2" t="str" cm="1">
        <f t="array" ref="F1837">INDEX(_xlfn.TEXTSPLIT(E1837,"-"),2)</f>
        <v>女装</v>
      </c>
      <c r="G1837" s="2" t="str" cm="1">
        <f t="array" ref="G1837">INDEX(_xlfn.TEXTSPLIT(E1837,"-"),3)</f>
        <v>马夹</v>
      </c>
      <c r="H1837" s="5">
        <v>260320</v>
      </c>
      <c r="I1837" s="5">
        <v>25847027.55</v>
      </c>
      <c r="J1837" s="6">
        <v>0.0217</v>
      </c>
      <c r="K1837" s="6">
        <v>0.0503</v>
      </c>
    </row>
    <row r="1838" ht="14.5" spans="1:11">
      <c r="A1838" s="3" t="str">
        <f t="shared" si="108"/>
        <v>2026年</v>
      </c>
      <c r="B1838" s="3" t="str">
        <f t="shared" si="109"/>
        <v>2月</v>
      </c>
      <c r="C1838" s="4" t="str">
        <f t="shared" si="110"/>
        <v>W8</v>
      </c>
      <c r="D1838" s="2" t="s">
        <v>789</v>
      </c>
      <c r="E1838" s="2" t="s">
        <v>702</v>
      </c>
      <c r="F1838" s="2" t="str" cm="1">
        <f t="array" ref="F1838">INDEX(_xlfn.TEXTSPLIT(E1838,"-"),2)</f>
        <v>女装</v>
      </c>
      <c r="G1838" s="2" t="str" cm="1">
        <f t="array" ref="G1838">INDEX(_xlfn.TEXTSPLIT(E1838,"-"),3)</f>
        <v>POLO衫</v>
      </c>
      <c r="H1838" s="5">
        <v>31424</v>
      </c>
      <c r="I1838" s="5">
        <v>1451579.47</v>
      </c>
      <c r="J1838" s="6">
        <v>0.0011</v>
      </c>
      <c r="K1838" s="6">
        <v>0.3328</v>
      </c>
    </row>
    <row r="1839" ht="14.5" spans="1:11">
      <c r="A1839" s="3" t="str">
        <f t="shared" si="108"/>
        <v>2026年</v>
      </c>
      <c r="B1839" s="3" t="str">
        <f t="shared" si="109"/>
        <v>2月</v>
      </c>
      <c r="C1839" s="4" t="str">
        <f t="shared" si="110"/>
        <v>W8</v>
      </c>
      <c r="D1839" s="2" t="s">
        <v>789</v>
      </c>
      <c r="E1839" s="2" t="s">
        <v>703</v>
      </c>
      <c r="F1839" s="2" t="str" cm="1">
        <f t="array" ref="F1839">INDEX(_xlfn.TEXTSPLIT(E1839,"-"),2)</f>
        <v>女装</v>
      </c>
      <c r="G1839" s="2" t="str" cm="1">
        <f t="array" ref="G1839">INDEX(_xlfn.TEXTSPLIT(E1839,"-"),3)</f>
        <v>T恤</v>
      </c>
      <c r="H1839" s="5">
        <v>1351663</v>
      </c>
      <c r="I1839" s="5">
        <v>77507552.76</v>
      </c>
      <c r="J1839" s="6">
        <v>0.0598</v>
      </c>
      <c r="K1839" s="6">
        <v>0.1868</v>
      </c>
    </row>
    <row r="1840" ht="14.5" spans="1:11">
      <c r="A1840" s="3" t="str">
        <f t="shared" si="108"/>
        <v>2026年</v>
      </c>
      <c r="B1840" s="3" t="str">
        <f t="shared" si="109"/>
        <v>2月</v>
      </c>
      <c r="C1840" s="4" t="str">
        <f t="shared" si="110"/>
        <v>W8</v>
      </c>
      <c r="D1840" s="2" t="s">
        <v>789</v>
      </c>
      <c r="E1840" s="2" t="s">
        <v>704</v>
      </c>
      <c r="F1840" s="2" t="str" cm="1">
        <f t="array" ref="F1840">INDEX(_xlfn.TEXTSPLIT(E1840,"-"),2)</f>
        <v>女装</v>
      </c>
      <c r="G1840" s="2" t="str" cm="1">
        <f t="array" ref="G1840">INDEX(_xlfn.TEXTSPLIT(E1840,"-"),3)</f>
        <v>中老年女装</v>
      </c>
      <c r="H1840" s="5">
        <v>110846</v>
      </c>
      <c r="I1840" s="5">
        <v>8620749.98</v>
      </c>
      <c r="J1840" s="6">
        <v>0.0066</v>
      </c>
      <c r="K1840" s="6">
        <v>-0.0689</v>
      </c>
    </row>
    <row r="1841" ht="14.5" spans="1:11">
      <c r="A1841" s="3" t="str">
        <f t="shared" si="108"/>
        <v>2026年</v>
      </c>
      <c r="B1841" s="3" t="str">
        <f t="shared" si="109"/>
        <v>2月</v>
      </c>
      <c r="C1841" s="4" t="str">
        <f t="shared" si="110"/>
        <v>W8</v>
      </c>
      <c r="D1841" s="2" t="s">
        <v>789</v>
      </c>
      <c r="E1841" s="2" t="s">
        <v>705</v>
      </c>
      <c r="F1841" s="2" t="str" cm="1">
        <f t="array" ref="F1841">INDEX(_xlfn.TEXTSPLIT(E1841,"-"),2)</f>
        <v>女装</v>
      </c>
      <c r="G1841" s="2" t="str" cm="1">
        <f t="array" ref="G1841">INDEX(_xlfn.TEXTSPLIT(E1841,"-"),3)</f>
        <v>半身裙</v>
      </c>
      <c r="H1841" s="5">
        <v>350317</v>
      </c>
      <c r="I1841" s="5">
        <v>42038580.93</v>
      </c>
      <c r="J1841" s="6">
        <v>0.0324</v>
      </c>
      <c r="K1841" s="6">
        <v>0.1353</v>
      </c>
    </row>
    <row r="1842" ht="14.5" spans="1:11">
      <c r="A1842" s="3" t="str">
        <f t="shared" si="108"/>
        <v>2026年</v>
      </c>
      <c r="B1842" s="3" t="str">
        <f t="shared" si="109"/>
        <v>2月</v>
      </c>
      <c r="C1842" s="4" t="str">
        <f t="shared" si="110"/>
        <v>W8</v>
      </c>
      <c r="D1842" s="2" t="s">
        <v>789</v>
      </c>
      <c r="E1842" s="2" t="s">
        <v>706</v>
      </c>
      <c r="F1842" s="2" t="str" cm="1">
        <f t="array" ref="F1842">INDEX(_xlfn.TEXTSPLIT(E1842,"-"),2)</f>
        <v>女装</v>
      </c>
      <c r="G1842" s="2" t="str" cm="1">
        <f t="array" ref="G1842">INDEX(_xlfn.TEXTSPLIT(E1842,"-"),3)</f>
        <v>卫衣/绒衫</v>
      </c>
      <c r="H1842" s="5">
        <v>276831</v>
      </c>
      <c r="I1842" s="5">
        <v>23831564.1</v>
      </c>
      <c r="J1842" s="6">
        <v>0.0184</v>
      </c>
      <c r="K1842" s="6">
        <v>0.2114</v>
      </c>
    </row>
    <row r="1843" ht="14.5" spans="1:11">
      <c r="A1843" s="3" t="str">
        <f t="shared" si="108"/>
        <v>2026年</v>
      </c>
      <c r="B1843" s="3" t="str">
        <f t="shared" si="109"/>
        <v>2月</v>
      </c>
      <c r="C1843" s="4" t="str">
        <f t="shared" si="110"/>
        <v>W8</v>
      </c>
      <c r="D1843" s="2" t="s">
        <v>789</v>
      </c>
      <c r="E1843" s="2" t="s">
        <v>707</v>
      </c>
      <c r="F1843" s="2" t="str" cm="1">
        <f t="array" ref="F1843">INDEX(_xlfn.TEXTSPLIT(E1843,"-"),2)</f>
        <v>女装</v>
      </c>
      <c r="G1843" s="2" t="str" cm="1">
        <f t="array" ref="G1843">INDEX(_xlfn.TEXTSPLIT(E1843,"-"),3)</f>
        <v>唐装/民族服装/舞台服装</v>
      </c>
      <c r="H1843" s="5">
        <v>280865</v>
      </c>
      <c r="I1843" s="5">
        <v>42957547.82</v>
      </c>
      <c r="J1843" s="6">
        <v>0.0331</v>
      </c>
      <c r="K1843" s="6">
        <v>0.2962</v>
      </c>
    </row>
    <row r="1844" ht="14.5" spans="1:11">
      <c r="A1844" s="3" t="str">
        <f t="shared" si="108"/>
        <v>2026年</v>
      </c>
      <c r="B1844" s="3" t="str">
        <f t="shared" si="109"/>
        <v>2月</v>
      </c>
      <c r="C1844" s="4" t="str">
        <f t="shared" si="110"/>
        <v>W8</v>
      </c>
      <c r="D1844" s="2" t="s">
        <v>789</v>
      </c>
      <c r="E1844" s="2" t="s">
        <v>708</v>
      </c>
      <c r="F1844" s="2" t="str" cm="1">
        <f t="array" ref="F1844">INDEX(_xlfn.TEXTSPLIT(E1844,"-"),2)</f>
        <v>女装</v>
      </c>
      <c r="G1844" s="2" t="str" cm="1">
        <f t="array" ref="G1844">INDEX(_xlfn.TEXTSPLIT(E1844,"-"),3)</f>
        <v>大码女装</v>
      </c>
      <c r="H1844" s="5">
        <v>254791</v>
      </c>
      <c r="I1844" s="5">
        <v>19374981.01</v>
      </c>
      <c r="J1844" s="6">
        <v>0.0149</v>
      </c>
      <c r="K1844" s="6">
        <v>0.2211</v>
      </c>
    </row>
    <row r="1845" ht="14.5" spans="1:11">
      <c r="A1845" s="3" t="str">
        <f t="shared" si="108"/>
        <v>2026年</v>
      </c>
      <c r="B1845" s="3" t="str">
        <f t="shared" si="109"/>
        <v>2月</v>
      </c>
      <c r="C1845" s="4" t="str">
        <f t="shared" si="110"/>
        <v>W8</v>
      </c>
      <c r="D1845" s="2" t="s">
        <v>789</v>
      </c>
      <c r="E1845" s="2" t="s">
        <v>709</v>
      </c>
      <c r="F1845" s="2" t="str" cm="1">
        <f t="array" ref="F1845">INDEX(_xlfn.TEXTSPLIT(E1845,"-"),2)</f>
        <v>女装</v>
      </c>
      <c r="G1845" s="2" t="str" cm="1">
        <f t="array" ref="G1845">INDEX(_xlfn.TEXTSPLIT(E1845,"-"),3)</f>
        <v>套装/学生校服/工作制服</v>
      </c>
      <c r="H1845" s="5">
        <v>702658</v>
      </c>
      <c r="I1845" s="5">
        <v>99486093.96</v>
      </c>
      <c r="J1845" s="6">
        <v>0.0767</v>
      </c>
      <c r="K1845" s="6">
        <v>0.0393</v>
      </c>
    </row>
    <row r="1846" ht="14.5" spans="1:11">
      <c r="A1846" s="3" t="str">
        <f t="shared" si="108"/>
        <v>2026年</v>
      </c>
      <c r="B1846" s="3" t="str">
        <f t="shared" si="109"/>
        <v>2月</v>
      </c>
      <c r="C1846" s="4" t="str">
        <f t="shared" si="110"/>
        <v>W8</v>
      </c>
      <c r="D1846" s="2" t="s">
        <v>789</v>
      </c>
      <c r="E1846" s="2" t="s">
        <v>710</v>
      </c>
      <c r="F1846" s="2" t="str" cm="1">
        <f t="array" ref="F1846">INDEX(_xlfn.TEXTSPLIT(E1846,"-"),2)</f>
        <v>女装</v>
      </c>
      <c r="G1846" s="2" t="str" cm="1">
        <f t="array" ref="G1846">INDEX(_xlfn.TEXTSPLIT(E1846,"-"),3)</f>
        <v>婚纱/旗袍/礼服</v>
      </c>
      <c r="H1846" s="5">
        <v>45017</v>
      </c>
      <c r="I1846" s="5">
        <v>8286545.06</v>
      </c>
      <c r="J1846" s="6">
        <v>0.0064</v>
      </c>
      <c r="K1846" s="6">
        <v>0.1242</v>
      </c>
    </row>
    <row r="1847" ht="14.5" spans="1:11">
      <c r="A1847" s="3" t="str">
        <f t="shared" si="108"/>
        <v>2026年</v>
      </c>
      <c r="B1847" s="3" t="str">
        <f t="shared" si="109"/>
        <v>2月</v>
      </c>
      <c r="C1847" s="4" t="str">
        <f t="shared" si="110"/>
        <v>W8</v>
      </c>
      <c r="D1847" s="2" t="s">
        <v>789</v>
      </c>
      <c r="E1847" s="2" t="s">
        <v>711</v>
      </c>
      <c r="F1847" s="2" t="str" cm="1">
        <f t="array" ref="F1847">INDEX(_xlfn.TEXTSPLIT(E1847,"-"),2)</f>
        <v>女装</v>
      </c>
      <c r="G1847" s="2" t="str" cm="1">
        <f t="array" ref="G1847">INDEX(_xlfn.TEXTSPLIT(E1847,"-"),3)</f>
        <v>新中式女装</v>
      </c>
      <c r="H1847" s="5">
        <v>44773</v>
      </c>
      <c r="I1847" s="5">
        <v>4765328.64</v>
      </c>
      <c r="J1847" s="6">
        <v>0.0037</v>
      </c>
      <c r="K1847" s="6">
        <v>0.147</v>
      </c>
    </row>
    <row r="1848" ht="14.5" spans="1:11">
      <c r="A1848" s="3" t="str">
        <f t="shared" si="108"/>
        <v>2026年</v>
      </c>
      <c r="B1848" s="3" t="str">
        <f t="shared" si="109"/>
        <v>2月</v>
      </c>
      <c r="C1848" s="4" t="str">
        <f t="shared" si="110"/>
        <v>W8</v>
      </c>
      <c r="D1848" s="2" t="s">
        <v>789</v>
      </c>
      <c r="E1848" s="2" t="s">
        <v>712</v>
      </c>
      <c r="F1848" s="2" t="str" cm="1">
        <f t="array" ref="F1848">INDEX(_xlfn.TEXTSPLIT(E1848,"-"),2)</f>
        <v>女装</v>
      </c>
      <c r="G1848" s="2" t="str" cm="1">
        <f t="array" ref="G1848">INDEX(_xlfn.TEXTSPLIT(E1848,"-"),3)</f>
        <v>时尚防晒服</v>
      </c>
      <c r="H1848" s="5">
        <v>1386</v>
      </c>
      <c r="I1848" s="5">
        <v>189680.62</v>
      </c>
      <c r="J1848" s="6">
        <v>0.0001</v>
      </c>
      <c r="K1848" s="6">
        <v>-0.4906</v>
      </c>
    </row>
    <row r="1849" ht="14.5" spans="1:11">
      <c r="A1849" s="3" t="str">
        <f t="shared" si="108"/>
        <v>2026年</v>
      </c>
      <c r="B1849" s="3" t="str">
        <f t="shared" si="109"/>
        <v>2月</v>
      </c>
      <c r="C1849" s="4" t="str">
        <f t="shared" si="110"/>
        <v>W8</v>
      </c>
      <c r="D1849" s="2" t="s">
        <v>789</v>
      </c>
      <c r="E1849" s="2" t="s">
        <v>714</v>
      </c>
      <c r="F1849" s="2" t="str" cm="1">
        <f t="array" ref="F1849">INDEX(_xlfn.TEXTSPLIT(E1849,"-"),2)</f>
        <v>女装</v>
      </c>
      <c r="G1849" s="2" t="str" cm="1">
        <f t="array" ref="G1849">INDEX(_xlfn.TEXTSPLIT(E1849,"-"),3)</f>
        <v>棉衣/棉服</v>
      </c>
      <c r="H1849" s="5">
        <v>117286</v>
      </c>
      <c r="I1849" s="5">
        <v>11620940.96</v>
      </c>
      <c r="J1849" s="6">
        <v>0.009</v>
      </c>
      <c r="K1849" s="7">
        <v>-0.03</v>
      </c>
    </row>
    <row r="1850" ht="14.5" spans="1:11">
      <c r="A1850" s="3" t="str">
        <f t="shared" si="108"/>
        <v>2026年</v>
      </c>
      <c r="B1850" s="3" t="str">
        <f t="shared" si="109"/>
        <v>2月</v>
      </c>
      <c r="C1850" s="4" t="str">
        <f t="shared" si="110"/>
        <v>W8</v>
      </c>
      <c r="D1850" s="2" t="s">
        <v>789</v>
      </c>
      <c r="E1850" s="2" t="s">
        <v>715</v>
      </c>
      <c r="F1850" s="2" t="str" cm="1">
        <f t="array" ref="F1850">INDEX(_xlfn.TEXTSPLIT(E1850,"-"),2)</f>
        <v>女装</v>
      </c>
      <c r="G1850" s="2" t="str" cm="1">
        <f t="array" ref="G1850">INDEX(_xlfn.TEXTSPLIT(E1850,"-"),3)</f>
        <v>毛呢外套</v>
      </c>
      <c r="H1850" s="5">
        <v>335430</v>
      </c>
      <c r="I1850" s="5">
        <v>86309819.98</v>
      </c>
      <c r="J1850" s="6">
        <v>0.0666</v>
      </c>
      <c r="K1850" s="6">
        <v>-0.0501</v>
      </c>
    </row>
    <row r="1851" ht="14.5" spans="1:11">
      <c r="A1851" s="3" t="str">
        <f t="shared" si="108"/>
        <v>2026年</v>
      </c>
      <c r="B1851" s="3" t="str">
        <f t="shared" si="109"/>
        <v>2月</v>
      </c>
      <c r="C1851" s="4" t="str">
        <f t="shared" si="110"/>
        <v>W8</v>
      </c>
      <c r="D1851" s="2" t="s">
        <v>789</v>
      </c>
      <c r="E1851" s="2" t="s">
        <v>716</v>
      </c>
      <c r="F1851" s="2" t="str" cm="1">
        <f t="array" ref="F1851">INDEX(_xlfn.TEXTSPLIT(E1851,"-"),2)</f>
        <v>女装</v>
      </c>
      <c r="G1851" s="2" t="str" cm="1">
        <f t="array" ref="G1851">INDEX(_xlfn.TEXTSPLIT(E1851,"-"),3)</f>
        <v>毛衣</v>
      </c>
      <c r="H1851" s="5">
        <v>140583</v>
      </c>
      <c r="I1851" s="5">
        <v>11450225.76</v>
      </c>
      <c r="J1851" s="6">
        <v>0.0088</v>
      </c>
      <c r="K1851" s="6">
        <v>-0.0417</v>
      </c>
    </row>
    <row r="1852" ht="14.5" spans="1:11">
      <c r="A1852" s="3" t="str">
        <f t="shared" si="108"/>
        <v>2026年</v>
      </c>
      <c r="B1852" s="3" t="str">
        <f t="shared" si="109"/>
        <v>2月</v>
      </c>
      <c r="C1852" s="4" t="str">
        <f t="shared" si="110"/>
        <v>W8</v>
      </c>
      <c r="D1852" s="2" t="s">
        <v>789</v>
      </c>
      <c r="E1852" s="2" t="s">
        <v>717</v>
      </c>
      <c r="F1852" s="2" t="str" cm="1">
        <f t="array" ref="F1852">INDEX(_xlfn.TEXTSPLIT(E1852,"-"),2)</f>
        <v>女装</v>
      </c>
      <c r="G1852" s="2" t="str" cm="1">
        <f t="array" ref="G1852">INDEX(_xlfn.TEXTSPLIT(E1852,"-"),3)</f>
        <v>毛针织衫</v>
      </c>
      <c r="H1852" s="5">
        <v>907895</v>
      </c>
      <c r="I1852" s="5">
        <v>72991338.91</v>
      </c>
      <c r="J1852" s="6">
        <v>0.0563</v>
      </c>
      <c r="K1852" s="6">
        <v>0.1326</v>
      </c>
    </row>
    <row r="1853" ht="14.5" spans="1:11">
      <c r="A1853" s="3" t="str">
        <f t="shared" si="108"/>
        <v>2026年</v>
      </c>
      <c r="B1853" s="3" t="str">
        <f t="shared" si="109"/>
        <v>2月</v>
      </c>
      <c r="C1853" s="4" t="str">
        <f t="shared" si="110"/>
        <v>W8</v>
      </c>
      <c r="D1853" s="2" t="s">
        <v>789</v>
      </c>
      <c r="E1853" s="2" t="s">
        <v>718</v>
      </c>
      <c r="F1853" s="2" t="str" cm="1">
        <f t="array" ref="F1853">INDEX(_xlfn.TEXTSPLIT(E1853,"-"),2)</f>
        <v>女装</v>
      </c>
      <c r="G1853" s="2" t="str" cm="1">
        <f t="array" ref="G1853">INDEX(_xlfn.TEXTSPLIT(E1853,"-"),3)</f>
        <v>汉服</v>
      </c>
      <c r="H1853" s="5">
        <v>144355</v>
      </c>
      <c r="I1853" s="5">
        <v>57865885.7</v>
      </c>
      <c r="J1853" s="6">
        <v>0.0446</v>
      </c>
      <c r="K1853" s="6">
        <v>0.4274</v>
      </c>
    </row>
    <row r="1854" ht="14.5" spans="1:11">
      <c r="A1854" s="3" t="str">
        <f t="shared" si="108"/>
        <v>2026年</v>
      </c>
      <c r="B1854" s="3" t="str">
        <f t="shared" si="109"/>
        <v>2月</v>
      </c>
      <c r="C1854" s="4" t="str">
        <f t="shared" si="110"/>
        <v>W8</v>
      </c>
      <c r="D1854" s="2" t="s">
        <v>789</v>
      </c>
      <c r="E1854" s="2" t="s">
        <v>719</v>
      </c>
      <c r="F1854" s="2" t="str" cm="1">
        <f t="array" ref="F1854">INDEX(_xlfn.TEXTSPLIT(E1854,"-"),2)</f>
        <v>女装</v>
      </c>
      <c r="G1854" s="2" t="str" cm="1">
        <f t="array" ref="G1854">INDEX(_xlfn.TEXTSPLIT(E1854,"-"),3)</f>
        <v>派克服</v>
      </c>
      <c r="H1854" s="5">
        <v>6434</v>
      </c>
      <c r="I1854" s="5">
        <v>779412.48</v>
      </c>
      <c r="J1854" s="6">
        <v>0.0006</v>
      </c>
      <c r="K1854" s="6">
        <v>0.0571</v>
      </c>
    </row>
    <row r="1855" ht="14.5" spans="1:11">
      <c r="A1855" s="3" t="str">
        <f t="shared" si="108"/>
        <v>2026年</v>
      </c>
      <c r="B1855" s="3" t="str">
        <f t="shared" si="109"/>
        <v>2月</v>
      </c>
      <c r="C1855" s="4" t="str">
        <f t="shared" si="110"/>
        <v>W8</v>
      </c>
      <c r="D1855" s="2" t="s">
        <v>789</v>
      </c>
      <c r="E1855" s="2" t="s">
        <v>720</v>
      </c>
      <c r="F1855" s="2" t="str" cm="1">
        <f t="array" ref="F1855">INDEX(_xlfn.TEXTSPLIT(E1855,"-"),2)</f>
        <v>女装</v>
      </c>
      <c r="G1855" s="2" t="str" cm="1">
        <f t="array" ref="G1855">INDEX(_xlfn.TEXTSPLIT(E1855,"-"),3)</f>
        <v>皮草</v>
      </c>
      <c r="H1855" s="5">
        <v>23027</v>
      </c>
      <c r="I1855" s="5">
        <v>48665055.52</v>
      </c>
      <c r="J1855" s="6">
        <v>0.0375</v>
      </c>
      <c r="K1855" s="6">
        <v>-0.1861</v>
      </c>
    </row>
    <row r="1856" ht="14.5" spans="1:11">
      <c r="A1856" s="3" t="str">
        <f t="shared" si="108"/>
        <v>2026年</v>
      </c>
      <c r="B1856" s="3" t="str">
        <f t="shared" si="109"/>
        <v>2月</v>
      </c>
      <c r="C1856" s="4" t="str">
        <f t="shared" si="110"/>
        <v>W8</v>
      </c>
      <c r="D1856" s="2" t="s">
        <v>789</v>
      </c>
      <c r="E1856" s="2" t="s">
        <v>721</v>
      </c>
      <c r="F1856" s="2" t="str" cm="1">
        <f t="array" ref="F1856">INDEX(_xlfn.TEXTSPLIT(E1856,"-"),2)</f>
        <v>女装</v>
      </c>
      <c r="G1856" s="2" t="str" cm="1">
        <f t="array" ref="G1856">INDEX(_xlfn.TEXTSPLIT(E1856,"-"),3)</f>
        <v>皮衣</v>
      </c>
      <c r="H1856" s="5">
        <v>137455</v>
      </c>
      <c r="I1856" s="5">
        <v>41594497.22</v>
      </c>
      <c r="J1856" s="6">
        <v>0.0321</v>
      </c>
      <c r="K1856" s="6">
        <v>-0.1169</v>
      </c>
    </row>
    <row r="1857" ht="14.5" spans="1:11">
      <c r="A1857" s="3" t="str">
        <f t="shared" si="108"/>
        <v>2026年</v>
      </c>
      <c r="B1857" s="3" t="str">
        <f t="shared" si="109"/>
        <v>2月</v>
      </c>
      <c r="C1857" s="4" t="str">
        <f t="shared" si="110"/>
        <v>W8</v>
      </c>
      <c r="D1857" s="2" t="s">
        <v>789</v>
      </c>
      <c r="E1857" s="2" t="s">
        <v>722</v>
      </c>
      <c r="F1857" s="2" t="str" cm="1">
        <f t="array" ref="F1857">INDEX(_xlfn.TEXTSPLIT(E1857,"-"),2)</f>
        <v>女装</v>
      </c>
      <c r="G1857" s="2" t="str" cm="1">
        <f t="array" ref="G1857">INDEX(_xlfn.TEXTSPLIT(E1857,"-"),3)</f>
        <v>短外套</v>
      </c>
      <c r="H1857" s="5">
        <v>613915</v>
      </c>
      <c r="I1857" s="5">
        <v>100365912.71</v>
      </c>
      <c r="J1857" s="6">
        <v>0.0774</v>
      </c>
      <c r="K1857" s="6">
        <v>0.0811</v>
      </c>
    </row>
    <row r="1858" ht="14.5" spans="1:11">
      <c r="A1858" s="3" t="str">
        <f t="shared" si="108"/>
        <v>2026年</v>
      </c>
      <c r="B1858" s="3" t="str">
        <f t="shared" si="109"/>
        <v>2月</v>
      </c>
      <c r="C1858" s="4" t="str">
        <f t="shared" si="110"/>
        <v>W8</v>
      </c>
      <c r="D1858" s="2" t="s">
        <v>789</v>
      </c>
      <c r="E1858" s="2" t="s">
        <v>723</v>
      </c>
      <c r="F1858" s="2" t="str" cm="1">
        <f t="array" ref="F1858">INDEX(_xlfn.TEXTSPLIT(E1858,"-"),2)</f>
        <v>女装</v>
      </c>
      <c r="G1858" s="2" t="str" cm="1">
        <f t="array" ref="G1858">INDEX(_xlfn.TEXTSPLIT(E1858,"-"),3)</f>
        <v>短裤</v>
      </c>
      <c r="H1858" s="5">
        <v>66219</v>
      </c>
      <c r="I1858" s="5">
        <v>4138745.18</v>
      </c>
      <c r="J1858" s="6">
        <v>0.0032</v>
      </c>
      <c r="K1858" s="6">
        <v>-0.062</v>
      </c>
    </row>
    <row r="1859" ht="14.5" spans="1:11">
      <c r="A1859" s="3" t="str">
        <f t="shared" si="108"/>
        <v>2026年</v>
      </c>
      <c r="B1859" s="3" t="str">
        <f t="shared" si="109"/>
        <v>2月</v>
      </c>
      <c r="C1859" s="4" t="str">
        <f t="shared" si="110"/>
        <v>W8</v>
      </c>
      <c r="D1859" s="2" t="s">
        <v>789</v>
      </c>
      <c r="E1859" s="2" t="s">
        <v>724</v>
      </c>
      <c r="F1859" s="2" t="str" cm="1">
        <f t="array" ref="F1859">INDEX(_xlfn.TEXTSPLIT(E1859,"-"),2)</f>
        <v>女装</v>
      </c>
      <c r="G1859" s="2" t="str" cm="1">
        <f t="array" ref="G1859">INDEX(_xlfn.TEXTSPLIT(E1859,"-"),3)</f>
        <v>羊毛衫</v>
      </c>
      <c r="H1859" s="5">
        <v>92397</v>
      </c>
      <c r="I1859" s="5">
        <v>12372241.32</v>
      </c>
      <c r="J1859" s="6">
        <v>0.0095</v>
      </c>
      <c r="K1859" s="6">
        <v>-0.007</v>
      </c>
    </row>
    <row r="1860" ht="14.5" spans="1:11">
      <c r="A1860" s="3" t="str">
        <f t="shared" si="108"/>
        <v>2026年</v>
      </c>
      <c r="B1860" s="3" t="str">
        <f t="shared" si="109"/>
        <v>2月</v>
      </c>
      <c r="C1860" s="4" t="str">
        <f t="shared" si="110"/>
        <v>W8</v>
      </c>
      <c r="D1860" s="2" t="s">
        <v>789</v>
      </c>
      <c r="E1860" s="2" t="s">
        <v>725</v>
      </c>
      <c r="F1860" s="2" t="str" cm="1">
        <f t="array" ref="F1860">INDEX(_xlfn.TEXTSPLIT(E1860,"-"),2)</f>
        <v>女装</v>
      </c>
      <c r="G1860" s="2" t="str" cm="1">
        <f t="array" ref="G1860">INDEX(_xlfn.TEXTSPLIT(E1860,"-"),3)</f>
        <v>羊绒大衣</v>
      </c>
      <c r="H1860" s="5">
        <v>1811</v>
      </c>
      <c r="I1860" s="5">
        <v>808419.63</v>
      </c>
      <c r="J1860" s="6">
        <v>0.0006</v>
      </c>
      <c r="K1860" s="6">
        <v>0.9781</v>
      </c>
    </row>
    <row r="1861" ht="14.5" spans="1:11">
      <c r="A1861" s="3" t="str">
        <f t="shared" si="108"/>
        <v>2026年</v>
      </c>
      <c r="B1861" s="3" t="str">
        <f t="shared" si="109"/>
        <v>2月</v>
      </c>
      <c r="C1861" s="4" t="str">
        <f t="shared" si="110"/>
        <v>W8</v>
      </c>
      <c r="D1861" s="2" t="s">
        <v>789</v>
      </c>
      <c r="E1861" s="2" t="s">
        <v>726</v>
      </c>
      <c r="F1861" s="2" t="str" cm="1">
        <f t="array" ref="F1861">INDEX(_xlfn.TEXTSPLIT(E1861,"-"),2)</f>
        <v>女装</v>
      </c>
      <c r="G1861" s="2" t="str" cm="1">
        <f t="array" ref="G1861">INDEX(_xlfn.TEXTSPLIT(E1861,"-"),3)</f>
        <v>羊绒衫</v>
      </c>
      <c r="H1861" s="5">
        <v>24589</v>
      </c>
      <c r="I1861" s="5">
        <v>6511769.08</v>
      </c>
      <c r="J1861" s="6">
        <v>0.005</v>
      </c>
      <c r="K1861" s="7">
        <v>0.04</v>
      </c>
    </row>
    <row r="1862" ht="14.5" spans="1:11">
      <c r="A1862" s="3" t="str">
        <f t="shared" si="108"/>
        <v>2026年</v>
      </c>
      <c r="B1862" s="3" t="str">
        <f t="shared" si="109"/>
        <v>2月</v>
      </c>
      <c r="C1862" s="4" t="str">
        <f t="shared" si="110"/>
        <v>W8</v>
      </c>
      <c r="D1862" s="2" t="s">
        <v>789</v>
      </c>
      <c r="E1862" s="2" t="s">
        <v>727</v>
      </c>
      <c r="F1862" s="2" t="str" cm="1">
        <f t="array" ref="F1862">INDEX(_xlfn.TEXTSPLIT(E1862,"-"),2)</f>
        <v>女装</v>
      </c>
      <c r="G1862" s="2" t="str" cm="1">
        <f t="array" ref="G1862">INDEX(_xlfn.TEXTSPLIT(E1862,"-"),3)</f>
        <v>羽绒服</v>
      </c>
      <c r="H1862" s="5">
        <v>166848</v>
      </c>
      <c r="I1862" s="5">
        <v>47209694.23</v>
      </c>
      <c r="J1862" s="6">
        <v>0.0364</v>
      </c>
      <c r="K1862" s="6">
        <v>-0.0967</v>
      </c>
    </row>
    <row r="1863" ht="14.5" spans="1:11">
      <c r="A1863" s="3" t="str">
        <f t="shared" si="108"/>
        <v>2026年</v>
      </c>
      <c r="B1863" s="3" t="str">
        <f t="shared" si="109"/>
        <v>2月</v>
      </c>
      <c r="C1863" s="4" t="str">
        <f t="shared" si="110"/>
        <v>W8</v>
      </c>
      <c r="D1863" s="2" t="s">
        <v>789</v>
      </c>
      <c r="E1863" s="2" t="s">
        <v>728</v>
      </c>
      <c r="F1863" s="2" t="str" cm="1">
        <f t="array" ref="F1863">INDEX(_xlfn.TEXTSPLIT(E1863,"-"),2)</f>
        <v>女装</v>
      </c>
      <c r="G1863" s="2" t="str" cm="1">
        <f t="array" ref="G1863">INDEX(_xlfn.TEXTSPLIT(E1863,"-"),3)</f>
        <v>肌底衣/肌肤衣</v>
      </c>
      <c r="H1863" s="5">
        <v>2778</v>
      </c>
      <c r="I1863" s="5">
        <v>159390.75</v>
      </c>
      <c r="J1863" s="6">
        <v>0.0001</v>
      </c>
      <c r="K1863" s="6">
        <v>-0.2105</v>
      </c>
    </row>
    <row r="1864" ht="14.5" spans="1:11">
      <c r="A1864" s="3" t="str">
        <f t="shared" si="108"/>
        <v>2026年</v>
      </c>
      <c r="B1864" s="3" t="str">
        <f t="shared" si="109"/>
        <v>2月</v>
      </c>
      <c r="C1864" s="4" t="str">
        <f t="shared" si="110"/>
        <v>W8</v>
      </c>
      <c r="D1864" s="2" t="s">
        <v>789</v>
      </c>
      <c r="E1864" s="2" t="s">
        <v>729</v>
      </c>
      <c r="F1864" s="2" t="str" cm="1">
        <f t="array" ref="F1864">INDEX(_xlfn.TEXTSPLIT(E1864,"-"),2)</f>
        <v>女装</v>
      </c>
      <c r="G1864" s="2" t="str" cm="1">
        <f t="array" ref="G1864">INDEX(_xlfn.TEXTSPLIT(E1864,"-"),3)</f>
        <v>背心吊带</v>
      </c>
      <c r="H1864" s="5">
        <v>304787</v>
      </c>
      <c r="I1864" s="5">
        <v>15614901.2</v>
      </c>
      <c r="J1864" s="6">
        <v>0.012</v>
      </c>
      <c r="K1864" s="6">
        <v>0.1898</v>
      </c>
    </row>
    <row r="1865" ht="14.5" spans="1:11">
      <c r="A1865" s="3" t="str">
        <f t="shared" si="108"/>
        <v>2026年</v>
      </c>
      <c r="B1865" s="3" t="str">
        <f t="shared" si="109"/>
        <v>2月</v>
      </c>
      <c r="C1865" s="4" t="str">
        <f t="shared" si="110"/>
        <v>W8</v>
      </c>
      <c r="D1865" s="2" t="s">
        <v>789</v>
      </c>
      <c r="E1865" s="2" t="s">
        <v>730</v>
      </c>
      <c r="F1865" s="2" t="str" cm="1">
        <f t="array" ref="F1865">INDEX(_xlfn.TEXTSPLIT(E1865,"-"),2)</f>
        <v>女装</v>
      </c>
      <c r="G1865" s="2" t="str" cm="1">
        <f t="array" ref="G1865">INDEX(_xlfn.TEXTSPLIT(E1865,"-"),3)</f>
        <v>蕾丝衫/雪纺衫</v>
      </c>
      <c r="H1865" s="5">
        <v>143929</v>
      </c>
      <c r="I1865" s="5">
        <v>11354594.92</v>
      </c>
      <c r="J1865" s="6">
        <v>0.0088</v>
      </c>
      <c r="K1865" s="6">
        <v>0.4447</v>
      </c>
    </row>
    <row r="1866" ht="14.5" spans="1:11">
      <c r="A1866" s="3" t="str">
        <f t="shared" si="108"/>
        <v>2026年</v>
      </c>
      <c r="B1866" s="3" t="str">
        <f t="shared" si="109"/>
        <v>2月</v>
      </c>
      <c r="C1866" s="4" t="str">
        <f t="shared" si="110"/>
        <v>W8</v>
      </c>
      <c r="D1866" s="2" t="s">
        <v>789</v>
      </c>
      <c r="E1866" s="2" t="s">
        <v>731</v>
      </c>
      <c r="F1866" s="2" t="str" cm="1">
        <f t="array" ref="F1866">INDEX(_xlfn.TEXTSPLIT(E1866,"-"),2)</f>
        <v>女装</v>
      </c>
      <c r="G1866" s="2" t="str" cm="1">
        <f t="array" ref="G1866">INDEX(_xlfn.TEXTSPLIT(E1866,"-"),3)</f>
        <v>衬衫</v>
      </c>
      <c r="H1866" s="5">
        <v>635895</v>
      </c>
      <c r="I1866" s="5">
        <v>60968256</v>
      </c>
      <c r="J1866" s="6">
        <v>0.047</v>
      </c>
      <c r="K1866" s="6">
        <v>0.1625</v>
      </c>
    </row>
    <row r="1867" ht="14.5" spans="1:11">
      <c r="A1867" s="3" t="str">
        <f t="shared" si="108"/>
        <v>2026年</v>
      </c>
      <c r="B1867" s="3" t="str">
        <f t="shared" si="109"/>
        <v>2月</v>
      </c>
      <c r="C1867" s="4" t="str">
        <f t="shared" si="110"/>
        <v>W8</v>
      </c>
      <c r="D1867" s="2" t="s">
        <v>789</v>
      </c>
      <c r="E1867" s="2" t="s">
        <v>732</v>
      </c>
      <c r="F1867" s="2" t="str" cm="1">
        <f t="array" ref="F1867">INDEX(_xlfn.TEXTSPLIT(E1867,"-"),2)</f>
        <v>女装</v>
      </c>
      <c r="G1867" s="2" t="str" cm="1">
        <f t="array" ref="G1867">INDEX(_xlfn.TEXTSPLIT(E1867,"-"),3)</f>
        <v>裤子</v>
      </c>
      <c r="H1867" s="5">
        <v>1775395</v>
      </c>
      <c r="I1867" s="5">
        <v>190551604.14</v>
      </c>
      <c r="J1867" s="6">
        <v>0.1469</v>
      </c>
      <c r="K1867" s="6">
        <v>0.1498</v>
      </c>
    </row>
    <row r="1868" ht="14.5" spans="1:11">
      <c r="A1868" s="3" t="str">
        <f t="shared" si="108"/>
        <v>2026年</v>
      </c>
      <c r="B1868" s="3" t="str">
        <f t="shared" si="109"/>
        <v>2月</v>
      </c>
      <c r="C1868" s="4" t="str">
        <f t="shared" si="110"/>
        <v>W8</v>
      </c>
      <c r="D1868" s="2" t="s">
        <v>789</v>
      </c>
      <c r="E1868" s="2" t="s">
        <v>733</v>
      </c>
      <c r="F1868" s="2" t="str" cm="1">
        <f t="array" ref="F1868">INDEX(_xlfn.TEXTSPLIT(E1868,"-"),2)</f>
        <v>女装</v>
      </c>
      <c r="G1868" s="2" t="str" cm="1">
        <f t="array" ref="G1868">INDEX(_xlfn.TEXTSPLIT(E1868,"-"),3)</f>
        <v>西装</v>
      </c>
      <c r="H1868" s="5">
        <v>84383</v>
      </c>
      <c r="I1868" s="5">
        <v>22735180.94</v>
      </c>
      <c r="J1868" s="6">
        <v>0.0175</v>
      </c>
      <c r="K1868" s="6">
        <v>0.2774</v>
      </c>
    </row>
    <row r="1869" ht="14.5" spans="1:11">
      <c r="A1869" s="3" t="str">
        <f t="shared" si="108"/>
        <v>2026年</v>
      </c>
      <c r="B1869" s="3" t="str">
        <f t="shared" si="109"/>
        <v>2月</v>
      </c>
      <c r="C1869" s="4" t="str">
        <f t="shared" si="110"/>
        <v>W8</v>
      </c>
      <c r="D1869" s="2" t="s">
        <v>789</v>
      </c>
      <c r="E1869" s="2" t="s">
        <v>734</v>
      </c>
      <c r="F1869" s="2" t="str" cm="1">
        <f t="array" ref="F1869">INDEX(_xlfn.TEXTSPLIT(E1869,"-"),2)</f>
        <v>女装</v>
      </c>
      <c r="G1869" s="2" t="str" cm="1">
        <f t="array" ref="G1869">INDEX(_xlfn.TEXTSPLIT(E1869,"-"),3)</f>
        <v>设计师/潮牌女装</v>
      </c>
      <c r="H1869" s="5">
        <v>118538</v>
      </c>
      <c r="I1869" s="5">
        <v>18364654.15</v>
      </c>
      <c r="J1869" s="6">
        <v>0.0142</v>
      </c>
      <c r="K1869" s="6">
        <v>-0.047</v>
      </c>
    </row>
    <row r="1870" ht="14.5" spans="1:11">
      <c r="A1870" s="3" t="str">
        <f t="shared" si="108"/>
        <v>2026年</v>
      </c>
      <c r="B1870" s="3" t="str">
        <f t="shared" si="109"/>
        <v>2月</v>
      </c>
      <c r="C1870" s="4" t="str">
        <f t="shared" si="110"/>
        <v>W8</v>
      </c>
      <c r="D1870" s="2" t="s">
        <v>789</v>
      </c>
      <c r="E1870" s="2" t="s">
        <v>735</v>
      </c>
      <c r="F1870" s="2" t="str" cm="1">
        <f t="array" ref="F1870">INDEX(_xlfn.TEXTSPLIT(E1870,"-"),2)</f>
        <v>女装</v>
      </c>
      <c r="G1870" s="2" t="str" cm="1">
        <f t="array" ref="G1870">INDEX(_xlfn.TEXTSPLIT(E1870,"-"),3)</f>
        <v>连体衣/裤</v>
      </c>
      <c r="H1870" s="5">
        <v>8502</v>
      </c>
      <c r="I1870" s="5">
        <v>2031113.53</v>
      </c>
      <c r="J1870" s="6">
        <v>0.0016</v>
      </c>
      <c r="K1870" s="6">
        <v>0.1088</v>
      </c>
    </row>
    <row r="1871" ht="14.5" spans="1:11">
      <c r="A1871" s="3" t="str">
        <f t="shared" si="108"/>
        <v>2026年</v>
      </c>
      <c r="B1871" s="3" t="str">
        <f t="shared" si="109"/>
        <v>2月</v>
      </c>
      <c r="C1871" s="4" t="str">
        <f t="shared" si="110"/>
        <v>W8</v>
      </c>
      <c r="D1871" s="2" t="s">
        <v>789</v>
      </c>
      <c r="E1871" s="2" t="s">
        <v>736</v>
      </c>
      <c r="F1871" s="2" t="str" cm="1">
        <f t="array" ref="F1871">INDEX(_xlfn.TEXTSPLIT(E1871,"-"),2)</f>
        <v>女装</v>
      </c>
      <c r="G1871" s="2" t="str" cm="1">
        <f t="array" ref="G1871">INDEX(_xlfn.TEXTSPLIT(E1871,"-"),3)</f>
        <v>连衣裙</v>
      </c>
      <c r="H1871" s="5">
        <v>523432</v>
      </c>
      <c r="I1871" s="5">
        <v>90453927.67</v>
      </c>
      <c r="J1871" s="6">
        <v>0.0698</v>
      </c>
      <c r="K1871" s="6">
        <v>0.204</v>
      </c>
    </row>
    <row r="1872" ht="14.5" spans="1:11">
      <c r="A1872" s="3" t="str">
        <f t="shared" si="108"/>
        <v>2026年</v>
      </c>
      <c r="B1872" s="3" t="str">
        <f t="shared" si="109"/>
        <v>2月</v>
      </c>
      <c r="C1872" s="4" t="str">
        <f t="shared" si="110"/>
        <v>W8</v>
      </c>
      <c r="D1872" s="2" t="s">
        <v>789</v>
      </c>
      <c r="E1872" s="2" t="s">
        <v>737</v>
      </c>
      <c r="F1872" s="2" t="str" cm="1">
        <f t="array" ref="F1872">INDEX(_xlfn.TEXTSPLIT(E1872,"-"),2)</f>
        <v>女装</v>
      </c>
      <c r="G1872" s="2" t="str" cm="1">
        <f t="array" ref="G1872">INDEX(_xlfn.TEXTSPLIT(E1872,"-"),3)</f>
        <v>风衣</v>
      </c>
      <c r="H1872" s="5">
        <v>105444</v>
      </c>
      <c r="I1872" s="5">
        <v>24720019.89</v>
      </c>
      <c r="J1872" s="6">
        <v>0.0191</v>
      </c>
      <c r="K1872" s="6">
        <v>0.0061</v>
      </c>
    </row>
    <row r="1873" ht="14.5" spans="1:11">
      <c r="A1873" s="3" t="str">
        <f t="shared" si="108"/>
        <v>2026年</v>
      </c>
      <c r="B1873" s="3" t="str">
        <f t="shared" si="109"/>
        <v>2月</v>
      </c>
      <c r="C1873" s="4" t="str">
        <f t="shared" si="110"/>
        <v>W8</v>
      </c>
      <c r="D1873" s="2" t="s">
        <v>789</v>
      </c>
      <c r="E1873" s="2" t="s">
        <v>738</v>
      </c>
      <c r="F1873" s="2" t="str" cm="1">
        <f t="array" ref="F1873">INDEX(_xlfn.TEXTSPLIT(E1873,"-"),2)</f>
        <v>女装</v>
      </c>
      <c r="G1873" s="2" t="str" cm="1">
        <f t="array" ref="G1873">INDEX(_xlfn.TEXTSPLIT(E1873,"-"),3)</f>
        <v>马夹</v>
      </c>
      <c r="H1873" s="5">
        <v>304135</v>
      </c>
      <c r="I1873" s="5">
        <v>28583574.79</v>
      </c>
      <c r="J1873" s="6">
        <v>0.022</v>
      </c>
      <c r="K1873" s="6">
        <v>0.1059</v>
      </c>
    </row>
    <row r="1874" ht="14.5" spans="1:11">
      <c r="A1874" s="3" t="str">
        <f t="shared" si="108"/>
        <v>2026年</v>
      </c>
      <c r="B1874" s="3" t="str">
        <f t="shared" si="109"/>
        <v>2月</v>
      </c>
      <c r="C1874" s="4" t="str">
        <f t="shared" si="110"/>
        <v>W8</v>
      </c>
      <c r="D1874" s="2" t="s">
        <v>790</v>
      </c>
      <c r="E1874" s="2" t="s">
        <v>702</v>
      </c>
      <c r="F1874" s="2" t="str" cm="1">
        <f t="array" ref="F1874">INDEX(_xlfn.TEXTSPLIT(E1874,"-"),2)</f>
        <v>女装</v>
      </c>
      <c r="G1874" s="2" t="str" cm="1">
        <f t="array" ref="G1874">INDEX(_xlfn.TEXTSPLIT(E1874,"-"),3)</f>
        <v>POLO衫</v>
      </c>
      <c r="H1874" s="5">
        <v>21181</v>
      </c>
      <c r="I1874" s="5">
        <v>1108989.38</v>
      </c>
      <c r="J1874" s="6">
        <v>0.0012</v>
      </c>
      <c r="K1874" s="6">
        <v>-0.236</v>
      </c>
    </row>
    <row r="1875" ht="14.5" spans="1:11">
      <c r="A1875" s="3" t="str">
        <f t="shared" si="108"/>
        <v>2026年</v>
      </c>
      <c r="B1875" s="3" t="str">
        <f t="shared" si="109"/>
        <v>2月</v>
      </c>
      <c r="C1875" s="4" t="str">
        <f t="shared" si="110"/>
        <v>W8</v>
      </c>
      <c r="D1875" s="2" t="s">
        <v>790</v>
      </c>
      <c r="E1875" s="2" t="s">
        <v>703</v>
      </c>
      <c r="F1875" s="2" t="str" cm="1">
        <f t="array" ref="F1875">INDEX(_xlfn.TEXTSPLIT(E1875,"-"),2)</f>
        <v>女装</v>
      </c>
      <c r="G1875" s="2" t="str" cm="1">
        <f t="array" ref="G1875">INDEX(_xlfn.TEXTSPLIT(E1875,"-"),3)</f>
        <v>T恤</v>
      </c>
      <c r="H1875" s="5">
        <v>1105956</v>
      </c>
      <c r="I1875" s="5">
        <v>59838416.58</v>
      </c>
      <c r="J1875" s="6">
        <v>0.0621</v>
      </c>
      <c r="K1875" s="6">
        <v>-0.228</v>
      </c>
    </row>
    <row r="1876" ht="14.5" spans="1:11">
      <c r="A1876" s="3" t="str">
        <f t="shared" si="108"/>
        <v>2026年</v>
      </c>
      <c r="B1876" s="3" t="str">
        <f t="shared" si="109"/>
        <v>2月</v>
      </c>
      <c r="C1876" s="4" t="str">
        <f t="shared" si="110"/>
        <v>W8</v>
      </c>
      <c r="D1876" s="2" t="s">
        <v>790</v>
      </c>
      <c r="E1876" s="2" t="s">
        <v>704</v>
      </c>
      <c r="F1876" s="2" t="str" cm="1">
        <f t="array" ref="F1876">INDEX(_xlfn.TEXTSPLIT(E1876,"-"),2)</f>
        <v>女装</v>
      </c>
      <c r="G1876" s="2" t="str" cm="1">
        <f t="array" ref="G1876">INDEX(_xlfn.TEXTSPLIT(E1876,"-"),3)</f>
        <v>中老年女装</v>
      </c>
      <c r="H1876" s="5">
        <v>85167</v>
      </c>
      <c r="I1876" s="5">
        <v>6797172.04</v>
      </c>
      <c r="J1876" s="6">
        <v>0.0071</v>
      </c>
      <c r="K1876" s="6">
        <v>-0.2115</v>
      </c>
    </row>
    <row r="1877" ht="14.5" spans="1:11">
      <c r="A1877" s="3" t="str">
        <f t="shared" si="108"/>
        <v>2026年</v>
      </c>
      <c r="B1877" s="3" t="str">
        <f t="shared" si="109"/>
        <v>2月</v>
      </c>
      <c r="C1877" s="4" t="str">
        <f t="shared" si="110"/>
        <v>W8</v>
      </c>
      <c r="D1877" s="2" t="s">
        <v>790</v>
      </c>
      <c r="E1877" s="2" t="s">
        <v>705</v>
      </c>
      <c r="F1877" s="2" t="str" cm="1">
        <f t="array" ref="F1877">INDEX(_xlfn.TEXTSPLIT(E1877,"-"),2)</f>
        <v>女装</v>
      </c>
      <c r="G1877" s="2" t="str" cm="1">
        <f t="array" ref="G1877">INDEX(_xlfn.TEXTSPLIT(E1877,"-"),3)</f>
        <v>半身裙</v>
      </c>
      <c r="H1877" s="5">
        <v>321867</v>
      </c>
      <c r="I1877" s="5">
        <v>33269894.21</v>
      </c>
      <c r="J1877" s="6">
        <v>0.0345</v>
      </c>
      <c r="K1877" s="6">
        <v>-0.2086</v>
      </c>
    </row>
    <row r="1878" ht="14.5" spans="1:11">
      <c r="A1878" s="3" t="str">
        <f t="shared" si="108"/>
        <v>2026年</v>
      </c>
      <c r="B1878" s="3" t="str">
        <f t="shared" si="109"/>
        <v>2月</v>
      </c>
      <c r="C1878" s="4" t="str">
        <f t="shared" si="110"/>
        <v>W8</v>
      </c>
      <c r="D1878" s="2" t="s">
        <v>790</v>
      </c>
      <c r="E1878" s="2" t="s">
        <v>706</v>
      </c>
      <c r="F1878" s="2" t="str" cm="1">
        <f t="array" ref="F1878">INDEX(_xlfn.TEXTSPLIT(E1878,"-"),2)</f>
        <v>女装</v>
      </c>
      <c r="G1878" s="2" t="str" cm="1">
        <f t="array" ref="G1878">INDEX(_xlfn.TEXTSPLIT(E1878,"-"),3)</f>
        <v>卫衣/绒衫</v>
      </c>
      <c r="H1878" s="5">
        <v>164311</v>
      </c>
      <c r="I1878" s="5">
        <v>13529742.04</v>
      </c>
      <c r="J1878" s="6">
        <v>0.014</v>
      </c>
      <c r="K1878" s="6">
        <v>-0.4323</v>
      </c>
    </row>
    <row r="1879" ht="14.5" spans="1:11">
      <c r="A1879" s="3" t="str">
        <f t="shared" si="108"/>
        <v>2026年</v>
      </c>
      <c r="B1879" s="3" t="str">
        <f t="shared" si="109"/>
        <v>2月</v>
      </c>
      <c r="C1879" s="4" t="str">
        <f t="shared" si="110"/>
        <v>W8</v>
      </c>
      <c r="D1879" s="2" t="s">
        <v>790</v>
      </c>
      <c r="E1879" s="2" t="s">
        <v>707</v>
      </c>
      <c r="F1879" s="2" t="str" cm="1">
        <f t="array" ref="F1879">INDEX(_xlfn.TEXTSPLIT(E1879,"-"),2)</f>
        <v>女装</v>
      </c>
      <c r="G1879" s="2" t="str" cm="1">
        <f t="array" ref="G1879">INDEX(_xlfn.TEXTSPLIT(E1879,"-"),3)</f>
        <v>唐装/民族服装/舞台服装</v>
      </c>
      <c r="H1879" s="5">
        <v>178063</v>
      </c>
      <c r="I1879" s="5">
        <v>27769939.23</v>
      </c>
      <c r="J1879" s="6">
        <v>0.0288</v>
      </c>
      <c r="K1879" s="6">
        <v>-0.3535</v>
      </c>
    </row>
    <row r="1880" ht="14.5" spans="1:11">
      <c r="A1880" s="3" t="str">
        <f t="shared" si="108"/>
        <v>2026年</v>
      </c>
      <c r="B1880" s="3" t="str">
        <f t="shared" si="109"/>
        <v>2月</v>
      </c>
      <c r="C1880" s="4" t="str">
        <f t="shared" si="110"/>
        <v>W8</v>
      </c>
      <c r="D1880" s="2" t="s">
        <v>790</v>
      </c>
      <c r="E1880" s="2" t="s">
        <v>708</v>
      </c>
      <c r="F1880" s="2" t="str" cm="1">
        <f t="array" ref="F1880">INDEX(_xlfn.TEXTSPLIT(E1880,"-"),2)</f>
        <v>女装</v>
      </c>
      <c r="G1880" s="2" t="str" cm="1">
        <f t="array" ref="G1880">INDEX(_xlfn.TEXTSPLIT(E1880,"-"),3)</f>
        <v>大码女装</v>
      </c>
      <c r="H1880" s="5">
        <v>249549</v>
      </c>
      <c r="I1880" s="5">
        <v>16826413.91</v>
      </c>
      <c r="J1880" s="6">
        <v>0.0175</v>
      </c>
      <c r="K1880" s="6">
        <v>-0.1315</v>
      </c>
    </row>
    <row r="1881" ht="14.5" spans="1:11">
      <c r="A1881" s="3" t="str">
        <f t="shared" si="108"/>
        <v>2026年</v>
      </c>
      <c r="B1881" s="3" t="str">
        <f t="shared" si="109"/>
        <v>2月</v>
      </c>
      <c r="C1881" s="4" t="str">
        <f t="shared" si="110"/>
        <v>W8</v>
      </c>
      <c r="D1881" s="2" t="s">
        <v>790</v>
      </c>
      <c r="E1881" s="2" t="s">
        <v>709</v>
      </c>
      <c r="F1881" s="2" t="str" cm="1">
        <f t="array" ref="F1881">INDEX(_xlfn.TEXTSPLIT(E1881,"-"),2)</f>
        <v>女装</v>
      </c>
      <c r="G1881" s="2" t="str" cm="1">
        <f t="array" ref="G1881">INDEX(_xlfn.TEXTSPLIT(E1881,"-"),3)</f>
        <v>套装/学生校服/工作制服</v>
      </c>
      <c r="H1881" s="5">
        <v>439534</v>
      </c>
      <c r="I1881" s="5">
        <v>63897982.09</v>
      </c>
      <c r="J1881" s="6">
        <v>0.0663</v>
      </c>
      <c r="K1881" s="6">
        <v>-0.3577</v>
      </c>
    </row>
    <row r="1882" ht="14.5" spans="1:11">
      <c r="A1882" s="3" t="str">
        <f t="shared" si="108"/>
        <v>2026年</v>
      </c>
      <c r="B1882" s="3" t="str">
        <f t="shared" si="109"/>
        <v>2月</v>
      </c>
      <c r="C1882" s="4" t="str">
        <f t="shared" si="110"/>
        <v>W8</v>
      </c>
      <c r="D1882" s="2" t="s">
        <v>790</v>
      </c>
      <c r="E1882" s="2" t="s">
        <v>710</v>
      </c>
      <c r="F1882" s="2" t="str" cm="1">
        <f t="array" ref="F1882">INDEX(_xlfn.TEXTSPLIT(E1882,"-"),2)</f>
        <v>女装</v>
      </c>
      <c r="G1882" s="2" t="str" cm="1">
        <f t="array" ref="G1882">INDEX(_xlfn.TEXTSPLIT(E1882,"-"),3)</f>
        <v>婚纱/旗袍/礼服</v>
      </c>
      <c r="H1882" s="5">
        <v>37102</v>
      </c>
      <c r="I1882" s="5">
        <v>6291068.27</v>
      </c>
      <c r="J1882" s="6">
        <v>0.0065</v>
      </c>
      <c r="K1882" s="6">
        <v>-0.2408</v>
      </c>
    </row>
    <row r="1883" ht="14.5" spans="1:11">
      <c r="A1883" s="3" t="str">
        <f t="shared" si="108"/>
        <v>2026年</v>
      </c>
      <c r="B1883" s="3" t="str">
        <f t="shared" si="109"/>
        <v>2月</v>
      </c>
      <c r="C1883" s="4" t="str">
        <f t="shared" si="110"/>
        <v>W8</v>
      </c>
      <c r="D1883" s="2" t="s">
        <v>790</v>
      </c>
      <c r="E1883" s="2" t="s">
        <v>711</v>
      </c>
      <c r="F1883" s="2" t="str" cm="1">
        <f t="array" ref="F1883">INDEX(_xlfn.TEXTSPLIT(E1883,"-"),2)</f>
        <v>女装</v>
      </c>
      <c r="G1883" s="2" t="str" cm="1">
        <f t="array" ref="G1883">INDEX(_xlfn.TEXTSPLIT(E1883,"-"),3)</f>
        <v>新中式女装</v>
      </c>
      <c r="H1883" s="5">
        <v>24380</v>
      </c>
      <c r="I1883" s="5">
        <v>2905731.78</v>
      </c>
      <c r="J1883" s="6">
        <v>0.003</v>
      </c>
      <c r="K1883" s="6">
        <v>-0.3902</v>
      </c>
    </row>
    <row r="1884" ht="14.5" spans="1:11">
      <c r="A1884" s="3" t="str">
        <f t="shared" si="108"/>
        <v>2026年</v>
      </c>
      <c r="B1884" s="3" t="str">
        <f t="shared" si="109"/>
        <v>2月</v>
      </c>
      <c r="C1884" s="4" t="str">
        <f t="shared" si="110"/>
        <v>W8</v>
      </c>
      <c r="D1884" s="2" t="s">
        <v>790</v>
      </c>
      <c r="E1884" s="2" t="s">
        <v>712</v>
      </c>
      <c r="F1884" s="2" t="str" cm="1">
        <f t="array" ref="F1884">INDEX(_xlfn.TEXTSPLIT(E1884,"-"),2)</f>
        <v>女装</v>
      </c>
      <c r="G1884" s="2" t="str" cm="1">
        <f t="array" ref="G1884">INDEX(_xlfn.TEXTSPLIT(E1884,"-"),3)</f>
        <v>时尚防晒服</v>
      </c>
      <c r="H1884" s="5">
        <v>928</v>
      </c>
      <c r="I1884" s="5">
        <v>82391.22</v>
      </c>
      <c r="J1884" s="6">
        <v>0.0001</v>
      </c>
      <c r="K1884" s="6">
        <v>-0.5656</v>
      </c>
    </row>
    <row r="1885" ht="14.5" spans="1:11">
      <c r="A1885" s="3" t="str">
        <f t="shared" si="108"/>
        <v>2026年</v>
      </c>
      <c r="B1885" s="3" t="str">
        <f t="shared" si="109"/>
        <v>2月</v>
      </c>
      <c r="C1885" s="4" t="str">
        <f t="shared" si="110"/>
        <v>W8</v>
      </c>
      <c r="D1885" s="2" t="s">
        <v>790</v>
      </c>
      <c r="E1885" s="2" t="s">
        <v>714</v>
      </c>
      <c r="F1885" s="2" t="str" cm="1">
        <f t="array" ref="F1885">INDEX(_xlfn.TEXTSPLIT(E1885,"-"),2)</f>
        <v>女装</v>
      </c>
      <c r="G1885" s="2" t="str" cm="1">
        <f t="array" ref="G1885">INDEX(_xlfn.TEXTSPLIT(E1885,"-"),3)</f>
        <v>棉衣/棉服</v>
      </c>
      <c r="H1885" s="5">
        <v>119032</v>
      </c>
      <c r="I1885" s="5">
        <v>11777273.37</v>
      </c>
      <c r="J1885" s="6">
        <v>0.0122</v>
      </c>
      <c r="K1885" s="6">
        <v>0.0135</v>
      </c>
    </row>
    <row r="1886" ht="14.5" spans="1:11">
      <c r="A1886" s="3" t="str">
        <f t="shared" ref="A1886:A1909" si="111">TEXT(YEAR(D1886),"0")&amp;"年"</f>
        <v>2026年</v>
      </c>
      <c r="B1886" s="3" t="str">
        <f t="shared" ref="B1886:B1909" si="112">TEXT(MONTH(D1886),"0")&amp;"月"</f>
        <v>2月</v>
      </c>
      <c r="C1886" s="4" t="str">
        <f t="shared" ref="C1886:C1909" si="113">"W"&amp;TEXT(WEEKNUM(D1886,2),"0")</f>
        <v>W8</v>
      </c>
      <c r="D1886" s="2" t="s">
        <v>790</v>
      </c>
      <c r="E1886" s="2" t="s">
        <v>715</v>
      </c>
      <c r="F1886" s="2" t="str" cm="1">
        <f t="array" ref="F1886">INDEX(_xlfn.TEXTSPLIT(E1886,"-"),2)</f>
        <v>女装</v>
      </c>
      <c r="G1886" s="2" t="str" cm="1">
        <f t="array" ref="G1886">INDEX(_xlfn.TEXTSPLIT(E1886,"-"),3)</f>
        <v>毛呢外套</v>
      </c>
      <c r="H1886" s="5">
        <v>235769</v>
      </c>
      <c r="I1886" s="5">
        <v>58527257.34</v>
      </c>
      <c r="J1886" s="6">
        <v>0.0607</v>
      </c>
      <c r="K1886" s="6">
        <v>-0.3219</v>
      </c>
    </row>
    <row r="1887" ht="14.5" spans="1:11">
      <c r="A1887" s="3" t="str">
        <f t="shared" si="111"/>
        <v>2026年</v>
      </c>
      <c r="B1887" s="3" t="str">
        <f t="shared" si="112"/>
        <v>2月</v>
      </c>
      <c r="C1887" s="4" t="str">
        <f t="shared" si="113"/>
        <v>W8</v>
      </c>
      <c r="D1887" s="2" t="s">
        <v>790</v>
      </c>
      <c r="E1887" s="2" t="s">
        <v>716</v>
      </c>
      <c r="F1887" s="2" t="str" cm="1">
        <f t="array" ref="F1887">INDEX(_xlfn.TEXTSPLIT(E1887,"-"),2)</f>
        <v>女装</v>
      </c>
      <c r="G1887" s="2" t="str" cm="1">
        <f t="array" ref="G1887">INDEX(_xlfn.TEXTSPLIT(E1887,"-"),3)</f>
        <v>毛衣</v>
      </c>
      <c r="H1887" s="5">
        <v>87481</v>
      </c>
      <c r="I1887" s="5">
        <v>7400374.74</v>
      </c>
      <c r="J1887" s="6">
        <v>0.0077</v>
      </c>
      <c r="K1887" s="6">
        <v>-0.3537</v>
      </c>
    </row>
    <row r="1888" ht="14.5" spans="1:11">
      <c r="A1888" s="3" t="str">
        <f t="shared" si="111"/>
        <v>2026年</v>
      </c>
      <c r="B1888" s="3" t="str">
        <f t="shared" si="112"/>
        <v>2月</v>
      </c>
      <c r="C1888" s="4" t="str">
        <f t="shared" si="113"/>
        <v>W8</v>
      </c>
      <c r="D1888" s="2" t="s">
        <v>790</v>
      </c>
      <c r="E1888" s="2" t="s">
        <v>717</v>
      </c>
      <c r="F1888" s="2" t="str" cm="1">
        <f t="array" ref="F1888">INDEX(_xlfn.TEXTSPLIT(E1888,"-"),2)</f>
        <v>女装</v>
      </c>
      <c r="G1888" s="2" t="str" cm="1">
        <f t="array" ref="G1888">INDEX(_xlfn.TEXTSPLIT(E1888,"-"),3)</f>
        <v>毛针织衫</v>
      </c>
      <c r="H1888" s="5">
        <v>769503</v>
      </c>
      <c r="I1888" s="5">
        <v>60316228.6</v>
      </c>
      <c r="J1888" s="6">
        <v>0.0626</v>
      </c>
      <c r="K1888" s="6">
        <v>-0.1737</v>
      </c>
    </row>
    <row r="1889" ht="14.5" spans="1:11">
      <c r="A1889" s="3" t="str">
        <f t="shared" si="111"/>
        <v>2026年</v>
      </c>
      <c r="B1889" s="3" t="str">
        <f t="shared" si="112"/>
        <v>2月</v>
      </c>
      <c r="C1889" s="4" t="str">
        <f t="shared" si="113"/>
        <v>W8</v>
      </c>
      <c r="D1889" s="2" t="s">
        <v>790</v>
      </c>
      <c r="E1889" s="2" t="s">
        <v>718</v>
      </c>
      <c r="F1889" s="2" t="str" cm="1">
        <f t="array" ref="F1889">INDEX(_xlfn.TEXTSPLIT(E1889,"-"),2)</f>
        <v>女装</v>
      </c>
      <c r="G1889" s="2" t="str" cm="1">
        <f t="array" ref="G1889">INDEX(_xlfn.TEXTSPLIT(E1889,"-"),3)</f>
        <v>汉服</v>
      </c>
      <c r="H1889" s="5">
        <v>89721</v>
      </c>
      <c r="I1889" s="5">
        <v>39277940.53</v>
      </c>
      <c r="J1889" s="6">
        <v>0.0408</v>
      </c>
      <c r="K1889" s="6">
        <v>-0.3212</v>
      </c>
    </row>
    <row r="1890" ht="14.5" spans="1:11">
      <c r="A1890" s="3" t="str">
        <f t="shared" si="111"/>
        <v>2026年</v>
      </c>
      <c r="B1890" s="3" t="str">
        <f t="shared" si="112"/>
        <v>2月</v>
      </c>
      <c r="C1890" s="4" t="str">
        <f t="shared" si="113"/>
        <v>W8</v>
      </c>
      <c r="D1890" s="2" t="s">
        <v>790</v>
      </c>
      <c r="E1890" s="2" t="s">
        <v>719</v>
      </c>
      <c r="F1890" s="2" t="str" cm="1">
        <f t="array" ref="F1890">INDEX(_xlfn.TEXTSPLIT(E1890,"-"),2)</f>
        <v>女装</v>
      </c>
      <c r="G1890" s="2" t="str" cm="1">
        <f t="array" ref="G1890">INDEX(_xlfn.TEXTSPLIT(E1890,"-"),3)</f>
        <v>派克服</v>
      </c>
      <c r="H1890" s="5">
        <v>7885</v>
      </c>
      <c r="I1890" s="5">
        <v>777978.74</v>
      </c>
      <c r="J1890" s="6">
        <v>0.0008</v>
      </c>
      <c r="K1890" s="6">
        <v>-0.0018</v>
      </c>
    </row>
    <row r="1891" ht="14.5" spans="1:11">
      <c r="A1891" s="3" t="str">
        <f t="shared" si="111"/>
        <v>2026年</v>
      </c>
      <c r="B1891" s="3" t="str">
        <f t="shared" si="112"/>
        <v>2月</v>
      </c>
      <c r="C1891" s="4" t="str">
        <f t="shared" si="113"/>
        <v>W8</v>
      </c>
      <c r="D1891" s="2" t="s">
        <v>790</v>
      </c>
      <c r="E1891" s="2" t="s">
        <v>720</v>
      </c>
      <c r="F1891" s="2" t="str" cm="1">
        <f t="array" ref="F1891">INDEX(_xlfn.TEXTSPLIT(E1891,"-"),2)</f>
        <v>女装</v>
      </c>
      <c r="G1891" s="2" t="str" cm="1">
        <f t="array" ref="G1891">INDEX(_xlfn.TEXTSPLIT(E1891,"-"),3)</f>
        <v>皮草</v>
      </c>
      <c r="H1891" s="5">
        <v>18954</v>
      </c>
      <c r="I1891" s="5">
        <v>35935518.04</v>
      </c>
      <c r="J1891" s="6">
        <v>0.0373</v>
      </c>
      <c r="K1891" s="6">
        <v>-0.2616</v>
      </c>
    </row>
    <row r="1892" ht="14.5" spans="1:11">
      <c r="A1892" s="3" t="str">
        <f t="shared" si="111"/>
        <v>2026年</v>
      </c>
      <c r="B1892" s="3" t="str">
        <f t="shared" si="112"/>
        <v>2月</v>
      </c>
      <c r="C1892" s="4" t="str">
        <f t="shared" si="113"/>
        <v>W8</v>
      </c>
      <c r="D1892" s="2" t="s">
        <v>790</v>
      </c>
      <c r="E1892" s="2" t="s">
        <v>721</v>
      </c>
      <c r="F1892" s="2" t="str" cm="1">
        <f t="array" ref="F1892">INDEX(_xlfn.TEXTSPLIT(E1892,"-"),2)</f>
        <v>女装</v>
      </c>
      <c r="G1892" s="2" t="str" cm="1">
        <f t="array" ref="G1892">INDEX(_xlfn.TEXTSPLIT(E1892,"-"),3)</f>
        <v>皮衣</v>
      </c>
      <c r="H1892" s="5">
        <v>119079</v>
      </c>
      <c r="I1892" s="5">
        <v>31698803.86</v>
      </c>
      <c r="J1892" s="6">
        <v>0.0329</v>
      </c>
      <c r="K1892" s="6">
        <v>-0.2379</v>
      </c>
    </row>
    <row r="1893" ht="14.5" spans="1:11">
      <c r="A1893" s="3" t="str">
        <f t="shared" si="111"/>
        <v>2026年</v>
      </c>
      <c r="B1893" s="3" t="str">
        <f t="shared" si="112"/>
        <v>2月</v>
      </c>
      <c r="C1893" s="4" t="str">
        <f t="shared" si="113"/>
        <v>W8</v>
      </c>
      <c r="D1893" s="2" t="s">
        <v>790</v>
      </c>
      <c r="E1893" s="2" t="s">
        <v>722</v>
      </c>
      <c r="F1893" s="2" t="str" cm="1">
        <f t="array" ref="F1893">INDEX(_xlfn.TEXTSPLIT(E1893,"-"),2)</f>
        <v>女装</v>
      </c>
      <c r="G1893" s="2" t="str" cm="1">
        <f t="array" ref="G1893">INDEX(_xlfn.TEXTSPLIT(E1893,"-"),3)</f>
        <v>短外套</v>
      </c>
      <c r="H1893" s="5">
        <v>481539</v>
      </c>
      <c r="I1893" s="5">
        <v>72433766.2</v>
      </c>
      <c r="J1893" s="6">
        <v>0.0752</v>
      </c>
      <c r="K1893" s="6">
        <v>-0.2783</v>
      </c>
    </row>
    <row r="1894" ht="14.5" spans="1:11">
      <c r="A1894" s="3" t="str">
        <f t="shared" si="111"/>
        <v>2026年</v>
      </c>
      <c r="B1894" s="3" t="str">
        <f t="shared" si="112"/>
        <v>2月</v>
      </c>
      <c r="C1894" s="4" t="str">
        <f t="shared" si="113"/>
        <v>W8</v>
      </c>
      <c r="D1894" s="2" t="s">
        <v>790</v>
      </c>
      <c r="E1894" s="2" t="s">
        <v>723</v>
      </c>
      <c r="F1894" s="2" t="str" cm="1">
        <f t="array" ref="F1894">INDEX(_xlfn.TEXTSPLIT(E1894,"-"),2)</f>
        <v>女装</v>
      </c>
      <c r="G1894" s="2" t="str" cm="1">
        <f t="array" ref="G1894">INDEX(_xlfn.TEXTSPLIT(E1894,"-"),3)</f>
        <v>短裤</v>
      </c>
      <c r="H1894" s="5">
        <v>64701</v>
      </c>
      <c r="I1894" s="5">
        <v>3821484.9</v>
      </c>
      <c r="J1894" s="6">
        <v>0.004</v>
      </c>
      <c r="K1894" s="6">
        <v>-0.0767</v>
      </c>
    </row>
    <row r="1895" ht="14.5" spans="1:11">
      <c r="A1895" s="3" t="str">
        <f t="shared" si="111"/>
        <v>2026年</v>
      </c>
      <c r="B1895" s="3" t="str">
        <f t="shared" si="112"/>
        <v>2月</v>
      </c>
      <c r="C1895" s="4" t="str">
        <f t="shared" si="113"/>
        <v>W8</v>
      </c>
      <c r="D1895" s="2" t="s">
        <v>790</v>
      </c>
      <c r="E1895" s="2" t="s">
        <v>724</v>
      </c>
      <c r="F1895" s="2" t="str" cm="1">
        <f t="array" ref="F1895">INDEX(_xlfn.TEXTSPLIT(E1895,"-"),2)</f>
        <v>女装</v>
      </c>
      <c r="G1895" s="2" t="str" cm="1">
        <f t="array" ref="G1895">INDEX(_xlfn.TEXTSPLIT(E1895,"-"),3)</f>
        <v>羊毛衫</v>
      </c>
      <c r="H1895" s="5">
        <v>77522</v>
      </c>
      <c r="I1895" s="5">
        <v>9583700.64</v>
      </c>
      <c r="J1895" s="6">
        <v>0.0099</v>
      </c>
      <c r="K1895" s="6">
        <v>-0.2254</v>
      </c>
    </row>
    <row r="1896" ht="14.5" spans="1:11">
      <c r="A1896" s="3" t="str">
        <f t="shared" si="111"/>
        <v>2026年</v>
      </c>
      <c r="B1896" s="3" t="str">
        <f t="shared" si="112"/>
        <v>2月</v>
      </c>
      <c r="C1896" s="4" t="str">
        <f t="shared" si="113"/>
        <v>W8</v>
      </c>
      <c r="D1896" s="2" t="s">
        <v>790</v>
      </c>
      <c r="E1896" s="2" t="s">
        <v>725</v>
      </c>
      <c r="F1896" s="2" t="str" cm="1">
        <f t="array" ref="F1896">INDEX(_xlfn.TEXTSPLIT(E1896,"-"),2)</f>
        <v>女装</v>
      </c>
      <c r="G1896" s="2" t="str" cm="1">
        <f t="array" ref="G1896">INDEX(_xlfn.TEXTSPLIT(E1896,"-"),3)</f>
        <v>羊绒大衣</v>
      </c>
      <c r="H1896" s="5">
        <v>1124</v>
      </c>
      <c r="I1896" s="5">
        <v>384999.17</v>
      </c>
      <c r="J1896" s="6">
        <v>0.0004</v>
      </c>
      <c r="K1896" s="6">
        <v>-0.5238</v>
      </c>
    </row>
    <row r="1897" ht="14.5" spans="1:11">
      <c r="A1897" s="3" t="str">
        <f t="shared" si="111"/>
        <v>2026年</v>
      </c>
      <c r="B1897" s="3" t="str">
        <f t="shared" si="112"/>
        <v>2月</v>
      </c>
      <c r="C1897" s="4" t="str">
        <f t="shared" si="113"/>
        <v>W8</v>
      </c>
      <c r="D1897" s="2" t="s">
        <v>790</v>
      </c>
      <c r="E1897" s="2" t="s">
        <v>726</v>
      </c>
      <c r="F1897" s="2" t="str" cm="1">
        <f t="array" ref="F1897">INDEX(_xlfn.TEXTSPLIT(E1897,"-"),2)</f>
        <v>女装</v>
      </c>
      <c r="G1897" s="2" t="str" cm="1">
        <f t="array" ref="G1897">INDEX(_xlfn.TEXTSPLIT(E1897,"-"),3)</f>
        <v>羊绒衫</v>
      </c>
      <c r="H1897" s="5">
        <v>18794</v>
      </c>
      <c r="I1897" s="5">
        <v>6809824.17</v>
      </c>
      <c r="J1897" s="6">
        <v>0.0071</v>
      </c>
      <c r="K1897" s="6">
        <v>0.0458</v>
      </c>
    </row>
    <row r="1898" ht="14.5" spans="1:11">
      <c r="A1898" s="3" t="str">
        <f t="shared" si="111"/>
        <v>2026年</v>
      </c>
      <c r="B1898" s="3" t="str">
        <f t="shared" si="112"/>
        <v>2月</v>
      </c>
      <c r="C1898" s="4" t="str">
        <f t="shared" si="113"/>
        <v>W8</v>
      </c>
      <c r="D1898" s="2" t="s">
        <v>790</v>
      </c>
      <c r="E1898" s="2" t="s">
        <v>727</v>
      </c>
      <c r="F1898" s="2" t="str" cm="1">
        <f t="array" ref="F1898">INDEX(_xlfn.TEXTSPLIT(E1898,"-"),2)</f>
        <v>女装</v>
      </c>
      <c r="G1898" s="2" t="str" cm="1">
        <f t="array" ref="G1898">INDEX(_xlfn.TEXTSPLIT(E1898,"-"),3)</f>
        <v>羽绒服</v>
      </c>
      <c r="H1898" s="5">
        <v>122897</v>
      </c>
      <c r="I1898" s="5">
        <v>34091213.91</v>
      </c>
      <c r="J1898" s="6">
        <v>0.0354</v>
      </c>
      <c r="K1898" s="6">
        <v>-0.2779</v>
      </c>
    </row>
    <row r="1899" ht="14.5" spans="1:11">
      <c r="A1899" s="3" t="str">
        <f t="shared" si="111"/>
        <v>2026年</v>
      </c>
      <c r="B1899" s="3" t="str">
        <f t="shared" si="112"/>
        <v>2月</v>
      </c>
      <c r="C1899" s="4" t="str">
        <f t="shared" si="113"/>
        <v>W8</v>
      </c>
      <c r="D1899" s="2" t="s">
        <v>790</v>
      </c>
      <c r="E1899" s="2" t="s">
        <v>728</v>
      </c>
      <c r="F1899" s="2" t="str" cm="1">
        <f t="array" ref="F1899">INDEX(_xlfn.TEXTSPLIT(E1899,"-"),2)</f>
        <v>女装</v>
      </c>
      <c r="G1899" s="2" t="str" cm="1">
        <f t="array" ref="G1899">INDEX(_xlfn.TEXTSPLIT(E1899,"-"),3)</f>
        <v>肌底衣/肌肤衣</v>
      </c>
      <c r="H1899" s="5">
        <v>1708</v>
      </c>
      <c r="I1899" s="5">
        <v>97692.82</v>
      </c>
      <c r="J1899" s="6">
        <v>0.0001</v>
      </c>
      <c r="K1899" s="6">
        <v>-0.3871</v>
      </c>
    </row>
    <row r="1900" ht="14.5" spans="1:11">
      <c r="A1900" s="3" t="str">
        <f t="shared" si="111"/>
        <v>2026年</v>
      </c>
      <c r="B1900" s="3" t="str">
        <f t="shared" si="112"/>
        <v>2月</v>
      </c>
      <c r="C1900" s="4" t="str">
        <f t="shared" si="113"/>
        <v>W8</v>
      </c>
      <c r="D1900" s="2" t="s">
        <v>790</v>
      </c>
      <c r="E1900" s="2" t="s">
        <v>729</v>
      </c>
      <c r="F1900" s="2" t="str" cm="1">
        <f t="array" ref="F1900">INDEX(_xlfn.TEXTSPLIT(E1900,"-"),2)</f>
        <v>女装</v>
      </c>
      <c r="G1900" s="2" t="str" cm="1">
        <f t="array" ref="G1900">INDEX(_xlfn.TEXTSPLIT(E1900,"-"),3)</f>
        <v>背心吊带</v>
      </c>
      <c r="H1900" s="5">
        <v>233309</v>
      </c>
      <c r="I1900" s="5">
        <v>12661604.71</v>
      </c>
      <c r="J1900" s="6">
        <v>0.0131</v>
      </c>
      <c r="K1900" s="6">
        <v>-0.1891</v>
      </c>
    </row>
    <row r="1901" ht="14.5" spans="1:11">
      <c r="A1901" s="3" t="str">
        <f t="shared" si="111"/>
        <v>2026年</v>
      </c>
      <c r="B1901" s="3" t="str">
        <f t="shared" si="112"/>
        <v>2月</v>
      </c>
      <c r="C1901" s="4" t="str">
        <f t="shared" si="113"/>
        <v>W8</v>
      </c>
      <c r="D1901" s="2" t="s">
        <v>790</v>
      </c>
      <c r="E1901" s="2" t="s">
        <v>730</v>
      </c>
      <c r="F1901" s="2" t="str" cm="1">
        <f t="array" ref="F1901">INDEX(_xlfn.TEXTSPLIT(E1901,"-"),2)</f>
        <v>女装</v>
      </c>
      <c r="G1901" s="2" t="str" cm="1">
        <f t="array" ref="G1901">INDEX(_xlfn.TEXTSPLIT(E1901,"-"),3)</f>
        <v>蕾丝衫/雪纺衫</v>
      </c>
      <c r="H1901" s="5">
        <v>94890</v>
      </c>
      <c r="I1901" s="5">
        <v>7230450.96</v>
      </c>
      <c r="J1901" s="6">
        <v>0.0075</v>
      </c>
      <c r="K1901" s="6">
        <v>-0.3632</v>
      </c>
    </row>
    <row r="1902" ht="14.5" spans="1:11">
      <c r="A1902" s="3" t="str">
        <f t="shared" si="111"/>
        <v>2026年</v>
      </c>
      <c r="B1902" s="3" t="str">
        <f t="shared" si="112"/>
        <v>2月</v>
      </c>
      <c r="C1902" s="4" t="str">
        <f t="shared" si="113"/>
        <v>W8</v>
      </c>
      <c r="D1902" s="2" t="s">
        <v>790</v>
      </c>
      <c r="E1902" s="2" t="s">
        <v>731</v>
      </c>
      <c r="F1902" s="2" t="str" cm="1">
        <f t="array" ref="F1902">INDEX(_xlfn.TEXTSPLIT(E1902,"-"),2)</f>
        <v>女装</v>
      </c>
      <c r="G1902" s="2" t="str" cm="1">
        <f t="array" ref="G1902">INDEX(_xlfn.TEXTSPLIT(E1902,"-"),3)</f>
        <v>衬衫</v>
      </c>
      <c r="H1902" s="5">
        <v>505686</v>
      </c>
      <c r="I1902" s="5">
        <v>50010584.84</v>
      </c>
      <c r="J1902" s="6">
        <v>0.0519</v>
      </c>
      <c r="K1902" s="6">
        <v>-0.1797</v>
      </c>
    </row>
    <row r="1903" ht="14.5" spans="1:11">
      <c r="A1903" s="3" t="str">
        <f t="shared" si="111"/>
        <v>2026年</v>
      </c>
      <c r="B1903" s="3" t="str">
        <f t="shared" si="112"/>
        <v>2月</v>
      </c>
      <c r="C1903" s="4" t="str">
        <f t="shared" si="113"/>
        <v>W8</v>
      </c>
      <c r="D1903" s="2" t="s">
        <v>790</v>
      </c>
      <c r="E1903" s="2" t="s">
        <v>732</v>
      </c>
      <c r="F1903" s="2" t="str" cm="1">
        <f t="array" ref="F1903">INDEX(_xlfn.TEXTSPLIT(E1903,"-"),2)</f>
        <v>女装</v>
      </c>
      <c r="G1903" s="2" t="str" cm="1">
        <f t="array" ref="G1903">INDEX(_xlfn.TEXTSPLIT(E1903,"-"),3)</f>
        <v>裤子</v>
      </c>
      <c r="H1903" s="5">
        <v>1483716</v>
      </c>
      <c r="I1903" s="5">
        <v>154148016.9</v>
      </c>
      <c r="J1903" s="7">
        <v>0.16</v>
      </c>
      <c r="K1903" s="6">
        <v>-0.191</v>
      </c>
    </row>
    <row r="1904" ht="14.5" spans="1:11">
      <c r="A1904" s="3" t="str">
        <f t="shared" si="111"/>
        <v>2026年</v>
      </c>
      <c r="B1904" s="3" t="str">
        <f t="shared" si="112"/>
        <v>2月</v>
      </c>
      <c r="C1904" s="4" t="str">
        <f t="shared" si="113"/>
        <v>W8</v>
      </c>
      <c r="D1904" s="2" t="s">
        <v>790</v>
      </c>
      <c r="E1904" s="2" t="s">
        <v>733</v>
      </c>
      <c r="F1904" s="2" t="str" cm="1">
        <f t="array" ref="F1904">INDEX(_xlfn.TEXTSPLIT(E1904,"-"),2)</f>
        <v>女装</v>
      </c>
      <c r="G1904" s="2" t="str" cm="1">
        <f t="array" ref="G1904">INDEX(_xlfn.TEXTSPLIT(E1904,"-"),3)</f>
        <v>西装</v>
      </c>
      <c r="H1904" s="5">
        <v>59015</v>
      </c>
      <c r="I1904" s="5">
        <v>15043909.88</v>
      </c>
      <c r="J1904" s="6">
        <v>0.0156</v>
      </c>
      <c r="K1904" s="6">
        <v>-0.3383</v>
      </c>
    </row>
    <row r="1905" ht="14.5" spans="1:11">
      <c r="A1905" s="3" t="str">
        <f t="shared" si="111"/>
        <v>2026年</v>
      </c>
      <c r="B1905" s="3" t="str">
        <f t="shared" si="112"/>
        <v>2月</v>
      </c>
      <c r="C1905" s="4" t="str">
        <f t="shared" si="113"/>
        <v>W8</v>
      </c>
      <c r="D1905" s="2" t="s">
        <v>790</v>
      </c>
      <c r="E1905" s="2" t="s">
        <v>734</v>
      </c>
      <c r="F1905" s="2" t="str" cm="1">
        <f t="array" ref="F1905">INDEX(_xlfn.TEXTSPLIT(E1905,"-"),2)</f>
        <v>女装</v>
      </c>
      <c r="G1905" s="2" t="str" cm="1">
        <f t="array" ref="G1905">INDEX(_xlfn.TEXTSPLIT(E1905,"-"),3)</f>
        <v>设计师/潮牌女装</v>
      </c>
      <c r="H1905" s="5">
        <v>65734</v>
      </c>
      <c r="I1905" s="5">
        <v>9557897.29</v>
      </c>
      <c r="J1905" s="6">
        <v>0.0099</v>
      </c>
      <c r="K1905" s="6">
        <v>-0.4795</v>
      </c>
    </row>
    <row r="1906" ht="14.5" spans="1:11">
      <c r="A1906" s="3" t="str">
        <f t="shared" si="111"/>
        <v>2026年</v>
      </c>
      <c r="B1906" s="3" t="str">
        <f t="shared" si="112"/>
        <v>2月</v>
      </c>
      <c r="C1906" s="4" t="str">
        <f t="shared" si="113"/>
        <v>W8</v>
      </c>
      <c r="D1906" s="2" t="s">
        <v>790</v>
      </c>
      <c r="E1906" s="2" t="s">
        <v>735</v>
      </c>
      <c r="F1906" s="2" t="str" cm="1">
        <f t="array" ref="F1906">INDEX(_xlfn.TEXTSPLIT(E1906,"-"),2)</f>
        <v>女装</v>
      </c>
      <c r="G1906" s="2" t="str" cm="1">
        <f t="array" ref="G1906">INDEX(_xlfn.TEXTSPLIT(E1906,"-"),3)</f>
        <v>连体衣/裤</v>
      </c>
      <c r="H1906" s="5">
        <v>6625</v>
      </c>
      <c r="I1906" s="5">
        <v>2031586.41</v>
      </c>
      <c r="J1906" s="6">
        <v>0.0021</v>
      </c>
      <c r="K1906" s="6">
        <v>0.0002</v>
      </c>
    </row>
    <row r="1907" ht="14.5" spans="1:11">
      <c r="A1907" s="3" t="str">
        <f t="shared" si="111"/>
        <v>2026年</v>
      </c>
      <c r="B1907" s="3" t="str">
        <f t="shared" si="112"/>
        <v>2月</v>
      </c>
      <c r="C1907" s="4" t="str">
        <f t="shared" si="113"/>
        <v>W8</v>
      </c>
      <c r="D1907" s="2" t="s">
        <v>790</v>
      </c>
      <c r="E1907" s="2" t="s">
        <v>736</v>
      </c>
      <c r="F1907" s="2" t="str" cm="1">
        <f t="array" ref="F1907">INDEX(_xlfn.TEXTSPLIT(E1907,"-"),2)</f>
        <v>女装</v>
      </c>
      <c r="G1907" s="2" t="str" cm="1">
        <f t="array" ref="G1907">INDEX(_xlfn.TEXTSPLIT(E1907,"-"),3)</f>
        <v>连衣裙</v>
      </c>
      <c r="H1907" s="5">
        <v>352700</v>
      </c>
      <c r="I1907" s="5">
        <v>62155260.23</v>
      </c>
      <c r="J1907" s="6">
        <v>0.0645</v>
      </c>
      <c r="K1907" s="6">
        <v>-0.3129</v>
      </c>
    </row>
    <row r="1908" ht="14.5" spans="1:11">
      <c r="A1908" s="3" t="str">
        <f t="shared" si="111"/>
        <v>2026年</v>
      </c>
      <c r="B1908" s="3" t="str">
        <f t="shared" si="112"/>
        <v>2月</v>
      </c>
      <c r="C1908" s="4" t="str">
        <f t="shared" si="113"/>
        <v>W8</v>
      </c>
      <c r="D1908" s="2" t="s">
        <v>790</v>
      </c>
      <c r="E1908" s="2" t="s">
        <v>737</v>
      </c>
      <c r="F1908" s="2" t="str" cm="1">
        <f t="array" ref="F1908">INDEX(_xlfn.TEXTSPLIT(E1908,"-"),2)</f>
        <v>女装</v>
      </c>
      <c r="G1908" s="2" t="str" cm="1">
        <f t="array" ref="G1908">INDEX(_xlfn.TEXTSPLIT(E1908,"-"),3)</f>
        <v>风衣</v>
      </c>
      <c r="H1908" s="5">
        <v>88369</v>
      </c>
      <c r="I1908" s="5">
        <v>22131661.05</v>
      </c>
      <c r="J1908" s="6">
        <v>0.023</v>
      </c>
      <c r="K1908" s="6">
        <v>-0.1047</v>
      </c>
    </row>
    <row r="1909" ht="14.5" spans="1:11">
      <c r="A1909" s="3" t="str">
        <f t="shared" si="111"/>
        <v>2026年</v>
      </c>
      <c r="B1909" s="3" t="str">
        <f t="shared" si="112"/>
        <v>2月</v>
      </c>
      <c r="C1909" s="4" t="str">
        <f t="shared" si="113"/>
        <v>W8</v>
      </c>
      <c r="D1909" s="2" t="s">
        <v>790</v>
      </c>
      <c r="E1909" s="2" t="s">
        <v>738</v>
      </c>
      <c r="F1909" s="2" t="str" cm="1">
        <f t="array" ref="F1909">INDEX(_xlfn.TEXTSPLIT(E1909,"-"),2)</f>
        <v>女装</v>
      </c>
      <c r="G1909" s="2" t="str" cm="1">
        <f t="array" ref="G1909">INDEX(_xlfn.TEXTSPLIT(E1909,"-"),3)</f>
        <v>马夹</v>
      </c>
      <c r="H1909" s="5">
        <v>275799</v>
      </c>
      <c r="I1909" s="5">
        <v>23361364.49</v>
      </c>
      <c r="J1909" s="6">
        <v>0.0242</v>
      </c>
      <c r="K1909" s="6">
        <v>-0.1827</v>
      </c>
    </row>
    <row r="1910" ht="14.5" spans="1:11">
      <c r="A1910" s="3" t="str">
        <f t="shared" ref="A1910:A1973" si="114">TEXT(YEAR(D1910),"0")&amp;"年"</f>
        <v>2026年</v>
      </c>
      <c r="B1910" s="3" t="str">
        <f t="shared" ref="B1910:B1973" si="115">TEXT(MONTH(D1910),"0")&amp;"月"</f>
        <v>2月</v>
      </c>
      <c r="C1910" s="4" t="str">
        <f t="shared" ref="C1910:C1973" si="116">"W"&amp;TEXT(WEEKNUM(D1910,2),"0")</f>
        <v>W9</v>
      </c>
      <c r="D1910" s="8" t="s">
        <v>791</v>
      </c>
      <c r="E1910" s="8" t="s">
        <v>702</v>
      </c>
      <c r="F1910" s="2" t="str" cm="1">
        <f t="array" ref="F1910">INDEX(_xlfn.TEXTSPLIT(E1910,"-"),2)</f>
        <v>女装</v>
      </c>
      <c r="G1910" s="2" t="str" cm="1">
        <f t="array" ref="G1910">INDEX(_xlfn.TEXTSPLIT(E1910,"-"),3)</f>
        <v>POLO衫</v>
      </c>
      <c r="H1910" s="9">
        <v>33549</v>
      </c>
      <c r="I1910" s="9">
        <v>1886852.75</v>
      </c>
      <c r="J1910" s="10">
        <v>0.0011</v>
      </c>
      <c r="K1910" s="10">
        <v>0.0385</v>
      </c>
    </row>
    <row r="1911" ht="14.5" spans="1:11">
      <c r="A1911" s="3" t="str">
        <f t="shared" si="114"/>
        <v>2026年</v>
      </c>
      <c r="B1911" s="3" t="str">
        <f t="shared" si="115"/>
        <v>2月</v>
      </c>
      <c r="C1911" s="4" t="str">
        <f t="shared" si="116"/>
        <v>W9</v>
      </c>
      <c r="D1911" s="2" t="s">
        <v>791</v>
      </c>
      <c r="E1911" s="2" t="s">
        <v>703</v>
      </c>
      <c r="F1911" s="2" t="str" cm="1">
        <f t="array" ref="F1911">INDEX(_xlfn.TEXTSPLIT(E1911,"-"),2)</f>
        <v>女装</v>
      </c>
      <c r="G1911" s="2" t="str" cm="1">
        <f t="array" ref="G1911">INDEX(_xlfn.TEXTSPLIT(E1911,"-"),3)</f>
        <v>T恤</v>
      </c>
      <c r="H1911" s="5">
        <v>1869402</v>
      </c>
      <c r="I1911" s="5">
        <v>106115186.04</v>
      </c>
      <c r="J1911" s="6">
        <v>0.061</v>
      </c>
      <c r="K1911" s="6">
        <v>0.0112</v>
      </c>
    </row>
    <row r="1912" ht="14.5" spans="1:11">
      <c r="A1912" s="3" t="str">
        <f t="shared" si="114"/>
        <v>2026年</v>
      </c>
      <c r="B1912" s="3" t="str">
        <f t="shared" si="115"/>
        <v>2月</v>
      </c>
      <c r="C1912" s="4" t="str">
        <f t="shared" si="116"/>
        <v>W9</v>
      </c>
      <c r="D1912" s="2" t="s">
        <v>791</v>
      </c>
      <c r="E1912" s="2" t="s">
        <v>704</v>
      </c>
      <c r="F1912" s="2" t="str" cm="1">
        <f t="array" ref="F1912">INDEX(_xlfn.TEXTSPLIT(E1912,"-"),2)</f>
        <v>女装</v>
      </c>
      <c r="G1912" s="2" t="str" cm="1">
        <f t="array" ref="G1912">INDEX(_xlfn.TEXTSPLIT(E1912,"-"),3)</f>
        <v>中老年女装</v>
      </c>
      <c r="H1912" s="5">
        <v>159408</v>
      </c>
      <c r="I1912" s="5">
        <v>15259656.89</v>
      </c>
      <c r="J1912" s="6">
        <v>0.0088</v>
      </c>
      <c r="K1912" s="6">
        <v>0.4636</v>
      </c>
    </row>
    <row r="1913" ht="14.5" spans="1:11">
      <c r="A1913" s="3" t="str">
        <f t="shared" si="114"/>
        <v>2026年</v>
      </c>
      <c r="B1913" s="3" t="str">
        <f t="shared" si="115"/>
        <v>2月</v>
      </c>
      <c r="C1913" s="4" t="str">
        <f t="shared" si="116"/>
        <v>W9</v>
      </c>
      <c r="D1913" s="2" t="s">
        <v>791</v>
      </c>
      <c r="E1913" s="2" t="s">
        <v>705</v>
      </c>
      <c r="F1913" s="2" t="str" cm="1">
        <f t="array" ref="F1913">INDEX(_xlfn.TEXTSPLIT(E1913,"-"),2)</f>
        <v>女装</v>
      </c>
      <c r="G1913" s="2" t="str" cm="1">
        <f t="array" ref="G1913">INDEX(_xlfn.TEXTSPLIT(E1913,"-"),3)</f>
        <v>半身裙</v>
      </c>
      <c r="H1913" s="5">
        <v>487469</v>
      </c>
      <c r="I1913" s="5">
        <v>53494273.1</v>
      </c>
      <c r="J1913" s="6">
        <v>0.0308</v>
      </c>
      <c r="K1913" s="6">
        <v>0.0901</v>
      </c>
    </row>
    <row r="1914" ht="14.5" spans="1:11">
      <c r="A1914" s="3" t="str">
        <f t="shared" si="114"/>
        <v>2026年</v>
      </c>
      <c r="B1914" s="3" t="str">
        <f t="shared" si="115"/>
        <v>2月</v>
      </c>
      <c r="C1914" s="4" t="str">
        <f t="shared" si="116"/>
        <v>W9</v>
      </c>
      <c r="D1914" s="2" t="s">
        <v>791</v>
      </c>
      <c r="E1914" s="2" t="s">
        <v>706</v>
      </c>
      <c r="F1914" s="2" t="str" cm="1">
        <f t="array" ref="F1914">INDEX(_xlfn.TEXTSPLIT(E1914,"-"),2)</f>
        <v>女装</v>
      </c>
      <c r="G1914" s="2" t="str" cm="1">
        <f t="array" ref="G1914">INDEX(_xlfn.TEXTSPLIT(E1914,"-"),3)</f>
        <v>卫衣/绒衫</v>
      </c>
      <c r="H1914" s="5">
        <v>345543</v>
      </c>
      <c r="I1914" s="5">
        <v>28421339.73</v>
      </c>
      <c r="J1914" s="6">
        <v>0.0163</v>
      </c>
      <c r="K1914" s="6">
        <v>0.107</v>
      </c>
    </row>
    <row r="1915" ht="14.5" spans="1:11">
      <c r="A1915" s="3" t="str">
        <f t="shared" si="114"/>
        <v>2026年</v>
      </c>
      <c r="B1915" s="3" t="str">
        <f t="shared" si="115"/>
        <v>2月</v>
      </c>
      <c r="C1915" s="4" t="str">
        <f t="shared" si="116"/>
        <v>W9</v>
      </c>
      <c r="D1915" s="2" t="s">
        <v>791</v>
      </c>
      <c r="E1915" s="2" t="s">
        <v>707</v>
      </c>
      <c r="F1915" s="2" t="str" cm="1">
        <f t="array" ref="F1915">INDEX(_xlfn.TEXTSPLIT(E1915,"-"),2)</f>
        <v>女装</v>
      </c>
      <c r="G1915" s="2" t="str" cm="1">
        <f t="array" ref="G1915">INDEX(_xlfn.TEXTSPLIT(E1915,"-"),3)</f>
        <v>唐装/民族服装/舞台服装</v>
      </c>
      <c r="H1915" s="5">
        <v>314586</v>
      </c>
      <c r="I1915" s="5">
        <v>46992047.9</v>
      </c>
      <c r="J1915" s="6">
        <v>0.027</v>
      </c>
      <c r="K1915" s="6">
        <v>0.0699</v>
      </c>
    </row>
    <row r="1916" ht="14.5" spans="1:11">
      <c r="A1916" s="3" t="str">
        <f t="shared" si="114"/>
        <v>2026年</v>
      </c>
      <c r="B1916" s="3" t="str">
        <f t="shared" si="115"/>
        <v>2月</v>
      </c>
      <c r="C1916" s="4" t="str">
        <f t="shared" si="116"/>
        <v>W9</v>
      </c>
      <c r="D1916" s="2" t="s">
        <v>791</v>
      </c>
      <c r="E1916" s="2" t="s">
        <v>708</v>
      </c>
      <c r="F1916" s="2" t="str" cm="1">
        <f t="array" ref="F1916">INDEX(_xlfn.TEXTSPLIT(E1916,"-"),2)</f>
        <v>女装</v>
      </c>
      <c r="G1916" s="2" t="str" cm="1">
        <f t="array" ref="G1916">INDEX(_xlfn.TEXTSPLIT(E1916,"-"),3)</f>
        <v>大码女装</v>
      </c>
      <c r="H1916" s="5">
        <v>356151</v>
      </c>
      <c r="I1916" s="5">
        <v>27471170.38</v>
      </c>
      <c r="J1916" s="6">
        <v>0.0158</v>
      </c>
      <c r="K1916" s="6">
        <v>0.0095</v>
      </c>
    </row>
    <row r="1917" ht="14.5" spans="1:11">
      <c r="A1917" s="3" t="str">
        <f t="shared" si="114"/>
        <v>2026年</v>
      </c>
      <c r="B1917" s="3" t="str">
        <f t="shared" si="115"/>
        <v>2月</v>
      </c>
      <c r="C1917" s="4" t="str">
        <f t="shared" si="116"/>
        <v>W9</v>
      </c>
      <c r="D1917" s="2" t="s">
        <v>791</v>
      </c>
      <c r="E1917" s="2" t="s">
        <v>709</v>
      </c>
      <c r="F1917" s="2" t="str" cm="1">
        <f t="array" ref="F1917">INDEX(_xlfn.TEXTSPLIT(E1917,"-"),2)</f>
        <v>女装</v>
      </c>
      <c r="G1917" s="2" t="str" cm="1">
        <f t="array" ref="G1917">INDEX(_xlfn.TEXTSPLIT(E1917,"-"),3)</f>
        <v>套装/学生校服/工作制服</v>
      </c>
      <c r="H1917" s="5">
        <v>986899</v>
      </c>
      <c r="I1917" s="5">
        <v>140583429.36</v>
      </c>
      <c r="J1917" s="6">
        <v>0.0808</v>
      </c>
      <c r="K1917" s="6">
        <v>0.1449</v>
      </c>
    </row>
    <row r="1918" ht="14.5" spans="1:11">
      <c r="A1918" s="3" t="str">
        <f t="shared" si="114"/>
        <v>2026年</v>
      </c>
      <c r="B1918" s="3" t="str">
        <f t="shared" si="115"/>
        <v>2月</v>
      </c>
      <c r="C1918" s="4" t="str">
        <f t="shared" si="116"/>
        <v>W9</v>
      </c>
      <c r="D1918" s="2" t="s">
        <v>791</v>
      </c>
      <c r="E1918" s="2" t="s">
        <v>710</v>
      </c>
      <c r="F1918" s="2" t="str" cm="1">
        <f t="array" ref="F1918">INDEX(_xlfn.TEXTSPLIT(E1918,"-"),2)</f>
        <v>女装</v>
      </c>
      <c r="G1918" s="2" t="str" cm="1">
        <f t="array" ref="G1918">INDEX(_xlfn.TEXTSPLIT(E1918,"-"),3)</f>
        <v>婚纱/旗袍/礼服</v>
      </c>
      <c r="H1918" s="5">
        <v>64898</v>
      </c>
      <c r="I1918" s="5">
        <v>11243645.36</v>
      </c>
      <c r="J1918" s="6">
        <v>0.0065</v>
      </c>
      <c r="K1918" s="6">
        <v>0.125</v>
      </c>
    </row>
    <row r="1919" ht="14.5" spans="1:11">
      <c r="A1919" s="3" t="str">
        <f t="shared" si="114"/>
        <v>2026年</v>
      </c>
      <c r="B1919" s="3" t="str">
        <f t="shared" si="115"/>
        <v>2月</v>
      </c>
      <c r="C1919" s="4" t="str">
        <f t="shared" si="116"/>
        <v>W9</v>
      </c>
      <c r="D1919" s="2" t="s">
        <v>791</v>
      </c>
      <c r="E1919" s="2" t="s">
        <v>711</v>
      </c>
      <c r="F1919" s="2" t="str" cm="1">
        <f t="array" ref="F1919">INDEX(_xlfn.TEXTSPLIT(E1919,"-"),2)</f>
        <v>女装</v>
      </c>
      <c r="G1919" s="2" t="str" cm="1">
        <f t="array" ref="G1919">INDEX(_xlfn.TEXTSPLIT(E1919,"-"),3)</f>
        <v>新中式女装</v>
      </c>
      <c r="H1919" s="5">
        <v>130525</v>
      </c>
      <c r="I1919" s="5">
        <v>13027054.75</v>
      </c>
      <c r="J1919" s="6">
        <v>0.0075</v>
      </c>
      <c r="K1919" s="6">
        <v>2.0888</v>
      </c>
    </row>
    <row r="1920" ht="14.5" spans="1:11">
      <c r="A1920" s="3" t="str">
        <f t="shared" si="114"/>
        <v>2026年</v>
      </c>
      <c r="B1920" s="3" t="str">
        <f t="shared" si="115"/>
        <v>2月</v>
      </c>
      <c r="C1920" s="4" t="str">
        <f t="shared" si="116"/>
        <v>W9</v>
      </c>
      <c r="D1920" s="2" t="s">
        <v>791</v>
      </c>
      <c r="E1920" s="2" t="s">
        <v>712</v>
      </c>
      <c r="F1920" s="2" t="str" cm="1">
        <f t="array" ref="F1920">INDEX(_xlfn.TEXTSPLIT(E1920,"-"),2)</f>
        <v>女装</v>
      </c>
      <c r="G1920" s="2" t="str" cm="1">
        <f t="array" ref="G1920">INDEX(_xlfn.TEXTSPLIT(E1920,"-"),3)</f>
        <v>时尚防晒服</v>
      </c>
      <c r="H1920" s="5">
        <v>3510</v>
      </c>
      <c r="I1920" s="5">
        <v>345891.67</v>
      </c>
      <c r="J1920" s="6">
        <v>0.0002</v>
      </c>
      <c r="K1920" s="6">
        <v>1.4721</v>
      </c>
    </row>
    <row r="1921" ht="14.5" spans="1:11">
      <c r="A1921" s="3" t="str">
        <f t="shared" si="114"/>
        <v>2026年</v>
      </c>
      <c r="B1921" s="3" t="str">
        <f t="shared" si="115"/>
        <v>2月</v>
      </c>
      <c r="C1921" s="4" t="str">
        <f t="shared" si="116"/>
        <v>W9</v>
      </c>
      <c r="D1921" s="2" t="s">
        <v>791</v>
      </c>
      <c r="E1921" s="2" t="s">
        <v>714</v>
      </c>
      <c r="F1921" s="2" t="str" cm="1">
        <f t="array" ref="F1921">INDEX(_xlfn.TEXTSPLIT(E1921,"-"),2)</f>
        <v>女装</v>
      </c>
      <c r="G1921" s="2" t="str" cm="1">
        <f t="array" ref="G1921">INDEX(_xlfn.TEXTSPLIT(E1921,"-"),3)</f>
        <v>棉衣/棉服</v>
      </c>
      <c r="H1921" s="5">
        <v>198491</v>
      </c>
      <c r="I1921" s="5">
        <v>16141803.76</v>
      </c>
      <c r="J1921" s="6">
        <v>0.0093</v>
      </c>
      <c r="K1921" s="6">
        <v>0.2815</v>
      </c>
    </row>
    <row r="1922" ht="14.5" spans="1:11">
      <c r="A1922" s="3" t="str">
        <f t="shared" si="114"/>
        <v>2026年</v>
      </c>
      <c r="B1922" s="3" t="str">
        <f t="shared" si="115"/>
        <v>2月</v>
      </c>
      <c r="C1922" s="4" t="str">
        <f t="shared" si="116"/>
        <v>W9</v>
      </c>
      <c r="D1922" s="2" t="s">
        <v>791</v>
      </c>
      <c r="E1922" s="2" t="s">
        <v>715</v>
      </c>
      <c r="F1922" s="2" t="str" cm="1">
        <f t="array" ref="F1922">INDEX(_xlfn.TEXTSPLIT(E1922,"-"),2)</f>
        <v>女装</v>
      </c>
      <c r="G1922" s="2" t="str" cm="1">
        <f t="array" ref="G1922">INDEX(_xlfn.TEXTSPLIT(E1922,"-"),3)</f>
        <v>毛呢外套</v>
      </c>
      <c r="H1922" s="5">
        <v>408028</v>
      </c>
      <c r="I1922" s="5">
        <v>97238724.18</v>
      </c>
      <c r="J1922" s="6">
        <v>0.0559</v>
      </c>
      <c r="K1922" s="6">
        <v>0.1619</v>
      </c>
    </row>
    <row r="1923" ht="14.5" spans="1:11">
      <c r="A1923" s="3" t="str">
        <f t="shared" si="114"/>
        <v>2026年</v>
      </c>
      <c r="B1923" s="3" t="str">
        <f t="shared" si="115"/>
        <v>2月</v>
      </c>
      <c r="C1923" s="4" t="str">
        <f t="shared" si="116"/>
        <v>W9</v>
      </c>
      <c r="D1923" s="2" t="s">
        <v>791</v>
      </c>
      <c r="E1923" s="2" t="s">
        <v>716</v>
      </c>
      <c r="F1923" s="2" t="str" cm="1">
        <f t="array" ref="F1923">INDEX(_xlfn.TEXTSPLIT(E1923,"-"),2)</f>
        <v>女装</v>
      </c>
      <c r="G1923" s="2" t="str" cm="1">
        <f t="array" ref="G1923">INDEX(_xlfn.TEXTSPLIT(E1923,"-"),3)</f>
        <v>毛衣</v>
      </c>
      <c r="H1923" s="5">
        <v>181720</v>
      </c>
      <c r="I1923" s="5">
        <v>15280115.49</v>
      </c>
      <c r="J1923" s="6">
        <v>0.0088</v>
      </c>
      <c r="K1923" s="6">
        <v>0.1876</v>
      </c>
    </row>
    <row r="1924" ht="14.5" spans="1:11">
      <c r="A1924" s="3" t="str">
        <f t="shared" si="114"/>
        <v>2026年</v>
      </c>
      <c r="B1924" s="3" t="str">
        <f t="shared" si="115"/>
        <v>2月</v>
      </c>
      <c r="C1924" s="4" t="str">
        <f t="shared" si="116"/>
        <v>W9</v>
      </c>
      <c r="D1924" s="2" t="s">
        <v>791</v>
      </c>
      <c r="E1924" s="2" t="s">
        <v>717</v>
      </c>
      <c r="F1924" s="2" t="str" cm="1">
        <f t="array" ref="F1924">INDEX(_xlfn.TEXTSPLIT(E1924,"-"),2)</f>
        <v>女装</v>
      </c>
      <c r="G1924" s="2" t="str" cm="1">
        <f t="array" ref="G1924">INDEX(_xlfn.TEXTSPLIT(E1924,"-"),3)</f>
        <v>毛针织衫</v>
      </c>
      <c r="H1924" s="5">
        <v>1185178</v>
      </c>
      <c r="I1924" s="5">
        <v>95738217.24</v>
      </c>
      <c r="J1924" s="6">
        <v>0.0551</v>
      </c>
      <c r="K1924" s="6">
        <v>0.1158</v>
      </c>
    </row>
    <row r="1925" ht="14.5" spans="1:11">
      <c r="A1925" s="3" t="str">
        <f t="shared" si="114"/>
        <v>2026年</v>
      </c>
      <c r="B1925" s="3" t="str">
        <f t="shared" si="115"/>
        <v>2月</v>
      </c>
      <c r="C1925" s="4" t="str">
        <f t="shared" si="116"/>
        <v>W9</v>
      </c>
      <c r="D1925" s="2" t="s">
        <v>791</v>
      </c>
      <c r="E1925" s="2" t="s">
        <v>718</v>
      </c>
      <c r="F1925" s="2" t="str" cm="1">
        <f t="array" ref="F1925">INDEX(_xlfn.TEXTSPLIT(E1925,"-"),2)</f>
        <v>女装</v>
      </c>
      <c r="G1925" s="2" t="str" cm="1">
        <f t="array" ref="G1925">INDEX(_xlfn.TEXTSPLIT(E1925,"-"),3)</f>
        <v>汉服</v>
      </c>
      <c r="H1925" s="5">
        <v>222972</v>
      </c>
      <c r="I1925" s="5">
        <v>95066021.91</v>
      </c>
      <c r="J1925" s="6">
        <v>0.0547</v>
      </c>
      <c r="K1925" s="6">
        <v>-0.0351</v>
      </c>
    </row>
    <row r="1926" ht="14.5" spans="1:11">
      <c r="A1926" s="3" t="str">
        <f t="shared" si="114"/>
        <v>2026年</v>
      </c>
      <c r="B1926" s="3" t="str">
        <f t="shared" si="115"/>
        <v>2月</v>
      </c>
      <c r="C1926" s="4" t="str">
        <f t="shared" si="116"/>
        <v>W9</v>
      </c>
      <c r="D1926" s="2" t="s">
        <v>791</v>
      </c>
      <c r="E1926" s="2" t="s">
        <v>719</v>
      </c>
      <c r="F1926" s="2" t="str" cm="1">
        <f t="array" ref="F1926">INDEX(_xlfn.TEXTSPLIT(E1926,"-"),2)</f>
        <v>女装</v>
      </c>
      <c r="G1926" s="2" t="str" cm="1">
        <f t="array" ref="G1926">INDEX(_xlfn.TEXTSPLIT(E1926,"-"),3)</f>
        <v>派克服</v>
      </c>
      <c r="H1926" s="5">
        <v>6453</v>
      </c>
      <c r="I1926" s="5">
        <v>825355.86</v>
      </c>
      <c r="J1926" s="6">
        <v>0.0005</v>
      </c>
      <c r="K1926" s="6">
        <v>0.3659</v>
      </c>
    </row>
    <row r="1927" ht="14.5" spans="1:11">
      <c r="A1927" s="3" t="str">
        <f t="shared" si="114"/>
        <v>2026年</v>
      </c>
      <c r="B1927" s="3" t="str">
        <f t="shared" si="115"/>
        <v>2月</v>
      </c>
      <c r="C1927" s="4" t="str">
        <f t="shared" si="116"/>
        <v>W9</v>
      </c>
      <c r="D1927" s="2" t="s">
        <v>791</v>
      </c>
      <c r="E1927" s="2" t="s">
        <v>720</v>
      </c>
      <c r="F1927" s="2" t="str" cm="1">
        <f t="array" ref="F1927">INDEX(_xlfn.TEXTSPLIT(E1927,"-"),2)</f>
        <v>女装</v>
      </c>
      <c r="G1927" s="2" t="str" cm="1">
        <f t="array" ref="G1927">INDEX(_xlfn.TEXTSPLIT(E1927,"-"),3)</f>
        <v>皮草</v>
      </c>
      <c r="H1927" s="5">
        <v>35202</v>
      </c>
      <c r="I1927" s="5">
        <v>59631683.07</v>
      </c>
      <c r="J1927" s="6">
        <v>0.0343</v>
      </c>
      <c r="K1927" s="6">
        <v>0.1488</v>
      </c>
    </row>
    <row r="1928" ht="14.5" spans="1:11">
      <c r="A1928" s="3" t="str">
        <f t="shared" si="114"/>
        <v>2026年</v>
      </c>
      <c r="B1928" s="3" t="str">
        <f t="shared" si="115"/>
        <v>2月</v>
      </c>
      <c r="C1928" s="4" t="str">
        <f t="shared" si="116"/>
        <v>W9</v>
      </c>
      <c r="D1928" s="2" t="s">
        <v>791</v>
      </c>
      <c r="E1928" s="2" t="s">
        <v>721</v>
      </c>
      <c r="F1928" s="2" t="str" cm="1">
        <f t="array" ref="F1928">INDEX(_xlfn.TEXTSPLIT(E1928,"-"),2)</f>
        <v>女装</v>
      </c>
      <c r="G1928" s="2" t="str" cm="1">
        <f t="array" ref="G1928">INDEX(_xlfn.TEXTSPLIT(E1928,"-"),3)</f>
        <v>皮衣</v>
      </c>
      <c r="H1928" s="5">
        <v>187514</v>
      </c>
      <c r="I1928" s="5">
        <v>53611868.64</v>
      </c>
      <c r="J1928" s="6">
        <v>0.0308</v>
      </c>
      <c r="K1928" s="6">
        <v>-0.0039</v>
      </c>
    </row>
    <row r="1929" ht="14.5" spans="1:11">
      <c r="A1929" s="3" t="str">
        <f t="shared" si="114"/>
        <v>2026年</v>
      </c>
      <c r="B1929" s="3" t="str">
        <f t="shared" si="115"/>
        <v>2月</v>
      </c>
      <c r="C1929" s="4" t="str">
        <f t="shared" si="116"/>
        <v>W9</v>
      </c>
      <c r="D1929" s="2" t="s">
        <v>791</v>
      </c>
      <c r="E1929" s="2" t="s">
        <v>722</v>
      </c>
      <c r="F1929" s="2" t="str" cm="1">
        <f t="array" ref="F1929">INDEX(_xlfn.TEXTSPLIT(E1929,"-"),2)</f>
        <v>女装</v>
      </c>
      <c r="G1929" s="2" t="str" cm="1">
        <f t="array" ref="G1929">INDEX(_xlfn.TEXTSPLIT(E1929,"-"),3)</f>
        <v>短外套</v>
      </c>
      <c r="H1929" s="5">
        <v>763051</v>
      </c>
      <c r="I1929" s="5">
        <v>128300336.95</v>
      </c>
      <c r="J1929" s="6">
        <v>0.0738</v>
      </c>
      <c r="K1929" s="6">
        <v>0.0469</v>
      </c>
    </row>
    <row r="1930" ht="14.5" spans="1:11">
      <c r="A1930" s="3" t="str">
        <f t="shared" si="114"/>
        <v>2026年</v>
      </c>
      <c r="B1930" s="3" t="str">
        <f t="shared" si="115"/>
        <v>2月</v>
      </c>
      <c r="C1930" s="4" t="str">
        <f t="shared" si="116"/>
        <v>W9</v>
      </c>
      <c r="D1930" s="2" t="s">
        <v>791</v>
      </c>
      <c r="E1930" s="2" t="s">
        <v>723</v>
      </c>
      <c r="F1930" s="2" t="str" cm="1">
        <f t="array" ref="F1930">INDEX(_xlfn.TEXTSPLIT(E1930,"-"),2)</f>
        <v>女装</v>
      </c>
      <c r="G1930" s="2" t="str" cm="1">
        <f t="array" ref="G1930">INDEX(_xlfn.TEXTSPLIT(E1930,"-"),3)</f>
        <v>短裤</v>
      </c>
      <c r="H1930" s="5">
        <v>92006</v>
      </c>
      <c r="I1930" s="5">
        <v>6726433.18</v>
      </c>
      <c r="J1930" s="6">
        <v>0.0039</v>
      </c>
      <c r="K1930" s="6">
        <v>0.1485</v>
      </c>
    </row>
    <row r="1931" ht="14.5" spans="1:11">
      <c r="A1931" s="3" t="str">
        <f t="shared" si="114"/>
        <v>2026年</v>
      </c>
      <c r="B1931" s="3" t="str">
        <f t="shared" si="115"/>
        <v>2月</v>
      </c>
      <c r="C1931" s="4" t="str">
        <f t="shared" si="116"/>
        <v>W9</v>
      </c>
      <c r="D1931" s="2" t="s">
        <v>791</v>
      </c>
      <c r="E1931" s="2" t="s">
        <v>724</v>
      </c>
      <c r="F1931" s="2" t="str" cm="1">
        <f t="array" ref="F1931">INDEX(_xlfn.TEXTSPLIT(E1931,"-"),2)</f>
        <v>女装</v>
      </c>
      <c r="G1931" s="2" t="str" cm="1">
        <f t="array" ref="G1931">INDEX(_xlfn.TEXTSPLIT(E1931,"-"),3)</f>
        <v>羊毛衫</v>
      </c>
      <c r="H1931" s="5">
        <v>138917</v>
      </c>
      <c r="I1931" s="5">
        <v>16691753.4</v>
      </c>
      <c r="J1931" s="6">
        <v>0.0096</v>
      </c>
      <c r="K1931" s="6">
        <v>0.1047</v>
      </c>
    </row>
    <row r="1932" ht="14.5" spans="1:11">
      <c r="A1932" s="3" t="str">
        <f t="shared" si="114"/>
        <v>2026年</v>
      </c>
      <c r="B1932" s="3" t="str">
        <f t="shared" si="115"/>
        <v>2月</v>
      </c>
      <c r="C1932" s="4" t="str">
        <f t="shared" si="116"/>
        <v>W9</v>
      </c>
      <c r="D1932" s="2" t="s">
        <v>791</v>
      </c>
      <c r="E1932" s="2" t="s">
        <v>725</v>
      </c>
      <c r="F1932" s="2" t="str" cm="1">
        <f t="array" ref="F1932">INDEX(_xlfn.TEXTSPLIT(E1932,"-"),2)</f>
        <v>女装</v>
      </c>
      <c r="G1932" s="2" t="str" cm="1">
        <f t="array" ref="G1932">INDEX(_xlfn.TEXTSPLIT(E1932,"-"),3)</f>
        <v>羊绒大衣</v>
      </c>
      <c r="H1932" s="5">
        <v>2037</v>
      </c>
      <c r="I1932" s="5">
        <v>656061.17</v>
      </c>
      <c r="J1932" s="6">
        <v>0.0004</v>
      </c>
      <c r="K1932" s="6">
        <v>0.1767</v>
      </c>
    </row>
    <row r="1933" ht="14.5" spans="1:11">
      <c r="A1933" s="3" t="str">
        <f t="shared" si="114"/>
        <v>2026年</v>
      </c>
      <c r="B1933" s="3" t="str">
        <f t="shared" si="115"/>
        <v>2月</v>
      </c>
      <c r="C1933" s="4" t="str">
        <f t="shared" si="116"/>
        <v>W9</v>
      </c>
      <c r="D1933" s="2" t="s">
        <v>791</v>
      </c>
      <c r="E1933" s="2" t="s">
        <v>726</v>
      </c>
      <c r="F1933" s="2" t="str" cm="1">
        <f t="array" ref="F1933">INDEX(_xlfn.TEXTSPLIT(E1933,"-"),2)</f>
        <v>女装</v>
      </c>
      <c r="G1933" s="2" t="str" cm="1">
        <f t="array" ref="G1933">INDEX(_xlfn.TEXTSPLIT(E1933,"-"),3)</f>
        <v>羊绒衫</v>
      </c>
      <c r="H1933" s="5">
        <v>30146</v>
      </c>
      <c r="I1933" s="5">
        <v>8632861.19</v>
      </c>
      <c r="J1933" s="6">
        <v>0.005</v>
      </c>
      <c r="K1933" s="6">
        <v>-0.1684</v>
      </c>
    </row>
    <row r="1934" ht="14.5" spans="1:11">
      <c r="A1934" s="3" t="str">
        <f t="shared" si="114"/>
        <v>2026年</v>
      </c>
      <c r="B1934" s="3" t="str">
        <f t="shared" si="115"/>
        <v>2月</v>
      </c>
      <c r="C1934" s="4" t="str">
        <f t="shared" si="116"/>
        <v>W9</v>
      </c>
      <c r="D1934" s="2" t="s">
        <v>791</v>
      </c>
      <c r="E1934" s="2" t="s">
        <v>727</v>
      </c>
      <c r="F1934" s="2" t="str" cm="1">
        <f t="array" ref="F1934">INDEX(_xlfn.TEXTSPLIT(E1934,"-"),2)</f>
        <v>女装</v>
      </c>
      <c r="G1934" s="2" t="str" cm="1">
        <f t="array" ref="G1934">INDEX(_xlfn.TEXTSPLIT(E1934,"-"),3)</f>
        <v>羽绒服</v>
      </c>
      <c r="H1934" s="5">
        <v>230117</v>
      </c>
      <c r="I1934" s="5">
        <v>64994432.93</v>
      </c>
      <c r="J1934" s="6">
        <v>0.0374</v>
      </c>
      <c r="K1934" s="6">
        <v>0.2749</v>
      </c>
    </row>
    <row r="1935" ht="14.5" spans="1:11">
      <c r="A1935" s="3" t="str">
        <f t="shared" si="114"/>
        <v>2026年</v>
      </c>
      <c r="B1935" s="3" t="str">
        <f t="shared" si="115"/>
        <v>2月</v>
      </c>
      <c r="C1935" s="4" t="str">
        <f t="shared" si="116"/>
        <v>W9</v>
      </c>
      <c r="D1935" s="2" t="s">
        <v>791</v>
      </c>
      <c r="E1935" s="2" t="s">
        <v>728</v>
      </c>
      <c r="F1935" s="2" t="str" cm="1">
        <f t="array" ref="F1935">INDEX(_xlfn.TEXTSPLIT(E1935,"-"),2)</f>
        <v>女装</v>
      </c>
      <c r="G1935" s="2" t="str" cm="1">
        <f t="array" ref="G1935">INDEX(_xlfn.TEXTSPLIT(E1935,"-"),3)</f>
        <v>肌底衣/肌肤衣</v>
      </c>
      <c r="H1935" s="5">
        <v>3309</v>
      </c>
      <c r="I1935" s="5">
        <v>175075.12</v>
      </c>
      <c r="J1935" s="6">
        <v>0.0001</v>
      </c>
      <c r="K1935" s="6">
        <v>0.145</v>
      </c>
    </row>
    <row r="1936" ht="14.5" spans="1:11">
      <c r="A1936" s="3" t="str">
        <f t="shared" si="114"/>
        <v>2026年</v>
      </c>
      <c r="B1936" s="3" t="str">
        <f t="shared" si="115"/>
        <v>2月</v>
      </c>
      <c r="C1936" s="4" t="str">
        <f t="shared" si="116"/>
        <v>W9</v>
      </c>
      <c r="D1936" s="2" t="s">
        <v>791</v>
      </c>
      <c r="E1936" s="2" t="s">
        <v>729</v>
      </c>
      <c r="F1936" s="2" t="str" cm="1">
        <f t="array" ref="F1936">INDEX(_xlfn.TEXTSPLIT(E1936,"-"),2)</f>
        <v>女装</v>
      </c>
      <c r="G1936" s="2" t="str" cm="1">
        <f t="array" ref="G1936">INDEX(_xlfn.TEXTSPLIT(E1936,"-"),3)</f>
        <v>背心吊带</v>
      </c>
      <c r="H1936" s="5">
        <v>412600</v>
      </c>
      <c r="I1936" s="5">
        <v>23482079.57</v>
      </c>
      <c r="J1936" s="6">
        <v>0.0135</v>
      </c>
      <c r="K1936" s="6">
        <v>0.0119</v>
      </c>
    </row>
    <row r="1937" ht="14.5" spans="1:11">
      <c r="A1937" s="3" t="str">
        <f t="shared" si="114"/>
        <v>2026年</v>
      </c>
      <c r="B1937" s="3" t="str">
        <f t="shared" si="115"/>
        <v>2月</v>
      </c>
      <c r="C1937" s="4" t="str">
        <f t="shared" si="116"/>
        <v>W9</v>
      </c>
      <c r="D1937" s="2" t="s">
        <v>791</v>
      </c>
      <c r="E1937" s="2" t="s">
        <v>730</v>
      </c>
      <c r="F1937" s="2" t="str" cm="1">
        <f t="array" ref="F1937">INDEX(_xlfn.TEXTSPLIT(E1937,"-"),2)</f>
        <v>女装</v>
      </c>
      <c r="G1937" s="2" t="str" cm="1">
        <f t="array" ref="G1937">INDEX(_xlfn.TEXTSPLIT(E1937,"-"),3)</f>
        <v>蕾丝衫/雪纺衫</v>
      </c>
      <c r="H1937" s="5">
        <v>190343</v>
      </c>
      <c r="I1937" s="5">
        <v>14034271.79</v>
      </c>
      <c r="J1937" s="6">
        <v>0.0081</v>
      </c>
      <c r="K1937" s="6">
        <v>0.0692</v>
      </c>
    </row>
    <row r="1938" ht="14.5" spans="1:11">
      <c r="A1938" s="3" t="str">
        <f t="shared" si="114"/>
        <v>2026年</v>
      </c>
      <c r="B1938" s="3" t="str">
        <f t="shared" si="115"/>
        <v>2月</v>
      </c>
      <c r="C1938" s="4" t="str">
        <f t="shared" si="116"/>
        <v>W9</v>
      </c>
      <c r="D1938" s="2" t="s">
        <v>791</v>
      </c>
      <c r="E1938" s="2" t="s">
        <v>731</v>
      </c>
      <c r="F1938" s="2" t="str" cm="1">
        <f t="array" ref="F1938">INDEX(_xlfn.TEXTSPLIT(E1938,"-"),2)</f>
        <v>女装</v>
      </c>
      <c r="G1938" s="2" t="str" cm="1">
        <f t="array" ref="G1938">INDEX(_xlfn.TEXTSPLIT(E1938,"-"),3)</f>
        <v>衬衫</v>
      </c>
      <c r="H1938" s="5">
        <v>824716</v>
      </c>
      <c r="I1938" s="5">
        <v>81559120.69</v>
      </c>
      <c r="J1938" s="6">
        <v>0.0469</v>
      </c>
      <c r="K1938" s="6">
        <v>-0.0077</v>
      </c>
    </row>
    <row r="1939" ht="14.5" spans="1:11">
      <c r="A1939" s="3" t="str">
        <f t="shared" si="114"/>
        <v>2026年</v>
      </c>
      <c r="B1939" s="3" t="str">
        <f t="shared" si="115"/>
        <v>2月</v>
      </c>
      <c r="C1939" s="4" t="str">
        <f t="shared" si="116"/>
        <v>W9</v>
      </c>
      <c r="D1939" s="2" t="s">
        <v>791</v>
      </c>
      <c r="E1939" s="2" t="s">
        <v>732</v>
      </c>
      <c r="F1939" s="2" t="str" cm="1">
        <f t="array" ref="F1939">INDEX(_xlfn.TEXTSPLIT(E1939,"-"),2)</f>
        <v>女装</v>
      </c>
      <c r="G1939" s="2" t="str" cm="1">
        <f t="array" ref="G1939">INDEX(_xlfn.TEXTSPLIT(E1939,"-"),3)</f>
        <v>裤子</v>
      </c>
      <c r="H1939" s="5">
        <v>2500980</v>
      </c>
      <c r="I1939" s="5">
        <v>268405493.02</v>
      </c>
      <c r="J1939" s="6">
        <v>0.1544</v>
      </c>
      <c r="K1939" s="6">
        <v>0.0887</v>
      </c>
    </row>
    <row r="1940" ht="14.5" spans="1:11">
      <c r="A1940" s="3" t="str">
        <f t="shared" si="114"/>
        <v>2026年</v>
      </c>
      <c r="B1940" s="3" t="str">
        <f t="shared" si="115"/>
        <v>2月</v>
      </c>
      <c r="C1940" s="4" t="str">
        <f t="shared" si="116"/>
        <v>W9</v>
      </c>
      <c r="D1940" s="2" t="s">
        <v>791</v>
      </c>
      <c r="E1940" s="2" t="s">
        <v>733</v>
      </c>
      <c r="F1940" s="2" t="str" cm="1">
        <f t="array" ref="F1940">INDEX(_xlfn.TEXTSPLIT(E1940,"-"),2)</f>
        <v>女装</v>
      </c>
      <c r="G1940" s="2" t="str" cm="1">
        <f t="array" ref="G1940">INDEX(_xlfn.TEXTSPLIT(E1940,"-"),3)</f>
        <v>西装</v>
      </c>
      <c r="H1940" s="5">
        <v>118377</v>
      </c>
      <c r="I1940" s="5">
        <v>27237645.6</v>
      </c>
      <c r="J1940" s="6">
        <v>0.0157</v>
      </c>
      <c r="K1940" s="6">
        <v>0.0134</v>
      </c>
    </row>
    <row r="1941" ht="14.5" spans="1:11">
      <c r="A1941" s="3" t="str">
        <f t="shared" si="114"/>
        <v>2026年</v>
      </c>
      <c r="B1941" s="3" t="str">
        <f t="shared" si="115"/>
        <v>2月</v>
      </c>
      <c r="C1941" s="4" t="str">
        <f t="shared" si="116"/>
        <v>W9</v>
      </c>
      <c r="D1941" s="2" t="s">
        <v>791</v>
      </c>
      <c r="E1941" s="2" t="s">
        <v>734</v>
      </c>
      <c r="F1941" s="2" t="str" cm="1">
        <f t="array" ref="F1941">INDEX(_xlfn.TEXTSPLIT(E1941,"-"),2)</f>
        <v>女装</v>
      </c>
      <c r="G1941" s="2" t="str" cm="1">
        <f t="array" ref="G1941">INDEX(_xlfn.TEXTSPLIT(E1941,"-"),3)</f>
        <v>设计师/潮牌女装</v>
      </c>
      <c r="H1941" s="5">
        <v>297041</v>
      </c>
      <c r="I1941" s="5">
        <v>27235055.36</v>
      </c>
      <c r="J1941" s="6">
        <v>0.0157</v>
      </c>
      <c r="K1941" s="6">
        <v>0.3182</v>
      </c>
    </row>
    <row r="1942" ht="14.5" spans="1:11">
      <c r="A1942" s="3" t="str">
        <f t="shared" si="114"/>
        <v>2026年</v>
      </c>
      <c r="B1942" s="3" t="str">
        <f t="shared" si="115"/>
        <v>2月</v>
      </c>
      <c r="C1942" s="4" t="str">
        <f t="shared" si="116"/>
        <v>W9</v>
      </c>
      <c r="D1942" s="2" t="s">
        <v>791</v>
      </c>
      <c r="E1942" s="2" t="s">
        <v>735</v>
      </c>
      <c r="F1942" s="2" t="str" cm="1">
        <f t="array" ref="F1942">INDEX(_xlfn.TEXTSPLIT(E1942,"-"),2)</f>
        <v>女装</v>
      </c>
      <c r="G1942" s="2" t="str" cm="1">
        <f t="array" ref="G1942">INDEX(_xlfn.TEXTSPLIT(E1942,"-"),3)</f>
        <v>连体衣/裤</v>
      </c>
      <c r="H1942" s="5">
        <v>17827</v>
      </c>
      <c r="I1942" s="5">
        <v>5039774.5</v>
      </c>
      <c r="J1942" s="6">
        <v>0.0029</v>
      </c>
      <c r="K1942" s="6">
        <v>0.3871</v>
      </c>
    </row>
    <row r="1943" ht="14.5" spans="1:11">
      <c r="A1943" s="3" t="str">
        <f t="shared" si="114"/>
        <v>2026年</v>
      </c>
      <c r="B1943" s="3" t="str">
        <f t="shared" si="115"/>
        <v>2月</v>
      </c>
      <c r="C1943" s="4" t="str">
        <f t="shared" si="116"/>
        <v>W9</v>
      </c>
      <c r="D1943" s="2" t="s">
        <v>791</v>
      </c>
      <c r="E1943" s="2" t="s">
        <v>736</v>
      </c>
      <c r="F1943" s="2" t="str" cm="1">
        <f t="array" ref="F1943">INDEX(_xlfn.TEXTSPLIT(E1943,"-"),2)</f>
        <v>女装</v>
      </c>
      <c r="G1943" s="2" t="str" cm="1">
        <f t="array" ref="G1943">INDEX(_xlfn.TEXTSPLIT(E1943,"-"),3)</f>
        <v>连衣裙</v>
      </c>
      <c r="H1943" s="5">
        <v>722078</v>
      </c>
      <c r="I1943" s="5">
        <v>115036497.93</v>
      </c>
      <c r="J1943" s="6">
        <v>0.0662</v>
      </c>
      <c r="K1943" s="6">
        <v>0.1314</v>
      </c>
    </row>
    <row r="1944" ht="14.5" spans="1:11">
      <c r="A1944" s="3" t="str">
        <f t="shared" si="114"/>
        <v>2026年</v>
      </c>
      <c r="B1944" s="3" t="str">
        <f t="shared" si="115"/>
        <v>2月</v>
      </c>
      <c r="C1944" s="4" t="str">
        <f t="shared" si="116"/>
        <v>W9</v>
      </c>
      <c r="D1944" s="2" t="s">
        <v>791</v>
      </c>
      <c r="E1944" s="2" t="s">
        <v>737</v>
      </c>
      <c r="F1944" s="2" t="str" cm="1">
        <f t="array" ref="F1944">INDEX(_xlfn.TEXTSPLIT(E1944,"-"),2)</f>
        <v>女装</v>
      </c>
      <c r="G1944" s="2" t="str" cm="1">
        <f t="array" ref="G1944">INDEX(_xlfn.TEXTSPLIT(E1944,"-"),3)</f>
        <v>风衣</v>
      </c>
      <c r="H1944" s="5">
        <v>168719</v>
      </c>
      <c r="I1944" s="5">
        <v>35563432.08</v>
      </c>
      <c r="J1944" s="6">
        <v>0.0205</v>
      </c>
      <c r="K1944" s="6">
        <v>0.1214</v>
      </c>
    </row>
    <row r="1945" ht="14.5" spans="1:11">
      <c r="A1945" s="3" t="str">
        <f t="shared" si="114"/>
        <v>2026年</v>
      </c>
      <c r="B1945" s="3" t="str">
        <f t="shared" si="115"/>
        <v>2月</v>
      </c>
      <c r="C1945" s="4" t="str">
        <f t="shared" si="116"/>
        <v>W9</v>
      </c>
      <c r="D1945" s="2" t="s">
        <v>791</v>
      </c>
      <c r="E1945" s="2" t="s">
        <v>738</v>
      </c>
      <c r="F1945" s="2" t="str" cm="1">
        <f t="array" ref="F1945">INDEX(_xlfn.TEXTSPLIT(E1945,"-"),2)</f>
        <v>女装</v>
      </c>
      <c r="G1945" s="2" t="str" cm="1">
        <f t="array" ref="G1945">INDEX(_xlfn.TEXTSPLIT(E1945,"-"),3)</f>
        <v>马夹</v>
      </c>
      <c r="H1945" s="5">
        <v>378985</v>
      </c>
      <c r="I1945" s="5">
        <v>36684544.82</v>
      </c>
      <c r="J1945" s="6">
        <v>0.0211</v>
      </c>
      <c r="K1945" s="6">
        <v>0.0755</v>
      </c>
    </row>
    <row r="1946" ht="14.5" spans="1:11">
      <c r="A1946" s="3" t="str">
        <f t="shared" si="114"/>
        <v>2026年</v>
      </c>
      <c r="B1946" s="3" t="str">
        <f t="shared" si="115"/>
        <v>2月</v>
      </c>
      <c r="C1946" s="4" t="str">
        <f t="shared" si="116"/>
        <v>W9</v>
      </c>
      <c r="D1946" s="2" t="s">
        <v>792</v>
      </c>
      <c r="E1946" s="2" t="s">
        <v>702</v>
      </c>
      <c r="F1946" s="2" t="str" cm="1">
        <f t="array" ref="F1946">INDEX(_xlfn.TEXTSPLIT(E1946,"-"),2)</f>
        <v>女装</v>
      </c>
      <c r="G1946" s="2" t="str" cm="1">
        <f t="array" ref="G1946">INDEX(_xlfn.TEXTSPLIT(E1946,"-"),3)</f>
        <v>POLO衫</v>
      </c>
      <c r="H1946" s="5">
        <v>30696</v>
      </c>
      <c r="I1946" s="5">
        <v>2338718.64</v>
      </c>
      <c r="J1946" s="6">
        <v>0.0012</v>
      </c>
      <c r="K1946" s="6">
        <v>0.2395</v>
      </c>
    </row>
    <row r="1947" ht="14.5" spans="1:11">
      <c r="A1947" s="3" t="str">
        <f t="shared" si="114"/>
        <v>2026年</v>
      </c>
      <c r="B1947" s="3" t="str">
        <f t="shared" si="115"/>
        <v>2月</v>
      </c>
      <c r="C1947" s="4" t="str">
        <f t="shared" si="116"/>
        <v>W9</v>
      </c>
      <c r="D1947" s="2" t="s">
        <v>792</v>
      </c>
      <c r="E1947" s="2" t="s">
        <v>703</v>
      </c>
      <c r="F1947" s="2" t="str" cm="1">
        <f t="array" ref="F1947">INDEX(_xlfn.TEXTSPLIT(E1947,"-"),2)</f>
        <v>女装</v>
      </c>
      <c r="G1947" s="2" t="str" cm="1">
        <f t="array" ref="G1947">INDEX(_xlfn.TEXTSPLIT(E1947,"-"),3)</f>
        <v>T恤</v>
      </c>
      <c r="H1947" s="5">
        <v>2116898</v>
      </c>
      <c r="I1947" s="5">
        <v>127178440.32</v>
      </c>
      <c r="J1947" s="6">
        <v>0.067</v>
      </c>
      <c r="K1947" s="6">
        <v>0.1985</v>
      </c>
    </row>
    <row r="1948" ht="14.5" spans="1:11">
      <c r="A1948" s="3" t="str">
        <f t="shared" si="114"/>
        <v>2026年</v>
      </c>
      <c r="B1948" s="3" t="str">
        <f t="shared" si="115"/>
        <v>2月</v>
      </c>
      <c r="C1948" s="4" t="str">
        <f t="shared" si="116"/>
        <v>W9</v>
      </c>
      <c r="D1948" s="2" t="s">
        <v>792</v>
      </c>
      <c r="E1948" s="2" t="s">
        <v>704</v>
      </c>
      <c r="F1948" s="2" t="str" cm="1">
        <f t="array" ref="F1948">INDEX(_xlfn.TEXTSPLIT(E1948,"-"),2)</f>
        <v>女装</v>
      </c>
      <c r="G1948" s="2" t="str" cm="1">
        <f t="array" ref="G1948">INDEX(_xlfn.TEXTSPLIT(E1948,"-"),3)</f>
        <v>中老年女装</v>
      </c>
      <c r="H1948" s="5">
        <v>152729</v>
      </c>
      <c r="I1948" s="5">
        <v>11834501.08</v>
      </c>
      <c r="J1948" s="6">
        <v>0.0062</v>
      </c>
      <c r="K1948" s="6">
        <v>-0.2245</v>
      </c>
    </row>
    <row r="1949" ht="14.5" spans="1:11">
      <c r="A1949" s="3" t="str">
        <f t="shared" si="114"/>
        <v>2026年</v>
      </c>
      <c r="B1949" s="3" t="str">
        <f t="shared" si="115"/>
        <v>2月</v>
      </c>
      <c r="C1949" s="4" t="str">
        <f t="shared" si="116"/>
        <v>W9</v>
      </c>
      <c r="D1949" s="2" t="s">
        <v>792</v>
      </c>
      <c r="E1949" s="2" t="s">
        <v>705</v>
      </c>
      <c r="F1949" s="2" t="str" cm="1">
        <f t="array" ref="F1949">INDEX(_xlfn.TEXTSPLIT(E1949,"-"),2)</f>
        <v>女装</v>
      </c>
      <c r="G1949" s="2" t="str" cm="1">
        <f t="array" ref="G1949">INDEX(_xlfn.TEXTSPLIT(E1949,"-"),3)</f>
        <v>半身裙</v>
      </c>
      <c r="H1949" s="5">
        <v>504237</v>
      </c>
      <c r="I1949" s="5">
        <v>60045838.03</v>
      </c>
      <c r="J1949" s="6">
        <v>0.0316</v>
      </c>
      <c r="K1949" s="6">
        <v>0.1225</v>
      </c>
    </row>
    <row r="1950" ht="14.5" spans="1:11">
      <c r="A1950" s="3" t="str">
        <f t="shared" si="114"/>
        <v>2026年</v>
      </c>
      <c r="B1950" s="3" t="str">
        <f t="shared" si="115"/>
        <v>2月</v>
      </c>
      <c r="C1950" s="4" t="str">
        <f t="shared" si="116"/>
        <v>W9</v>
      </c>
      <c r="D1950" s="2" t="s">
        <v>792</v>
      </c>
      <c r="E1950" s="2" t="s">
        <v>706</v>
      </c>
      <c r="F1950" s="2" t="str" cm="1">
        <f t="array" ref="F1950">INDEX(_xlfn.TEXTSPLIT(E1950,"-"),2)</f>
        <v>女装</v>
      </c>
      <c r="G1950" s="2" t="str" cm="1">
        <f t="array" ref="G1950">INDEX(_xlfn.TEXTSPLIT(E1950,"-"),3)</f>
        <v>卫衣/绒衫</v>
      </c>
      <c r="H1950" s="5">
        <v>312404</v>
      </c>
      <c r="I1950" s="5">
        <v>29857775.11</v>
      </c>
      <c r="J1950" s="6">
        <v>0.0157</v>
      </c>
      <c r="K1950" s="6">
        <v>0.0505</v>
      </c>
    </row>
    <row r="1951" ht="14.5" spans="1:11">
      <c r="A1951" s="3" t="str">
        <f t="shared" si="114"/>
        <v>2026年</v>
      </c>
      <c r="B1951" s="3" t="str">
        <f t="shared" si="115"/>
        <v>2月</v>
      </c>
      <c r="C1951" s="4" t="str">
        <f t="shared" si="116"/>
        <v>W9</v>
      </c>
      <c r="D1951" s="2" t="s">
        <v>792</v>
      </c>
      <c r="E1951" s="2" t="s">
        <v>707</v>
      </c>
      <c r="F1951" s="2" t="str" cm="1">
        <f t="array" ref="F1951">INDEX(_xlfn.TEXTSPLIT(E1951,"-"),2)</f>
        <v>女装</v>
      </c>
      <c r="G1951" s="2" t="str" cm="1">
        <f t="array" ref="G1951">INDEX(_xlfn.TEXTSPLIT(E1951,"-"),3)</f>
        <v>唐装/民族服装/舞台服装</v>
      </c>
      <c r="H1951" s="5">
        <v>265808</v>
      </c>
      <c r="I1951" s="5">
        <v>46948777.4</v>
      </c>
      <c r="J1951" s="6">
        <v>0.0247</v>
      </c>
      <c r="K1951" s="6">
        <v>-0.0009</v>
      </c>
    </row>
    <row r="1952" ht="14.5" spans="1:11">
      <c r="A1952" s="3" t="str">
        <f t="shared" si="114"/>
        <v>2026年</v>
      </c>
      <c r="B1952" s="3" t="str">
        <f t="shared" si="115"/>
        <v>2月</v>
      </c>
      <c r="C1952" s="4" t="str">
        <f t="shared" si="116"/>
        <v>W9</v>
      </c>
      <c r="D1952" s="2" t="s">
        <v>792</v>
      </c>
      <c r="E1952" s="2" t="s">
        <v>708</v>
      </c>
      <c r="F1952" s="2" t="str" cm="1">
        <f t="array" ref="F1952">INDEX(_xlfn.TEXTSPLIT(E1952,"-"),2)</f>
        <v>女装</v>
      </c>
      <c r="G1952" s="2" t="str" cm="1">
        <f t="array" ref="G1952">INDEX(_xlfn.TEXTSPLIT(E1952,"-"),3)</f>
        <v>大码女装</v>
      </c>
      <c r="H1952" s="5">
        <v>370094</v>
      </c>
      <c r="I1952" s="5">
        <v>28017691.29</v>
      </c>
      <c r="J1952" s="6">
        <v>0.0148</v>
      </c>
      <c r="K1952" s="6">
        <v>0.0199</v>
      </c>
    </row>
    <row r="1953" ht="14.5" spans="1:11">
      <c r="A1953" s="3" t="str">
        <f t="shared" si="114"/>
        <v>2026年</v>
      </c>
      <c r="B1953" s="3" t="str">
        <f t="shared" si="115"/>
        <v>2月</v>
      </c>
      <c r="C1953" s="4" t="str">
        <f t="shared" si="116"/>
        <v>W9</v>
      </c>
      <c r="D1953" s="2" t="s">
        <v>792</v>
      </c>
      <c r="E1953" s="2" t="s">
        <v>709</v>
      </c>
      <c r="F1953" s="2" t="str" cm="1">
        <f t="array" ref="F1953">INDEX(_xlfn.TEXTSPLIT(E1953,"-"),2)</f>
        <v>女装</v>
      </c>
      <c r="G1953" s="2" t="str" cm="1">
        <f t="array" ref="G1953">INDEX(_xlfn.TEXTSPLIT(E1953,"-"),3)</f>
        <v>套装/学生校服/工作制服</v>
      </c>
      <c r="H1953" s="5">
        <v>1026154</v>
      </c>
      <c r="I1953" s="5">
        <v>139868976.82</v>
      </c>
      <c r="J1953" s="6">
        <v>0.0737</v>
      </c>
      <c r="K1953" s="6">
        <v>-0.0051</v>
      </c>
    </row>
    <row r="1954" ht="14.5" spans="1:11">
      <c r="A1954" s="3" t="str">
        <f t="shared" si="114"/>
        <v>2026年</v>
      </c>
      <c r="B1954" s="3" t="str">
        <f t="shared" si="115"/>
        <v>2月</v>
      </c>
      <c r="C1954" s="4" t="str">
        <f t="shared" si="116"/>
        <v>W9</v>
      </c>
      <c r="D1954" s="2" t="s">
        <v>792</v>
      </c>
      <c r="E1954" s="2" t="s">
        <v>710</v>
      </c>
      <c r="F1954" s="2" t="str" cm="1">
        <f t="array" ref="F1954">INDEX(_xlfn.TEXTSPLIT(E1954,"-"),2)</f>
        <v>女装</v>
      </c>
      <c r="G1954" s="2" t="str" cm="1">
        <f t="array" ref="G1954">INDEX(_xlfn.TEXTSPLIT(E1954,"-"),3)</f>
        <v>婚纱/旗袍/礼服</v>
      </c>
      <c r="H1954" s="5">
        <v>64615</v>
      </c>
      <c r="I1954" s="5">
        <v>11453900.12</v>
      </c>
      <c r="J1954" s="6">
        <v>0.006</v>
      </c>
      <c r="K1954" s="6">
        <v>0.0187</v>
      </c>
    </row>
    <row r="1955" ht="14.5" spans="1:11">
      <c r="A1955" s="3" t="str">
        <f t="shared" si="114"/>
        <v>2026年</v>
      </c>
      <c r="B1955" s="3" t="str">
        <f t="shared" si="115"/>
        <v>2月</v>
      </c>
      <c r="C1955" s="4" t="str">
        <f t="shared" si="116"/>
        <v>W9</v>
      </c>
      <c r="D1955" s="2" t="s">
        <v>792</v>
      </c>
      <c r="E1955" s="2" t="s">
        <v>711</v>
      </c>
      <c r="F1955" s="2" t="str" cm="1">
        <f t="array" ref="F1955">INDEX(_xlfn.TEXTSPLIT(E1955,"-"),2)</f>
        <v>女装</v>
      </c>
      <c r="G1955" s="2" t="str" cm="1">
        <f t="array" ref="G1955">INDEX(_xlfn.TEXTSPLIT(E1955,"-"),3)</f>
        <v>新中式女装</v>
      </c>
      <c r="H1955" s="5">
        <v>82443</v>
      </c>
      <c r="I1955" s="5">
        <v>8595296.76</v>
      </c>
      <c r="J1955" s="6">
        <v>0.0045</v>
      </c>
      <c r="K1955" s="6">
        <v>-0.3402</v>
      </c>
    </row>
    <row r="1956" ht="14.5" spans="1:11">
      <c r="A1956" s="3" t="str">
        <f t="shared" si="114"/>
        <v>2026年</v>
      </c>
      <c r="B1956" s="3" t="str">
        <f t="shared" si="115"/>
        <v>2月</v>
      </c>
      <c r="C1956" s="4" t="str">
        <f t="shared" si="116"/>
        <v>W9</v>
      </c>
      <c r="D1956" s="2" t="s">
        <v>792</v>
      </c>
      <c r="E1956" s="2" t="s">
        <v>712</v>
      </c>
      <c r="F1956" s="2" t="str" cm="1">
        <f t="array" ref="F1956">INDEX(_xlfn.TEXTSPLIT(E1956,"-"),2)</f>
        <v>女装</v>
      </c>
      <c r="G1956" s="2" t="str" cm="1">
        <f t="array" ref="G1956">INDEX(_xlfn.TEXTSPLIT(E1956,"-"),3)</f>
        <v>时尚防晒服</v>
      </c>
      <c r="H1956" s="5">
        <v>12219</v>
      </c>
      <c r="I1956" s="5">
        <v>1596358.17</v>
      </c>
      <c r="J1956" s="6">
        <v>0.0008</v>
      </c>
      <c r="K1956" s="6">
        <v>3.6152</v>
      </c>
    </row>
    <row r="1957" ht="14.5" spans="1:11">
      <c r="A1957" s="3" t="str">
        <f t="shared" si="114"/>
        <v>2026年</v>
      </c>
      <c r="B1957" s="3" t="str">
        <f t="shared" si="115"/>
        <v>2月</v>
      </c>
      <c r="C1957" s="4" t="str">
        <f t="shared" si="116"/>
        <v>W9</v>
      </c>
      <c r="D1957" s="2" t="s">
        <v>792</v>
      </c>
      <c r="E1957" s="2" t="s">
        <v>714</v>
      </c>
      <c r="F1957" s="2" t="str" cm="1">
        <f t="array" ref="F1957">INDEX(_xlfn.TEXTSPLIT(E1957,"-"),2)</f>
        <v>女装</v>
      </c>
      <c r="G1957" s="2" t="str" cm="1">
        <f t="array" ref="G1957">INDEX(_xlfn.TEXTSPLIT(E1957,"-"),3)</f>
        <v>棉衣/棉服</v>
      </c>
      <c r="H1957" s="5">
        <v>204163</v>
      </c>
      <c r="I1957" s="5">
        <v>18010334.86</v>
      </c>
      <c r="J1957" s="6">
        <v>0.0095</v>
      </c>
      <c r="K1957" s="6">
        <v>0.1158</v>
      </c>
    </row>
    <row r="1958" ht="14.5" spans="1:11">
      <c r="A1958" s="3" t="str">
        <f t="shared" si="114"/>
        <v>2026年</v>
      </c>
      <c r="B1958" s="3" t="str">
        <f t="shared" si="115"/>
        <v>2月</v>
      </c>
      <c r="C1958" s="4" t="str">
        <f t="shared" si="116"/>
        <v>W9</v>
      </c>
      <c r="D1958" s="2" t="s">
        <v>792</v>
      </c>
      <c r="E1958" s="2" t="s">
        <v>715</v>
      </c>
      <c r="F1958" s="2" t="str" cm="1">
        <f t="array" ref="F1958">INDEX(_xlfn.TEXTSPLIT(E1958,"-"),2)</f>
        <v>女装</v>
      </c>
      <c r="G1958" s="2" t="str" cm="1">
        <f t="array" ref="G1958">INDEX(_xlfn.TEXTSPLIT(E1958,"-"),3)</f>
        <v>毛呢外套</v>
      </c>
      <c r="H1958" s="5">
        <v>376363</v>
      </c>
      <c r="I1958" s="5">
        <v>90516581.75</v>
      </c>
      <c r="J1958" s="6">
        <v>0.0477</v>
      </c>
      <c r="K1958" s="6">
        <v>-0.0691</v>
      </c>
    </row>
    <row r="1959" ht="14.5" spans="1:11">
      <c r="A1959" s="3" t="str">
        <f t="shared" si="114"/>
        <v>2026年</v>
      </c>
      <c r="B1959" s="3" t="str">
        <f t="shared" si="115"/>
        <v>2月</v>
      </c>
      <c r="C1959" s="4" t="str">
        <f t="shared" si="116"/>
        <v>W9</v>
      </c>
      <c r="D1959" s="2" t="s">
        <v>792</v>
      </c>
      <c r="E1959" s="2" t="s">
        <v>716</v>
      </c>
      <c r="F1959" s="2" t="str" cm="1">
        <f t="array" ref="F1959">INDEX(_xlfn.TEXTSPLIT(E1959,"-"),2)</f>
        <v>女装</v>
      </c>
      <c r="G1959" s="2" t="str" cm="1">
        <f t="array" ref="G1959">INDEX(_xlfn.TEXTSPLIT(E1959,"-"),3)</f>
        <v>毛衣</v>
      </c>
      <c r="H1959" s="5">
        <v>208588</v>
      </c>
      <c r="I1959" s="5">
        <v>19489951.97</v>
      </c>
      <c r="J1959" s="6">
        <v>0.0103</v>
      </c>
      <c r="K1959" s="6">
        <v>0.2755</v>
      </c>
    </row>
    <row r="1960" ht="14.5" spans="1:11">
      <c r="A1960" s="3" t="str">
        <f t="shared" si="114"/>
        <v>2026年</v>
      </c>
      <c r="B1960" s="3" t="str">
        <f t="shared" si="115"/>
        <v>2月</v>
      </c>
      <c r="C1960" s="4" t="str">
        <f t="shared" si="116"/>
        <v>W9</v>
      </c>
      <c r="D1960" s="2" t="s">
        <v>792</v>
      </c>
      <c r="E1960" s="2" t="s">
        <v>717</v>
      </c>
      <c r="F1960" s="2" t="str" cm="1">
        <f t="array" ref="F1960">INDEX(_xlfn.TEXTSPLIT(E1960,"-"),2)</f>
        <v>女装</v>
      </c>
      <c r="G1960" s="2" t="str" cm="1">
        <f t="array" ref="G1960">INDEX(_xlfn.TEXTSPLIT(E1960,"-"),3)</f>
        <v>毛针织衫</v>
      </c>
      <c r="H1960" s="5">
        <v>1257753</v>
      </c>
      <c r="I1960" s="5">
        <v>107252577.21</v>
      </c>
      <c r="J1960" s="6">
        <v>0.0565</v>
      </c>
      <c r="K1960" s="6">
        <v>0.1203</v>
      </c>
    </row>
    <row r="1961" ht="14.5" spans="1:11">
      <c r="A1961" s="3" t="str">
        <f t="shared" si="114"/>
        <v>2026年</v>
      </c>
      <c r="B1961" s="3" t="str">
        <f t="shared" si="115"/>
        <v>2月</v>
      </c>
      <c r="C1961" s="4" t="str">
        <f t="shared" si="116"/>
        <v>W9</v>
      </c>
      <c r="D1961" s="2" t="s">
        <v>792</v>
      </c>
      <c r="E1961" s="2" t="s">
        <v>718</v>
      </c>
      <c r="F1961" s="2" t="str" cm="1">
        <f t="array" ref="F1961">INDEX(_xlfn.TEXTSPLIT(E1961,"-"),2)</f>
        <v>女装</v>
      </c>
      <c r="G1961" s="2" t="str" cm="1">
        <f t="array" ref="G1961">INDEX(_xlfn.TEXTSPLIT(E1961,"-"),3)</f>
        <v>汉服</v>
      </c>
      <c r="H1961" s="5">
        <v>267671</v>
      </c>
      <c r="I1961" s="5">
        <v>98881111.9</v>
      </c>
      <c r="J1961" s="6">
        <v>0.0521</v>
      </c>
      <c r="K1961" s="6">
        <v>0.0401</v>
      </c>
    </row>
    <row r="1962" ht="14.5" spans="1:11">
      <c r="A1962" s="3" t="str">
        <f t="shared" si="114"/>
        <v>2026年</v>
      </c>
      <c r="B1962" s="3" t="str">
        <f t="shared" si="115"/>
        <v>2月</v>
      </c>
      <c r="C1962" s="4" t="str">
        <f t="shared" si="116"/>
        <v>W9</v>
      </c>
      <c r="D1962" s="2" t="s">
        <v>792</v>
      </c>
      <c r="E1962" s="2" t="s">
        <v>719</v>
      </c>
      <c r="F1962" s="2" t="str" cm="1">
        <f t="array" ref="F1962">INDEX(_xlfn.TEXTSPLIT(E1962,"-"),2)</f>
        <v>女装</v>
      </c>
      <c r="G1962" s="2" t="str" cm="1">
        <f t="array" ref="G1962">INDEX(_xlfn.TEXTSPLIT(E1962,"-"),3)</f>
        <v>派克服</v>
      </c>
      <c r="H1962" s="5">
        <v>12823</v>
      </c>
      <c r="I1962" s="5">
        <v>1877657.57</v>
      </c>
      <c r="J1962" s="6">
        <v>0.001</v>
      </c>
      <c r="K1962" s="6">
        <v>1.275</v>
      </c>
    </row>
    <row r="1963" ht="14.5" spans="1:11">
      <c r="A1963" s="3" t="str">
        <f t="shared" si="114"/>
        <v>2026年</v>
      </c>
      <c r="B1963" s="3" t="str">
        <f t="shared" si="115"/>
        <v>2月</v>
      </c>
      <c r="C1963" s="4" t="str">
        <f t="shared" si="116"/>
        <v>W9</v>
      </c>
      <c r="D1963" s="2" t="s">
        <v>792</v>
      </c>
      <c r="E1963" s="2" t="s">
        <v>720</v>
      </c>
      <c r="F1963" s="2" t="str" cm="1">
        <f t="array" ref="F1963">INDEX(_xlfn.TEXTSPLIT(E1963,"-"),2)</f>
        <v>女装</v>
      </c>
      <c r="G1963" s="2" t="str" cm="1">
        <f t="array" ref="G1963">INDEX(_xlfn.TEXTSPLIT(E1963,"-"),3)</f>
        <v>皮草</v>
      </c>
      <c r="H1963" s="5">
        <v>33303</v>
      </c>
      <c r="I1963" s="5">
        <v>55079600.89</v>
      </c>
      <c r="J1963" s="6">
        <v>0.029</v>
      </c>
      <c r="K1963" s="6">
        <v>-0.0763</v>
      </c>
    </row>
    <row r="1964" ht="14.5" spans="1:11">
      <c r="A1964" s="3" t="str">
        <f t="shared" si="114"/>
        <v>2026年</v>
      </c>
      <c r="B1964" s="3" t="str">
        <f t="shared" si="115"/>
        <v>2月</v>
      </c>
      <c r="C1964" s="4" t="str">
        <f t="shared" si="116"/>
        <v>W9</v>
      </c>
      <c r="D1964" s="2" t="s">
        <v>792</v>
      </c>
      <c r="E1964" s="2" t="s">
        <v>721</v>
      </c>
      <c r="F1964" s="2" t="str" cm="1">
        <f t="array" ref="F1964">INDEX(_xlfn.TEXTSPLIT(E1964,"-"),2)</f>
        <v>女装</v>
      </c>
      <c r="G1964" s="2" t="str" cm="1">
        <f t="array" ref="G1964">INDEX(_xlfn.TEXTSPLIT(E1964,"-"),3)</f>
        <v>皮衣</v>
      </c>
      <c r="H1964" s="5">
        <v>189732</v>
      </c>
      <c r="I1964" s="5">
        <v>70165270.94</v>
      </c>
      <c r="J1964" s="6">
        <v>0.037</v>
      </c>
      <c r="K1964" s="6">
        <v>0.3088</v>
      </c>
    </row>
    <row r="1965" ht="14.5" spans="1:11">
      <c r="A1965" s="3" t="str">
        <f t="shared" si="114"/>
        <v>2026年</v>
      </c>
      <c r="B1965" s="3" t="str">
        <f t="shared" si="115"/>
        <v>2月</v>
      </c>
      <c r="C1965" s="4" t="str">
        <f t="shared" si="116"/>
        <v>W9</v>
      </c>
      <c r="D1965" s="2" t="s">
        <v>792</v>
      </c>
      <c r="E1965" s="2" t="s">
        <v>722</v>
      </c>
      <c r="F1965" s="2" t="str" cm="1">
        <f t="array" ref="F1965">INDEX(_xlfn.TEXTSPLIT(E1965,"-"),2)</f>
        <v>女装</v>
      </c>
      <c r="G1965" s="2" t="str" cm="1">
        <f t="array" ref="G1965">INDEX(_xlfn.TEXTSPLIT(E1965,"-"),3)</f>
        <v>短外套</v>
      </c>
      <c r="H1965" s="5">
        <v>851314</v>
      </c>
      <c r="I1965" s="5">
        <v>144921851.19</v>
      </c>
      <c r="J1965" s="6">
        <v>0.0764</v>
      </c>
      <c r="K1965" s="6">
        <v>0.1296</v>
      </c>
    </row>
    <row r="1966" ht="14.5" spans="1:11">
      <c r="A1966" s="3" t="str">
        <f t="shared" si="114"/>
        <v>2026年</v>
      </c>
      <c r="B1966" s="3" t="str">
        <f t="shared" si="115"/>
        <v>2月</v>
      </c>
      <c r="C1966" s="4" t="str">
        <f t="shared" si="116"/>
        <v>W9</v>
      </c>
      <c r="D1966" s="2" t="s">
        <v>792</v>
      </c>
      <c r="E1966" s="2" t="s">
        <v>723</v>
      </c>
      <c r="F1966" s="2" t="str" cm="1">
        <f t="array" ref="F1966">INDEX(_xlfn.TEXTSPLIT(E1966,"-"),2)</f>
        <v>女装</v>
      </c>
      <c r="G1966" s="2" t="str" cm="1">
        <f t="array" ref="G1966">INDEX(_xlfn.TEXTSPLIT(E1966,"-"),3)</f>
        <v>短裤</v>
      </c>
      <c r="H1966" s="5">
        <v>121197</v>
      </c>
      <c r="I1966" s="5">
        <v>7822576.53</v>
      </c>
      <c r="J1966" s="6">
        <v>0.0041</v>
      </c>
      <c r="K1966" s="6">
        <v>0.163</v>
      </c>
    </row>
    <row r="1967" ht="14.5" spans="1:11">
      <c r="A1967" s="3" t="str">
        <f t="shared" si="114"/>
        <v>2026年</v>
      </c>
      <c r="B1967" s="3" t="str">
        <f t="shared" si="115"/>
        <v>2月</v>
      </c>
      <c r="C1967" s="4" t="str">
        <f t="shared" si="116"/>
        <v>W9</v>
      </c>
      <c r="D1967" s="2" t="s">
        <v>792</v>
      </c>
      <c r="E1967" s="2" t="s">
        <v>724</v>
      </c>
      <c r="F1967" s="2" t="str" cm="1">
        <f t="array" ref="F1967">INDEX(_xlfn.TEXTSPLIT(E1967,"-"),2)</f>
        <v>女装</v>
      </c>
      <c r="G1967" s="2" t="str" cm="1">
        <f t="array" ref="G1967">INDEX(_xlfn.TEXTSPLIT(E1967,"-"),3)</f>
        <v>羊毛衫</v>
      </c>
      <c r="H1967" s="5">
        <v>176120</v>
      </c>
      <c r="I1967" s="5">
        <v>20279504.89</v>
      </c>
      <c r="J1967" s="6">
        <v>0.0107</v>
      </c>
      <c r="K1967" s="6">
        <v>0.2149</v>
      </c>
    </row>
    <row r="1968" ht="14.5" spans="1:11">
      <c r="A1968" s="3" t="str">
        <f t="shared" si="114"/>
        <v>2026年</v>
      </c>
      <c r="B1968" s="3" t="str">
        <f t="shared" si="115"/>
        <v>2月</v>
      </c>
      <c r="C1968" s="4" t="str">
        <f t="shared" si="116"/>
        <v>W9</v>
      </c>
      <c r="D1968" s="2" t="s">
        <v>792</v>
      </c>
      <c r="E1968" s="2" t="s">
        <v>725</v>
      </c>
      <c r="F1968" s="2" t="str" cm="1">
        <f t="array" ref="F1968">INDEX(_xlfn.TEXTSPLIT(E1968,"-"),2)</f>
        <v>女装</v>
      </c>
      <c r="G1968" s="2" t="str" cm="1">
        <f t="array" ref="G1968">INDEX(_xlfn.TEXTSPLIT(E1968,"-"),3)</f>
        <v>羊绒大衣</v>
      </c>
      <c r="H1968" s="5">
        <v>3594</v>
      </c>
      <c r="I1968" s="5">
        <v>1353941.38</v>
      </c>
      <c r="J1968" s="6">
        <v>0.0007</v>
      </c>
      <c r="K1968" s="6">
        <v>1.0637</v>
      </c>
    </row>
    <row r="1969" ht="14.5" spans="1:11">
      <c r="A1969" s="3" t="str">
        <f t="shared" si="114"/>
        <v>2026年</v>
      </c>
      <c r="B1969" s="3" t="str">
        <f t="shared" si="115"/>
        <v>2月</v>
      </c>
      <c r="C1969" s="4" t="str">
        <f t="shared" si="116"/>
        <v>W9</v>
      </c>
      <c r="D1969" s="2" t="s">
        <v>792</v>
      </c>
      <c r="E1969" s="2" t="s">
        <v>726</v>
      </c>
      <c r="F1969" s="2" t="str" cm="1">
        <f t="array" ref="F1969">INDEX(_xlfn.TEXTSPLIT(E1969,"-"),2)</f>
        <v>女装</v>
      </c>
      <c r="G1969" s="2" t="str" cm="1">
        <f t="array" ref="G1969">INDEX(_xlfn.TEXTSPLIT(E1969,"-"),3)</f>
        <v>羊绒衫</v>
      </c>
      <c r="H1969" s="5">
        <v>39190</v>
      </c>
      <c r="I1969" s="5">
        <v>13880727.42</v>
      </c>
      <c r="J1969" s="6">
        <v>0.0073</v>
      </c>
      <c r="K1969" s="6">
        <v>0.6079</v>
      </c>
    </row>
    <row r="1970" ht="14.5" spans="1:11">
      <c r="A1970" s="3" t="str">
        <f t="shared" si="114"/>
        <v>2026年</v>
      </c>
      <c r="B1970" s="3" t="str">
        <f t="shared" si="115"/>
        <v>2月</v>
      </c>
      <c r="C1970" s="4" t="str">
        <f t="shared" si="116"/>
        <v>W9</v>
      </c>
      <c r="D1970" s="2" t="s">
        <v>792</v>
      </c>
      <c r="E1970" s="2" t="s">
        <v>727</v>
      </c>
      <c r="F1970" s="2" t="str" cm="1">
        <f t="array" ref="F1970">INDEX(_xlfn.TEXTSPLIT(E1970,"-"),2)</f>
        <v>女装</v>
      </c>
      <c r="G1970" s="2" t="str" cm="1">
        <f t="array" ref="G1970">INDEX(_xlfn.TEXTSPLIT(E1970,"-"),3)</f>
        <v>羽绒服</v>
      </c>
      <c r="H1970" s="5">
        <v>298373</v>
      </c>
      <c r="I1970" s="5">
        <v>79777213.78</v>
      </c>
      <c r="J1970" s="6">
        <v>0.042</v>
      </c>
      <c r="K1970" s="6">
        <v>0.2274</v>
      </c>
    </row>
    <row r="1971" ht="14.5" spans="1:11">
      <c r="A1971" s="3" t="str">
        <f t="shared" si="114"/>
        <v>2026年</v>
      </c>
      <c r="B1971" s="3" t="str">
        <f t="shared" si="115"/>
        <v>2月</v>
      </c>
      <c r="C1971" s="4" t="str">
        <f t="shared" si="116"/>
        <v>W9</v>
      </c>
      <c r="D1971" s="2" t="s">
        <v>792</v>
      </c>
      <c r="E1971" s="2" t="s">
        <v>728</v>
      </c>
      <c r="F1971" s="2" t="str" cm="1">
        <f t="array" ref="F1971">INDEX(_xlfn.TEXTSPLIT(E1971,"-"),2)</f>
        <v>女装</v>
      </c>
      <c r="G1971" s="2" t="str" cm="1">
        <f t="array" ref="G1971">INDEX(_xlfn.TEXTSPLIT(E1971,"-"),3)</f>
        <v>肌底衣/肌肤衣</v>
      </c>
      <c r="H1971" s="5">
        <v>3453</v>
      </c>
      <c r="I1971" s="5">
        <v>187901.11</v>
      </c>
      <c r="J1971" s="6">
        <v>0.0001</v>
      </c>
      <c r="K1971" s="6">
        <v>0.0733</v>
      </c>
    </row>
    <row r="1972" ht="14.5" spans="1:11">
      <c r="A1972" s="3" t="str">
        <f t="shared" si="114"/>
        <v>2026年</v>
      </c>
      <c r="B1972" s="3" t="str">
        <f t="shared" si="115"/>
        <v>2月</v>
      </c>
      <c r="C1972" s="4" t="str">
        <f t="shared" si="116"/>
        <v>W9</v>
      </c>
      <c r="D1972" s="2" t="s">
        <v>792</v>
      </c>
      <c r="E1972" s="2" t="s">
        <v>729</v>
      </c>
      <c r="F1972" s="2" t="str" cm="1">
        <f t="array" ref="F1972">INDEX(_xlfn.TEXTSPLIT(E1972,"-"),2)</f>
        <v>女装</v>
      </c>
      <c r="G1972" s="2" t="str" cm="1">
        <f t="array" ref="G1972">INDEX(_xlfn.TEXTSPLIT(E1972,"-"),3)</f>
        <v>背心吊带</v>
      </c>
      <c r="H1972" s="5">
        <v>476202</v>
      </c>
      <c r="I1972" s="5">
        <v>26810502.52</v>
      </c>
      <c r="J1972" s="6">
        <v>0.0141</v>
      </c>
      <c r="K1972" s="6">
        <v>0.1417</v>
      </c>
    </row>
    <row r="1973" ht="14.5" spans="1:11">
      <c r="A1973" s="3" t="str">
        <f t="shared" si="114"/>
        <v>2026年</v>
      </c>
      <c r="B1973" s="3" t="str">
        <f t="shared" si="115"/>
        <v>2月</v>
      </c>
      <c r="C1973" s="4" t="str">
        <f t="shared" si="116"/>
        <v>W9</v>
      </c>
      <c r="D1973" s="2" t="s">
        <v>792</v>
      </c>
      <c r="E1973" s="2" t="s">
        <v>730</v>
      </c>
      <c r="F1973" s="2" t="str" cm="1">
        <f t="array" ref="F1973">INDEX(_xlfn.TEXTSPLIT(E1973,"-"),2)</f>
        <v>女装</v>
      </c>
      <c r="G1973" s="2" t="str" cm="1">
        <f t="array" ref="G1973">INDEX(_xlfn.TEXTSPLIT(E1973,"-"),3)</f>
        <v>蕾丝衫/雪纺衫</v>
      </c>
      <c r="H1973" s="5">
        <v>192338</v>
      </c>
      <c r="I1973" s="5">
        <v>15796189.72</v>
      </c>
      <c r="J1973" s="6">
        <v>0.0083</v>
      </c>
      <c r="K1973" s="6">
        <v>0.1255</v>
      </c>
    </row>
    <row r="1974" ht="14.5" spans="1:11">
      <c r="A1974" s="3" t="str">
        <f t="shared" ref="A1974:A2037" si="117">TEXT(YEAR(D1974),"0")&amp;"年"</f>
        <v>2026年</v>
      </c>
      <c r="B1974" s="3" t="str">
        <f t="shared" ref="B1974:B2037" si="118">TEXT(MONTH(D1974),"0")&amp;"月"</f>
        <v>2月</v>
      </c>
      <c r="C1974" s="4" t="str">
        <f t="shared" ref="C1974:C2037" si="119">"W"&amp;TEXT(WEEKNUM(D1974,2),"0")</f>
        <v>W9</v>
      </c>
      <c r="D1974" s="2" t="s">
        <v>792</v>
      </c>
      <c r="E1974" s="2" t="s">
        <v>731</v>
      </c>
      <c r="F1974" s="2" t="str" cm="1">
        <f t="array" ref="F1974">INDEX(_xlfn.TEXTSPLIT(E1974,"-"),2)</f>
        <v>女装</v>
      </c>
      <c r="G1974" s="2" t="str" cm="1">
        <f t="array" ref="G1974">INDEX(_xlfn.TEXTSPLIT(E1974,"-"),3)</f>
        <v>衬衫</v>
      </c>
      <c r="H1974" s="5">
        <v>897150</v>
      </c>
      <c r="I1974" s="5">
        <v>98180726.11</v>
      </c>
      <c r="J1974" s="6">
        <v>0.0517</v>
      </c>
      <c r="K1974" s="6">
        <v>0.2038</v>
      </c>
    </row>
    <row r="1975" ht="14.5" spans="1:11">
      <c r="A1975" s="3" t="str">
        <f t="shared" si="117"/>
        <v>2026年</v>
      </c>
      <c r="B1975" s="3" t="str">
        <f t="shared" si="118"/>
        <v>2月</v>
      </c>
      <c r="C1975" s="4" t="str">
        <f t="shared" si="119"/>
        <v>W9</v>
      </c>
      <c r="D1975" s="2" t="s">
        <v>792</v>
      </c>
      <c r="E1975" s="2" t="s">
        <v>732</v>
      </c>
      <c r="F1975" s="2" t="str" cm="1">
        <f t="array" ref="F1975">INDEX(_xlfn.TEXTSPLIT(E1975,"-"),2)</f>
        <v>女装</v>
      </c>
      <c r="G1975" s="2" t="str" cm="1">
        <f t="array" ref="G1975">INDEX(_xlfn.TEXTSPLIT(E1975,"-"),3)</f>
        <v>裤子</v>
      </c>
      <c r="H1975" s="5">
        <v>2672705</v>
      </c>
      <c r="I1975" s="5">
        <v>294187089.33</v>
      </c>
      <c r="J1975" s="6">
        <v>0.155</v>
      </c>
      <c r="K1975" s="6">
        <v>0.0961</v>
      </c>
    </row>
    <row r="1976" ht="14.5" spans="1:11">
      <c r="A1976" s="3" t="str">
        <f t="shared" si="117"/>
        <v>2026年</v>
      </c>
      <c r="B1976" s="3" t="str">
        <f t="shared" si="118"/>
        <v>2月</v>
      </c>
      <c r="C1976" s="4" t="str">
        <f t="shared" si="119"/>
        <v>W9</v>
      </c>
      <c r="D1976" s="2" t="s">
        <v>792</v>
      </c>
      <c r="E1976" s="2" t="s">
        <v>733</v>
      </c>
      <c r="F1976" s="2" t="str" cm="1">
        <f t="array" ref="F1976">INDEX(_xlfn.TEXTSPLIT(E1976,"-"),2)</f>
        <v>女装</v>
      </c>
      <c r="G1976" s="2" t="str" cm="1">
        <f t="array" ref="G1976">INDEX(_xlfn.TEXTSPLIT(E1976,"-"),3)</f>
        <v>西装</v>
      </c>
      <c r="H1976" s="5">
        <v>105598</v>
      </c>
      <c r="I1976" s="5">
        <v>28090745.15</v>
      </c>
      <c r="J1976" s="6">
        <v>0.0148</v>
      </c>
      <c r="K1976" s="6">
        <v>0.0313</v>
      </c>
    </row>
    <row r="1977" ht="14.5" spans="1:11">
      <c r="A1977" s="3" t="str">
        <f t="shared" si="117"/>
        <v>2026年</v>
      </c>
      <c r="B1977" s="3" t="str">
        <f t="shared" si="118"/>
        <v>2月</v>
      </c>
      <c r="C1977" s="4" t="str">
        <f t="shared" si="119"/>
        <v>W9</v>
      </c>
      <c r="D1977" s="2" t="s">
        <v>792</v>
      </c>
      <c r="E1977" s="2" t="s">
        <v>734</v>
      </c>
      <c r="F1977" s="2" t="str" cm="1">
        <f t="array" ref="F1977">INDEX(_xlfn.TEXTSPLIT(E1977,"-"),2)</f>
        <v>女装</v>
      </c>
      <c r="G1977" s="2" t="str" cm="1">
        <f t="array" ref="G1977">INDEX(_xlfn.TEXTSPLIT(E1977,"-"),3)</f>
        <v>设计师/潮牌女装</v>
      </c>
      <c r="H1977" s="5">
        <v>262395</v>
      </c>
      <c r="I1977" s="5">
        <v>30666492.83</v>
      </c>
      <c r="J1977" s="6">
        <v>0.0162</v>
      </c>
      <c r="K1977" s="6">
        <v>0.126</v>
      </c>
    </row>
    <row r="1978" ht="14.5" spans="1:11">
      <c r="A1978" s="3" t="str">
        <f t="shared" si="117"/>
        <v>2026年</v>
      </c>
      <c r="B1978" s="3" t="str">
        <f t="shared" si="118"/>
        <v>2月</v>
      </c>
      <c r="C1978" s="4" t="str">
        <f t="shared" si="119"/>
        <v>W9</v>
      </c>
      <c r="D1978" s="2" t="s">
        <v>792</v>
      </c>
      <c r="E1978" s="2" t="s">
        <v>735</v>
      </c>
      <c r="F1978" s="2" t="str" cm="1">
        <f t="array" ref="F1978">INDEX(_xlfn.TEXTSPLIT(E1978,"-"),2)</f>
        <v>女装</v>
      </c>
      <c r="G1978" s="2" t="str" cm="1">
        <f t="array" ref="G1978">INDEX(_xlfn.TEXTSPLIT(E1978,"-"),3)</f>
        <v>连体衣/裤</v>
      </c>
      <c r="H1978" s="5">
        <v>25064</v>
      </c>
      <c r="I1978" s="5">
        <v>3751170.3</v>
      </c>
      <c r="J1978" s="6">
        <v>0.002</v>
      </c>
      <c r="K1978" s="6">
        <v>-0.2557</v>
      </c>
    </row>
    <row r="1979" ht="14.5" spans="1:11">
      <c r="A1979" s="3" t="str">
        <f t="shared" si="117"/>
        <v>2026年</v>
      </c>
      <c r="B1979" s="3" t="str">
        <f t="shared" si="118"/>
        <v>2月</v>
      </c>
      <c r="C1979" s="4" t="str">
        <f t="shared" si="119"/>
        <v>W9</v>
      </c>
      <c r="D1979" s="2" t="s">
        <v>792</v>
      </c>
      <c r="E1979" s="2" t="s">
        <v>736</v>
      </c>
      <c r="F1979" s="2" t="str" cm="1">
        <f t="array" ref="F1979">INDEX(_xlfn.TEXTSPLIT(E1979,"-"),2)</f>
        <v>女装</v>
      </c>
      <c r="G1979" s="2" t="str" cm="1">
        <f t="array" ref="G1979">INDEX(_xlfn.TEXTSPLIT(E1979,"-"),3)</f>
        <v>连衣裙</v>
      </c>
      <c r="H1979" s="5">
        <v>752841</v>
      </c>
      <c r="I1979" s="5">
        <v>119123041.68</v>
      </c>
      <c r="J1979" s="6">
        <v>0.0628</v>
      </c>
      <c r="K1979" s="6">
        <v>0.0355</v>
      </c>
    </row>
    <row r="1980" ht="14.5" spans="1:11">
      <c r="A1980" s="3" t="str">
        <f t="shared" si="117"/>
        <v>2026年</v>
      </c>
      <c r="B1980" s="3" t="str">
        <f t="shared" si="118"/>
        <v>2月</v>
      </c>
      <c r="C1980" s="4" t="str">
        <f t="shared" si="119"/>
        <v>W9</v>
      </c>
      <c r="D1980" s="2" t="s">
        <v>792</v>
      </c>
      <c r="E1980" s="2" t="s">
        <v>737</v>
      </c>
      <c r="F1980" s="2" t="str" cm="1">
        <f t="array" ref="F1980">INDEX(_xlfn.TEXTSPLIT(E1980,"-"),2)</f>
        <v>女装</v>
      </c>
      <c r="G1980" s="2" t="str" cm="1">
        <f t="array" ref="G1980">INDEX(_xlfn.TEXTSPLIT(E1980,"-"),3)</f>
        <v>风衣</v>
      </c>
      <c r="H1980" s="5">
        <v>192133</v>
      </c>
      <c r="I1980" s="5">
        <v>41600318.95</v>
      </c>
      <c r="J1980" s="6">
        <v>0.0219</v>
      </c>
      <c r="K1980" s="6">
        <v>0.1697</v>
      </c>
    </row>
    <row r="1981" ht="14.5" spans="1:11">
      <c r="A1981" s="3" t="str">
        <f t="shared" si="117"/>
        <v>2026年</v>
      </c>
      <c r="B1981" s="3" t="str">
        <f t="shared" si="118"/>
        <v>2月</v>
      </c>
      <c r="C1981" s="4" t="str">
        <f t="shared" si="119"/>
        <v>W9</v>
      </c>
      <c r="D1981" s="2" t="s">
        <v>792</v>
      </c>
      <c r="E1981" s="2" t="s">
        <v>738</v>
      </c>
      <c r="F1981" s="2" t="str" cm="1">
        <f t="array" ref="F1981">INDEX(_xlfn.TEXTSPLIT(E1981,"-"),2)</f>
        <v>女装</v>
      </c>
      <c r="G1981" s="2" t="str" cm="1">
        <f t="array" ref="G1981">INDEX(_xlfn.TEXTSPLIT(E1981,"-"),3)</f>
        <v>马夹</v>
      </c>
      <c r="H1981" s="5">
        <v>434822</v>
      </c>
      <c r="I1981" s="5">
        <v>42135321.37</v>
      </c>
      <c r="J1981" s="6">
        <v>0.0222</v>
      </c>
      <c r="K1981" s="6">
        <v>0.1486</v>
      </c>
    </row>
    <row r="1982" ht="14.5" spans="1:11">
      <c r="A1982" s="3" t="str">
        <f t="shared" si="117"/>
        <v>2026年</v>
      </c>
      <c r="B1982" s="3" t="str">
        <f t="shared" si="118"/>
        <v>2月</v>
      </c>
      <c r="C1982" s="4" t="str">
        <f t="shared" si="119"/>
        <v>W9</v>
      </c>
      <c r="D1982" s="2" t="s">
        <v>793</v>
      </c>
      <c r="E1982" s="2" t="s">
        <v>702</v>
      </c>
      <c r="F1982" s="2" t="str" cm="1">
        <f t="array" ref="F1982">INDEX(_xlfn.TEXTSPLIT(E1982,"-"),2)</f>
        <v>女装</v>
      </c>
      <c r="G1982" s="2" t="str" cm="1">
        <f t="array" ref="G1982">INDEX(_xlfn.TEXTSPLIT(E1982,"-"),3)</f>
        <v>POLO衫</v>
      </c>
      <c r="H1982" s="5">
        <v>47198</v>
      </c>
      <c r="I1982" s="5">
        <v>3345654.34</v>
      </c>
      <c r="J1982" s="6">
        <v>0.0019</v>
      </c>
      <c r="K1982" s="6">
        <v>0.4306</v>
      </c>
    </row>
    <row r="1983" ht="14.5" spans="1:11">
      <c r="A1983" s="3" t="str">
        <f t="shared" si="117"/>
        <v>2026年</v>
      </c>
      <c r="B1983" s="3" t="str">
        <f t="shared" si="118"/>
        <v>2月</v>
      </c>
      <c r="C1983" s="4" t="str">
        <f t="shared" si="119"/>
        <v>W9</v>
      </c>
      <c r="D1983" s="2" t="s">
        <v>793</v>
      </c>
      <c r="E1983" s="2" t="s">
        <v>703</v>
      </c>
      <c r="F1983" s="2" t="str" cm="1">
        <f t="array" ref="F1983">INDEX(_xlfn.TEXTSPLIT(E1983,"-"),2)</f>
        <v>女装</v>
      </c>
      <c r="G1983" s="2" t="str" cm="1">
        <f t="array" ref="G1983">INDEX(_xlfn.TEXTSPLIT(E1983,"-"),3)</f>
        <v>T恤</v>
      </c>
      <c r="H1983" s="5">
        <v>1972580</v>
      </c>
      <c r="I1983" s="5">
        <v>113402988.38</v>
      </c>
      <c r="J1983" s="6">
        <v>0.0641</v>
      </c>
      <c r="K1983" s="6">
        <v>-0.1083</v>
      </c>
    </row>
    <row r="1984" ht="14.5" spans="1:11">
      <c r="A1984" s="3" t="str">
        <f t="shared" si="117"/>
        <v>2026年</v>
      </c>
      <c r="B1984" s="3" t="str">
        <f t="shared" si="118"/>
        <v>2月</v>
      </c>
      <c r="C1984" s="4" t="str">
        <f t="shared" si="119"/>
        <v>W9</v>
      </c>
      <c r="D1984" s="2" t="s">
        <v>793</v>
      </c>
      <c r="E1984" s="2" t="s">
        <v>704</v>
      </c>
      <c r="F1984" s="2" t="str" cm="1">
        <f t="array" ref="F1984">INDEX(_xlfn.TEXTSPLIT(E1984,"-"),2)</f>
        <v>女装</v>
      </c>
      <c r="G1984" s="2" t="str" cm="1">
        <f t="array" ref="G1984">INDEX(_xlfn.TEXTSPLIT(E1984,"-"),3)</f>
        <v>中老年女装</v>
      </c>
      <c r="H1984" s="5">
        <v>149029</v>
      </c>
      <c r="I1984" s="5">
        <v>11536779.3</v>
      </c>
      <c r="J1984" s="6">
        <v>0.0065</v>
      </c>
      <c r="K1984" s="6">
        <v>-0.0252</v>
      </c>
    </row>
    <row r="1985" ht="14.5" spans="1:11">
      <c r="A1985" s="3" t="str">
        <f t="shared" si="117"/>
        <v>2026年</v>
      </c>
      <c r="B1985" s="3" t="str">
        <f t="shared" si="118"/>
        <v>2月</v>
      </c>
      <c r="C1985" s="4" t="str">
        <f t="shared" si="119"/>
        <v>W9</v>
      </c>
      <c r="D1985" s="2" t="s">
        <v>793</v>
      </c>
      <c r="E1985" s="2" t="s">
        <v>705</v>
      </c>
      <c r="F1985" s="2" t="str" cm="1">
        <f t="array" ref="F1985">INDEX(_xlfn.TEXTSPLIT(E1985,"-"),2)</f>
        <v>女装</v>
      </c>
      <c r="G1985" s="2" t="str" cm="1">
        <f t="array" ref="G1985">INDEX(_xlfn.TEXTSPLIT(E1985,"-"),3)</f>
        <v>半身裙</v>
      </c>
      <c r="H1985" s="5">
        <v>508343</v>
      </c>
      <c r="I1985" s="5">
        <v>58448760.84</v>
      </c>
      <c r="J1985" s="6">
        <v>0.0331</v>
      </c>
      <c r="K1985" s="6">
        <v>-0.0266</v>
      </c>
    </row>
    <row r="1986" ht="14.5" spans="1:11">
      <c r="A1986" s="3" t="str">
        <f t="shared" si="117"/>
        <v>2026年</v>
      </c>
      <c r="B1986" s="3" t="str">
        <f t="shared" si="118"/>
        <v>2月</v>
      </c>
      <c r="C1986" s="4" t="str">
        <f t="shared" si="119"/>
        <v>W9</v>
      </c>
      <c r="D1986" s="2" t="s">
        <v>793</v>
      </c>
      <c r="E1986" s="2" t="s">
        <v>706</v>
      </c>
      <c r="F1986" s="2" t="str" cm="1">
        <f t="array" ref="F1986">INDEX(_xlfn.TEXTSPLIT(E1986,"-"),2)</f>
        <v>女装</v>
      </c>
      <c r="G1986" s="2" t="str" cm="1">
        <f t="array" ref="G1986">INDEX(_xlfn.TEXTSPLIT(E1986,"-"),3)</f>
        <v>卫衣/绒衫</v>
      </c>
      <c r="H1986" s="5">
        <v>362476</v>
      </c>
      <c r="I1986" s="5">
        <v>30937468.79</v>
      </c>
      <c r="J1986" s="6">
        <v>0.0175</v>
      </c>
      <c r="K1986" s="6">
        <v>0.0362</v>
      </c>
    </row>
    <row r="1987" ht="14.5" spans="1:11">
      <c r="A1987" s="3" t="str">
        <f t="shared" si="117"/>
        <v>2026年</v>
      </c>
      <c r="B1987" s="3" t="str">
        <f t="shared" si="118"/>
        <v>2月</v>
      </c>
      <c r="C1987" s="4" t="str">
        <f t="shared" si="119"/>
        <v>W9</v>
      </c>
      <c r="D1987" s="2" t="s">
        <v>793</v>
      </c>
      <c r="E1987" s="2" t="s">
        <v>707</v>
      </c>
      <c r="F1987" s="2" t="str" cm="1">
        <f t="array" ref="F1987">INDEX(_xlfn.TEXTSPLIT(E1987,"-"),2)</f>
        <v>女装</v>
      </c>
      <c r="G1987" s="2" t="str" cm="1">
        <f t="array" ref="G1987">INDEX(_xlfn.TEXTSPLIT(E1987,"-"),3)</f>
        <v>唐装/民族服装/舞台服装</v>
      </c>
      <c r="H1987" s="5">
        <v>239764</v>
      </c>
      <c r="I1987" s="5">
        <v>42733845.97</v>
      </c>
      <c r="J1987" s="6">
        <v>0.0242</v>
      </c>
      <c r="K1987" s="6">
        <v>-0.0898</v>
      </c>
    </row>
    <row r="1988" ht="14.5" spans="1:11">
      <c r="A1988" s="3" t="str">
        <f t="shared" si="117"/>
        <v>2026年</v>
      </c>
      <c r="B1988" s="3" t="str">
        <f t="shared" si="118"/>
        <v>2月</v>
      </c>
      <c r="C1988" s="4" t="str">
        <f t="shared" si="119"/>
        <v>W9</v>
      </c>
      <c r="D1988" s="2" t="s">
        <v>793</v>
      </c>
      <c r="E1988" s="2" t="s">
        <v>708</v>
      </c>
      <c r="F1988" s="2" t="str" cm="1">
        <f t="array" ref="F1988">INDEX(_xlfn.TEXTSPLIT(E1988,"-"),2)</f>
        <v>女装</v>
      </c>
      <c r="G1988" s="2" t="str" cm="1">
        <f t="array" ref="G1988">INDEX(_xlfn.TEXTSPLIT(E1988,"-"),3)</f>
        <v>大码女装</v>
      </c>
      <c r="H1988" s="5">
        <v>441421</v>
      </c>
      <c r="I1988" s="5">
        <v>30092081.91</v>
      </c>
      <c r="J1988" s="6">
        <v>0.017</v>
      </c>
      <c r="K1988" s="6">
        <v>0.074</v>
      </c>
    </row>
    <row r="1989" ht="14.5" spans="1:11">
      <c r="A1989" s="3" t="str">
        <f t="shared" si="117"/>
        <v>2026年</v>
      </c>
      <c r="B1989" s="3" t="str">
        <f t="shared" si="118"/>
        <v>2月</v>
      </c>
      <c r="C1989" s="4" t="str">
        <f t="shared" si="119"/>
        <v>W9</v>
      </c>
      <c r="D1989" s="2" t="s">
        <v>793</v>
      </c>
      <c r="E1989" s="2" t="s">
        <v>709</v>
      </c>
      <c r="F1989" s="2" t="str" cm="1">
        <f t="array" ref="F1989">INDEX(_xlfn.TEXTSPLIT(E1989,"-"),2)</f>
        <v>女装</v>
      </c>
      <c r="G1989" s="2" t="str" cm="1">
        <f t="array" ref="G1989">INDEX(_xlfn.TEXTSPLIT(E1989,"-"),3)</f>
        <v>套装/学生校服/工作制服</v>
      </c>
      <c r="H1989" s="5">
        <v>997664</v>
      </c>
      <c r="I1989" s="5">
        <v>128507405.41</v>
      </c>
      <c r="J1989" s="6">
        <v>0.0727</v>
      </c>
      <c r="K1989" s="6">
        <v>-0.0812</v>
      </c>
    </row>
    <row r="1990" ht="14.5" spans="1:11">
      <c r="A1990" s="3" t="str">
        <f t="shared" si="117"/>
        <v>2026年</v>
      </c>
      <c r="B1990" s="3" t="str">
        <f t="shared" si="118"/>
        <v>2月</v>
      </c>
      <c r="C1990" s="4" t="str">
        <f t="shared" si="119"/>
        <v>W9</v>
      </c>
      <c r="D1990" s="2" t="s">
        <v>793</v>
      </c>
      <c r="E1990" s="2" t="s">
        <v>710</v>
      </c>
      <c r="F1990" s="2" t="str" cm="1">
        <f t="array" ref="F1990">INDEX(_xlfn.TEXTSPLIT(E1990,"-"),2)</f>
        <v>女装</v>
      </c>
      <c r="G1990" s="2" t="str" cm="1">
        <f t="array" ref="G1990">INDEX(_xlfn.TEXTSPLIT(E1990,"-"),3)</f>
        <v>婚纱/旗袍/礼服</v>
      </c>
      <c r="H1990" s="5">
        <v>69969</v>
      </c>
      <c r="I1990" s="5">
        <v>11411432.13</v>
      </c>
      <c r="J1990" s="6">
        <v>0.0065</v>
      </c>
      <c r="K1990" s="6">
        <v>-0.0037</v>
      </c>
    </row>
    <row r="1991" ht="14.5" spans="1:11">
      <c r="A1991" s="3" t="str">
        <f t="shared" si="117"/>
        <v>2026年</v>
      </c>
      <c r="B1991" s="3" t="str">
        <f t="shared" si="118"/>
        <v>2月</v>
      </c>
      <c r="C1991" s="4" t="str">
        <f t="shared" si="119"/>
        <v>W9</v>
      </c>
      <c r="D1991" s="2" t="s">
        <v>793</v>
      </c>
      <c r="E1991" s="2" t="s">
        <v>711</v>
      </c>
      <c r="F1991" s="2" t="str" cm="1">
        <f t="array" ref="F1991">INDEX(_xlfn.TEXTSPLIT(E1991,"-"),2)</f>
        <v>女装</v>
      </c>
      <c r="G1991" s="2" t="str" cm="1">
        <f t="array" ref="G1991">INDEX(_xlfn.TEXTSPLIT(E1991,"-"),3)</f>
        <v>新中式女装</v>
      </c>
      <c r="H1991" s="5">
        <v>95140</v>
      </c>
      <c r="I1991" s="5">
        <v>10117340.97</v>
      </c>
      <c r="J1991" s="6">
        <v>0.0057</v>
      </c>
      <c r="K1991" s="6">
        <v>0.1771</v>
      </c>
    </row>
    <row r="1992" ht="14.5" spans="1:11">
      <c r="A1992" s="3" t="str">
        <f t="shared" si="117"/>
        <v>2026年</v>
      </c>
      <c r="B1992" s="3" t="str">
        <f t="shared" si="118"/>
        <v>2月</v>
      </c>
      <c r="C1992" s="4" t="str">
        <f t="shared" si="119"/>
        <v>W9</v>
      </c>
      <c r="D1992" s="2" t="s">
        <v>793</v>
      </c>
      <c r="E1992" s="2" t="s">
        <v>712</v>
      </c>
      <c r="F1992" s="2" t="str" cm="1">
        <f t="array" ref="F1992">INDEX(_xlfn.TEXTSPLIT(E1992,"-"),2)</f>
        <v>女装</v>
      </c>
      <c r="G1992" s="2" t="str" cm="1">
        <f t="array" ref="G1992">INDEX(_xlfn.TEXTSPLIT(E1992,"-"),3)</f>
        <v>时尚防晒服</v>
      </c>
      <c r="H1992" s="5">
        <v>8639</v>
      </c>
      <c r="I1992" s="5">
        <v>745293.11</v>
      </c>
      <c r="J1992" s="6">
        <v>0.0004</v>
      </c>
      <c r="K1992" s="6">
        <v>-0.5331</v>
      </c>
    </row>
    <row r="1993" ht="14.5" spans="1:11">
      <c r="A1993" s="3" t="str">
        <f t="shared" si="117"/>
        <v>2026年</v>
      </c>
      <c r="B1993" s="3" t="str">
        <f t="shared" si="118"/>
        <v>2月</v>
      </c>
      <c r="C1993" s="4" t="str">
        <f t="shared" si="119"/>
        <v>W9</v>
      </c>
      <c r="D1993" s="2" t="s">
        <v>793</v>
      </c>
      <c r="E1993" s="2" t="s">
        <v>714</v>
      </c>
      <c r="F1993" s="2" t="str" cm="1">
        <f t="array" ref="F1993">INDEX(_xlfn.TEXTSPLIT(E1993,"-"),2)</f>
        <v>女装</v>
      </c>
      <c r="G1993" s="2" t="str" cm="1">
        <f t="array" ref="G1993">INDEX(_xlfn.TEXTSPLIT(E1993,"-"),3)</f>
        <v>棉衣/棉服</v>
      </c>
      <c r="H1993" s="5">
        <v>219613</v>
      </c>
      <c r="I1993" s="5">
        <v>18485007.09</v>
      </c>
      <c r="J1993" s="6">
        <v>0.0105</v>
      </c>
      <c r="K1993" s="6">
        <v>0.0264</v>
      </c>
    </row>
    <row r="1994" ht="14.5" spans="1:11">
      <c r="A1994" s="3" t="str">
        <f t="shared" si="117"/>
        <v>2026年</v>
      </c>
      <c r="B1994" s="3" t="str">
        <f t="shared" si="118"/>
        <v>2月</v>
      </c>
      <c r="C1994" s="4" t="str">
        <f t="shared" si="119"/>
        <v>W9</v>
      </c>
      <c r="D1994" s="2" t="s">
        <v>793</v>
      </c>
      <c r="E1994" s="2" t="s">
        <v>715</v>
      </c>
      <c r="F1994" s="2" t="str" cm="1">
        <f t="array" ref="F1994">INDEX(_xlfn.TEXTSPLIT(E1994,"-"),2)</f>
        <v>女装</v>
      </c>
      <c r="G1994" s="2" t="str" cm="1">
        <f t="array" ref="G1994">INDEX(_xlfn.TEXTSPLIT(E1994,"-"),3)</f>
        <v>毛呢外套</v>
      </c>
      <c r="H1994" s="5">
        <v>325731</v>
      </c>
      <c r="I1994" s="5">
        <v>81517448.03</v>
      </c>
      <c r="J1994" s="6">
        <v>0.0461</v>
      </c>
      <c r="K1994" s="6">
        <v>-0.0994</v>
      </c>
    </row>
    <row r="1995" ht="14.5" spans="1:11">
      <c r="A1995" s="3" t="str">
        <f t="shared" si="117"/>
        <v>2026年</v>
      </c>
      <c r="B1995" s="3" t="str">
        <f t="shared" si="118"/>
        <v>2月</v>
      </c>
      <c r="C1995" s="4" t="str">
        <f t="shared" si="119"/>
        <v>W9</v>
      </c>
      <c r="D1995" s="2" t="s">
        <v>793</v>
      </c>
      <c r="E1995" s="2" t="s">
        <v>716</v>
      </c>
      <c r="F1995" s="2" t="str" cm="1">
        <f t="array" ref="F1995">INDEX(_xlfn.TEXTSPLIT(E1995,"-"),2)</f>
        <v>女装</v>
      </c>
      <c r="G1995" s="2" t="str" cm="1">
        <f t="array" ref="G1995">INDEX(_xlfn.TEXTSPLIT(E1995,"-"),3)</f>
        <v>毛衣</v>
      </c>
      <c r="H1995" s="5">
        <v>175403</v>
      </c>
      <c r="I1995" s="5">
        <v>16132406.56</v>
      </c>
      <c r="J1995" s="6">
        <v>0.0091</v>
      </c>
      <c r="K1995" s="6">
        <v>-0.1723</v>
      </c>
    </row>
    <row r="1996" ht="14.5" spans="1:11">
      <c r="A1996" s="3" t="str">
        <f t="shared" si="117"/>
        <v>2026年</v>
      </c>
      <c r="B1996" s="3" t="str">
        <f t="shared" si="118"/>
        <v>2月</v>
      </c>
      <c r="C1996" s="4" t="str">
        <f t="shared" si="119"/>
        <v>W9</v>
      </c>
      <c r="D1996" s="2" t="s">
        <v>793</v>
      </c>
      <c r="E1996" s="2" t="s">
        <v>717</v>
      </c>
      <c r="F1996" s="2" t="str" cm="1">
        <f t="array" ref="F1996">INDEX(_xlfn.TEXTSPLIT(E1996,"-"),2)</f>
        <v>女装</v>
      </c>
      <c r="G1996" s="2" t="str" cm="1">
        <f t="array" ref="G1996">INDEX(_xlfn.TEXTSPLIT(E1996,"-"),3)</f>
        <v>毛针织衫</v>
      </c>
      <c r="H1996" s="5">
        <v>1218850</v>
      </c>
      <c r="I1996" s="5">
        <v>98976094.41</v>
      </c>
      <c r="J1996" s="6">
        <v>0.056</v>
      </c>
      <c r="K1996" s="6">
        <v>-0.0772</v>
      </c>
    </row>
    <row r="1997" ht="14.5" spans="1:11">
      <c r="A1997" s="3" t="str">
        <f t="shared" si="117"/>
        <v>2026年</v>
      </c>
      <c r="B1997" s="3" t="str">
        <f t="shared" si="118"/>
        <v>2月</v>
      </c>
      <c r="C1997" s="4" t="str">
        <f t="shared" si="119"/>
        <v>W9</v>
      </c>
      <c r="D1997" s="2" t="s">
        <v>793</v>
      </c>
      <c r="E1997" s="2" t="s">
        <v>718</v>
      </c>
      <c r="F1997" s="2" t="str" cm="1">
        <f t="array" ref="F1997">INDEX(_xlfn.TEXTSPLIT(E1997,"-"),2)</f>
        <v>女装</v>
      </c>
      <c r="G1997" s="2" t="str" cm="1">
        <f t="array" ref="G1997">INDEX(_xlfn.TEXTSPLIT(E1997,"-"),3)</f>
        <v>汉服</v>
      </c>
      <c r="H1997" s="5">
        <v>270663</v>
      </c>
      <c r="I1997" s="5">
        <v>78087757.3</v>
      </c>
      <c r="J1997" s="6">
        <v>0.0442</v>
      </c>
      <c r="K1997" s="6">
        <v>-0.2103</v>
      </c>
    </row>
    <row r="1998" ht="14.5" spans="1:11">
      <c r="A1998" s="3" t="str">
        <f t="shared" si="117"/>
        <v>2026年</v>
      </c>
      <c r="B1998" s="3" t="str">
        <f t="shared" si="118"/>
        <v>2月</v>
      </c>
      <c r="C1998" s="4" t="str">
        <f t="shared" si="119"/>
        <v>W9</v>
      </c>
      <c r="D1998" s="2" t="s">
        <v>793</v>
      </c>
      <c r="E1998" s="2" t="s">
        <v>719</v>
      </c>
      <c r="F1998" s="2" t="str" cm="1">
        <f t="array" ref="F1998">INDEX(_xlfn.TEXTSPLIT(E1998,"-"),2)</f>
        <v>女装</v>
      </c>
      <c r="G1998" s="2" t="str" cm="1">
        <f t="array" ref="G1998">INDEX(_xlfn.TEXTSPLIT(E1998,"-"),3)</f>
        <v>派克服</v>
      </c>
      <c r="H1998" s="5">
        <v>12412</v>
      </c>
      <c r="I1998" s="5">
        <v>1741618.82</v>
      </c>
      <c r="J1998" s="6">
        <v>0.001</v>
      </c>
      <c r="K1998" s="6">
        <v>-0.0725</v>
      </c>
    </row>
    <row r="1999" ht="14.5" spans="1:11">
      <c r="A1999" s="3" t="str">
        <f t="shared" si="117"/>
        <v>2026年</v>
      </c>
      <c r="B1999" s="3" t="str">
        <f t="shared" si="118"/>
        <v>2月</v>
      </c>
      <c r="C1999" s="4" t="str">
        <f t="shared" si="119"/>
        <v>W9</v>
      </c>
      <c r="D1999" s="2" t="s">
        <v>793</v>
      </c>
      <c r="E1999" s="2" t="s">
        <v>720</v>
      </c>
      <c r="F1999" s="2" t="str" cm="1">
        <f t="array" ref="F1999">INDEX(_xlfn.TEXTSPLIT(E1999,"-"),2)</f>
        <v>女装</v>
      </c>
      <c r="G1999" s="2" t="str" cm="1">
        <f t="array" ref="G1999">INDEX(_xlfn.TEXTSPLIT(E1999,"-"),3)</f>
        <v>皮草</v>
      </c>
      <c r="H1999" s="5">
        <v>32223</v>
      </c>
      <c r="I1999" s="5">
        <v>57298443.65</v>
      </c>
      <c r="J1999" s="6">
        <v>0.0324</v>
      </c>
      <c r="K1999" s="6">
        <v>0.0403</v>
      </c>
    </row>
    <row r="2000" ht="14.5" spans="1:11">
      <c r="A2000" s="3" t="str">
        <f t="shared" si="117"/>
        <v>2026年</v>
      </c>
      <c r="B2000" s="3" t="str">
        <f t="shared" si="118"/>
        <v>2月</v>
      </c>
      <c r="C2000" s="4" t="str">
        <f t="shared" si="119"/>
        <v>W9</v>
      </c>
      <c r="D2000" s="2" t="s">
        <v>793</v>
      </c>
      <c r="E2000" s="2" t="s">
        <v>721</v>
      </c>
      <c r="F2000" s="2" t="str" cm="1">
        <f t="array" ref="F2000">INDEX(_xlfn.TEXTSPLIT(E2000,"-"),2)</f>
        <v>女装</v>
      </c>
      <c r="G2000" s="2" t="str" cm="1">
        <f t="array" ref="G2000">INDEX(_xlfn.TEXTSPLIT(E2000,"-"),3)</f>
        <v>皮衣</v>
      </c>
      <c r="H2000" s="5">
        <v>168151</v>
      </c>
      <c r="I2000" s="5">
        <v>48882207.33</v>
      </c>
      <c r="J2000" s="6">
        <v>0.0276</v>
      </c>
      <c r="K2000" s="6">
        <v>-0.3033</v>
      </c>
    </row>
    <row r="2001" ht="14.5" spans="1:11">
      <c r="A2001" s="3" t="str">
        <f t="shared" si="117"/>
        <v>2026年</v>
      </c>
      <c r="B2001" s="3" t="str">
        <f t="shared" si="118"/>
        <v>2月</v>
      </c>
      <c r="C2001" s="4" t="str">
        <f t="shared" si="119"/>
        <v>W9</v>
      </c>
      <c r="D2001" s="2" t="s">
        <v>793</v>
      </c>
      <c r="E2001" s="2" t="s">
        <v>722</v>
      </c>
      <c r="F2001" s="2" t="str" cm="1">
        <f t="array" ref="F2001">INDEX(_xlfn.TEXTSPLIT(E2001,"-"),2)</f>
        <v>女装</v>
      </c>
      <c r="G2001" s="2" t="str" cm="1">
        <f t="array" ref="G2001">INDEX(_xlfn.TEXTSPLIT(E2001,"-"),3)</f>
        <v>短外套</v>
      </c>
      <c r="H2001" s="5">
        <v>836369</v>
      </c>
      <c r="I2001" s="5">
        <v>132340926.45</v>
      </c>
      <c r="J2001" s="6">
        <v>0.0748</v>
      </c>
      <c r="K2001" s="6">
        <v>-0.0868</v>
      </c>
    </row>
    <row r="2002" ht="14.5" spans="1:11">
      <c r="A2002" s="3" t="str">
        <f t="shared" si="117"/>
        <v>2026年</v>
      </c>
      <c r="B2002" s="3" t="str">
        <f t="shared" si="118"/>
        <v>2月</v>
      </c>
      <c r="C2002" s="4" t="str">
        <f t="shared" si="119"/>
        <v>W9</v>
      </c>
      <c r="D2002" s="2" t="s">
        <v>793</v>
      </c>
      <c r="E2002" s="2" t="s">
        <v>723</v>
      </c>
      <c r="F2002" s="2" t="str" cm="1">
        <f t="array" ref="F2002">INDEX(_xlfn.TEXTSPLIT(E2002,"-"),2)</f>
        <v>女装</v>
      </c>
      <c r="G2002" s="2" t="str" cm="1">
        <f t="array" ref="G2002">INDEX(_xlfn.TEXTSPLIT(E2002,"-"),3)</f>
        <v>短裤</v>
      </c>
      <c r="H2002" s="5">
        <v>107942</v>
      </c>
      <c r="I2002" s="5">
        <v>6803159.03</v>
      </c>
      <c r="J2002" s="6">
        <v>0.0038</v>
      </c>
      <c r="K2002" s="6">
        <v>-0.1303</v>
      </c>
    </row>
    <row r="2003" ht="14.5" spans="1:11">
      <c r="A2003" s="3" t="str">
        <f t="shared" si="117"/>
        <v>2026年</v>
      </c>
      <c r="B2003" s="3" t="str">
        <f t="shared" si="118"/>
        <v>2月</v>
      </c>
      <c r="C2003" s="4" t="str">
        <f t="shared" si="119"/>
        <v>W9</v>
      </c>
      <c r="D2003" s="2" t="s">
        <v>793</v>
      </c>
      <c r="E2003" s="2" t="s">
        <v>724</v>
      </c>
      <c r="F2003" s="2" t="str" cm="1">
        <f t="array" ref="F2003">INDEX(_xlfn.TEXTSPLIT(E2003,"-"),2)</f>
        <v>女装</v>
      </c>
      <c r="G2003" s="2" t="str" cm="1">
        <f t="array" ref="G2003">INDEX(_xlfn.TEXTSPLIT(E2003,"-"),3)</f>
        <v>羊毛衫</v>
      </c>
      <c r="H2003" s="5">
        <v>160017</v>
      </c>
      <c r="I2003" s="5">
        <v>20716967.75</v>
      </c>
      <c r="J2003" s="6">
        <v>0.0117</v>
      </c>
      <c r="K2003" s="6">
        <v>0.0216</v>
      </c>
    </row>
    <row r="2004" ht="14.5" spans="1:11">
      <c r="A2004" s="3" t="str">
        <f t="shared" si="117"/>
        <v>2026年</v>
      </c>
      <c r="B2004" s="3" t="str">
        <f t="shared" si="118"/>
        <v>2月</v>
      </c>
      <c r="C2004" s="4" t="str">
        <f t="shared" si="119"/>
        <v>W9</v>
      </c>
      <c r="D2004" s="2" t="s">
        <v>793</v>
      </c>
      <c r="E2004" s="2" t="s">
        <v>725</v>
      </c>
      <c r="F2004" s="2" t="str" cm="1">
        <f t="array" ref="F2004">INDEX(_xlfn.TEXTSPLIT(E2004,"-"),2)</f>
        <v>女装</v>
      </c>
      <c r="G2004" s="2" t="str" cm="1">
        <f t="array" ref="G2004">INDEX(_xlfn.TEXTSPLIT(E2004,"-"),3)</f>
        <v>羊绒大衣</v>
      </c>
      <c r="H2004" s="5">
        <v>6188</v>
      </c>
      <c r="I2004" s="5">
        <v>1687756.41</v>
      </c>
      <c r="J2004" s="6">
        <v>0.001</v>
      </c>
      <c r="K2004" s="6">
        <v>0.2466</v>
      </c>
    </row>
    <row r="2005" ht="14.5" spans="1:11">
      <c r="A2005" s="3" t="str">
        <f t="shared" si="117"/>
        <v>2026年</v>
      </c>
      <c r="B2005" s="3" t="str">
        <f t="shared" si="118"/>
        <v>2月</v>
      </c>
      <c r="C2005" s="4" t="str">
        <f t="shared" si="119"/>
        <v>W9</v>
      </c>
      <c r="D2005" s="2" t="s">
        <v>793</v>
      </c>
      <c r="E2005" s="2" t="s">
        <v>726</v>
      </c>
      <c r="F2005" s="2" t="str" cm="1">
        <f t="array" ref="F2005">INDEX(_xlfn.TEXTSPLIT(E2005,"-"),2)</f>
        <v>女装</v>
      </c>
      <c r="G2005" s="2" t="str" cm="1">
        <f t="array" ref="G2005">INDEX(_xlfn.TEXTSPLIT(E2005,"-"),3)</f>
        <v>羊绒衫</v>
      </c>
      <c r="H2005" s="5">
        <v>32757</v>
      </c>
      <c r="I2005" s="5">
        <v>11239843.12</v>
      </c>
      <c r="J2005" s="6">
        <v>0.0064</v>
      </c>
      <c r="K2005" s="6">
        <v>-0.1903</v>
      </c>
    </row>
    <row r="2006" ht="14.5" spans="1:11">
      <c r="A2006" s="3" t="str">
        <f t="shared" si="117"/>
        <v>2026年</v>
      </c>
      <c r="B2006" s="3" t="str">
        <f t="shared" si="118"/>
        <v>2月</v>
      </c>
      <c r="C2006" s="4" t="str">
        <f t="shared" si="119"/>
        <v>W9</v>
      </c>
      <c r="D2006" s="2" t="s">
        <v>793</v>
      </c>
      <c r="E2006" s="2" t="s">
        <v>727</v>
      </c>
      <c r="F2006" s="2" t="str" cm="1">
        <f t="array" ref="F2006">INDEX(_xlfn.TEXTSPLIT(E2006,"-"),2)</f>
        <v>女装</v>
      </c>
      <c r="G2006" s="2" t="str" cm="1">
        <f t="array" ref="G2006">INDEX(_xlfn.TEXTSPLIT(E2006,"-"),3)</f>
        <v>羽绒服</v>
      </c>
      <c r="H2006" s="5">
        <v>319949</v>
      </c>
      <c r="I2006" s="5">
        <v>84672350.14</v>
      </c>
      <c r="J2006" s="6">
        <v>0.0479</v>
      </c>
      <c r="K2006" s="6">
        <v>0.0614</v>
      </c>
    </row>
    <row r="2007" ht="14.5" spans="1:11">
      <c r="A2007" s="3" t="str">
        <f t="shared" si="117"/>
        <v>2026年</v>
      </c>
      <c r="B2007" s="3" t="str">
        <f t="shared" si="118"/>
        <v>2月</v>
      </c>
      <c r="C2007" s="4" t="str">
        <f t="shared" si="119"/>
        <v>W9</v>
      </c>
      <c r="D2007" s="2" t="s">
        <v>793</v>
      </c>
      <c r="E2007" s="2" t="s">
        <v>728</v>
      </c>
      <c r="F2007" s="2" t="str" cm="1">
        <f t="array" ref="F2007">INDEX(_xlfn.TEXTSPLIT(E2007,"-"),2)</f>
        <v>女装</v>
      </c>
      <c r="G2007" s="2" t="str" cm="1">
        <f t="array" ref="G2007">INDEX(_xlfn.TEXTSPLIT(E2007,"-"),3)</f>
        <v>肌底衣/肌肤衣</v>
      </c>
      <c r="H2007" s="5">
        <v>4453</v>
      </c>
      <c r="I2007" s="5">
        <v>221179.19</v>
      </c>
      <c r="J2007" s="6">
        <v>0.0001</v>
      </c>
      <c r="K2007" s="6">
        <v>0.1771</v>
      </c>
    </row>
    <row r="2008" ht="14.5" spans="1:11">
      <c r="A2008" s="3" t="str">
        <f t="shared" si="117"/>
        <v>2026年</v>
      </c>
      <c r="B2008" s="3" t="str">
        <f t="shared" si="118"/>
        <v>2月</v>
      </c>
      <c r="C2008" s="4" t="str">
        <f t="shared" si="119"/>
        <v>W9</v>
      </c>
      <c r="D2008" s="2" t="s">
        <v>793</v>
      </c>
      <c r="E2008" s="2" t="s">
        <v>729</v>
      </c>
      <c r="F2008" s="2" t="str" cm="1">
        <f t="array" ref="F2008">INDEX(_xlfn.TEXTSPLIT(E2008,"-"),2)</f>
        <v>女装</v>
      </c>
      <c r="G2008" s="2" t="str" cm="1">
        <f t="array" ref="G2008">INDEX(_xlfn.TEXTSPLIT(E2008,"-"),3)</f>
        <v>背心吊带</v>
      </c>
      <c r="H2008" s="5">
        <v>470620</v>
      </c>
      <c r="I2008" s="5">
        <v>25100963.64</v>
      </c>
      <c r="J2008" s="6">
        <v>0.0142</v>
      </c>
      <c r="K2008" s="6">
        <v>-0.0638</v>
      </c>
    </row>
    <row r="2009" ht="14.5" spans="1:11">
      <c r="A2009" s="3" t="str">
        <f t="shared" si="117"/>
        <v>2026年</v>
      </c>
      <c r="B2009" s="3" t="str">
        <f t="shared" si="118"/>
        <v>2月</v>
      </c>
      <c r="C2009" s="4" t="str">
        <f t="shared" si="119"/>
        <v>W9</v>
      </c>
      <c r="D2009" s="2" t="s">
        <v>793</v>
      </c>
      <c r="E2009" s="2" t="s">
        <v>730</v>
      </c>
      <c r="F2009" s="2" t="str" cm="1">
        <f t="array" ref="F2009">INDEX(_xlfn.TEXTSPLIT(E2009,"-"),2)</f>
        <v>女装</v>
      </c>
      <c r="G2009" s="2" t="str" cm="1">
        <f t="array" ref="G2009">INDEX(_xlfn.TEXTSPLIT(E2009,"-"),3)</f>
        <v>蕾丝衫/雪纺衫</v>
      </c>
      <c r="H2009" s="5">
        <v>196027</v>
      </c>
      <c r="I2009" s="5">
        <v>14895151.14</v>
      </c>
      <c r="J2009" s="6">
        <v>0.0084</v>
      </c>
      <c r="K2009" s="6">
        <v>-0.057</v>
      </c>
    </row>
    <row r="2010" ht="14.5" spans="1:11">
      <c r="A2010" s="3" t="str">
        <f t="shared" si="117"/>
        <v>2026年</v>
      </c>
      <c r="B2010" s="3" t="str">
        <f t="shared" si="118"/>
        <v>2月</v>
      </c>
      <c r="C2010" s="4" t="str">
        <f t="shared" si="119"/>
        <v>W9</v>
      </c>
      <c r="D2010" s="2" t="s">
        <v>793</v>
      </c>
      <c r="E2010" s="2" t="s">
        <v>731</v>
      </c>
      <c r="F2010" s="2" t="str" cm="1">
        <f t="array" ref="F2010">INDEX(_xlfn.TEXTSPLIT(E2010,"-"),2)</f>
        <v>女装</v>
      </c>
      <c r="G2010" s="2" t="str" cm="1">
        <f t="array" ref="G2010">INDEX(_xlfn.TEXTSPLIT(E2010,"-"),3)</f>
        <v>衬衫</v>
      </c>
      <c r="H2010" s="5">
        <v>909190</v>
      </c>
      <c r="I2010" s="5">
        <v>94516925.14</v>
      </c>
      <c r="J2010" s="6">
        <v>0.0535</v>
      </c>
      <c r="K2010" s="6">
        <v>-0.0373</v>
      </c>
    </row>
    <row r="2011" ht="14.5" spans="1:11">
      <c r="A2011" s="3" t="str">
        <f t="shared" si="117"/>
        <v>2026年</v>
      </c>
      <c r="B2011" s="3" t="str">
        <f t="shared" si="118"/>
        <v>2月</v>
      </c>
      <c r="C2011" s="4" t="str">
        <f t="shared" si="119"/>
        <v>W9</v>
      </c>
      <c r="D2011" s="2" t="s">
        <v>793</v>
      </c>
      <c r="E2011" s="2" t="s">
        <v>732</v>
      </c>
      <c r="F2011" s="2" t="str" cm="1">
        <f t="array" ref="F2011">INDEX(_xlfn.TEXTSPLIT(E2011,"-"),2)</f>
        <v>女装</v>
      </c>
      <c r="G2011" s="2" t="str" cm="1">
        <f t="array" ref="G2011">INDEX(_xlfn.TEXTSPLIT(E2011,"-"),3)</f>
        <v>裤子</v>
      </c>
      <c r="H2011" s="5">
        <v>2601304</v>
      </c>
      <c r="I2011" s="5">
        <v>275269471.94</v>
      </c>
      <c r="J2011" s="6">
        <v>0.1557</v>
      </c>
      <c r="K2011" s="6">
        <v>-0.0643</v>
      </c>
    </row>
    <row r="2012" ht="14.5" spans="1:11">
      <c r="A2012" s="3" t="str">
        <f t="shared" si="117"/>
        <v>2026年</v>
      </c>
      <c r="B2012" s="3" t="str">
        <f t="shared" si="118"/>
        <v>2月</v>
      </c>
      <c r="C2012" s="4" t="str">
        <f t="shared" si="119"/>
        <v>W9</v>
      </c>
      <c r="D2012" s="2" t="s">
        <v>793</v>
      </c>
      <c r="E2012" s="2" t="s">
        <v>733</v>
      </c>
      <c r="F2012" s="2" t="str" cm="1">
        <f t="array" ref="F2012">INDEX(_xlfn.TEXTSPLIT(E2012,"-"),2)</f>
        <v>女装</v>
      </c>
      <c r="G2012" s="2" t="str" cm="1">
        <f t="array" ref="G2012">INDEX(_xlfn.TEXTSPLIT(E2012,"-"),3)</f>
        <v>西装</v>
      </c>
      <c r="H2012" s="5">
        <v>107816</v>
      </c>
      <c r="I2012" s="5">
        <v>26719326.25</v>
      </c>
      <c r="J2012" s="6">
        <v>0.0151</v>
      </c>
      <c r="K2012" s="6">
        <v>-0.0488</v>
      </c>
    </row>
    <row r="2013" ht="14.5" spans="1:11">
      <c r="A2013" s="3" t="str">
        <f t="shared" si="117"/>
        <v>2026年</v>
      </c>
      <c r="B2013" s="3" t="str">
        <f t="shared" si="118"/>
        <v>2月</v>
      </c>
      <c r="C2013" s="4" t="str">
        <f t="shared" si="119"/>
        <v>W9</v>
      </c>
      <c r="D2013" s="2" t="s">
        <v>793</v>
      </c>
      <c r="E2013" s="2" t="s">
        <v>734</v>
      </c>
      <c r="F2013" s="2" t="str" cm="1">
        <f t="array" ref="F2013">INDEX(_xlfn.TEXTSPLIT(E2013,"-"),2)</f>
        <v>女装</v>
      </c>
      <c r="G2013" s="2" t="str" cm="1">
        <f t="array" ref="G2013">INDEX(_xlfn.TEXTSPLIT(E2013,"-"),3)</f>
        <v>设计师/潮牌女装</v>
      </c>
      <c r="H2013" s="5">
        <v>367438</v>
      </c>
      <c r="I2013" s="5">
        <v>30070746.17</v>
      </c>
      <c r="J2013" s="6">
        <v>0.017</v>
      </c>
      <c r="K2013" s="6">
        <v>-0.0194</v>
      </c>
    </row>
    <row r="2014" ht="14.5" spans="1:11">
      <c r="A2014" s="3" t="str">
        <f t="shared" si="117"/>
        <v>2026年</v>
      </c>
      <c r="B2014" s="3" t="str">
        <f t="shared" si="118"/>
        <v>2月</v>
      </c>
      <c r="C2014" s="4" t="str">
        <f t="shared" si="119"/>
        <v>W9</v>
      </c>
      <c r="D2014" s="2" t="s">
        <v>793</v>
      </c>
      <c r="E2014" s="2" t="s">
        <v>735</v>
      </c>
      <c r="F2014" s="2" t="str" cm="1">
        <f t="array" ref="F2014">INDEX(_xlfn.TEXTSPLIT(E2014,"-"),2)</f>
        <v>女装</v>
      </c>
      <c r="G2014" s="2" t="str" cm="1">
        <f t="array" ref="G2014">INDEX(_xlfn.TEXTSPLIT(E2014,"-"),3)</f>
        <v>连体衣/裤</v>
      </c>
      <c r="H2014" s="5">
        <v>22177</v>
      </c>
      <c r="I2014" s="5">
        <v>3248879.43</v>
      </c>
      <c r="J2014" s="6">
        <v>0.0018</v>
      </c>
      <c r="K2014" s="6">
        <v>-0.1339</v>
      </c>
    </row>
    <row r="2015" ht="14.5" spans="1:11">
      <c r="A2015" s="3" t="str">
        <f t="shared" si="117"/>
        <v>2026年</v>
      </c>
      <c r="B2015" s="3" t="str">
        <f t="shared" si="118"/>
        <v>2月</v>
      </c>
      <c r="C2015" s="4" t="str">
        <f t="shared" si="119"/>
        <v>W9</v>
      </c>
      <c r="D2015" s="2" t="s">
        <v>793</v>
      </c>
      <c r="E2015" s="2" t="s">
        <v>736</v>
      </c>
      <c r="F2015" s="2" t="str" cm="1">
        <f t="array" ref="F2015">INDEX(_xlfn.TEXTSPLIT(E2015,"-"),2)</f>
        <v>女装</v>
      </c>
      <c r="G2015" s="2" t="str" cm="1">
        <f t="array" ref="G2015">INDEX(_xlfn.TEXTSPLIT(E2015,"-"),3)</f>
        <v>连衣裙</v>
      </c>
      <c r="H2015" s="5">
        <v>820349</v>
      </c>
      <c r="I2015" s="5">
        <v>124667686.93</v>
      </c>
      <c r="J2015" s="6">
        <v>0.0705</v>
      </c>
      <c r="K2015" s="6">
        <v>0.0465</v>
      </c>
    </row>
    <row r="2016" ht="14.5" spans="1:11">
      <c r="A2016" s="3" t="str">
        <f t="shared" si="117"/>
        <v>2026年</v>
      </c>
      <c r="B2016" s="3" t="str">
        <f t="shared" si="118"/>
        <v>2月</v>
      </c>
      <c r="C2016" s="4" t="str">
        <f t="shared" si="119"/>
        <v>W9</v>
      </c>
      <c r="D2016" s="2" t="s">
        <v>793</v>
      </c>
      <c r="E2016" s="2" t="s">
        <v>737</v>
      </c>
      <c r="F2016" s="2" t="str" cm="1">
        <f t="array" ref="F2016">INDEX(_xlfn.TEXTSPLIT(E2016,"-"),2)</f>
        <v>女装</v>
      </c>
      <c r="G2016" s="2" t="str" cm="1">
        <f t="array" ref="G2016">INDEX(_xlfn.TEXTSPLIT(E2016,"-"),3)</f>
        <v>风衣</v>
      </c>
      <c r="H2016" s="5">
        <v>157610</v>
      </c>
      <c r="I2016" s="5">
        <v>37174114.26</v>
      </c>
      <c r="J2016" s="6">
        <v>0.021</v>
      </c>
      <c r="K2016" s="6">
        <v>-0.1064</v>
      </c>
    </row>
    <row r="2017" ht="14.5" spans="1:11">
      <c r="A2017" s="3" t="str">
        <f t="shared" si="117"/>
        <v>2026年</v>
      </c>
      <c r="B2017" s="3" t="str">
        <f t="shared" si="118"/>
        <v>2月</v>
      </c>
      <c r="C2017" s="4" t="str">
        <f t="shared" si="119"/>
        <v>W9</v>
      </c>
      <c r="D2017" s="2" t="s">
        <v>793</v>
      </c>
      <c r="E2017" s="2" t="s">
        <v>738</v>
      </c>
      <c r="F2017" s="2" t="str" cm="1">
        <f t="array" ref="F2017">INDEX(_xlfn.TEXTSPLIT(E2017,"-"),2)</f>
        <v>女装</v>
      </c>
      <c r="G2017" s="2" t="str" cm="1">
        <f t="array" ref="G2017">INDEX(_xlfn.TEXTSPLIT(E2017,"-"),3)</f>
        <v>马夹</v>
      </c>
      <c r="H2017" s="5">
        <v>377793</v>
      </c>
      <c r="I2017" s="5">
        <v>36425411.17</v>
      </c>
      <c r="J2017" s="6">
        <v>0.0206</v>
      </c>
      <c r="K2017" s="6">
        <v>-0.1355</v>
      </c>
    </row>
    <row r="2018" ht="14.5" spans="1:11">
      <c r="A2018" s="3" t="str">
        <f t="shared" si="117"/>
        <v>2026年</v>
      </c>
      <c r="B2018" s="3" t="str">
        <f t="shared" si="118"/>
        <v>2月</v>
      </c>
      <c r="C2018" s="4" t="str">
        <f t="shared" si="119"/>
        <v>W9</v>
      </c>
      <c r="D2018" s="2" t="s">
        <v>794</v>
      </c>
      <c r="E2018" s="2" t="s">
        <v>702</v>
      </c>
      <c r="F2018" s="2" t="str" cm="1">
        <f t="array" ref="F2018">INDEX(_xlfn.TEXTSPLIT(E2018,"-"),2)</f>
        <v>女装</v>
      </c>
      <c r="G2018" s="2" t="str" cm="1">
        <f t="array" ref="G2018">INDEX(_xlfn.TEXTSPLIT(E2018,"-"),3)</f>
        <v>POLO衫</v>
      </c>
      <c r="H2018" s="5">
        <v>41879</v>
      </c>
      <c r="I2018" s="5">
        <v>3310975.9</v>
      </c>
      <c r="J2018" s="6">
        <v>0.0016</v>
      </c>
      <c r="K2018" s="6">
        <v>-0.0104</v>
      </c>
    </row>
    <row r="2019" ht="14.5" spans="1:11">
      <c r="A2019" s="3" t="str">
        <f t="shared" si="117"/>
        <v>2026年</v>
      </c>
      <c r="B2019" s="3" t="str">
        <f t="shared" si="118"/>
        <v>2月</v>
      </c>
      <c r="C2019" s="4" t="str">
        <f t="shared" si="119"/>
        <v>W9</v>
      </c>
      <c r="D2019" s="2" t="s">
        <v>794</v>
      </c>
      <c r="E2019" s="2" t="s">
        <v>703</v>
      </c>
      <c r="F2019" s="2" t="str" cm="1">
        <f t="array" ref="F2019">INDEX(_xlfn.TEXTSPLIT(E2019,"-"),2)</f>
        <v>女装</v>
      </c>
      <c r="G2019" s="2" t="str" cm="1">
        <f t="array" ref="G2019">INDEX(_xlfn.TEXTSPLIT(E2019,"-"),3)</f>
        <v>T恤</v>
      </c>
      <c r="H2019" s="5">
        <v>2117002</v>
      </c>
      <c r="I2019" s="5">
        <v>124556500.84</v>
      </c>
      <c r="J2019" s="6">
        <v>0.0612</v>
      </c>
      <c r="K2019" s="6">
        <v>0.0984</v>
      </c>
    </row>
    <row r="2020" ht="14.5" spans="1:11">
      <c r="A2020" s="3" t="str">
        <f t="shared" si="117"/>
        <v>2026年</v>
      </c>
      <c r="B2020" s="3" t="str">
        <f t="shared" si="118"/>
        <v>2月</v>
      </c>
      <c r="C2020" s="4" t="str">
        <f t="shared" si="119"/>
        <v>W9</v>
      </c>
      <c r="D2020" s="2" t="s">
        <v>794</v>
      </c>
      <c r="E2020" s="2" t="s">
        <v>704</v>
      </c>
      <c r="F2020" s="2" t="str" cm="1">
        <f t="array" ref="F2020">INDEX(_xlfn.TEXTSPLIT(E2020,"-"),2)</f>
        <v>女装</v>
      </c>
      <c r="G2020" s="2" t="str" cm="1">
        <f t="array" ref="G2020">INDEX(_xlfn.TEXTSPLIT(E2020,"-"),3)</f>
        <v>中老年女装</v>
      </c>
      <c r="H2020" s="5">
        <v>172401</v>
      </c>
      <c r="I2020" s="5">
        <v>13170680.78</v>
      </c>
      <c r="J2020" s="6">
        <v>0.0065</v>
      </c>
      <c r="K2020" s="6">
        <v>0.1416</v>
      </c>
    </row>
    <row r="2021" ht="14.5" spans="1:11">
      <c r="A2021" s="3" t="str">
        <f t="shared" si="117"/>
        <v>2026年</v>
      </c>
      <c r="B2021" s="3" t="str">
        <f t="shared" si="118"/>
        <v>2月</v>
      </c>
      <c r="C2021" s="4" t="str">
        <f t="shared" si="119"/>
        <v>W9</v>
      </c>
      <c r="D2021" s="2" t="s">
        <v>794</v>
      </c>
      <c r="E2021" s="2" t="s">
        <v>705</v>
      </c>
      <c r="F2021" s="2" t="str" cm="1">
        <f t="array" ref="F2021">INDEX(_xlfn.TEXTSPLIT(E2021,"-"),2)</f>
        <v>女装</v>
      </c>
      <c r="G2021" s="2" t="str" cm="1">
        <f t="array" ref="G2021">INDEX(_xlfn.TEXTSPLIT(E2021,"-"),3)</f>
        <v>半身裙</v>
      </c>
      <c r="H2021" s="5">
        <v>603447</v>
      </c>
      <c r="I2021" s="5">
        <v>70397687.07</v>
      </c>
      <c r="J2021" s="6">
        <v>0.0346</v>
      </c>
      <c r="K2021" s="6">
        <v>0.2044</v>
      </c>
    </row>
    <row r="2022" ht="14.5" spans="1:11">
      <c r="A2022" s="3" t="str">
        <f t="shared" si="117"/>
        <v>2026年</v>
      </c>
      <c r="B2022" s="3" t="str">
        <f t="shared" si="118"/>
        <v>2月</v>
      </c>
      <c r="C2022" s="4" t="str">
        <f t="shared" si="119"/>
        <v>W9</v>
      </c>
      <c r="D2022" s="2" t="s">
        <v>794</v>
      </c>
      <c r="E2022" s="2" t="s">
        <v>706</v>
      </c>
      <c r="F2022" s="2" t="str" cm="1">
        <f t="array" ref="F2022">INDEX(_xlfn.TEXTSPLIT(E2022,"-"),2)</f>
        <v>女装</v>
      </c>
      <c r="G2022" s="2" t="str" cm="1">
        <f t="array" ref="G2022">INDEX(_xlfn.TEXTSPLIT(E2022,"-"),3)</f>
        <v>卫衣/绒衫</v>
      </c>
      <c r="H2022" s="5">
        <v>438236</v>
      </c>
      <c r="I2022" s="5">
        <v>37474558.04</v>
      </c>
      <c r="J2022" s="6">
        <v>0.0184</v>
      </c>
      <c r="K2022" s="6">
        <v>0.2113</v>
      </c>
    </row>
    <row r="2023" ht="14.5" spans="1:11">
      <c r="A2023" s="3" t="str">
        <f t="shared" si="117"/>
        <v>2026年</v>
      </c>
      <c r="B2023" s="3" t="str">
        <f t="shared" si="118"/>
        <v>2月</v>
      </c>
      <c r="C2023" s="4" t="str">
        <f t="shared" si="119"/>
        <v>W9</v>
      </c>
      <c r="D2023" s="2" t="s">
        <v>794</v>
      </c>
      <c r="E2023" s="2" t="s">
        <v>707</v>
      </c>
      <c r="F2023" s="2" t="str" cm="1">
        <f t="array" ref="F2023">INDEX(_xlfn.TEXTSPLIT(E2023,"-"),2)</f>
        <v>女装</v>
      </c>
      <c r="G2023" s="2" t="str" cm="1">
        <f t="array" ref="G2023">INDEX(_xlfn.TEXTSPLIT(E2023,"-"),3)</f>
        <v>唐装/民族服装/舞台服装</v>
      </c>
      <c r="H2023" s="5">
        <v>246052</v>
      </c>
      <c r="I2023" s="5">
        <v>45457614.38</v>
      </c>
      <c r="J2023" s="6">
        <v>0.0223</v>
      </c>
      <c r="K2023" s="6">
        <v>0.0637</v>
      </c>
    </row>
    <row r="2024" ht="14.5" spans="1:11">
      <c r="A2024" s="3" t="str">
        <f t="shared" si="117"/>
        <v>2026年</v>
      </c>
      <c r="B2024" s="3" t="str">
        <f t="shared" si="118"/>
        <v>2月</v>
      </c>
      <c r="C2024" s="4" t="str">
        <f t="shared" si="119"/>
        <v>W9</v>
      </c>
      <c r="D2024" s="2" t="s">
        <v>794</v>
      </c>
      <c r="E2024" s="2" t="s">
        <v>708</v>
      </c>
      <c r="F2024" s="2" t="str" cm="1">
        <f t="array" ref="F2024">INDEX(_xlfn.TEXTSPLIT(E2024,"-"),2)</f>
        <v>女装</v>
      </c>
      <c r="G2024" s="2" t="str" cm="1">
        <f t="array" ref="G2024">INDEX(_xlfn.TEXTSPLIT(E2024,"-"),3)</f>
        <v>大码女装</v>
      </c>
      <c r="H2024" s="5">
        <v>499507</v>
      </c>
      <c r="I2024" s="5">
        <v>34430940.69</v>
      </c>
      <c r="J2024" s="6">
        <v>0.0169</v>
      </c>
      <c r="K2024" s="6">
        <v>0.1442</v>
      </c>
    </row>
    <row r="2025" ht="14.5" spans="1:11">
      <c r="A2025" s="3" t="str">
        <f t="shared" si="117"/>
        <v>2026年</v>
      </c>
      <c r="B2025" s="3" t="str">
        <f t="shared" si="118"/>
        <v>2月</v>
      </c>
      <c r="C2025" s="4" t="str">
        <f t="shared" si="119"/>
        <v>W9</v>
      </c>
      <c r="D2025" s="2" t="s">
        <v>794</v>
      </c>
      <c r="E2025" s="2" t="s">
        <v>709</v>
      </c>
      <c r="F2025" s="2" t="str" cm="1">
        <f t="array" ref="F2025">INDEX(_xlfn.TEXTSPLIT(E2025,"-"),2)</f>
        <v>女装</v>
      </c>
      <c r="G2025" s="2" t="str" cm="1">
        <f t="array" ref="G2025">INDEX(_xlfn.TEXTSPLIT(E2025,"-"),3)</f>
        <v>套装/学生校服/工作制服</v>
      </c>
      <c r="H2025" s="5">
        <v>1130836</v>
      </c>
      <c r="I2025" s="5">
        <v>143594246.33</v>
      </c>
      <c r="J2025" s="6">
        <v>0.0705</v>
      </c>
      <c r="K2025" s="6">
        <v>0.1174</v>
      </c>
    </row>
    <row r="2026" ht="14.5" spans="1:11">
      <c r="A2026" s="3" t="str">
        <f t="shared" si="117"/>
        <v>2026年</v>
      </c>
      <c r="B2026" s="3" t="str">
        <f t="shared" si="118"/>
        <v>2月</v>
      </c>
      <c r="C2026" s="4" t="str">
        <f t="shared" si="119"/>
        <v>W9</v>
      </c>
      <c r="D2026" s="2" t="s">
        <v>794</v>
      </c>
      <c r="E2026" s="2" t="s">
        <v>710</v>
      </c>
      <c r="F2026" s="2" t="str" cm="1">
        <f t="array" ref="F2026">INDEX(_xlfn.TEXTSPLIT(E2026,"-"),2)</f>
        <v>女装</v>
      </c>
      <c r="G2026" s="2" t="str" cm="1">
        <f t="array" ref="G2026">INDEX(_xlfn.TEXTSPLIT(E2026,"-"),3)</f>
        <v>婚纱/旗袍/礼服</v>
      </c>
      <c r="H2026" s="5">
        <v>63597</v>
      </c>
      <c r="I2026" s="5">
        <v>11657186.59</v>
      </c>
      <c r="J2026" s="6">
        <v>0.0057</v>
      </c>
      <c r="K2026" s="6">
        <v>0.0215</v>
      </c>
    </row>
    <row r="2027" ht="14.5" spans="1:11">
      <c r="A2027" s="3" t="str">
        <f t="shared" si="117"/>
        <v>2026年</v>
      </c>
      <c r="B2027" s="3" t="str">
        <f t="shared" si="118"/>
        <v>2月</v>
      </c>
      <c r="C2027" s="4" t="str">
        <f t="shared" si="119"/>
        <v>W9</v>
      </c>
      <c r="D2027" s="2" t="s">
        <v>794</v>
      </c>
      <c r="E2027" s="2" t="s">
        <v>711</v>
      </c>
      <c r="F2027" s="2" t="str" cm="1">
        <f t="array" ref="F2027">INDEX(_xlfn.TEXTSPLIT(E2027,"-"),2)</f>
        <v>女装</v>
      </c>
      <c r="G2027" s="2" t="str" cm="1">
        <f t="array" ref="G2027">INDEX(_xlfn.TEXTSPLIT(E2027,"-"),3)</f>
        <v>新中式女装</v>
      </c>
      <c r="H2027" s="5">
        <v>48568</v>
      </c>
      <c r="I2027" s="5">
        <v>5628374.23</v>
      </c>
      <c r="J2027" s="6">
        <v>0.0028</v>
      </c>
      <c r="K2027" s="6">
        <v>-0.4437</v>
      </c>
    </row>
    <row r="2028" ht="14.5" spans="1:11">
      <c r="A2028" s="3" t="str">
        <f t="shared" si="117"/>
        <v>2026年</v>
      </c>
      <c r="B2028" s="3" t="str">
        <f t="shared" si="118"/>
        <v>2月</v>
      </c>
      <c r="C2028" s="4" t="str">
        <f t="shared" si="119"/>
        <v>W9</v>
      </c>
      <c r="D2028" s="2" t="s">
        <v>794</v>
      </c>
      <c r="E2028" s="2" t="s">
        <v>712</v>
      </c>
      <c r="F2028" s="2" t="str" cm="1">
        <f t="array" ref="F2028">INDEX(_xlfn.TEXTSPLIT(E2028,"-"),2)</f>
        <v>女装</v>
      </c>
      <c r="G2028" s="2" t="str" cm="1">
        <f t="array" ref="G2028">INDEX(_xlfn.TEXTSPLIT(E2028,"-"),3)</f>
        <v>时尚防晒服</v>
      </c>
      <c r="H2028" s="5">
        <v>12136</v>
      </c>
      <c r="I2028" s="5">
        <v>1463600.9</v>
      </c>
      <c r="J2028" s="6">
        <v>0.0007</v>
      </c>
      <c r="K2028" s="6">
        <v>0.9638</v>
      </c>
    </row>
    <row r="2029" ht="14.5" spans="1:11">
      <c r="A2029" s="3" t="str">
        <f t="shared" si="117"/>
        <v>2026年</v>
      </c>
      <c r="B2029" s="3" t="str">
        <f t="shared" si="118"/>
        <v>2月</v>
      </c>
      <c r="C2029" s="4" t="str">
        <f t="shared" si="119"/>
        <v>W9</v>
      </c>
      <c r="D2029" s="2" t="s">
        <v>794</v>
      </c>
      <c r="E2029" s="2" t="s">
        <v>714</v>
      </c>
      <c r="F2029" s="2" t="str" cm="1">
        <f t="array" ref="F2029">INDEX(_xlfn.TEXTSPLIT(E2029,"-"),2)</f>
        <v>女装</v>
      </c>
      <c r="G2029" s="2" t="str" cm="1">
        <f t="array" ref="G2029">INDEX(_xlfn.TEXTSPLIT(E2029,"-"),3)</f>
        <v>棉衣/棉服</v>
      </c>
      <c r="H2029" s="5">
        <v>238254</v>
      </c>
      <c r="I2029" s="5">
        <v>20680800.59</v>
      </c>
      <c r="J2029" s="6">
        <v>0.0102</v>
      </c>
      <c r="K2029" s="6">
        <v>0.1188</v>
      </c>
    </row>
    <row r="2030" ht="14.5" spans="1:11">
      <c r="A2030" s="3" t="str">
        <f t="shared" si="117"/>
        <v>2026年</v>
      </c>
      <c r="B2030" s="3" t="str">
        <f t="shared" si="118"/>
        <v>2月</v>
      </c>
      <c r="C2030" s="4" t="str">
        <f t="shared" si="119"/>
        <v>W9</v>
      </c>
      <c r="D2030" s="2" t="s">
        <v>794</v>
      </c>
      <c r="E2030" s="2" t="s">
        <v>715</v>
      </c>
      <c r="F2030" s="2" t="str" cm="1">
        <f t="array" ref="F2030">INDEX(_xlfn.TEXTSPLIT(E2030,"-"),2)</f>
        <v>女装</v>
      </c>
      <c r="G2030" s="2" t="str" cm="1">
        <f t="array" ref="G2030">INDEX(_xlfn.TEXTSPLIT(E2030,"-"),3)</f>
        <v>毛呢外套</v>
      </c>
      <c r="H2030" s="5">
        <v>346040</v>
      </c>
      <c r="I2030" s="5">
        <v>91185360.99</v>
      </c>
      <c r="J2030" s="6">
        <v>0.0448</v>
      </c>
      <c r="K2030" s="6">
        <v>0.1186</v>
      </c>
    </row>
    <row r="2031" ht="14.5" spans="1:11">
      <c r="A2031" s="3" t="str">
        <f t="shared" si="117"/>
        <v>2026年</v>
      </c>
      <c r="B2031" s="3" t="str">
        <f t="shared" si="118"/>
        <v>2月</v>
      </c>
      <c r="C2031" s="4" t="str">
        <f t="shared" si="119"/>
        <v>W9</v>
      </c>
      <c r="D2031" s="2" t="s">
        <v>794</v>
      </c>
      <c r="E2031" s="2" t="s">
        <v>716</v>
      </c>
      <c r="F2031" s="2" t="str" cm="1">
        <f t="array" ref="F2031">INDEX(_xlfn.TEXTSPLIT(E2031,"-"),2)</f>
        <v>女装</v>
      </c>
      <c r="G2031" s="2" t="str" cm="1">
        <f t="array" ref="G2031">INDEX(_xlfn.TEXTSPLIT(E2031,"-"),3)</f>
        <v>毛衣</v>
      </c>
      <c r="H2031" s="5">
        <v>213309</v>
      </c>
      <c r="I2031" s="5">
        <v>19840700.2</v>
      </c>
      <c r="J2031" s="6">
        <v>0.0097</v>
      </c>
      <c r="K2031" s="6">
        <v>0.2299</v>
      </c>
    </row>
    <row r="2032" ht="14.5" spans="1:11">
      <c r="A2032" s="3" t="str">
        <f t="shared" si="117"/>
        <v>2026年</v>
      </c>
      <c r="B2032" s="3" t="str">
        <f t="shared" si="118"/>
        <v>2月</v>
      </c>
      <c r="C2032" s="4" t="str">
        <f t="shared" si="119"/>
        <v>W9</v>
      </c>
      <c r="D2032" s="2" t="s">
        <v>794</v>
      </c>
      <c r="E2032" s="2" t="s">
        <v>717</v>
      </c>
      <c r="F2032" s="2" t="str" cm="1">
        <f t="array" ref="F2032">INDEX(_xlfn.TEXTSPLIT(E2032,"-"),2)</f>
        <v>女装</v>
      </c>
      <c r="G2032" s="2" t="str" cm="1">
        <f t="array" ref="G2032">INDEX(_xlfn.TEXTSPLIT(E2032,"-"),3)</f>
        <v>毛针织衫</v>
      </c>
      <c r="H2032" s="5">
        <v>1346902</v>
      </c>
      <c r="I2032" s="5">
        <v>110046947.78</v>
      </c>
      <c r="J2032" s="6">
        <v>0.054</v>
      </c>
      <c r="K2032" s="6">
        <v>0.1119</v>
      </c>
    </row>
    <row r="2033" ht="14.5" spans="1:11">
      <c r="A2033" s="3" t="str">
        <f t="shared" si="117"/>
        <v>2026年</v>
      </c>
      <c r="B2033" s="3" t="str">
        <f t="shared" si="118"/>
        <v>2月</v>
      </c>
      <c r="C2033" s="4" t="str">
        <f t="shared" si="119"/>
        <v>W9</v>
      </c>
      <c r="D2033" s="2" t="s">
        <v>794</v>
      </c>
      <c r="E2033" s="2" t="s">
        <v>718</v>
      </c>
      <c r="F2033" s="2" t="str" cm="1">
        <f t="array" ref="F2033">INDEX(_xlfn.TEXTSPLIT(E2033,"-"),2)</f>
        <v>女装</v>
      </c>
      <c r="G2033" s="2" t="str" cm="1">
        <f t="array" ref="G2033">INDEX(_xlfn.TEXTSPLIT(E2033,"-"),3)</f>
        <v>汉服</v>
      </c>
      <c r="H2033" s="5">
        <v>295437</v>
      </c>
      <c r="I2033" s="5">
        <v>115685044.95</v>
      </c>
      <c r="J2033" s="6">
        <v>0.0568</v>
      </c>
      <c r="K2033" s="6">
        <v>0.4815</v>
      </c>
    </row>
    <row r="2034" ht="14.5" spans="1:11">
      <c r="A2034" s="3" t="str">
        <f t="shared" si="117"/>
        <v>2026年</v>
      </c>
      <c r="B2034" s="3" t="str">
        <f t="shared" si="118"/>
        <v>2月</v>
      </c>
      <c r="C2034" s="4" t="str">
        <f t="shared" si="119"/>
        <v>W9</v>
      </c>
      <c r="D2034" s="2" t="s">
        <v>794</v>
      </c>
      <c r="E2034" s="2" t="s">
        <v>719</v>
      </c>
      <c r="F2034" s="2" t="str" cm="1">
        <f t="array" ref="F2034">INDEX(_xlfn.TEXTSPLIT(E2034,"-"),2)</f>
        <v>女装</v>
      </c>
      <c r="G2034" s="2" t="str" cm="1">
        <f t="array" ref="G2034">INDEX(_xlfn.TEXTSPLIT(E2034,"-"),3)</f>
        <v>派克服</v>
      </c>
      <c r="H2034" s="5">
        <v>10770</v>
      </c>
      <c r="I2034" s="5">
        <v>1621506.79</v>
      </c>
      <c r="J2034" s="6">
        <v>0.0008</v>
      </c>
      <c r="K2034" s="6">
        <v>-0.069</v>
      </c>
    </row>
    <row r="2035" ht="14.5" spans="1:11">
      <c r="A2035" s="3" t="str">
        <f t="shared" si="117"/>
        <v>2026年</v>
      </c>
      <c r="B2035" s="3" t="str">
        <f t="shared" si="118"/>
        <v>2月</v>
      </c>
      <c r="C2035" s="4" t="str">
        <f t="shared" si="119"/>
        <v>W9</v>
      </c>
      <c r="D2035" s="2" t="s">
        <v>794</v>
      </c>
      <c r="E2035" s="2" t="s">
        <v>720</v>
      </c>
      <c r="F2035" s="2" t="str" cm="1">
        <f t="array" ref="F2035">INDEX(_xlfn.TEXTSPLIT(E2035,"-"),2)</f>
        <v>女装</v>
      </c>
      <c r="G2035" s="2" t="str" cm="1">
        <f t="array" ref="G2035">INDEX(_xlfn.TEXTSPLIT(E2035,"-"),3)</f>
        <v>皮草</v>
      </c>
      <c r="H2035" s="5">
        <v>30080</v>
      </c>
      <c r="I2035" s="5">
        <v>57254132.39</v>
      </c>
      <c r="J2035" s="6">
        <v>0.0281</v>
      </c>
      <c r="K2035" s="6">
        <v>-0.0008</v>
      </c>
    </row>
    <row r="2036" ht="14.5" spans="1:11">
      <c r="A2036" s="3" t="str">
        <f t="shared" si="117"/>
        <v>2026年</v>
      </c>
      <c r="B2036" s="3" t="str">
        <f t="shared" si="118"/>
        <v>2月</v>
      </c>
      <c r="C2036" s="4" t="str">
        <f t="shared" si="119"/>
        <v>W9</v>
      </c>
      <c r="D2036" s="2" t="s">
        <v>794</v>
      </c>
      <c r="E2036" s="2" t="s">
        <v>721</v>
      </c>
      <c r="F2036" s="2" t="str" cm="1">
        <f t="array" ref="F2036">INDEX(_xlfn.TEXTSPLIT(E2036,"-"),2)</f>
        <v>女装</v>
      </c>
      <c r="G2036" s="2" t="str" cm="1">
        <f t="array" ref="G2036">INDEX(_xlfn.TEXTSPLIT(E2036,"-"),3)</f>
        <v>皮衣</v>
      </c>
      <c r="H2036" s="5">
        <v>208835</v>
      </c>
      <c r="I2036" s="5">
        <v>72657779.15</v>
      </c>
      <c r="J2036" s="6">
        <v>0.0357</v>
      </c>
      <c r="K2036" s="6">
        <v>0.4864</v>
      </c>
    </row>
    <row r="2037" ht="14.5" spans="1:11">
      <c r="A2037" s="3" t="str">
        <f t="shared" si="117"/>
        <v>2026年</v>
      </c>
      <c r="B2037" s="3" t="str">
        <f t="shared" si="118"/>
        <v>2月</v>
      </c>
      <c r="C2037" s="4" t="str">
        <f t="shared" si="119"/>
        <v>W9</v>
      </c>
      <c r="D2037" s="2" t="s">
        <v>794</v>
      </c>
      <c r="E2037" s="2" t="s">
        <v>722</v>
      </c>
      <c r="F2037" s="2" t="str" cm="1">
        <f t="array" ref="F2037">INDEX(_xlfn.TEXTSPLIT(E2037,"-"),2)</f>
        <v>女装</v>
      </c>
      <c r="G2037" s="2" t="str" cm="1">
        <f t="array" ref="G2037">INDEX(_xlfn.TEXTSPLIT(E2037,"-"),3)</f>
        <v>短外套</v>
      </c>
      <c r="H2037" s="5">
        <v>927187</v>
      </c>
      <c r="I2037" s="5">
        <v>153962069.49</v>
      </c>
      <c r="J2037" s="6">
        <v>0.0756</v>
      </c>
      <c r="K2037" s="6">
        <v>0.1634</v>
      </c>
    </row>
    <row r="2038" ht="14.5" spans="1:11">
      <c r="A2038" s="3" t="str">
        <f t="shared" ref="A2038:A2101" si="120">TEXT(YEAR(D2038),"0")&amp;"年"</f>
        <v>2026年</v>
      </c>
      <c r="B2038" s="3" t="str">
        <f t="shared" ref="B2038:B2101" si="121">TEXT(MONTH(D2038),"0")&amp;"月"</f>
        <v>2月</v>
      </c>
      <c r="C2038" s="4" t="str">
        <f t="shared" ref="C2038:C2101" si="122">"W"&amp;TEXT(WEEKNUM(D2038,2),"0")</f>
        <v>W9</v>
      </c>
      <c r="D2038" s="2" t="s">
        <v>794</v>
      </c>
      <c r="E2038" s="2" t="s">
        <v>723</v>
      </c>
      <c r="F2038" s="2" t="str" cm="1">
        <f t="array" ref="F2038">INDEX(_xlfn.TEXTSPLIT(E2038,"-"),2)</f>
        <v>女装</v>
      </c>
      <c r="G2038" s="2" t="str" cm="1">
        <f t="array" ref="G2038">INDEX(_xlfn.TEXTSPLIT(E2038,"-"),3)</f>
        <v>短裤</v>
      </c>
      <c r="H2038" s="5">
        <v>114400</v>
      </c>
      <c r="I2038" s="5">
        <v>7494199.09</v>
      </c>
      <c r="J2038" s="6">
        <v>0.0037</v>
      </c>
      <c r="K2038" s="6">
        <v>0.1016</v>
      </c>
    </row>
    <row r="2039" ht="14.5" spans="1:11">
      <c r="A2039" s="3" t="str">
        <f t="shared" si="120"/>
        <v>2026年</v>
      </c>
      <c r="B2039" s="3" t="str">
        <f t="shared" si="121"/>
        <v>2月</v>
      </c>
      <c r="C2039" s="4" t="str">
        <f t="shared" si="122"/>
        <v>W9</v>
      </c>
      <c r="D2039" s="2" t="s">
        <v>794</v>
      </c>
      <c r="E2039" s="2" t="s">
        <v>724</v>
      </c>
      <c r="F2039" s="2" t="str" cm="1">
        <f t="array" ref="F2039">INDEX(_xlfn.TEXTSPLIT(E2039,"-"),2)</f>
        <v>女装</v>
      </c>
      <c r="G2039" s="2" t="str" cm="1">
        <f t="array" ref="G2039">INDEX(_xlfn.TEXTSPLIT(E2039,"-"),3)</f>
        <v>羊毛衫</v>
      </c>
      <c r="H2039" s="5">
        <v>175097</v>
      </c>
      <c r="I2039" s="5">
        <v>22346155.19</v>
      </c>
      <c r="J2039" s="6">
        <v>0.011</v>
      </c>
      <c r="K2039" s="6">
        <v>0.0786</v>
      </c>
    </row>
    <row r="2040" ht="14.5" spans="1:11">
      <c r="A2040" s="3" t="str">
        <f t="shared" si="120"/>
        <v>2026年</v>
      </c>
      <c r="B2040" s="3" t="str">
        <f t="shared" si="121"/>
        <v>2月</v>
      </c>
      <c r="C2040" s="4" t="str">
        <f t="shared" si="122"/>
        <v>W9</v>
      </c>
      <c r="D2040" s="2" t="s">
        <v>794</v>
      </c>
      <c r="E2040" s="2" t="s">
        <v>725</v>
      </c>
      <c r="F2040" s="2" t="str" cm="1">
        <f t="array" ref="F2040">INDEX(_xlfn.TEXTSPLIT(E2040,"-"),2)</f>
        <v>女装</v>
      </c>
      <c r="G2040" s="2" t="str" cm="1">
        <f t="array" ref="G2040">INDEX(_xlfn.TEXTSPLIT(E2040,"-"),3)</f>
        <v>羊绒大衣</v>
      </c>
      <c r="H2040" s="5">
        <v>3923</v>
      </c>
      <c r="I2040" s="5">
        <v>1510218.47</v>
      </c>
      <c r="J2040" s="6">
        <v>0.0007</v>
      </c>
      <c r="K2040" s="6">
        <v>-0.1052</v>
      </c>
    </row>
    <row r="2041" ht="14.5" spans="1:11">
      <c r="A2041" s="3" t="str">
        <f t="shared" si="120"/>
        <v>2026年</v>
      </c>
      <c r="B2041" s="3" t="str">
        <f t="shared" si="121"/>
        <v>2月</v>
      </c>
      <c r="C2041" s="4" t="str">
        <f t="shared" si="122"/>
        <v>W9</v>
      </c>
      <c r="D2041" s="2" t="s">
        <v>794</v>
      </c>
      <c r="E2041" s="2" t="s">
        <v>726</v>
      </c>
      <c r="F2041" s="2" t="str" cm="1">
        <f t="array" ref="F2041">INDEX(_xlfn.TEXTSPLIT(E2041,"-"),2)</f>
        <v>女装</v>
      </c>
      <c r="G2041" s="2" t="str" cm="1">
        <f t="array" ref="G2041">INDEX(_xlfn.TEXTSPLIT(E2041,"-"),3)</f>
        <v>羊绒衫</v>
      </c>
      <c r="H2041" s="5">
        <v>48722</v>
      </c>
      <c r="I2041" s="5">
        <v>12861649.08</v>
      </c>
      <c r="J2041" s="6">
        <v>0.0063</v>
      </c>
      <c r="K2041" s="6">
        <v>0.1443</v>
      </c>
    </row>
    <row r="2042" ht="14.5" spans="1:11">
      <c r="A2042" s="3" t="str">
        <f t="shared" si="120"/>
        <v>2026年</v>
      </c>
      <c r="B2042" s="3" t="str">
        <f t="shared" si="121"/>
        <v>2月</v>
      </c>
      <c r="C2042" s="4" t="str">
        <f t="shared" si="122"/>
        <v>W9</v>
      </c>
      <c r="D2042" s="2" t="s">
        <v>794</v>
      </c>
      <c r="E2042" s="2" t="s">
        <v>727</v>
      </c>
      <c r="F2042" s="2" t="str" cm="1">
        <f t="array" ref="F2042">INDEX(_xlfn.TEXTSPLIT(E2042,"-"),2)</f>
        <v>女装</v>
      </c>
      <c r="G2042" s="2" t="str" cm="1">
        <f t="array" ref="G2042">INDEX(_xlfn.TEXTSPLIT(E2042,"-"),3)</f>
        <v>羽绒服</v>
      </c>
      <c r="H2042" s="5">
        <v>384090</v>
      </c>
      <c r="I2042" s="5">
        <v>95885209.7</v>
      </c>
      <c r="J2042" s="6">
        <v>0.0471</v>
      </c>
      <c r="K2042" s="6">
        <v>0.1324</v>
      </c>
    </row>
    <row r="2043" ht="14.5" spans="1:11">
      <c r="A2043" s="3" t="str">
        <f t="shared" si="120"/>
        <v>2026年</v>
      </c>
      <c r="B2043" s="3" t="str">
        <f t="shared" si="121"/>
        <v>2月</v>
      </c>
      <c r="C2043" s="4" t="str">
        <f t="shared" si="122"/>
        <v>W9</v>
      </c>
      <c r="D2043" s="2" t="s">
        <v>794</v>
      </c>
      <c r="E2043" s="2" t="s">
        <v>728</v>
      </c>
      <c r="F2043" s="2" t="str" cm="1">
        <f t="array" ref="F2043">INDEX(_xlfn.TEXTSPLIT(E2043,"-"),2)</f>
        <v>女装</v>
      </c>
      <c r="G2043" s="2" t="str" cm="1">
        <f t="array" ref="G2043">INDEX(_xlfn.TEXTSPLIT(E2043,"-"),3)</f>
        <v>肌底衣/肌肤衣</v>
      </c>
      <c r="H2043" s="5">
        <v>3436</v>
      </c>
      <c r="I2043" s="5">
        <v>188590.43</v>
      </c>
      <c r="J2043" s="6">
        <v>0.0001</v>
      </c>
      <c r="K2043" s="6">
        <v>-0.1473</v>
      </c>
    </row>
    <row r="2044" ht="14.5" spans="1:11">
      <c r="A2044" s="3" t="str">
        <f t="shared" si="120"/>
        <v>2026年</v>
      </c>
      <c r="B2044" s="3" t="str">
        <f t="shared" si="121"/>
        <v>2月</v>
      </c>
      <c r="C2044" s="4" t="str">
        <f t="shared" si="122"/>
        <v>W9</v>
      </c>
      <c r="D2044" s="2" t="s">
        <v>794</v>
      </c>
      <c r="E2044" s="2" t="s">
        <v>729</v>
      </c>
      <c r="F2044" s="2" t="str" cm="1">
        <f t="array" ref="F2044">INDEX(_xlfn.TEXTSPLIT(E2044,"-"),2)</f>
        <v>女装</v>
      </c>
      <c r="G2044" s="2" t="str" cm="1">
        <f t="array" ref="G2044">INDEX(_xlfn.TEXTSPLIT(E2044,"-"),3)</f>
        <v>背心吊带</v>
      </c>
      <c r="H2044" s="5">
        <v>604741</v>
      </c>
      <c r="I2044" s="5">
        <v>31600234.73</v>
      </c>
      <c r="J2044" s="6">
        <v>0.0155</v>
      </c>
      <c r="K2044" s="6">
        <v>0.2589</v>
      </c>
    </row>
    <row r="2045" ht="14.5" spans="1:11">
      <c r="A2045" s="3" t="str">
        <f t="shared" si="120"/>
        <v>2026年</v>
      </c>
      <c r="B2045" s="3" t="str">
        <f t="shared" si="121"/>
        <v>2月</v>
      </c>
      <c r="C2045" s="4" t="str">
        <f t="shared" si="122"/>
        <v>W9</v>
      </c>
      <c r="D2045" s="2" t="s">
        <v>794</v>
      </c>
      <c r="E2045" s="2" t="s">
        <v>730</v>
      </c>
      <c r="F2045" s="2" t="str" cm="1">
        <f t="array" ref="F2045">INDEX(_xlfn.TEXTSPLIT(E2045,"-"),2)</f>
        <v>女装</v>
      </c>
      <c r="G2045" s="2" t="str" cm="1">
        <f t="array" ref="G2045">INDEX(_xlfn.TEXTSPLIT(E2045,"-"),3)</f>
        <v>蕾丝衫/雪纺衫</v>
      </c>
      <c r="H2045" s="5">
        <v>181802</v>
      </c>
      <c r="I2045" s="5">
        <v>13872391.6</v>
      </c>
      <c r="J2045" s="6">
        <v>0.0068</v>
      </c>
      <c r="K2045" s="6">
        <v>-0.0687</v>
      </c>
    </row>
    <row r="2046" ht="14.5" spans="1:11">
      <c r="A2046" s="3" t="str">
        <f t="shared" si="120"/>
        <v>2026年</v>
      </c>
      <c r="B2046" s="3" t="str">
        <f t="shared" si="121"/>
        <v>2月</v>
      </c>
      <c r="C2046" s="4" t="str">
        <f t="shared" si="122"/>
        <v>W9</v>
      </c>
      <c r="D2046" s="2" t="s">
        <v>794</v>
      </c>
      <c r="E2046" s="2" t="s">
        <v>731</v>
      </c>
      <c r="F2046" s="2" t="str" cm="1">
        <f t="array" ref="F2046">INDEX(_xlfn.TEXTSPLIT(E2046,"-"),2)</f>
        <v>女装</v>
      </c>
      <c r="G2046" s="2" t="str" cm="1">
        <f t="array" ref="G2046">INDEX(_xlfn.TEXTSPLIT(E2046,"-"),3)</f>
        <v>衬衫</v>
      </c>
      <c r="H2046" s="5">
        <v>988350</v>
      </c>
      <c r="I2046" s="5">
        <v>105395755.3</v>
      </c>
      <c r="J2046" s="6">
        <v>0.0518</v>
      </c>
      <c r="K2046" s="6">
        <v>0.1151</v>
      </c>
    </row>
    <row r="2047" ht="14.5" spans="1:11">
      <c r="A2047" s="3" t="str">
        <f t="shared" si="120"/>
        <v>2026年</v>
      </c>
      <c r="B2047" s="3" t="str">
        <f t="shared" si="121"/>
        <v>2月</v>
      </c>
      <c r="C2047" s="4" t="str">
        <f t="shared" si="122"/>
        <v>W9</v>
      </c>
      <c r="D2047" s="2" t="s">
        <v>794</v>
      </c>
      <c r="E2047" s="2" t="s">
        <v>732</v>
      </c>
      <c r="F2047" s="2" t="str" cm="1">
        <f t="array" ref="F2047">INDEX(_xlfn.TEXTSPLIT(E2047,"-"),2)</f>
        <v>女装</v>
      </c>
      <c r="G2047" s="2" t="str" cm="1">
        <f t="array" ref="G2047">INDEX(_xlfn.TEXTSPLIT(E2047,"-"),3)</f>
        <v>裤子</v>
      </c>
      <c r="H2047" s="5">
        <v>2963712</v>
      </c>
      <c r="I2047" s="5">
        <v>308932013.83</v>
      </c>
      <c r="J2047" s="6">
        <v>0.1517</v>
      </c>
      <c r="K2047" s="6">
        <v>0.1223</v>
      </c>
    </row>
    <row r="2048" ht="14.5" spans="1:11">
      <c r="A2048" s="3" t="str">
        <f t="shared" si="120"/>
        <v>2026年</v>
      </c>
      <c r="B2048" s="3" t="str">
        <f t="shared" si="121"/>
        <v>2月</v>
      </c>
      <c r="C2048" s="4" t="str">
        <f t="shared" si="122"/>
        <v>W9</v>
      </c>
      <c r="D2048" s="2" t="s">
        <v>794</v>
      </c>
      <c r="E2048" s="2" t="s">
        <v>733</v>
      </c>
      <c r="F2048" s="2" t="str" cm="1">
        <f t="array" ref="F2048">INDEX(_xlfn.TEXTSPLIT(E2048,"-"),2)</f>
        <v>女装</v>
      </c>
      <c r="G2048" s="2" t="str" cm="1">
        <f t="array" ref="G2048">INDEX(_xlfn.TEXTSPLIT(E2048,"-"),3)</f>
        <v>西装</v>
      </c>
      <c r="H2048" s="5">
        <v>148620</v>
      </c>
      <c r="I2048" s="5">
        <v>33685419.75</v>
      </c>
      <c r="J2048" s="6">
        <v>0.0165</v>
      </c>
      <c r="K2048" s="6">
        <v>0.2607</v>
      </c>
    </row>
    <row r="2049" ht="14.5" spans="1:11">
      <c r="A2049" s="3" t="str">
        <f t="shared" si="120"/>
        <v>2026年</v>
      </c>
      <c r="B2049" s="3" t="str">
        <f t="shared" si="121"/>
        <v>2月</v>
      </c>
      <c r="C2049" s="4" t="str">
        <f t="shared" si="122"/>
        <v>W9</v>
      </c>
      <c r="D2049" s="2" t="s">
        <v>794</v>
      </c>
      <c r="E2049" s="2" t="s">
        <v>734</v>
      </c>
      <c r="F2049" s="2" t="str" cm="1">
        <f t="array" ref="F2049">INDEX(_xlfn.TEXTSPLIT(E2049,"-"),2)</f>
        <v>女装</v>
      </c>
      <c r="G2049" s="2" t="str" cm="1">
        <f t="array" ref="G2049">INDEX(_xlfn.TEXTSPLIT(E2049,"-"),3)</f>
        <v>设计师/潮牌女装</v>
      </c>
      <c r="H2049" s="5">
        <v>454474</v>
      </c>
      <c r="I2049" s="5">
        <v>45371148.98</v>
      </c>
      <c r="J2049" s="6">
        <v>0.0223</v>
      </c>
      <c r="K2049" s="6">
        <v>0.5088</v>
      </c>
    </row>
    <row r="2050" ht="14.5" spans="1:11">
      <c r="A2050" s="3" t="str">
        <f t="shared" si="120"/>
        <v>2026年</v>
      </c>
      <c r="B2050" s="3" t="str">
        <f t="shared" si="121"/>
        <v>2月</v>
      </c>
      <c r="C2050" s="4" t="str">
        <f t="shared" si="122"/>
        <v>W9</v>
      </c>
      <c r="D2050" s="2" t="s">
        <v>794</v>
      </c>
      <c r="E2050" s="2" t="s">
        <v>735</v>
      </c>
      <c r="F2050" s="2" t="str" cm="1">
        <f t="array" ref="F2050">INDEX(_xlfn.TEXTSPLIT(E2050,"-"),2)</f>
        <v>女装</v>
      </c>
      <c r="G2050" s="2" t="str" cm="1">
        <f t="array" ref="G2050">INDEX(_xlfn.TEXTSPLIT(E2050,"-"),3)</f>
        <v>连体衣/裤</v>
      </c>
      <c r="H2050" s="5">
        <v>25293</v>
      </c>
      <c r="I2050" s="5">
        <v>4195351.97</v>
      </c>
      <c r="J2050" s="6">
        <v>0.0021</v>
      </c>
      <c r="K2050" s="6">
        <v>0.2913</v>
      </c>
    </row>
    <row r="2051" ht="14.5" spans="1:11">
      <c r="A2051" s="3" t="str">
        <f t="shared" si="120"/>
        <v>2026年</v>
      </c>
      <c r="B2051" s="3" t="str">
        <f t="shared" si="121"/>
        <v>2月</v>
      </c>
      <c r="C2051" s="4" t="str">
        <f t="shared" si="122"/>
        <v>W9</v>
      </c>
      <c r="D2051" s="2" t="s">
        <v>794</v>
      </c>
      <c r="E2051" s="2" t="s">
        <v>736</v>
      </c>
      <c r="F2051" s="2" t="str" cm="1">
        <f t="array" ref="F2051">INDEX(_xlfn.TEXTSPLIT(E2051,"-"),2)</f>
        <v>女装</v>
      </c>
      <c r="G2051" s="2" t="str" cm="1">
        <f t="array" ref="G2051">INDEX(_xlfn.TEXTSPLIT(E2051,"-"),3)</f>
        <v>连衣裙</v>
      </c>
      <c r="H2051" s="5">
        <v>915035</v>
      </c>
      <c r="I2051" s="5">
        <v>136964997.88</v>
      </c>
      <c r="J2051" s="6">
        <v>0.0673</v>
      </c>
      <c r="K2051" s="6">
        <v>0.0986</v>
      </c>
    </row>
    <row r="2052" ht="14.5" spans="1:11">
      <c r="A2052" s="3" t="str">
        <f t="shared" si="120"/>
        <v>2026年</v>
      </c>
      <c r="B2052" s="3" t="str">
        <f t="shared" si="121"/>
        <v>2月</v>
      </c>
      <c r="C2052" s="4" t="str">
        <f t="shared" si="122"/>
        <v>W9</v>
      </c>
      <c r="D2052" s="2" t="s">
        <v>794</v>
      </c>
      <c r="E2052" s="2" t="s">
        <v>737</v>
      </c>
      <c r="F2052" s="2" t="str" cm="1">
        <f t="array" ref="F2052">INDEX(_xlfn.TEXTSPLIT(E2052,"-"),2)</f>
        <v>女装</v>
      </c>
      <c r="G2052" s="2" t="str" cm="1">
        <f t="array" ref="G2052">INDEX(_xlfn.TEXTSPLIT(E2052,"-"),3)</f>
        <v>风衣</v>
      </c>
      <c r="H2052" s="5">
        <v>180542</v>
      </c>
      <c r="I2052" s="5">
        <v>42571961.71</v>
      </c>
      <c r="J2052" s="6">
        <v>0.0209</v>
      </c>
      <c r="K2052" s="6">
        <v>0.1452</v>
      </c>
    </row>
    <row r="2053" ht="14.5" spans="1:11">
      <c r="A2053" s="3" t="str">
        <f t="shared" si="120"/>
        <v>2026年</v>
      </c>
      <c r="B2053" s="3" t="str">
        <f t="shared" si="121"/>
        <v>2月</v>
      </c>
      <c r="C2053" s="4" t="str">
        <f t="shared" si="122"/>
        <v>W9</v>
      </c>
      <c r="D2053" s="2" t="s">
        <v>794</v>
      </c>
      <c r="E2053" s="2" t="s">
        <v>738</v>
      </c>
      <c r="F2053" s="2" t="str" cm="1">
        <f t="array" ref="F2053">INDEX(_xlfn.TEXTSPLIT(E2053,"-"),2)</f>
        <v>女装</v>
      </c>
      <c r="G2053" s="2" t="str" cm="1">
        <f t="array" ref="G2053">INDEX(_xlfn.TEXTSPLIT(E2053,"-"),3)</f>
        <v>马夹</v>
      </c>
      <c r="H2053" s="5">
        <v>401601</v>
      </c>
      <c r="I2053" s="5">
        <v>39427395.13</v>
      </c>
      <c r="J2053" s="6">
        <v>0.0194</v>
      </c>
      <c r="K2053" s="6">
        <v>0.0824</v>
      </c>
    </row>
    <row r="2054" ht="14.5" spans="1:11">
      <c r="A2054" s="3" t="str">
        <f t="shared" si="120"/>
        <v>2026年</v>
      </c>
      <c r="B2054" s="3" t="str">
        <f t="shared" si="121"/>
        <v>2月</v>
      </c>
      <c r="C2054" s="4" t="str">
        <f t="shared" si="122"/>
        <v>W9</v>
      </c>
      <c r="D2054" s="2" t="s">
        <v>795</v>
      </c>
      <c r="E2054" s="2" t="s">
        <v>702</v>
      </c>
      <c r="F2054" s="2" t="str" cm="1">
        <f t="array" ref="F2054">INDEX(_xlfn.TEXTSPLIT(E2054,"-"),2)</f>
        <v>女装</v>
      </c>
      <c r="G2054" s="2" t="str" cm="1">
        <f t="array" ref="G2054">INDEX(_xlfn.TEXTSPLIT(E2054,"-"),3)</f>
        <v>POLO衫</v>
      </c>
      <c r="H2054" s="5">
        <v>29565</v>
      </c>
      <c r="I2054" s="5">
        <v>2581617.99</v>
      </c>
      <c r="J2054" s="6">
        <v>0.0014</v>
      </c>
      <c r="K2054" s="6">
        <v>-0.2203</v>
      </c>
    </row>
    <row r="2055" ht="14.5" spans="1:11">
      <c r="A2055" s="3" t="str">
        <f t="shared" si="120"/>
        <v>2026年</v>
      </c>
      <c r="B2055" s="3" t="str">
        <f t="shared" si="121"/>
        <v>2月</v>
      </c>
      <c r="C2055" s="4" t="str">
        <f t="shared" si="122"/>
        <v>W9</v>
      </c>
      <c r="D2055" s="2" t="s">
        <v>795</v>
      </c>
      <c r="E2055" s="2" t="s">
        <v>703</v>
      </c>
      <c r="F2055" s="2" t="str" cm="1">
        <f t="array" ref="F2055">INDEX(_xlfn.TEXTSPLIT(E2055,"-"),2)</f>
        <v>女装</v>
      </c>
      <c r="G2055" s="2" t="str" cm="1">
        <f t="array" ref="G2055">INDEX(_xlfn.TEXTSPLIT(E2055,"-"),3)</f>
        <v>T恤</v>
      </c>
      <c r="H2055" s="5">
        <v>2055869</v>
      </c>
      <c r="I2055" s="5">
        <v>119566772.16</v>
      </c>
      <c r="J2055" s="6">
        <v>0.065</v>
      </c>
      <c r="K2055" s="6">
        <v>-0.0401</v>
      </c>
    </row>
    <row r="2056" ht="14.5" spans="1:11">
      <c r="A2056" s="3" t="str">
        <f t="shared" si="120"/>
        <v>2026年</v>
      </c>
      <c r="B2056" s="3" t="str">
        <f t="shared" si="121"/>
        <v>2月</v>
      </c>
      <c r="C2056" s="4" t="str">
        <f t="shared" si="122"/>
        <v>W9</v>
      </c>
      <c r="D2056" s="2" t="s">
        <v>795</v>
      </c>
      <c r="E2056" s="2" t="s">
        <v>704</v>
      </c>
      <c r="F2056" s="2" t="str" cm="1">
        <f t="array" ref="F2056">INDEX(_xlfn.TEXTSPLIT(E2056,"-"),2)</f>
        <v>女装</v>
      </c>
      <c r="G2056" s="2" t="str" cm="1">
        <f t="array" ref="G2056">INDEX(_xlfn.TEXTSPLIT(E2056,"-"),3)</f>
        <v>中老年女装</v>
      </c>
      <c r="H2056" s="5">
        <v>142441</v>
      </c>
      <c r="I2056" s="5">
        <v>11730415.32</v>
      </c>
      <c r="J2056" s="6">
        <v>0.0064</v>
      </c>
      <c r="K2056" s="6">
        <v>-0.1094</v>
      </c>
    </row>
    <row r="2057" ht="14.5" spans="1:11">
      <c r="A2057" s="3" t="str">
        <f t="shared" si="120"/>
        <v>2026年</v>
      </c>
      <c r="B2057" s="3" t="str">
        <f t="shared" si="121"/>
        <v>2月</v>
      </c>
      <c r="C2057" s="4" t="str">
        <f t="shared" si="122"/>
        <v>W9</v>
      </c>
      <c r="D2057" s="2" t="s">
        <v>795</v>
      </c>
      <c r="E2057" s="2" t="s">
        <v>705</v>
      </c>
      <c r="F2057" s="2" t="str" cm="1">
        <f t="array" ref="F2057">INDEX(_xlfn.TEXTSPLIT(E2057,"-"),2)</f>
        <v>女装</v>
      </c>
      <c r="G2057" s="2" t="str" cm="1">
        <f t="array" ref="G2057">INDEX(_xlfn.TEXTSPLIT(E2057,"-"),3)</f>
        <v>半身裙</v>
      </c>
      <c r="H2057" s="5">
        <v>608436</v>
      </c>
      <c r="I2057" s="5">
        <v>64617455.52</v>
      </c>
      <c r="J2057" s="6">
        <v>0.0352</v>
      </c>
      <c r="K2057" s="6">
        <v>-0.0821</v>
      </c>
    </row>
    <row r="2058" ht="14.5" spans="1:11">
      <c r="A2058" s="3" t="str">
        <f t="shared" si="120"/>
        <v>2026年</v>
      </c>
      <c r="B2058" s="3" t="str">
        <f t="shared" si="121"/>
        <v>2月</v>
      </c>
      <c r="C2058" s="4" t="str">
        <f t="shared" si="122"/>
        <v>W9</v>
      </c>
      <c r="D2058" s="2" t="s">
        <v>795</v>
      </c>
      <c r="E2058" s="2" t="s">
        <v>706</v>
      </c>
      <c r="F2058" s="2" t="str" cm="1">
        <f t="array" ref="F2058">INDEX(_xlfn.TEXTSPLIT(E2058,"-"),2)</f>
        <v>女装</v>
      </c>
      <c r="G2058" s="2" t="str" cm="1">
        <f t="array" ref="G2058">INDEX(_xlfn.TEXTSPLIT(E2058,"-"),3)</f>
        <v>卫衣/绒衫</v>
      </c>
      <c r="H2058" s="5">
        <v>311596</v>
      </c>
      <c r="I2058" s="5">
        <v>26097429.72</v>
      </c>
      <c r="J2058" s="6">
        <v>0.0142</v>
      </c>
      <c r="K2058" s="6">
        <v>-0.3036</v>
      </c>
    </row>
    <row r="2059" ht="14.5" spans="1:11">
      <c r="A2059" s="3" t="str">
        <f t="shared" si="120"/>
        <v>2026年</v>
      </c>
      <c r="B2059" s="3" t="str">
        <f t="shared" si="121"/>
        <v>2月</v>
      </c>
      <c r="C2059" s="4" t="str">
        <f t="shared" si="122"/>
        <v>W9</v>
      </c>
      <c r="D2059" s="2" t="s">
        <v>795</v>
      </c>
      <c r="E2059" s="2" t="s">
        <v>707</v>
      </c>
      <c r="F2059" s="2" t="str" cm="1">
        <f t="array" ref="F2059">INDEX(_xlfn.TEXTSPLIT(E2059,"-"),2)</f>
        <v>女装</v>
      </c>
      <c r="G2059" s="2" t="str" cm="1">
        <f t="array" ref="G2059">INDEX(_xlfn.TEXTSPLIT(E2059,"-"),3)</f>
        <v>唐装/民族服装/舞台服装</v>
      </c>
      <c r="H2059" s="5">
        <v>297293</v>
      </c>
      <c r="I2059" s="5">
        <v>46698572.46</v>
      </c>
      <c r="J2059" s="6">
        <v>0.0254</v>
      </c>
      <c r="K2059" s="6">
        <v>0.0273</v>
      </c>
    </row>
    <row r="2060" ht="14.5" spans="1:11">
      <c r="A2060" s="3" t="str">
        <f t="shared" si="120"/>
        <v>2026年</v>
      </c>
      <c r="B2060" s="3" t="str">
        <f t="shared" si="121"/>
        <v>2月</v>
      </c>
      <c r="C2060" s="4" t="str">
        <f t="shared" si="122"/>
        <v>W9</v>
      </c>
      <c r="D2060" s="2" t="s">
        <v>795</v>
      </c>
      <c r="E2060" s="2" t="s">
        <v>708</v>
      </c>
      <c r="F2060" s="2" t="str" cm="1">
        <f t="array" ref="F2060">INDEX(_xlfn.TEXTSPLIT(E2060,"-"),2)</f>
        <v>女装</v>
      </c>
      <c r="G2060" s="2" t="str" cm="1">
        <f t="array" ref="G2060">INDEX(_xlfn.TEXTSPLIT(E2060,"-"),3)</f>
        <v>大码女装</v>
      </c>
      <c r="H2060" s="5">
        <v>501609</v>
      </c>
      <c r="I2060" s="5">
        <v>32592108.03</v>
      </c>
      <c r="J2060" s="6">
        <v>0.0177</v>
      </c>
      <c r="K2060" s="6">
        <v>-0.0534</v>
      </c>
    </row>
    <row r="2061" ht="14.5" spans="1:11">
      <c r="A2061" s="3" t="str">
        <f t="shared" si="120"/>
        <v>2026年</v>
      </c>
      <c r="B2061" s="3" t="str">
        <f t="shared" si="121"/>
        <v>2月</v>
      </c>
      <c r="C2061" s="4" t="str">
        <f t="shared" si="122"/>
        <v>W9</v>
      </c>
      <c r="D2061" s="2" t="s">
        <v>795</v>
      </c>
      <c r="E2061" s="2" t="s">
        <v>709</v>
      </c>
      <c r="F2061" s="2" t="str" cm="1">
        <f t="array" ref="F2061">INDEX(_xlfn.TEXTSPLIT(E2061,"-"),2)</f>
        <v>女装</v>
      </c>
      <c r="G2061" s="2" t="str" cm="1">
        <f t="array" ref="G2061">INDEX(_xlfn.TEXTSPLIT(E2061,"-"),3)</f>
        <v>套装/学生校服/工作制服</v>
      </c>
      <c r="H2061" s="5">
        <v>1074472</v>
      </c>
      <c r="I2061" s="5">
        <v>141257274.42</v>
      </c>
      <c r="J2061" s="6">
        <v>0.0768</v>
      </c>
      <c r="K2061" s="6">
        <v>-0.0163</v>
      </c>
    </row>
    <row r="2062" ht="14.5" spans="1:11">
      <c r="A2062" s="3" t="str">
        <f t="shared" si="120"/>
        <v>2026年</v>
      </c>
      <c r="B2062" s="3" t="str">
        <f t="shared" si="121"/>
        <v>2月</v>
      </c>
      <c r="C2062" s="4" t="str">
        <f t="shared" si="122"/>
        <v>W9</v>
      </c>
      <c r="D2062" s="2" t="s">
        <v>795</v>
      </c>
      <c r="E2062" s="2" t="s">
        <v>710</v>
      </c>
      <c r="F2062" s="2" t="str" cm="1">
        <f t="array" ref="F2062">INDEX(_xlfn.TEXTSPLIT(E2062,"-"),2)</f>
        <v>女装</v>
      </c>
      <c r="G2062" s="2" t="str" cm="1">
        <f t="array" ref="G2062">INDEX(_xlfn.TEXTSPLIT(E2062,"-"),3)</f>
        <v>婚纱/旗袍/礼服</v>
      </c>
      <c r="H2062" s="5">
        <v>61068</v>
      </c>
      <c r="I2062" s="5">
        <v>11905791.53</v>
      </c>
      <c r="J2062" s="6">
        <v>0.0065</v>
      </c>
      <c r="K2062" s="6">
        <v>0.0213</v>
      </c>
    </row>
    <row r="2063" ht="14.5" spans="1:11">
      <c r="A2063" s="3" t="str">
        <f t="shared" si="120"/>
        <v>2026年</v>
      </c>
      <c r="B2063" s="3" t="str">
        <f t="shared" si="121"/>
        <v>2月</v>
      </c>
      <c r="C2063" s="4" t="str">
        <f t="shared" si="122"/>
        <v>W9</v>
      </c>
      <c r="D2063" s="2" t="s">
        <v>795</v>
      </c>
      <c r="E2063" s="2" t="s">
        <v>711</v>
      </c>
      <c r="F2063" s="2" t="str" cm="1">
        <f t="array" ref="F2063">INDEX(_xlfn.TEXTSPLIT(E2063,"-"),2)</f>
        <v>女装</v>
      </c>
      <c r="G2063" s="2" t="str" cm="1">
        <f t="array" ref="G2063">INDEX(_xlfn.TEXTSPLIT(E2063,"-"),3)</f>
        <v>新中式女装</v>
      </c>
      <c r="H2063" s="5">
        <v>60728</v>
      </c>
      <c r="I2063" s="5">
        <v>6061777.37</v>
      </c>
      <c r="J2063" s="6">
        <v>0.0033</v>
      </c>
      <c r="K2063" s="6">
        <v>0.077</v>
      </c>
    </row>
    <row r="2064" ht="14.5" spans="1:11">
      <c r="A2064" s="3" t="str">
        <f t="shared" si="120"/>
        <v>2026年</v>
      </c>
      <c r="B2064" s="3" t="str">
        <f t="shared" si="121"/>
        <v>2月</v>
      </c>
      <c r="C2064" s="4" t="str">
        <f t="shared" si="122"/>
        <v>W9</v>
      </c>
      <c r="D2064" s="2" t="s">
        <v>795</v>
      </c>
      <c r="E2064" s="2" t="s">
        <v>712</v>
      </c>
      <c r="F2064" s="2" t="str" cm="1">
        <f t="array" ref="F2064">INDEX(_xlfn.TEXTSPLIT(E2064,"-"),2)</f>
        <v>女装</v>
      </c>
      <c r="G2064" s="2" t="str" cm="1">
        <f t="array" ref="G2064">INDEX(_xlfn.TEXTSPLIT(E2064,"-"),3)</f>
        <v>时尚防晒服</v>
      </c>
      <c r="H2064" s="5">
        <v>13798</v>
      </c>
      <c r="I2064" s="5">
        <v>1899174.31</v>
      </c>
      <c r="J2064" s="6">
        <v>0.001</v>
      </c>
      <c r="K2064" s="6">
        <v>0.2976</v>
      </c>
    </row>
    <row r="2065" ht="14.5" spans="1:11">
      <c r="A2065" s="3" t="str">
        <f t="shared" si="120"/>
        <v>2026年</v>
      </c>
      <c r="B2065" s="3" t="str">
        <f t="shared" si="121"/>
        <v>2月</v>
      </c>
      <c r="C2065" s="4" t="str">
        <f t="shared" si="122"/>
        <v>W9</v>
      </c>
      <c r="D2065" s="2" t="s">
        <v>795</v>
      </c>
      <c r="E2065" s="2" t="s">
        <v>714</v>
      </c>
      <c r="F2065" s="2" t="str" cm="1">
        <f t="array" ref="F2065">INDEX(_xlfn.TEXTSPLIT(E2065,"-"),2)</f>
        <v>女装</v>
      </c>
      <c r="G2065" s="2" t="str" cm="1">
        <f t="array" ref="G2065">INDEX(_xlfn.TEXTSPLIT(E2065,"-"),3)</f>
        <v>棉衣/棉服</v>
      </c>
      <c r="H2065" s="5">
        <v>232362</v>
      </c>
      <c r="I2065" s="5">
        <v>20112244.4</v>
      </c>
      <c r="J2065" s="6">
        <v>0.0109</v>
      </c>
      <c r="K2065" s="6">
        <v>-0.0275</v>
      </c>
    </row>
    <row r="2066" ht="14.5" spans="1:11">
      <c r="A2066" s="3" t="str">
        <f t="shared" si="120"/>
        <v>2026年</v>
      </c>
      <c r="B2066" s="3" t="str">
        <f t="shared" si="121"/>
        <v>2月</v>
      </c>
      <c r="C2066" s="4" t="str">
        <f t="shared" si="122"/>
        <v>W9</v>
      </c>
      <c r="D2066" s="2" t="s">
        <v>795</v>
      </c>
      <c r="E2066" s="2" t="s">
        <v>715</v>
      </c>
      <c r="F2066" s="2" t="str" cm="1">
        <f t="array" ref="F2066">INDEX(_xlfn.TEXTSPLIT(E2066,"-"),2)</f>
        <v>女装</v>
      </c>
      <c r="G2066" s="2" t="str" cm="1">
        <f t="array" ref="G2066">INDEX(_xlfn.TEXTSPLIT(E2066,"-"),3)</f>
        <v>毛呢外套</v>
      </c>
      <c r="H2066" s="5">
        <v>311792</v>
      </c>
      <c r="I2066" s="5">
        <v>77989303.61</v>
      </c>
      <c r="J2066" s="6">
        <v>0.0424</v>
      </c>
      <c r="K2066" s="6">
        <v>-0.1447</v>
      </c>
    </row>
    <row r="2067" ht="14.5" spans="1:11">
      <c r="A2067" s="3" t="str">
        <f t="shared" si="120"/>
        <v>2026年</v>
      </c>
      <c r="B2067" s="3" t="str">
        <f t="shared" si="121"/>
        <v>2月</v>
      </c>
      <c r="C2067" s="4" t="str">
        <f t="shared" si="122"/>
        <v>W9</v>
      </c>
      <c r="D2067" s="2" t="s">
        <v>795</v>
      </c>
      <c r="E2067" s="2" t="s">
        <v>716</v>
      </c>
      <c r="F2067" s="2" t="str" cm="1">
        <f t="array" ref="F2067">INDEX(_xlfn.TEXTSPLIT(E2067,"-"),2)</f>
        <v>女装</v>
      </c>
      <c r="G2067" s="2" t="str" cm="1">
        <f t="array" ref="G2067">INDEX(_xlfn.TEXTSPLIT(E2067,"-"),3)</f>
        <v>毛衣</v>
      </c>
      <c r="H2067" s="5">
        <v>189544</v>
      </c>
      <c r="I2067" s="5">
        <v>16713463.52</v>
      </c>
      <c r="J2067" s="6">
        <v>0.0091</v>
      </c>
      <c r="K2067" s="6">
        <v>-0.1576</v>
      </c>
    </row>
    <row r="2068" ht="14.5" spans="1:11">
      <c r="A2068" s="3" t="str">
        <f t="shared" si="120"/>
        <v>2026年</v>
      </c>
      <c r="B2068" s="3" t="str">
        <f t="shared" si="121"/>
        <v>2月</v>
      </c>
      <c r="C2068" s="4" t="str">
        <f t="shared" si="122"/>
        <v>W9</v>
      </c>
      <c r="D2068" s="2" t="s">
        <v>795</v>
      </c>
      <c r="E2068" s="2" t="s">
        <v>717</v>
      </c>
      <c r="F2068" s="2" t="str" cm="1">
        <f t="array" ref="F2068">INDEX(_xlfn.TEXTSPLIT(E2068,"-"),2)</f>
        <v>女装</v>
      </c>
      <c r="G2068" s="2" t="str" cm="1">
        <f t="array" ref="G2068">INDEX(_xlfn.TEXTSPLIT(E2068,"-"),3)</f>
        <v>毛针织衫</v>
      </c>
      <c r="H2068" s="5">
        <v>1348352</v>
      </c>
      <c r="I2068" s="5">
        <v>106234505.5</v>
      </c>
      <c r="J2068" s="6">
        <v>0.0578</v>
      </c>
      <c r="K2068" s="6">
        <v>-0.0346</v>
      </c>
    </row>
    <row r="2069" ht="14.5" spans="1:11">
      <c r="A2069" s="3" t="str">
        <f t="shared" si="120"/>
        <v>2026年</v>
      </c>
      <c r="B2069" s="3" t="str">
        <f t="shared" si="121"/>
        <v>2月</v>
      </c>
      <c r="C2069" s="4" t="str">
        <f t="shared" si="122"/>
        <v>W9</v>
      </c>
      <c r="D2069" s="2" t="s">
        <v>795</v>
      </c>
      <c r="E2069" s="2" t="s">
        <v>718</v>
      </c>
      <c r="F2069" s="2" t="str" cm="1">
        <f t="array" ref="F2069">INDEX(_xlfn.TEXTSPLIT(E2069,"-"),2)</f>
        <v>女装</v>
      </c>
      <c r="G2069" s="2" t="str" cm="1">
        <f t="array" ref="G2069">INDEX(_xlfn.TEXTSPLIT(E2069,"-"),3)</f>
        <v>汉服</v>
      </c>
      <c r="H2069" s="5">
        <v>174626</v>
      </c>
      <c r="I2069" s="5">
        <v>64608449.61</v>
      </c>
      <c r="J2069" s="6">
        <v>0.0351</v>
      </c>
      <c r="K2069" s="6">
        <v>-0.4415</v>
      </c>
    </row>
    <row r="2070" ht="14.5" spans="1:11">
      <c r="A2070" s="3" t="str">
        <f t="shared" si="120"/>
        <v>2026年</v>
      </c>
      <c r="B2070" s="3" t="str">
        <f t="shared" si="121"/>
        <v>2月</v>
      </c>
      <c r="C2070" s="4" t="str">
        <f t="shared" si="122"/>
        <v>W9</v>
      </c>
      <c r="D2070" s="2" t="s">
        <v>795</v>
      </c>
      <c r="E2070" s="2" t="s">
        <v>719</v>
      </c>
      <c r="F2070" s="2" t="str" cm="1">
        <f t="array" ref="F2070">INDEX(_xlfn.TEXTSPLIT(E2070,"-"),2)</f>
        <v>女装</v>
      </c>
      <c r="G2070" s="2" t="str" cm="1">
        <f t="array" ref="G2070">INDEX(_xlfn.TEXTSPLIT(E2070,"-"),3)</f>
        <v>派克服</v>
      </c>
      <c r="H2070" s="5">
        <v>8994</v>
      </c>
      <c r="I2070" s="5">
        <v>1377755.47</v>
      </c>
      <c r="J2070" s="6">
        <v>0.0007</v>
      </c>
      <c r="K2070" s="6">
        <v>-0.1503</v>
      </c>
    </row>
    <row r="2071" ht="14.5" spans="1:11">
      <c r="A2071" s="3" t="str">
        <f t="shared" si="120"/>
        <v>2026年</v>
      </c>
      <c r="B2071" s="3" t="str">
        <f t="shared" si="121"/>
        <v>2月</v>
      </c>
      <c r="C2071" s="4" t="str">
        <f t="shared" si="122"/>
        <v>W9</v>
      </c>
      <c r="D2071" s="2" t="s">
        <v>795</v>
      </c>
      <c r="E2071" s="2" t="s">
        <v>720</v>
      </c>
      <c r="F2071" s="2" t="str" cm="1">
        <f t="array" ref="F2071">INDEX(_xlfn.TEXTSPLIT(E2071,"-"),2)</f>
        <v>女装</v>
      </c>
      <c r="G2071" s="2" t="str" cm="1">
        <f t="array" ref="G2071">INDEX(_xlfn.TEXTSPLIT(E2071,"-"),3)</f>
        <v>皮草</v>
      </c>
      <c r="H2071" s="5">
        <v>31088</v>
      </c>
      <c r="I2071" s="5">
        <v>56171890.06</v>
      </c>
      <c r="J2071" s="6">
        <v>0.0306</v>
      </c>
      <c r="K2071" s="6">
        <v>-0.0189</v>
      </c>
    </row>
    <row r="2072" ht="14.5" spans="1:11">
      <c r="A2072" s="3" t="str">
        <f t="shared" si="120"/>
        <v>2026年</v>
      </c>
      <c r="B2072" s="3" t="str">
        <f t="shared" si="121"/>
        <v>2月</v>
      </c>
      <c r="C2072" s="4" t="str">
        <f t="shared" si="122"/>
        <v>W9</v>
      </c>
      <c r="D2072" s="2" t="s">
        <v>795</v>
      </c>
      <c r="E2072" s="2" t="s">
        <v>721</v>
      </c>
      <c r="F2072" s="2" t="str" cm="1">
        <f t="array" ref="F2072">INDEX(_xlfn.TEXTSPLIT(E2072,"-"),2)</f>
        <v>女装</v>
      </c>
      <c r="G2072" s="2" t="str" cm="1">
        <f t="array" ref="G2072">INDEX(_xlfn.TEXTSPLIT(E2072,"-"),3)</f>
        <v>皮衣</v>
      </c>
      <c r="H2072" s="5">
        <v>181523</v>
      </c>
      <c r="I2072" s="5">
        <v>52597097.47</v>
      </c>
      <c r="J2072" s="6">
        <v>0.0286</v>
      </c>
      <c r="K2072" s="6">
        <v>-0.2761</v>
      </c>
    </row>
    <row r="2073" ht="14.5" spans="1:11">
      <c r="A2073" s="3" t="str">
        <f t="shared" si="120"/>
        <v>2026年</v>
      </c>
      <c r="B2073" s="3" t="str">
        <f t="shared" si="121"/>
        <v>2月</v>
      </c>
      <c r="C2073" s="4" t="str">
        <f t="shared" si="122"/>
        <v>W9</v>
      </c>
      <c r="D2073" s="2" t="s">
        <v>795</v>
      </c>
      <c r="E2073" s="2" t="s">
        <v>722</v>
      </c>
      <c r="F2073" s="2" t="str" cm="1">
        <f t="array" ref="F2073">INDEX(_xlfn.TEXTSPLIT(E2073,"-"),2)</f>
        <v>女装</v>
      </c>
      <c r="G2073" s="2" t="str" cm="1">
        <f t="array" ref="G2073">INDEX(_xlfn.TEXTSPLIT(E2073,"-"),3)</f>
        <v>短外套</v>
      </c>
      <c r="H2073" s="5">
        <v>889936</v>
      </c>
      <c r="I2073" s="5">
        <v>140299145.38</v>
      </c>
      <c r="J2073" s="6">
        <v>0.0763</v>
      </c>
      <c r="K2073" s="6">
        <v>-0.0887</v>
      </c>
    </row>
    <row r="2074" ht="14.5" spans="1:11">
      <c r="A2074" s="3" t="str">
        <f t="shared" si="120"/>
        <v>2026年</v>
      </c>
      <c r="B2074" s="3" t="str">
        <f t="shared" si="121"/>
        <v>2月</v>
      </c>
      <c r="C2074" s="4" t="str">
        <f t="shared" si="122"/>
        <v>W9</v>
      </c>
      <c r="D2074" s="2" t="s">
        <v>795</v>
      </c>
      <c r="E2074" s="2" t="s">
        <v>723</v>
      </c>
      <c r="F2074" s="2" t="str" cm="1">
        <f t="array" ref="F2074">INDEX(_xlfn.TEXTSPLIT(E2074,"-"),2)</f>
        <v>女装</v>
      </c>
      <c r="G2074" s="2" t="str" cm="1">
        <f t="array" ref="G2074">INDEX(_xlfn.TEXTSPLIT(E2074,"-"),3)</f>
        <v>短裤</v>
      </c>
      <c r="H2074" s="5">
        <v>105570</v>
      </c>
      <c r="I2074" s="5">
        <v>6769324.68</v>
      </c>
      <c r="J2074" s="6">
        <v>0.0037</v>
      </c>
      <c r="K2074" s="6">
        <v>-0.0967</v>
      </c>
    </row>
    <row r="2075" ht="14.5" spans="1:11">
      <c r="A2075" s="3" t="str">
        <f t="shared" si="120"/>
        <v>2026年</v>
      </c>
      <c r="B2075" s="3" t="str">
        <f t="shared" si="121"/>
        <v>2月</v>
      </c>
      <c r="C2075" s="4" t="str">
        <f t="shared" si="122"/>
        <v>W9</v>
      </c>
      <c r="D2075" s="2" t="s">
        <v>795</v>
      </c>
      <c r="E2075" s="2" t="s">
        <v>724</v>
      </c>
      <c r="F2075" s="2" t="str" cm="1">
        <f t="array" ref="F2075">INDEX(_xlfn.TEXTSPLIT(E2075,"-"),2)</f>
        <v>女装</v>
      </c>
      <c r="G2075" s="2" t="str" cm="1">
        <f t="array" ref="G2075">INDEX(_xlfn.TEXTSPLIT(E2075,"-"),3)</f>
        <v>羊毛衫</v>
      </c>
      <c r="H2075" s="5">
        <v>180789</v>
      </c>
      <c r="I2075" s="5">
        <v>22202018.82</v>
      </c>
      <c r="J2075" s="6">
        <v>0.0121</v>
      </c>
      <c r="K2075" s="6">
        <v>-0.0065</v>
      </c>
    </row>
    <row r="2076" ht="14.5" spans="1:11">
      <c r="A2076" s="3" t="str">
        <f t="shared" si="120"/>
        <v>2026年</v>
      </c>
      <c r="B2076" s="3" t="str">
        <f t="shared" si="121"/>
        <v>2月</v>
      </c>
      <c r="C2076" s="4" t="str">
        <f t="shared" si="122"/>
        <v>W9</v>
      </c>
      <c r="D2076" s="2" t="s">
        <v>795</v>
      </c>
      <c r="E2076" s="2" t="s">
        <v>725</v>
      </c>
      <c r="F2076" s="2" t="str" cm="1">
        <f t="array" ref="F2076">INDEX(_xlfn.TEXTSPLIT(E2076,"-"),2)</f>
        <v>女装</v>
      </c>
      <c r="G2076" s="2" t="str" cm="1">
        <f t="array" ref="G2076">INDEX(_xlfn.TEXTSPLIT(E2076,"-"),3)</f>
        <v>羊绒大衣</v>
      </c>
      <c r="H2076" s="5">
        <v>2245</v>
      </c>
      <c r="I2076" s="5">
        <v>663780.65</v>
      </c>
      <c r="J2076" s="6">
        <v>0.0004</v>
      </c>
      <c r="K2076" s="6">
        <v>-0.5605</v>
      </c>
    </row>
    <row r="2077" ht="14.5" spans="1:11">
      <c r="A2077" s="3" t="str">
        <f t="shared" si="120"/>
        <v>2026年</v>
      </c>
      <c r="B2077" s="3" t="str">
        <f t="shared" si="121"/>
        <v>2月</v>
      </c>
      <c r="C2077" s="4" t="str">
        <f t="shared" si="122"/>
        <v>W9</v>
      </c>
      <c r="D2077" s="2" t="s">
        <v>795</v>
      </c>
      <c r="E2077" s="2" t="s">
        <v>726</v>
      </c>
      <c r="F2077" s="2" t="str" cm="1">
        <f t="array" ref="F2077">INDEX(_xlfn.TEXTSPLIT(E2077,"-"),2)</f>
        <v>女装</v>
      </c>
      <c r="G2077" s="2" t="str" cm="1">
        <f t="array" ref="G2077">INDEX(_xlfn.TEXTSPLIT(E2077,"-"),3)</f>
        <v>羊绒衫</v>
      </c>
      <c r="H2077" s="5">
        <v>38783</v>
      </c>
      <c r="I2077" s="5">
        <v>11085444.89</v>
      </c>
      <c r="J2077" s="6">
        <v>0.006</v>
      </c>
      <c r="K2077" s="6">
        <v>-0.1381</v>
      </c>
    </row>
    <row r="2078" ht="14.5" spans="1:11">
      <c r="A2078" s="3" t="str">
        <f t="shared" si="120"/>
        <v>2026年</v>
      </c>
      <c r="B2078" s="3" t="str">
        <f t="shared" si="121"/>
        <v>2月</v>
      </c>
      <c r="C2078" s="4" t="str">
        <f t="shared" si="122"/>
        <v>W9</v>
      </c>
      <c r="D2078" s="2" t="s">
        <v>795</v>
      </c>
      <c r="E2078" s="2" t="s">
        <v>727</v>
      </c>
      <c r="F2078" s="2" t="str" cm="1">
        <f t="array" ref="F2078">INDEX(_xlfn.TEXTSPLIT(E2078,"-"),2)</f>
        <v>女装</v>
      </c>
      <c r="G2078" s="2" t="str" cm="1">
        <f t="array" ref="G2078">INDEX(_xlfn.TEXTSPLIT(E2078,"-"),3)</f>
        <v>羽绒服</v>
      </c>
      <c r="H2078" s="5">
        <v>330331</v>
      </c>
      <c r="I2078" s="5">
        <v>87478659.88</v>
      </c>
      <c r="J2078" s="6">
        <v>0.0476</v>
      </c>
      <c r="K2078" s="6">
        <v>-0.0877</v>
      </c>
    </row>
    <row r="2079" ht="14.5" spans="1:11">
      <c r="A2079" s="3" t="str">
        <f t="shared" si="120"/>
        <v>2026年</v>
      </c>
      <c r="B2079" s="3" t="str">
        <f t="shared" si="121"/>
        <v>2月</v>
      </c>
      <c r="C2079" s="4" t="str">
        <f t="shared" si="122"/>
        <v>W9</v>
      </c>
      <c r="D2079" s="2" t="s">
        <v>795</v>
      </c>
      <c r="E2079" s="2" t="s">
        <v>728</v>
      </c>
      <c r="F2079" s="2" t="str" cm="1">
        <f t="array" ref="F2079">INDEX(_xlfn.TEXTSPLIT(E2079,"-"),2)</f>
        <v>女装</v>
      </c>
      <c r="G2079" s="2" t="str" cm="1">
        <f t="array" ref="G2079">INDEX(_xlfn.TEXTSPLIT(E2079,"-"),3)</f>
        <v>肌底衣/肌肤衣</v>
      </c>
      <c r="H2079" s="5">
        <v>10366</v>
      </c>
      <c r="I2079" s="5">
        <v>370322.77</v>
      </c>
      <c r="J2079" s="6">
        <v>0.0002</v>
      </c>
      <c r="K2079" s="6">
        <v>0.9636</v>
      </c>
    </row>
    <row r="2080" ht="14.5" spans="1:11">
      <c r="A2080" s="3" t="str">
        <f t="shared" si="120"/>
        <v>2026年</v>
      </c>
      <c r="B2080" s="3" t="str">
        <f t="shared" si="121"/>
        <v>2月</v>
      </c>
      <c r="C2080" s="4" t="str">
        <f t="shared" si="122"/>
        <v>W9</v>
      </c>
      <c r="D2080" s="2" t="s">
        <v>795</v>
      </c>
      <c r="E2080" s="2" t="s">
        <v>729</v>
      </c>
      <c r="F2080" s="2" t="str" cm="1">
        <f t="array" ref="F2080">INDEX(_xlfn.TEXTSPLIT(E2080,"-"),2)</f>
        <v>女装</v>
      </c>
      <c r="G2080" s="2" t="str" cm="1">
        <f t="array" ref="G2080">INDEX(_xlfn.TEXTSPLIT(E2080,"-"),3)</f>
        <v>背心吊带</v>
      </c>
      <c r="H2080" s="5">
        <v>546642</v>
      </c>
      <c r="I2080" s="5">
        <v>30229856.26</v>
      </c>
      <c r="J2080" s="6">
        <v>0.0164</v>
      </c>
      <c r="K2080" s="6">
        <v>-0.0434</v>
      </c>
    </row>
    <row r="2081" ht="14.5" spans="1:11">
      <c r="A2081" s="3" t="str">
        <f t="shared" si="120"/>
        <v>2026年</v>
      </c>
      <c r="B2081" s="3" t="str">
        <f t="shared" si="121"/>
        <v>2月</v>
      </c>
      <c r="C2081" s="4" t="str">
        <f t="shared" si="122"/>
        <v>W9</v>
      </c>
      <c r="D2081" s="2" t="s">
        <v>795</v>
      </c>
      <c r="E2081" s="2" t="s">
        <v>730</v>
      </c>
      <c r="F2081" s="2" t="str" cm="1">
        <f t="array" ref="F2081">INDEX(_xlfn.TEXTSPLIT(E2081,"-"),2)</f>
        <v>女装</v>
      </c>
      <c r="G2081" s="2" t="str" cm="1">
        <f t="array" ref="G2081">INDEX(_xlfn.TEXTSPLIT(E2081,"-"),3)</f>
        <v>蕾丝衫/雪纺衫</v>
      </c>
      <c r="H2081" s="5">
        <v>177318</v>
      </c>
      <c r="I2081" s="5">
        <v>14252276.09</v>
      </c>
      <c r="J2081" s="6">
        <v>0.0078</v>
      </c>
      <c r="K2081" s="6">
        <v>0.0274</v>
      </c>
    </row>
    <row r="2082" ht="14.5" spans="1:11">
      <c r="A2082" s="3" t="str">
        <f t="shared" si="120"/>
        <v>2026年</v>
      </c>
      <c r="B2082" s="3" t="str">
        <f t="shared" si="121"/>
        <v>2月</v>
      </c>
      <c r="C2082" s="4" t="str">
        <f t="shared" si="122"/>
        <v>W9</v>
      </c>
      <c r="D2082" s="2" t="s">
        <v>795</v>
      </c>
      <c r="E2082" s="2" t="s">
        <v>731</v>
      </c>
      <c r="F2082" s="2" t="str" cm="1">
        <f t="array" ref="F2082">INDEX(_xlfn.TEXTSPLIT(E2082,"-"),2)</f>
        <v>女装</v>
      </c>
      <c r="G2082" s="2" t="str" cm="1">
        <f t="array" ref="G2082">INDEX(_xlfn.TEXTSPLIT(E2082,"-"),3)</f>
        <v>衬衫</v>
      </c>
      <c r="H2082" s="5">
        <v>914180</v>
      </c>
      <c r="I2082" s="5">
        <v>93904249.07</v>
      </c>
      <c r="J2082" s="6">
        <v>0.0511</v>
      </c>
      <c r="K2082" s="6">
        <v>-0.109</v>
      </c>
    </row>
    <row r="2083" ht="14.5" spans="1:11">
      <c r="A2083" s="3" t="str">
        <f t="shared" si="120"/>
        <v>2026年</v>
      </c>
      <c r="B2083" s="3" t="str">
        <f t="shared" si="121"/>
        <v>2月</v>
      </c>
      <c r="C2083" s="4" t="str">
        <f t="shared" si="122"/>
        <v>W9</v>
      </c>
      <c r="D2083" s="2" t="s">
        <v>795</v>
      </c>
      <c r="E2083" s="2" t="s">
        <v>732</v>
      </c>
      <c r="F2083" s="2" t="str" cm="1">
        <f t="array" ref="F2083">INDEX(_xlfn.TEXTSPLIT(E2083,"-"),2)</f>
        <v>女装</v>
      </c>
      <c r="G2083" s="2" t="str" cm="1">
        <f t="array" ref="G2083">INDEX(_xlfn.TEXTSPLIT(E2083,"-"),3)</f>
        <v>裤子</v>
      </c>
      <c r="H2083" s="5">
        <v>2823760</v>
      </c>
      <c r="I2083" s="5">
        <v>286300915.15</v>
      </c>
      <c r="J2083" s="6">
        <v>0.1558</v>
      </c>
      <c r="K2083" s="6">
        <v>-0.0733</v>
      </c>
    </row>
    <row r="2084" ht="14.5" spans="1:11">
      <c r="A2084" s="3" t="str">
        <f t="shared" si="120"/>
        <v>2026年</v>
      </c>
      <c r="B2084" s="3" t="str">
        <f t="shared" si="121"/>
        <v>2月</v>
      </c>
      <c r="C2084" s="4" t="str">
        <f t="shared" si="122"/>
        <v>W9</v>
      </c>
      <c r="D2084" s="2" t="s">
        <v>795</v>
      </c>
      <c r="E2084" s="2" t="s">
        <v>733</v>
      </c>
      <c r="F2084" s="2" t="str" cm="1">
        <f t="array" ref="F2084">INDEX(_xlfn.TEXTSPLIT(E2084,"-"),2)</f>
        <v>女装</v>
      </c>
      <c r="G2084" s="2" t="str" cm="1">
        <f t="array" ref="G2084">INDEX(_xlfn.TEXTSPLIT(E2084,"-"),3)</f>
        <v>西装</v>
      </c>
      <c r="H2084" s="5">
        <v>142888</v>
      </c>
      <c r="I2084" s="5">
        <v>31005208.26</v>
      </c>
      <c r="J2084" s="6">
        <v>0.0169</v>
      </c>
      <c r="K2084" s="6">
        <v>-0.0796</v>
      </c>
    </row>
    <row r="2085" ht="14.5" spans="1:11">
      <c r="A2085" s="3" t="str">
        <f t="shared" si="120"/>
        <v>2026年</v>
      </c>
      <c r="B2085" s="3" t="str">
        <f t="shared" si="121"/>
        <v>2月</v>
      </c>
      <c r="C2085" s="4" t="str">
        <f t="shared" si="122"/>
        <v>W9</v>
      </c>
      <c r="D2085" s="2" t="s">
        <v>795</v>
      </c>
      <c r="E2085" s="2" t="s">
        <v>734</v>
      </c>
      <c r="F2085" s="2" t="str" cm="1">
        <f t="array" ref="F2085">INDEX(_xlfn.TEXTSPLIT(E2085,"-"),2)</f>
        <v>女装</v>
      </c>
      <c r="G2085" s="2" t="str" cm="1">
        <f t="array" ref="G2085">INDEX(_xlfn.TEXTSPLIT(E2085,"-"),3)</f>
        <v>设计师/潮牌女装</v>
      </c>
      <c r="H2085" s="5">
        <v>338044</v>
      </c>
      <c r="I2085" s="5">
        <v>31461391.97</v>
      </c>
      <c r="J2085" s="6">
        <v>0.0171</v>
      </c>
      <c r="K2085" s="6">
        <v>-0.3066</v>
      </c>
    </row>
    <row r="2086" ht="14.5" spans="1:11">
      <c r="A2086" s="3" t="str">
        <f t="shared" si="120"/>
        <v>2026年</v>
      </c>
      <c r="B2086" s="3" t="str">
        <f t="shared" si="121"/>
        <v>2月</v>
      </c>
      <c r="C2086" s="4" t="str">
        <f t="shared" si="122"/>
        <v>W9</v>
      </c>
      <c r="D2086" s="2" t="s">
        <v>795</v>
      </c>
      <c r="E2086" s="2" t="s">
        <v>735</v>
      </c>
      <c r="F2086" s="2" t="str" cm="1">
        <f t="array" ref="F2086">INDEX(_xlfn.TEXTSPLIT(E2086,"-"),2)</f>
        <v>女装</v>
      </c>
      <c r="G2086" s="2" t="str" cm="1">
        <f t="array" ref="G2086">INDEX(_xlfn.TEXTSPLIT(E2086,"-"),3)</f>
        <v>连体衣/裤</v>
      </c>
      <c r="H2086" s="5">
        <v>20267</v>
      </c>
      <c r="I2086" s="5">
        <v>3369778.58</v>
      </c>
      <c r="J2086" s="6">
        <v>0.0018</v>
      </c>
      <c r="K2086" s="6">
        <v>-0.1968</v>
      </c>
    </row>
    <row r="2087" ht="14.5" spans="1:11">
      <c r="A2087" s="3" t="str">
        <f t="shared" si="120"/>
        <v>2026年</v>
      </c>
      <c r="B2087" s="3" t="str">
        <f t="shared" si="121"/>
        <v>2月</v>
      </c>
      <c r="C2087" s="4" t="str">
        <f t="shared" si="122"/>
        <v>W9</v>
      </c>
      <c r="D2087" s="2" t="s">
        <v>795</v>
      </c>
      <c r="E2087" s="2" t="s">
        <v>736</v>
      </c>
      <c r="F2087" s="2" t="str" cm="1">
        <f t="array" ref="F2087">INDEX(_xlfn.TEXTSPLIT(E2087,"-"),2)</f>
        <v>女装</v>
      </c>
      <c r="G2087" s="2" t="str" cm="1">
        <f t="array" ref="G2087">INDEX(_xlfn.TEXTSPLIT(E2087,"-"),3)</f>
        <v>连衣裙</v>
      </c>
      <c r="H2087" s="5">
        <v>888854</v>
      </c>
      <c r="I2087" s="5">
        <v>138393259.44</v>
      </c>
      <c r="J2087" s="6">
        <v>0.0753</v>
      </c>
      <c r="K2087" s="6">
        <v>0.0104</v>
      </c>
    </row>
    <row r="2088" ht="14.5" spans="1:11">
      <c r="A2088" s="3" t="str">
        <f t="shared" si="120"/>
        <v>2026年</v>
      </c>
      <c r="B2088" s="3" t="str">
        <f t="shared" si="121"/>
        <v>2月</v>
      </c>
      <c r="C2088" s="4" t="str">
        <f t="shared" si="122"/>
        <v>W9</v>
      </c>
      <c r="D2088" s="2" t="s">
        <v>795</v>
      </c>
      <c r="E2088" s="2" t="s">
        <v>737</v>
      </c>
      <c r="F2088" s="2" t="str" cm="1">
        <f t="array" ref="F2088">INDEX(_xlfn.TEXTSPLIT(E2088,"-"),2)</f>
        <v>女装</v>
      </c>
      <c r="G2088" s="2" t="str" cm="1">
        <f t="array" ref="G2088">INDEX(_xlfn.TEXTSPLIT(E2088,"-"),3)</f>
        <v>风衣</v>
      </c>
      <c r="H2088" s="5">
        <v>197631</v>
      </c>
      <c r="I2088" s="5">
        <v>44294209</v>
      </c>
      <c r="J2088" s="6">
        <v>0.0241</v>
      </c>
      <c r="K2088" s="6">
        <v>0.0405</v>
      </c>
    </row>
    <row r="2089" ht="14.5" spans="1:11">
      <c r="A2089" s="3" t="str">
        <f t="shared" si="120"/>
        <v>2026年</v>
      </c>
      <c r="B2089" s="3" t="str">
        <f t="shared" si="121"/>
        <v>2月</v>
      </c>
      <c r="C2089" s="4" t="str">
        <f t="shared" si="122"/>
        <v>W9</v>
      </c>
      <c r="D2089" s="2" t="s">
        <v>795</v>
      </c>
      <c r="E2089" s="2" t="s">
        <v>738</v>
      </c>
      <c r="F2089" s="2" t="str" cm="1">
        <f t="array" ref="F2089">INDEX(_xlfn.TEXTSPLIT(E2089,"-"),2)</f>
        <v>女装</v>
      </c>
      <c r="G2089" s="2" t="str" cm="1">
        <f t="array" ref="G2089">INDEX(_xlfn.TEXTSPLIT(E2089,"-"),3)</f>
        <v>马夹</v>
      </c>
      <c r="H2089" s="5">
        <v>377269</v>
      </c>
      <c r="I2089" s="5">
        <v>35216320.44</v>
      </c>
      <c r="J2089" s="6">
        <v>0.0192</v>
      </c>
      <c r="K2089" s="6">
        <v>-0.1068</v>
      </c>
    </row>
    <row r="2090" ht="14.5" spans="1:11">
      <c r="A2090" s="3" t="str">
        <f t="shared" si="120"/>
        <v>2026年</v>
      </c>
      <c r="B2090" s="3" t="str">
        <f t="shared" si="121"/>
        <v>2月</v>
      </c>
      <c r="C2090" s="4" t="str">
        <f t="shared" si="122"/>
        <v>W9</v>
      </c>
      <c r="D2090" s="2" t="s">
        <v>796</v>
      </c>
      <c r="E2090" s="2" t="s">
        <v>702</v>
      </c>
      <c r="F2090" s="2" t="str" cm="1">
        <f t="array" ref="F2090">INDEX(_xlfn.TEXTSPLIT(E2090,"-"),2)</f>
        <v>女装</v>
      </c>
      <c r="G2090" s="2" t="str" cm="1">
        <f t="array" ref="G2090">INDEX(_xlfn.TEXTSPLIT(E2090,"-"),3)</f>
        <v>POLO衫</v>
      </c>
      <c r="H2090" s="5">
        <v>31499</v>
      </c>
      <c r="I2090" s="5">
        <v>2617122.29</v>
      </c>
      <c r="J2090" s="6">
        <v>0.0019</v>
      </c>
      <c r="K2090" s="6">
        <v>0.0138</v>
      </c>
    </row>
    <row r="2091" ht="14.5" spans="1:11">
      <c r="A2091" s="3" t="str">
        <f t="shared" si="120"/>
        <v>2026年</v>
      </c>
      <c r="B2091" s="3" t="str">
        <f t="shared" si="121"/>
        <v>2月</v>
      </c>
      <c r="C2091" s="4" t="str">
        <f t="shared" si="122"/>
        <v>W9</v>
      </c>
      <c r="D2091" s="2" t="s">
        <v>796</v>
      </c>
      <c r="E2091" s="2" t="s">
        <v>703</v>
      </c>
      <c r="F2091" s="2" t="str" cm="1">
        <f t="array" ref="F2091">INDEX(_xlfn.TEXTSPLIT(E2091,"-"),2)</f>
        <v>女装</v>
      </c>
      <c r="G2091" s="2" t="str" cm="1">
        <f t="array" ref="G2091">INDEX(_xlfn.TEXTSPLIT(E2091,"-"),3)</f>
        <v>T恤</v>
      </c>
      <c r="H2091" s="5">
        <v>1492698</v>
      </c>
      <c r="I2091" s="5">
        <v>86994162.3</v>
      </c>
      <c r="J2091" s="6">
        <v>0.0631</v>
      </c>
      <c r="K2091" s="6">
        <v>-0.2724</v>
      </c>
    </row>
    <row r="2092" ht="14.5" spans="1:11">
      <c r="A2092" s="3" t="str">
        <f t="shared" si="120"/>
        <v>2026年</v>
      </c>
      <c r="B2092" s="3" t="str">
        <f t="shared" si="121"/>
        <v>2月</v>
      </c>
      <c r="C2092" s="4" t="str">
        <f t="shared" si="122"/>
        <v>W9</v>
      </c>
      <c r="D2092" s="2" t="s">
        <v>796</v>
      </c>
      <c r="E2092" s="2" t="s">
        <v>704</v>
      </c>
      <c r="F2092" s="2" t="str" cm="1">
        <f t="array" ref="F2092">INDEX(_xlfn.TEXTSPLIT(E2092,"-"),2)</f>
        <v>女装</v>
      </c>
      <c r="G2092" s="2" t="str" cm="1">
        <f t="array" ref="G2092">INDEX(_xlfn.TEXTSPLIT(E2092,"-"),3)</f>
        <v>中老年女装</v>
      </c>
      <c r="H2092" s="5">
        <v>140865</v>
      </c>
      <c r="I2092" s="5">
        <v>12473618.05</v>
      </c>
      <c r="J2092" s="6">
        <v>0.009</v>
      </c>
      <c r="K2092" s="6">
        <v>0.0634</v>
      </c>
    </row>
    <row r="2093" ht="14.5" spans="1:11">
      <c r="A2093" s="3" t="str">
        <f t="shared" si="120"/>
        <v>2026年</v>
      </c>
      <c r="B2093" s="3" t="str">
        <f t="shared" si="121"/>
        <v>2月</v>
      </c>
      <c r="C2093" s="4" t="str">
        <f t="shared" si="122"/>
        <v>W9</v>
      </c>
      <c r="D2093" s="2" t="s">
        <v>796</v>
      </c>
      <c r="E2093" s="2" t="s">
        <v>705</v>
      </c>
      <c r="F2093" s="2" t="str" cm="1">
        <f t="array" ref="F2093">INDEX(_xlfn.TEXTSPLIT(E2093,"-"),2)</f>
        <v>女装</v>
      </c>
      <c r="G2093" s="2" t="str" cm="1">
        <f t="array" ref="G2093">INDEX(_xlfn.TEXTSPLIT(E2093,"-"),3)</f>
        <v>半身裙</v>
      </c>
      <c r="H2093" s="5">
        <v>473816</v>
      </c>
      <c r="I2093" s="5">
        <v>52532071.52</v>
      </c>
      <c r="J2093" s="6">
        <v>0.0381</v>
      </c>
      <c r="K2093" s="6">
        <v>-0.187</v>
      </c>
    </row>
    <row r="2094" ht="14.5" spans="1:11">
      <c r="A2094" s="3" t="str">
        <f t="shared" si="120"/>
        <v>2026年</v>
      </c>
      <c r="B2094" s="3" t="str">
        <f t="shared" si="121"/>
        <v>2月</v>
      </c>
      <c r="C2094" s="4" t="str">
        <f t="shared" si="122"/>
        <v>W9</v>
      </c>
      <c r="D2094" s="2" t="s">
        <v>796</v>
      </c>
      <c r="E2094" s="2" t="s">
        <v>706</v>
      </c>
      <c r="F2094" s="2" t="str" cm="1">
        <f t="array" ref="F2094">INDEX(_xlfn.TEXTSPLIT(E2094,"-"),2)</f>
        <v>女装</v>
      </c>
      <c r="G2094" s="2" t="str" cm="1">
        <f t="array" ref="G2094">INDEX(_xlfn.TEXTSPLIT(E2094,"-"),3)</f>
        <v>卫衣/绒衫</v>
      </c>
      <c r="H2094" s="5">
        <v>218636</v>
      </c>
      <c r="I2094" s="5">
        <v>17152696.29</v>
      </c>
      <c r="J2094" s="6">
        <v>0.0124</v>
      </c>
      <c r="K2094" s="6">
        <v>-0.3427</v>
      </c>
    </row>
    <row r="2095" ht="14.5" spans="1:11">
      <c r="A2095" s="3" t="str">
        <f t="shared" si="120"/>
        <v>2026年</v>
      </c>
      <c r="B2095" s="3" t="str">
        <f t="shared" si="121"/>
        <v>2月</v>
      </c>
      <c r="C2095" s="4" t="str">
        <f t="shared" si="122"/>
        <v>W9</v>
      </c>
      <c r="D2095" s="2" t="s">
        <v>796</v>
      </c>
      <c r="E2095" s="2" t="s">
        <v>707</v>
      </c>
      <c r="F2095" s="2" t="str" cm="1">
        <f t="array" ref="F2095">INDEX(_xlfn.TEXTSPLIT(E2095,"-"),2)</f>
        <v>女装</v>
      </c>
      <c r="G2095" s="2" t="str" cm="1">
        <f t="array" ref="G2095">INDEX(_xlfn.TEXTSPLIT(E2095,"-"),3)</f>
        <v>唐装/民族服装/舞台服装</v>
      </c>
      <c r="H2095" s="5">
        <v>156881</v>
      </c>
      <c r="I2095" s="5">
        <v>28374311.33</v>
      </c>
      <c r="J2095" s="6">
        <v>0.0206</v>
      </c>
      <c r="K2095" s="6">
        <v>-0.3924</v>
      </c>
    </row>
    <row r="2096" ht="14.5" spans="1:11">
      <c r="A2096" s="3" t="str">
        <f t="shared" si="120"/>
        <v>2026年</v>
      </c>
      <c r="B2096" s="3" t="str">
        <f t="shared" si="121"/>
        <v>2月</v>
      </c>
      <c r="C2096" s="4" t="str">
        <f t="shared" si="122"/>
        <v>W9</v>
      </c>
      <c r="D2096" s="2" t="s">
        <v>796</v>
      </c>
      <c r="E2096" s="2" t="s">
        <v>708</v>
      </c>
      <c r="F2096" s="2" t="str" cm="1">
        <f t="array" ref="F2096">INDEX(_xlfn.TEXTSPLIT(E2096,"-"),2)</f>
        <v>女装</v>
      </c>
      <c r="G2096" s="2" t="str" cm="1">
        <f t="array" ref="G2096">INDEX(_xlfn.TEXTSPLIT(E2096,"-"),3)</f>
        <v>大码女装</v>
      </c>
      <c r="H2096" s="5">
        <v>319049</v>
      </c>
      <c r="I2096" s="5">
        <v>22686024.4</v>
      </c>
      <c r="J2096" s="6">
        <v>0.0164</v>
      </c>
      <c r="K2096" s="6">
        <v>-0.3039</v>
      </c>
    </row>
    <row r="2097" ht="14.5" spans="1:11">
      <c r="A2097" s="3" t="str">
        <f t="shared" si="120"/>
        <v>2026年</v>
      </c>
      <c r="B2097" s="3" t="str">
        <f t="shared" si="121"/>
        <v>2月</v>
      </c>
      <c r="C2097" s="4" t="str">
        <f t="shared" si="122"/>
        <v>W9</v>
      </c>
      <c r="D2097" s="2" t="s">
        <v>796</v>
      </c>
      <c r="E2097" s="2" t="s">
        <v>709</v>
      </c>
      <c r="F2097" s="2" t="str" cm="1">
        <f t="array" ref="F2097">INDEX(_xlfn.TEXTSPLIT(E2097,"-"),2)</f>
        <v>女装</v>
      </c>
      <c r="G2097" s="2" t="str" cm="1">
        <f t="array" ref="G2097">INDEX(_xlfn.TEXTSPLIT(E2097,"-"),3)</f>
        <v>套装/学生校服/工作制服</v>
      </c>
      <c r="H2097" s="5">
        <v>689354</v>
      </c>
      <c r="I2097" s="5">
        <v>98838012.13</v>
      </c>
      <c r="J2097" s="6">
        <v>0.0716</v>
      </c>
      <c r="K2097" s="6">
        <v>-0.3003</v>
      </c>
    </row>
    <row r="2098" ht="14.5" spans="1:11">
      <c r="A2098" s="3" t="str">
        <f t="shared" si="120"/>
        <v>2026年</v>
      </c>
      <c r="B2098" s="3" t="str">
        <f t="shared" si="121"/>
        <v>2月</v>
      </c>
      <c r="C2098" s="4" t="str">
        <f t="shared" si="122"/>
        <v>W9</v>
      </c>
      <c r="D2098" s="2" t="s">
        <v>796</v>
      </c>
      <c r="E2098" s="2" t="s">
        <v>710</v>
      </c>
      <c r="F2098" s="2" t="str" cm="1">
        <f t="array" ref="F2098">INDEX(_xlfn.TEXTSPLIT(E2098,"-"),2)</f>
        <v>女装</v>
      </c>
      <c r="G2098" s="2" t="str" cm="1">
        <f t="array" ref="G2098">INDEX(_xlfn.TEXTSPLIT(E2098,"-"),3)</f>
        <v>婚纱/旗袍/礼服</v>
      </c>
      <c r="H2098" s="5">
        <v>53149</v>
      </c>
      <c r="I2098" s="5">
        <v>9596402.7</v>
      </c>
      <c r="J2098" s="6">
        <v>0.007</v>
      </c>
      <c r="K2098" s="6">
        <v>-0.194</v>
      </c>
    </row>
    <row r="2099" ht="14.5" spans="1:11">
      <c r="A2099" s="3" t="str">
        <f t="shared" si="120"/>
        <v>2026年</v>
      </c>
      <c r="B2099" s="3" t="str">
        <f t="shared" si="121"/>
        <v>2月</v>
      </c>
      <c r="C2099" s="4" t="str">
        <f t="shared" si="122"/>
        <v>W9</v>
      </c>
      <c r="D2099" s="2" t="s">
        <v>796</v>
      </c>
      <c r="E2099" s="2" t="s">
        <v>711</v>
      </c>
      <c r="F2099" s="2" t="str" cm="1">
        <f t="array" ref="F2099">INDEX(_xlfn.TEXTSPLIT(E2099,"-"),2)</f>
        <v>女装</v>
      </c>
      <c r="G2099" s="2" t="str" cm="1">
        <f t="array" ref="G2099">INDEX(_xlfn.TEXTSPLIT(E2099,"-"),3)</f>
        <v>新中式女装</v>
      </c>
      <c r="H2099" s="5">
        <v>54346</v>
      </c>
      <c r="I2099" s="5">
        <v>5793393.67</v>
      </c>
      <c r="J2099" s="6">
        <v>0.0042</v>
      </c>
      <c r="K2099" s="6">
        <v>-0.0443</v>
      </c>
    </row>
    <row r="2100" ht="14.5" spans="1:11">
      <c r="A2100" s="3" t="str">
        <f t="shared" si="120"/>
        <v>2026年</v>
      </c>
      <c r="B2100" s="3" t="str">
        <f t="shared" si="121"/>
        <v>2月</v>
      </c>
      <c r="C2100" s="4" t="str">
        <f t="shared" si="122"/>
        <v>W9</v>
      </c>
      <c r="D2100" s="2" t="s">
        <v>796</v>
      </c>
      <c r="E2100" s="2" t="s">
        <v>712</v>
      </c>
      <c r="F2100" s="2" t="str" cm="1">
        <f t="array" ref="F2100">INDEX(_xlfn.TEXTSPLIT(E2100,"-"),2)</f>
        <v>女装</v>
      </c>
      <c r="G2100" s="2" t="str" cm="1">
        <f t="array" ref="G2100">INDEX(_xlfn.TEXTSPLIT(E2100,"-"),3)</f>
        <v>时尚防晒服</v>
      </c>
      <c r="H2100" s="5">
        <v>10742</v>
      </c>
      <c r="I2100" s="5">
        <v>1627448.8</v>
      </c>
      <c r="J2100" s="6">
        <v>0.0012</v>
      </c>
      <c r="K2100" s="6">
        <v>-0.1431</v>
      </c>
    </row>
    <row r="2101" ht="14.5" spans="1:11">
      <c r="A2101" s="3" t="str">
        <f t="shared" si="120"/>
        <v>2026年</v>
      </c>
      <c r="B2101" s="3" t="str">
        <f t="shared" si="121"/>
        <v>2月</v>
      </c>
      <c r="C2101" s="4" t="str">
        <f t="shared" si="122"/>
        <v>W9</v>
      </c>
      <c r="D2101" s="2" t="s">
        <v>796</v>
      </c>
      <c r="E2101" s="2" t="s">
        <v>714</v>
      </c>
      <c r="F2101" s="2" t="str" cm="1">
        <f t="array" ref="F2101">INDEX(_xlfn.TEXTSPLIT(E2101,"-"),2)</f>
        <v>女装</v>
      </c>
      <c r="G2101" s="2" t="str" cm="1">
        <f t="array" ref="G2101">INDEX(_xlfn.TEXTSPLIT(E2101,"-"),3)</f>
        <v>棉衣/棉服</v>
      </c>
      <c r="H2101" s="5">
        <v>154582</v>
      </c>
      <c r="I2101" s="5">
        <v>16190737.82</v>
      </c>
      <c r="J2101" s="6">
        <v>0.0117</v>
      </c>
      <c r="K2101" s="6">
        <v>-0.195</v>
      </c>
    </row>
    <row r="2102" ht="14.5" spans="1:11">
      <c r="A2102" s="3" t="str">
        <f t="shared" ref="A2102:A2125" si="123">TEXT(YEAR(D2102),"0")&amp;"年"</f>
        <v>2026年</v>
      </c>
      <c r="B2102" s="3" t="str">
        <f t="shared" ref="B2102:B2125" si="124">TEXT(MONTH(D2102),"0")&amp;"月"</f>
        <v>2月</v>
      </c>
      <c r="C2102" s="4" t="str">
        <f t="shared" ref="C2102:C2125" si="125">"W"&amp;TEXT(WEEKNUM(D2102,2),"0")</f>
        <v>W9</v>
      </c>
      <c r="D2102" s="2" t="s">
        <v>796</v>
      </c>
      <c r="E2102" s="2" t="s">
        <v>715</v>
      </c>
      <c r="F2102" s="2" t="str" cm="1">
        <f t="array" ref="F2102">INDEX(_xlfn.TEXTSPLIT(E2102,"-"),2)</f>
        <v>女装</v>
      </c>
      <c r="G2102" s="2" t="str" cm="1">
        <f t="array" ref="G2102">INDEX(_xlfn.TEXTSPLIT(E2102,"-"),3)</f>
        <v>毛呢外套</v>
      </c>
      <c r="H2102" s="5">
        <v>219452</v>
      </c>
      <c r="I2102" s="5">
        <v>58050839.11</v>
      </c>
      <c r="J2102" s="6">
        <v>0.0421</v>
      </c>
      <c r="K2102" s="6">
        <v>-0.2557</v>
      </c>
    </row>
    <row r="2103" ht="14.5" spans="1:11">
      <c r="A2103" s="3" t="str">
        <f t="shared" si="123"/>
        <v>2026年</v>
      </c>
      <c r="B2103" s="3" t="str">
        <f t="shared" si="124"/>
        <v>2月</v>
      </c>
      <c r="C2103" s="4" t="str">
        <f t="shared" si="125"/>
        <v>W9</v>
      </c>
      <c r="D2103" s="2" t="s">
        <v>796</v>
      </c>
      <c r="E2103" s="2" t="s">
        <v>716</v>
      </c>
      <c r="F2103" s="2" t="str" cm="1">
        <f t="array" ref="F2103">INDEX(_xlfn.TEXTSPLIT(E2103,"-"),2)</f>
        <v>女装</v>
      </c>
      <c r="G2103" s="2" t="str" cm="1">
        <f t="array" ref="G2103">INDEX(_xlfn.TEXTSPLIT(E2103,"-"),3)</f>
        <v>毛衣</v>
      </c>
      <c r="H2103" s="5">
        <v>141997</v>
      </c>
      <c r="I2103" s="5">
        <v>12356375.47</v>
      </c>
      <c r="J2103" s="6">
        <v>0.009</v>
      </c>
      <c r="K2103" s="6">
        <v>-0.2607</v>
      </c>
    </row>
    <row r="2104" ht="14.5" spans="1:11">
      <c r="A2104" s="3" t="str">
        <f t="shared" si="123"/>
        <v>2026年</v>
      </c>
      <c r="B2104" s="3" t="str">
        <f t="shared" si="124"/>
        <v>2月</v>
      </c>
      <c r="C2104" s="4" t="str">
        <f t="shared" si="125"/>
        <v>W9</v>
      </c>
      <c r="D2104" s="2" t="s">
        <v>796</v>
      </c>
      <c r="E2104" s="2" t="s">
        <v>717</v>
      </c>
      <c r="F2104" s="2" t="str" cm="1">
        <f t="array" ref="F2104">INDEX(_xlfn.TEXTSPLIT(E2104,"-"),2)</f>
        <v>女装</v>
      </c>
      <c r="G2104" s="2" t="str" cm="1">
        <f t="array" ref="G2104">INDEX(_xlfn.TEXTSPLIT(E2104,"-"),3)</f>
        <v>毛针织衫</v>
      </c>
      <c r="H2104" s="5">
        <v>976040</v>
      </c>
      <c r="I2104" s="5">
        <v>78963260.68</v>
      </c>
      <c r="J2104" s="6">
        <v>0.0572</v>
      </c>
      <c r="K2104" s="6">
        <v>-0.2567</v>
      </c>
    </row>
    <row r="2105" ht="14.5" spans="1:11">
      <c r="A2105" s="3" t="str">
        <f t="shared" si="123"/>
        <v>2026年</v>
      </c>
      <c r="B2105" s="3" t="str">
        <f t="shared" si="124"/>
        <v>2月</v>
      </c>
      <c r="C2105" s="4" t="str">
        <f t="shared" si="125"/>
        <v>W9</v>
      </c>
      <c r="D2105" s="2" t="s">
        <v>796</v>
      </c>
      <c r="E2105" s="2" t="s">
        <v>718</v>
      </c>
      <c r="F2105" s="2" t="str" cm="1">
        <f t="array" ref="F2105">INDEX(_xlfn.TEXTSPLIT(E2105,"-"),2)</f>
        <v>女装</v>
      </c>
      <c r="G2105" s="2" t="str" cm="1">
        <f t="array" ref="G2105">INDEX(_xlfn.TEXTSPLIT(E2105,"-"),3)</f>
        <v>汉服</v>
      </c>
      <c r="H2105" s="5">
        <v>112773</v>
      </c>
      <c r="I2105" s="5">
        <v>43175175.81</v>
      </c>
      <c r="J2105" s="6">
        <v>0.0313</v>
      </c>
      <c r="K2105" s="6">
        <v>-0.3317</v>
      </c>
    </row>
    <row r="2106" ht="14.5" spans="1:11">
      <c r="A2106" s="3" t="str">
        <f t="shared" si="123"/>
        <v>2026年</v>
      </c>
      <c r="B2106" s="3" t="str">
        <f t="shared" si="124"/>
        <v>2月</v>
      </c>
      <c r="C2106" s="4" t="str">
        <f t="shared" si="125"/>
        <v>W9</v>
      </c>
      <c r="D2106" s="2" t="s">
        <v>796</v>
      </c>
      <c r="E2106" s="2" t="s">
        <v>719</v>
      </c>
      <c r="F2106" s="2" t="str" cm="1">
        <f t="array" ref="F2106">INDEX(_xlfn.TEXTSPLIT(E2106,"-"),2)</f>
        <v>女装</v>
      </c>
      <c r="G2106" s="2" t="str" cm="1">
        <f t="array" ref="G2106">INDEX(_xlfn.TEXTSPLIT(E2106,"-"),3)</f>
        <v>派克服</v>
      </c>
      <c r="H2106" s="5">
        <v>6707</v>
      </c>
      <c r="I2106" s="5">
        <v>1073434.65</v>
      </c>
      <c r="J2106" s="6">
        <v>0.0008</v>
      </c>
      <c r="K2106" s="6">
        <v>-0.2209</v>
      </c>
    </row>
    <row r="2107" ht="14.5" spans="1:11">
      <c r="A2107" s="3" t="str">
        <f t="shared" si="123"/>
        <v>2026年</v>
      </c>
      <c r="B2107" s="3" t="str">
        <f t="shared" si="124"/>
        <v>2月</v>
      </c>
      <c r="C2107" s="4" t="str">
        <f t="shared" si="125"/>
        <v>W9</v>
      </c>
      <c r="D2107" s="2" t="s">
        <v>796</v>
      </c>
      <c r="E2107" s="2" t="s">
        <v>720</v>
      </c>
      <c r="F2107" s="2" t="str" cm="1">
        <f t="array" ref="F2107">INDEX(_xlfn.TEXTSPLIT(E2107,"-"),2)</f>
        <v>女装</v>
      </c>
      <c r="G2107" s="2" t="str" cm="1">
        <f t="array" ref="G2107">INDEX(_xlfn.TEXTSPLIT(E2107,"-"),3)</f>
        <v>皮草</v>
      </c>
      <c r="H2107" s="5">
        <v>25766</v>
      </c>
      <c r="I2107" s="5">
        <v>43684981.64</v>
      </c>
      <c r="J2107" s="6">
        <v>0.0317</v>
      </c>
      <c r="K2107" s="6">
        <v>-0.2223</v>
      </c>
    </row>
    <row r="2108" ht="14.5" spans="1:11">
      <c r="A2108" s="3" t="str">
        <f t="shared" si="123"/>
        <v>2026年</v>
      </c>
      <c r="B2108" s="3" t="str">
        <f t="shared" si="124"/>
        <v>2月</v>
      </c>
      <c r="C2108" s="4" t="str">
        <f t="shared" si="125"/>
        <v>W9</v>
      </c>
      <c r="D2108" s="2" t="s">
        <v>796</v>
      </c>
      <c r="E2108" s="2" t="s">
        <v>721</v>
      </c>
      <c r="F2108" s="2" t="str" cm="1">
        <f t="array" ref="F2108">INDEX(_xlfn.TEXTSPLIT(E2108,"-"),2)</f>
        <v>女装</v>
      </c>
      <c r="G2108" s="2" t="str" cm="1">
        <f t="array" ref="G2108">INDEX(_xlfn.TEXTSPLIT(E2108,"-"),3)</f>
        <v>皮衣</v>
      </c>
      <c r="H2108" s="5">
        <v>160300</v>
      </c>
      <c r="I2108" s="5">
        <v>54890776.11</v>
      </c>
      <c r="J2108" s="6">
        <v>0.0398</v>
      </c>
      <c r="K2108" s="6">
        <v>0.0436</v>
      </c>
    </row>
    <row r="2109" ht="14.5" spans="1:11">
      <c r="A2109" s="3" t="str">
        <f t="shared" si="123"/>
        <v>2026年</v>
      </c>
      <c r="B2109" s="3" t="str">
        <f t="shared" si="124"/>
        <v>2月</v>
      </c>
      <c r="C2109" s="4" t="str">
        <f t="shared" si="125"/>
        <v>W9</v>
      </c>
      <c r="D2109" s="2" t="s">
        <v>796</v>
      </c>
      <c r="E2109" s="2" t="s">
        <v>722</v>
      </c>
      <c r="F2109" s="2" t="str" cm="1">
        <f t="array" ref="F2109">INDEX(_xlfn.TEXTSPLIT(E2109,"-"),2)</f>
        <v>女装</v>
      </c>
      <c r="G2109" s="2" t="str" cm="1">
        <f t="array" ref="G2109">INDEX(_xlfn.TEXTSPLIT(E2109,"-"),3)</f>
        <v>短外套</v>
      </c>
      <c r="H2109" s="5">
        <v>656716</v>
      </c>
      <c r="I2109" s="5">
        <v>106182138.82</v>
      </c>
      <c r="J2109" s="6">
        <v>0.077</v>
      </c>
      <c r="K2109" s="6">
        <v>-0.2432</v>
      </c>
    </row>
    <row r="2110" ht="14.5" spans="1:11">
      <c r="A2110" s="3" t="str">
        <f t="shared" si="123"/>
        <v>2026年</v>
      </c>
      <c r="B2110" s="3" t="str">
        <f t="shared" si="124"/>
        <v>2月</v>
      </c>
      <c r="C2110" s="4" t="str">
        <f t="shared" si="125"/>
        <v>W9</v>
      </c>
      <c r="D2110" s="2" t="s">
        <v>796</v>
      </c>
      <c r="E2110" s="2" t="s">
        <v>723</v>
      </c>
      <c r="F2110" s="2" t="str" cm="1">
        <f t="array" ref="F2110">INDEX(_xlfn.TEXTSPLIT(E2110,"-"),2)</f>
        <v>女装</v>
      </c>
      <c r="G2110" s="2" t="str" cm="1">
        <f t="array" ref="G2110">INDEX(_xlfn.TEXTSPLIT(E2110,"-"),3)</f>
        <v>短裤</v>
      </c>
      <c r="H2110" s="5">
        <v>83988</v>
      </c>
      <c r="I2110" s="5">
        <v>5362974.84</v>
      </c>
      <c r="J2110" s="6">
        <v>0.0039</v>
      </c>
      <c r="K2110" s="6">
        <v>-0.2078</v>
      </c>
    </row>
    <row r="2111" ht="14.5" spans="1:11">
      <c r="A2111" s="3" t="str">
        <f t="shared" si="123"/>
        <v>2026年</v>
      </c>
      <c r="B2111" s="3" t="str">
        <f t="shared" si="124"/>
        <v>2月</v>
      </c>
      <c r="C2111" s="4" t="str">
        <f t="shared" si="125"/>
        <v>W9</v>
      </c>
      <c r="D2111" s="2" t="s">
        <v>796</v>
      </c>
      <c r="E2111" s="2" t="s">
        <v>724</v>
      </c>
      <c r="F2111" s="2" t="str" cm="1">
        <f t="array" ref="F2111">INDEX(_xlfn.TEXTSPLIT(E2111,"-"),2)</f>
        <v>女装</v>
      </c>
      <c r="G2111" s="2" t="str" cm="1">
        <f t="array" ref="G2111">INDEX(_xlfn.TEXTSPLIT(E2111,"-"),3)</f>
        <v>羊毛衫</v>
      </c>
      <c r="H2111" s="5">
        <v>125428</v>
      </c>
      <c r="I2111" s="5">
        <v>19108773.87</v>
      </c>
      <c r="J2111" s="6">
        <v>0.0139</v>
      </c>
      <c r="K2111" s="6">
        <v>-0.1393</v>
      </c>
    </row>
    <row r="2112" ht="14.5" spans="1:11">
      <c r="A2112" s="3" t="str">
        <f t="shared" si="123"/>
        <v>2026年</v>
      </c>
      <c r="B2112" s="3" t="str">
        <f t="shared" si="124"/>
        <v>2月</v>
      </c>
      <c r="C2112" s="4" t="str">
        <f t="shared" si="125"/>
        <v>W9</v>
      </c>
      <c r="D2112" s="2" t="s">
        <v>796</v>
      </c>
      <c r="E2112" s="2" t="s">
        <v>725</v>
      </c>
      <c r="F2112" s="2" t="str" cm="1">
        <f t="array" ref="F2112">INDEX(_xlfn.TEXTSPLIT(E2112,"-"),2)</f>
        <v>女装</v>
      </c>
      <c r="G2112" s="2" t="str" cm="1">
        <f t="array" ref="G2112">INDEX(_xlfn.TEXTSPLIT(E2112,"-"),3)</f>
        <v>羊绒大衣</v>
      </c>
      <c r="H2112" s="5">
        <v>2225</v>
      </c>
      <c r="I2112" s="5">
        <v>621881.96</v>
      </c>
      <c r="J2112" s="6">
        <v>0.0005</v>
      </c>
      <c r="K2112" s="6">
        <v>-0.0631</v>
      </c>
    </row>
    <row r="2113" ht="14.5" spans="1:11">
      <c r="A2113" s="3" t="str">
        <f t="shared" si="123"/>
        <v>2026年</v>
      </c>
      <c r="B2113" s="3" t="str">
        <f t="shared" si="124"/>
        <v>2月</v>
      </c>
      <c r="C2113" s="4" t="str">
        <f t="shared" si="125"/>
        <v>W9</v>
      </c>
      <c r="D2113" s="2" t="s">
        <v>796</v>
      </c>
      <c r="E2113" s="2" t="s">
        <v>726</v>
      </c>
      <c r="F2113" s="2" t="str" cm="1">
        <f t="array" ref="F2113">INDEX(_xlfn.TEXTSPLIT(E2113,"-"),2)</f>
        <v>女装</v>
      </c>
      <c r="G2113" s="2" t="str" cm="1">
        <f t="array" ref="G2113">INDEX(_xlfn.TEXTSPLIT(E2113,"-"),3)</f>
        <v>羊绒衫</v>
      </c>
      <c r="H2113" s="5">
        <v>29890</v>
      </c>
      <c r="I2113" s="5">
        <v>9897998.36</v>
      </c>
      <c r="J2113" s="6">
        <v>0.0072</v>
      </c>
      <c r="K2113" s="6">
        <v>-0.1071</v>
      </c>
    </row>
    <row r="2114" ht="14.5" spans="1:11">
      <c r="A2114" s="3" t="str">
        <f t="shared" si="123"/>
        <v>2026年</v>
      </c>
      <c r="B2114" s="3" t="str">
        <f t="shared" si="124"/>
        <v>2月</v>
      </c>
      <c r="C2114" s="4" t="str">
        <f t="shared" si="125"/>
        <v>W9</v>
      </c>
      <c r="D2114" s="2" t="s">
        <v>796</v>
      </c>
      <c r="E2114" s="2" t="s">
        <v>727</v>
      </c>
      <c r="F2114" s="2" t="str" cm="1">
        <f t="array" ref="F2114">INDEX(_xlfn.TEXTSPLIT(E2114,"-"),2)</f>
        <v>女装</v>
      </c>
      <c r="G2114" s="2" t="str" cm="1">
        <f t="array" ref="G2114">INDEX(_xlfn.TEXTSPLIT(E2114,"-"),3)</f>
        <v>羽绒服</v>
      </c>
      <c r="H2114" s="5">
        <v>241071</v>
      </c>
      <c r="I2114" s="5">
        <v>60875736.99</v>
      </c>
      <c r="J2114" s="6">
        <v>0.0441</v>
      </c>
      <c r="K2114" s="6">
        <v>-0.3041</v>
      </c>
    </row>
    <row r="2115" ht="14.5" spans="1:11">
      <c r="A2115" s="3" t="str">
        <f t="shared" si="123"/>
        <v>2026年</v>
      </c>
      <c r="B2115" s="3" t="str">
        <f t="shared" si="124"/>
        <v>2月</v>
      </c>
      <c r="C2115" s="4" t="str">
        <f t="shared" si="125"/>
        <v>W9</v>
      </c>
      <c r="D2115" s="2" t="s">
        <v>796</v>
      </c>
      <c r="E2115" s="2" t="s">
        <v>728</v>
      </c>
      <c r="F2115" s="2" t="str" cm="1">
        <f t="array" ref="F2115">INDEX(_xlfn.TEXTSPLIT(E2115,"-"),2)</f>
        <v>女装</v>
      </c>
      <c r="G2115" s="2" t="str" cm="1">
        <f t="array" ref="G2115">INDEX(_xlfn.TEXTSPLIT(E2115,"-"),3)</f>
        <v>肌底衣/肌肤衣</v>
      </c>
      <c r="H2115" s="5">
        <v>4381</v>
      </c>
      <c r="I2115" s="5">
        <v>122575.95</v>
      </c>
      <c r="J2115" s="6">
        <v>0.0001</v>
      </c>
      <c r="K2115" s="6">
        <v>-0.669</v>
      </c>
    </row>
    <row r="2116" ht="14.5" spans="1:11">
      <c r="A2116" s="3" t="str">
        <f t="shared" si="123"/>
        <v>2026年</v>
      </c>
      <c r="B2116" s="3" t="str">
        <f t="shared" si="124"/>
        <v>2月</v>
      </c>
      <c r="C2116" s="4" t="str">
        <f t="shared" si="125"/>
        <v>W9</v>
      </c>
      <c r="D2116" s="2" t="s">
        <v>796</v>
      </c>
      <c r="E2116" s="2" t="s">
        <v>729</v>
      </c>
      <c r="F2116" s="2" t="str" cm="1">
        <f t="array" ref="F2116">INDEX(_xlfn.TEXTSPLIT(E2116,"-"),2)</f>
        <v>女装</v>
      </c>
      <c r="G2116" s="2" t="str" cm="1">
        <f t="array" ref="G2116">INDEX(_xlfn.TEXTSPLIT(E2116,"-"),3)</f>
        <v>背心吊带</v>
      </c>
      <c r="H2116" s="5">
        <v>419113</v>
      </c>
      <c r="I2116" s="5">
        <v>23934673.3</v>
      </c>
      <c r="J2116" s="6">
        <v>0.0173</v>
      </c>
      <c r="K2116" s="6">
        <v>-0.2082</v>
      </c>
    </row>
    <row r="2117" ht="14.5" spans="1:11">
      <c r="A2117" s="3" t="str">
        <f t="shared" si="123"/>
        <v>2026年</v>
      </c>
      <c r="B2117" s="3" t="str">
        <f t="shared" si="124"/>
        <v>2月</v>
      </c>
      <c r="C2117" s="4" t="str">
        <f t="shared" si="125"/>
        <v>W9</v>
      </c>
      <c r="D2117" s="2" t="s">
        <v>796</v>
      </c>
      <c r="E2117" s="2" t="s">
        <v>730</v>
      </c>
      <c r="F2117" s="2" t="str" cm="1">
        <f t="array" ref="F2117">INDEX(_xlfn.TEXTSPLIT(E2117,"-"),2)</f>
        <v>女装</v>
      </c>
      <c r="G2117" s="2" t="str" cm="1">
        <f t="array" ref="G2117">INDEX(_xlfn.TEXTSPLIT(E2117,"-"),3)</f>
        <v>蕾丝衫/雪纺衫</v>
      </c>
      <c r="H2117" s="5">
        <v>152374</v>
      </c>
      <c r="I2117" s="5">
        <v>10461640.04</v>
      </c>
      <c r="J2117" s="6">
        <v>0.0076</v>
      </c>
      <c r="K2117" s="6">
        <v>-0.266</v>
      </c>
    </row>
    <row r="2118" ht="14.5" spans="1:11">
      <c r="A2118" s="3" t="str">
        <f t="shared" si="123"/>
        <v>2026年</v>
      </c>
      <c r="B2118" s="3" t="str">
        <f t="shared" si="124"/>
        <v>2月</v>
      </c>
      <c r="C2118" s="4" t="str">
        <f t="shared" si="125"/>
        <v>W9</v>
      </c>
      <c r="D2118" s="2" t="s">
        <v>796</v>
      </c>
      <c r="E2118" s="2" t="s">
        <v>731</v>
      </c>
      <c r="F2118" s="2" t="str" cm="1">
        <f t="array" ref="F2118">INDEX(_xlfn.TEXTSPLIT(E2118,"-"),2)</f>
        <v>女装</v>
      </c>
      <c r="G2118" s="2" t="str" cm="1">
        <f t="array" ref="G2118">INDEX(_xlfn.TEXTSPLIT(E2118,"-"),3)</f>
        <v>衬衫</v>
      </c>
      <c r="H2118" s="5">
        <v>604049</v>
      </c>
      <c r="I2118" s="5">
        <v>65879524.42</v>
      </c>
      <c r="J2118" s="6">
        <v>0.0478</v>
      </c>
      <c r="K2118" s="6">
        <v>-0.2984</v>
      </c>
    </row>
    <row r="2119" ht="14.5" spans="1:11">
      <c r="A2119" s="3" t="str">
        <f t="shared" si="123"/>
        <v>2026年</v>
      </c>
      <c r="B2119" s="3" t="str">
        <f t="shared" si="124"/>
        <v>2月</v>
      </c>
      <c r="C2119" s="4" t="str">
        <f t="shared" si="125"/>
        <v>W9</v>
      </c>
      <c r="D2119" s="2" t="s">
        <v>796</v>
      </c>
      <c r="E2119" s="2" t="s">
        <v>732</v>
      </c>
      <c r="F2119" s="2" t="str" cm="1">
        <f t="array" ref="F2119">INDEX(_xlfn.TEXTSPLIT(E2119,"-"),2)</f>
        <v>女装</v>
      </c>
      <c r="G2119" s="2" t="str" cm="1">
        <f t="array" ref="G2119">INDEX(_xlfn.TEXTSPLIT(E2119,"-"),3)</f>
        <v>裤子</v>
      </c>
      <c r="H2119" s="5">
        <v>2094755</v>
      </c>
      <c r="I2119" s="5">
        <v>224649677.83</v>
      </c>
      <c r="J2119" s="6">
        <v>0.1628</v>
      </c>
      <c r="K2119" s="6">
        <v>-0.2153</v>
      </c>
    </row>
    <row r="2120" ht="14.5" spans="1:11">
      <c r="A2120" s="3" t="str">
        <f t="shared" si="123"/>
        <v>2026年</v>
      </c>
      <c r="B2120" s="3" t="str">
        <f t="shared" si="124"/>
        <v>2月</v>
      </c>
      <c r="C2120" s="4" t="str">
        <f t="shared" si="125"/>
        <v>W9</v>
      </c>
      <c r="D2120" s="2" t="s">
        <v>796</v>
      </c>
      <c r="E2120" s="2" t="s">
        <v>733</v>
      </c>
      <c r="F2120" s="2" t="str" cm="1">
        <f t="array" ref="F2120">INDEX(_xlfn.TEXTSPLIT(E2120,"-"),2)</f>
        <v>女装</v>
      </c>
      <c r="G2120" s="2" t="str" cm="1">
        <f t="array" ref="G2120">INDEX(_xlfn.TEXTSPLIT(E2120,"-"),3)</f>
        <v>西装</v>
      </c>
      <c r="H2120" s="5">
        <v>99491</v>
      </c>
      <c r="I2120" s="5">
        <v>28201386.66</v>
      </c>
      <c r="J2120" s="6">
        <v>0.0204</v>
      </c>
      <c r="K2120" s="6">
        <v>-0.0904</v>
      </c>
    </row>
    <row r="2121" ht="14.5" spans="1:11">
      <c r="A2121" s="3" t="str">
        <f t="shared" si="123"/>
        <v>2026年</v>
      </c>
      <c r="B2121" s="3" t="str">
        <f t="shared" si="124"/>
        <v>2月</v>
      </c>
      <c r="C2121" s="4" t="str">
        <f t="shared" si="125"/>
        <v>W9</v>
      </c>
      <c r="D2121" s="2" t="s">
        <v>796</v>
      </c>
      <c r="E2121" s="2" t="s">
        <v>734</v>
      </c>
      <c r="F2121" s="2" t="str" cm="1">
        <f t="array" ref="F2121">INDEX(_xlfn.TEXTSPLIT(E2121,"-"),2)</f>
        <v>女装</v>
      </c>
      <c r="G2121" s="2" t="str" cm="1">
        <f t="array" ref="G2121">INDEX(_xlfn.TEXTSPLIT(E2121,"-"),3)</f>
        <v>设计师/潮牌女装</v>
      </c>
      <c r="H2121" s="5">
        <v>125237</v>
      </c>
      <c r="I2121" s="5">
        <v>16637115.42</v>
      </c>
      <c r="J2121" s="6">
        <v>0.0121</v>
      </c>
      <c r="K2121" s="6">
        <v>-0.4712</v>
      </c>
    </row>
    <row r="2122" ht="14.5" spans="1:11">
      <c r="A2122" s="3" t="str">
        <f t="shared" si="123"/>
        <v>2026年</v>
      </c>
      <c r="B2122" s="3" t="str">
        <f t="shared" si="124"/>
        <v>2月</v>
      </c>
      <c r="C2122" s="4" t="str">
        <f t="shared" si="125"/>
        <v>W9</v>
      </c>
      <c r="D2122" s="2" t="s">
        <v>796</v>
      </c>
      <c r="E2122" s="2" t="s">
        <v>735</v>
      </c>
      <c r="F2122" s="2" t="str" cm="1">
        <f t="array" ref="F2122">INDEX(_xlfn.TEXTSPLIT(E2122,"-"),2)</f>
        <v>女装</v>
      </c>
      <c r="G2122" s="2" t="str" cm="1">
        <f t="array" ref="G2122">INDEX(_xlfn.TEXTSPLIT(E2122,"-"),3)</f>
        <v>连体衣/裤</v>
      </c>
      <c r="H2122" s="5">
        <v>14182</v>
      </c>
      <c r="I2122" s="5">
        <v>3026712.82</v>
      </c>
      <c r="J2122" s="6">
        <v>0.0022</v>
      </c>
      <c r="K2122" s="6">
        <v>-0.1018</v>
      </c>
    </row>
    <row r="2123" ht="14.5" spans="1:11">
      <c r="A2123" s="3" t="str">
        <f t="shared" si="123"/>
        <v>2026年</v>
      </c>
      <c r="B2123" s="3" t="str">
        <f t="shared" si="124"/>
        <v>2月</v>
      </c>
      <c r="C2123" s="4" t="str">
        <f t="shared" si="125"/>
        <v>W9</v>
      </c>
      <c r="D2123" s="2" t="s">
        <v>796</v>
      </c>
      <c r="E2123" s="2" t="s">
        <v>736</v>
      </c>
      <c r="F2123" s="2" t="str" cm="1">
        <f t="array" ref="F2123">INDEX(_xlfn.TEXTSPLIT(E2123,"-"),2)</f>
        <v>女装</v>
      </c>
      <c r="G2123" s="2" t="str" cm="1">
        <f t="array" ref="G2123">INDEX(_xlfn.TEXTSPLIT(E2123,"-"),3)</f>
        <v>连衣裙</v>
      </c>
      <c r="H2123" s="5">
        <v>627343</v>
      </c>
      <c r="I2123" s="5">
        <v>100068494.95</v>
      </c>
      <c r="J2123" s="6">
        <v>0.0725</v>
      </c>
      <c r="K2123" s="6">
        <v>-0.2769</v>
      </c>
    </row>
    <row r="2124" ht="14.5" spans="1:11">
      <c r="A2124" s="3" t="str">
        <f t="shared" si="123"/>
        <v>2026年</v>
      </c>
      <c r="B2124" s="3" t="str">
        <f t="shared" si="124"/>
        <v>2月</v>
      </c>
      <c r="C2124" s="4" t="str">
        <f t="shared" si="125"/>
        <v>W9</v>
      </c>
      <c r="D2124" s="2" t="s">
        <v>796</v>
      </c>
      <c r="E2124" s="2" t="s">
        <v>737</v>
      </c>
      <c r="F2124" s="2" t="str" cm="1">
        <f t="array" ref="F2124">INDEX(_xlfn.TEXTSPLIT(E2124,"-"),2)</f>
        <v>女装</v>
      </c>
      <c r="G2124" s="2" t="str" cm="1">
        <f t="array" ref="G2124">INDEX(_xlfn.TEXTSPLIT(E2124,"-"),3)</f>
        <v>风衣</v>
      </c>
      <c r="H2124" s="5">
        <v>130989</v>
      </c>
      <c r="I2124" s="5">
        <v>30046291.12</v>
      </c>
      <c r="J2124" s="6">
        <v>0.0218</v>
      </c>
      <c r="K2124" s="6">
        <v>-0.3217</v>
      </c>
    </row>
    <row r="2125" ht="14.5" spans="1:11">
      <c r="A2125" s="3" t="str">
        <f t="shared" si="123"/>
        <v>2026年</v>
      </c>
      <c r="B2125" s="3" t="str">
        <f t="shared" si="124"/>
        <v>2月</v>
      </c>
      <c r="C2125" s="4" t="str">
        <f t="shared" si="125"/>
        <v>W9</v>
      </c>
      <c r="D2125" s="2" t="s">
        <v>796</v>
      </c>
      <c r="E2125" s="2" t="s">
        <v>738</v>
      </c>
      <c r="F2125" s="2" t="str" cm="1">
        <f t="array" ref="F2125">INDEX(_xlfn.TEXTSPLIT(E2125,"-"),2)</f>
        <v>女装</v>
      </c>
      <c r="G2125" s="2" t="str" cm="1">
        <f t="array" ref="G2125">INDEX(_xlfn.TEXTSPLIT(E2125,"-"),3)</f>
        <v>马夹</v>
      </c>
      <c r="H2125" s="5">
        <v>266892</v>
      </c>
      <c r="I2125" s="5">
        <v>27399023.54</v>
      </c>
      <c r="J2125" s="6">
        <v>0.0199</v>
      </c>
      <c r="K2125" s="6">
        <v>-0.222</v>
      </c>
    </row>
    <row r="2126" ht="14.5" spans="1:11">
      <c r="A2126" s="3" t="str">
        <f t="shared" ref="A2126:A2189" si="126">TEXT(YEAR(D2126),"0")&amp;"年"</f>
        <v>2026年</v>
      </c>
      <c r="B2126" s="3" t="str">
        <f t="shared" ref="B2126:B2189" si="127">TEXT(MONTH(D2126),"0")&amp;"月"</f>
        <v>3月</v>
      </c>
      <c r="C2126" s="4" t="str">
        <f t="shared" ref="C2126:C2189" si="128">"W"&amp;TEXT(WEEKNUM(D2126,2),"0")</f>
        <v>W9</v>
      </c>
      <c r="D2126" s="11" t="s">
        <v>797</v>
      </c>
      <c r="E2126" s="11" t="s">
        <v>702</v>
      </c>
      <c r="F2126" s="2" t="str" cm="1">
        <f t="array" ref="F2126">INDEX(_xlfn.TEXTSPLIT(E2126,"-"),2)</f>
        <v>女装</v>
      </c>
      <c r="G2126" s="2" t="str" cm="1">
        <f t="array" ref="G2126">INDEX(_xlfn.TEXTSPLIT(E2126,"-"),3)</f>
        <v>POLO衫</v>
      </c>
      <c r="H2126" s="12">
        <v>41390</v>
      </c>
      <c r="I2126" s="12">
        <v>3705022.3</v>
      </c>
      <c r="J2126" s="13">
        <v>0.0015</v>
      </c>
      <c r="K2126" s="13">
        <v>-0.2587</v>
      </c>
    </row>
    <row r="2127" ht="14.5" spans="1:11">
      <c r="A2127" s="3" t="str">
        <f t="shared" si="126"/>
        <v>2026年</v>
      </c>
      <c r="B2127" s="3" t="str">
        <f t="shared" si="127"/>
        <v>3月</v>
      </c>
      <c r="C2127" s="4" t="str">
        <f t="shared" si="128"/>
        <v>W9</v>
      </c>
      <c r="D2127" s="11" t="s">
        <v>797</v>
      </c>
      <c r="E2127" s="11" t="s">
        <v>703</v>
      </c>
      <c r="F2127" s="2" t="str" cm="1">
        <f t="array" ref="F2127">INDEX(_xlfn.TEXTSPLIT(E2127,"-"),2)</f>
        <v>女装</v>
      </c>
      <c r="G2127" s="2" t="str" cm="1">
        <f t="array" ref="G2127">INDEX(_xlfn.TEXTSPLIT(E2127,"-"),3)</f>
        <v>T恤</v>
      </c>
      <c r="H2127" s="12">
        <v>2641918</v>
      </c>
      <c r="I2127" s="12">
        <v>165978366.28</v>
      </c>
      <c r="J2127" s="13">
        <v>0.0676</v>
      </c>
      <c r="K2127" s="13">
        <v>0.1056</v>
      </c>
    </row>
    <row r="2128" ht="14.5" spans="1:11">
      <c r="A2128" s="3" t="str">
        <f t="shared" si="126"/>
        <v>2026年</v>
      </c>
      <c r="B2128" s="3" t="str">
        <f t="shared" si="127"/>
        <v>3月</v>
      </c>
      <c r="C2128" s="4" t="str">
        <f t="shared" si="128"/>
        <v>W9</v>
      </c>
      <c r="D2128" s="11" t="s">
        <v>797</v>
      </c>
      <c r="E2128" s="11" t="s">
        <v>704</v>
      </c>
      <c r="F2128" s="2" t="str" cm="1">
        <f t="array" ref="F2128">INDEX(_xlfn.TEXTSPLIT(E2128,"-"),2)</f>
        <v>女装</v>
      </c>
      <c r="G2128" s="2" t="str" cm="1">
        <f t="array" ref="G2128">INDEX(_xlfn.TEXTSPLIT(E2128,"-"),3)</f>
        <v>中老年女装</v>
      </c>
      <c r="H2128" s="12">
        <v>172242</v>
      </c>
      <c r="I2128" s="12">
        <v>14185119.71</v>
      </c>
      <c r="J2128" s="13">
        <v>0.0058</v>
      </c>
      <c r="K2128" s="13">
        <v>0.045</v>
      </c>
    </row>
    <row r="2129" ht="14.5" spans="1:11">
      <c r="A2129" s="3" t="str">
        <f t="shared" si="126"/>
        <v>2026年</v>
      </c>
      <c r="B2129" s="3" t="str">
        <f t="shared" si="127"/>
        <v>3月</v>
      </c>
      <c r="C2129" s="4" t="str">
        <f t="shared" si="128"/>
        <v>W9</v>
      </c>
      <c r="D2129" s="11" t="s">
        <v>797</v>
      </c>
      <c r="E2129" s="11" t="s">
        <v>705</v>
      </c>
      <c r="F2129" s="2" t="str" cm="1">
        <f t="array" ref="F2129">INDEX(_xlfn.TEXTSPLIT(E2129,"-"),2)</f>
        <v>女装</v>
      </c>
      <c r="G2129" s="2" t="str" cm="1">
        <f t="array" ref="G2129">INDEX(_xlfn.TEXTSPLIT(E2129,"-"),3)</f>
        <v>半身裙</v>
      </c>
      <c r="H2129" s="12">
        <v>765406</v>
      </c>
      <c r="I2129" s="12">
        <v>95410271.88</v>
      </c>
      <c r="J2129" s="13">
        <v>0.0389</v>
      </c>
      <c r="K2129" s="13">
        <v>0.0129</v>
      </c>
    </row>
    <row r="2130" ht="14.5" spans="1:11">
      <c r="A2130" s="3" t="str">
        <f t="shared" si="126"/>
        <v>2026年</v>
      </c>
      <c r="B2130" s="3" t="str">
        <f t="shared" si="127"/>
        <v>3月</v>
      </c>
      <c r="C2130" s="4" t="str">
        <f t="shared" si="128"/>
        <v>W9</v>
      </c>
      <c r="D2130" s="11" t="s">
        <v>797</v>
      </c>
      <c r="E2130" s="11" t="s">
        <v>706</v>
      </c>
      <c r="F2130" s="2" t="str" cm="1">
        <f t="array" ref="F2130">INDEX(_xlfn.TEXTSPLIT(E2130,"-"),2)</f>
        <v>女装</v>
      </c>
      <c r="G2130" s="2" t="str" cm="1">
        <f t="array" ref="G2130">INDEX(_xlfn.TEXTSPLIT(E2130,"-"),3)</f>
        <v>卫衣/绒衫</v>
      </c>
      <c r="H2130" s="12">
        <v>414016</v>
      </c>
      <c r="I2130" s="12">
        <v>40606536.04</v>
      </c>
      <c r="J2130" s="13">
        <v>0.0165</v>
      </c>
      <c r="K2130" s="13">
        <v>-0.1475</v>
      </c>
    </row>
    <row r="2131" ht="14.5" spans="1:11">
      <c r="A2131" s="3" t="str">
        <f t="shared" si="126"/>
        <v>2026年</v>
      </c>
      <c r="B2131" s="3" t="str">
        <f t="shared" si="127"/>
        <v>3月</v>
      </c>
      <c r="C2131" s="4" t="str">
        <f t="shared" si="128"/>
        <v>W9</v>
      </c>
      <c r="D2131" s="11" t="s">
        <v>797</v>
      </c>
      <c r="E2131" s="11" t="s">
        <v>707</v>
      </c>
      <c r="F2131" s="2" t="str" cm="1">
        <f t="array" ref="F2131">INDEX(_xlfn.TEXTSPLIT(E2131,"-"),2)</f>
        <v>女装</v>
      </c>
      <c r="G2131" s="2" t="str" cm="1">
        <f t="array" ref="G2131">INDEX(_xlfn.TEXTSPLIT(E2131,"-"),3)</f>
        <v>唐装/民族服装/舞台服装</v>
      </c>
      <c r="H2131" s="12">
        <v>290459</v>
      </c>
      <c r="I2131" s="12">
        <v>52846442.85</v>
      </c>
      <c r="J2131" s="13">
        <v>0.0215</v>
      </c>
      <c r="K2131" s="13">
        <v>0.066</v>
      </c>
    </row>
    <row r="2132" ht="14.5" spans="1:11">
      <c r="A2132" s="3" t="str">
        <f t="shared" si="126"/>
        <v>2026年</v>
      </c>
      <c r="B2132" s="3" t="str">
        <f t="shared" si="127"/>
        <v>3月</v>
      </c>
      <c r="C2132" s="4" t="str">
        <f t="shared" si="128"/>
        <v>W9</v>
      </c>
      <c r="D2132" s="11" t="s">
        <v>797</v>
      </c>
      <c r="E2132" s="11" t="s">
        <v>708</v>
      </c>
      <c r="F2132" s="2" t="str" cm="1">
        <f t="array" ref="F2132">INDEX(_xlfn.TEXTSPLIT(E2132,"-"),2)</f>
        <v>女装</v>
      </c>
      <c r="G2132" s="2" t="str" cm="1">
        <f t="array" ref="G2132">INDEX(_xlfn.TEXTSPLIT(E2132,"-"),3)</f>
        <v>大码女装</v>
      </c>
      <c r="H2132" s="12">
        <v>609866</v>
      </c>
      <c r="I2132" s="12">
        <v>40494348.55</v>
      </c>
      <c r="J2132" s="13">
        <v>0.0165</v>
      </c>
      <c r="K2132" s="13">
        <v>0.0446</v>
      </c>
    </row>
    <row r="2133" ht="14.5" spans="1:11">
      <c r="A2133" s="3" t="str">
        <f t="shared" si="126"/>
        <v>2026年</v>
      </c>
      <c r="B2133" s="3" t="str">
        <f t="shared" si="127"/>
        <v>3月</v>
      </c>
      <c r="C2133" s="4" t="str">
        <f t="shared" si="128"/>
        <v>W9</v>
      </c>
      <c r="D2133" s="11" t="s">
        <v>797</v>
      </c>
      <c r="E2133" s="11" t="s">
        <v>709</v>
      </c>
      <c r="F2133" s="2" t="str" cm="1">
        <f t="array" ref="F2133">INDEX(_xlfn.TEXTSPLIT(E2133,"-"),2)</f>
        <v>女装</v>
      </c>
      <c r="G2133" s="2" t="str" cm="1">
        <f t="array" ref="G2133">INDEX(_xlfn.TEXTSPLIT(E2133,"-"),3)</f>
        <v>套装/学生校服/工作制服</v>
      </c>
      <c r="H2133" s="12">
        <v>1266722</v>
      </c>
      <c r="I2133" s="12">
        <v>178577215.89</v>
      </c>
      <c r="J2133" s="13">
        <v>0.0727</v>
      </c>
      <c r="K2133" s="13">
        <v>0.0521</v>
      </c>
    </row>
    <row r="2134" ht="14.5" spans="1:11">
      <c r="A2134" s="3" t="str">
        <f t="shared" si="126"/>
        <v>2026年</v>
      </c>
      <c r="B2134" s="3" t="str">
        <f t="shared" si="127"/>
        <v>3月</v>
      </c>
      <c r="C2134" s="4" t="str">
        <f t="shared" si="128"/>
        <v>W9</v>
      </c>
      <c r="D2134" s="11" t="s">
        <v>797</v>
      </c>
      <c r="E2134" s="11" t="s">
        <v>710</v>
      </c>
      <c r="F2134" s="2" t="str" cm="1">
        <f t="array" ref="F2134">INDEX(_xlfn.TEXTSPLIT(E2134,"-"),2)</f>
        <v>女装</v>
      </c>
      <c r="G2134" s="2" t="str" cm="1">
        <f t="array" ref="G2134">INDEX(_xlfn.TEXTSPLIT(E2134,"-"),3)</f>
        <v>婚纱/旗袍/礼服</v>
      </c>
      <c r="H2134" s="12">
        <v>86488</v>
      </c>
      <c r="I2134" s="12">
        <v>15522631.91</v>
      </c>
      <c r="J2134" s="13">
        <v>0.0063</v>
      </c>
      <c r="K2134" s="13">
        <v>0.039</v>
      </c>
    </row>
    <row r="2135" ht="14.5" spans="1:11">
      <c r="A2135" s="3" t="str">
        <f t="shared" si="126"/>
        <v>2026年</v>
      </c>
      <c r="B2135" s="3" t="str">
        <f t="shared" si="127"/>
        <v>3月</v>
      </c>
      <c r="C2135" s="4" t="str">
        <f t="shared" si="128"/>
        <v>W9</v>
      </c>
      <c r="D2135" s="11" t="s">
        <v>797</v>
      </c>
      <c r="E2135" s="11" t="s">
        <v>711</v>
      </c>
      <c r="F2135" s="2" t="str" cm="1">
        <f t="array" ref="F2135">INDEX(_xlfn.TEXTSPLIT(E2135,"-"),2)</f>
        <v>女装</v>
      </c>
      <c r="G2135" s="2" t="str" cm="1">
        <f t="array" ref="G2135">INDEX(_xlfn.TEXTSPLIT(E2135,"-"),3)</f>
        <v>新中式女装</v>
      </c>
      <c r="H2135" s="12">
        <v>95706</v>
      </c>
      <c r="I2135" s="12">
        <v>8473307.08</v>
      </c>
      <c r="J2135" s="13">
        <v>0.0035</v>
      </c>
      <c r="K2135" s="13">
        <v>-0.1567</v>
      </c>
    </row>
    <row r="2136" ht="14.5" spans="1:11">
      <c r="A2136" s="3" t="str">
        <f t="shared" si="126"/>
        <v>2026年</v>
      </c>
      <c r="B2136" s="3" t="str">
        <f t="shared" si="127"/>
        <v>3月</v>
      </c>
      <c r="C2136" s="4" t="str">
        <f t="shared" si="128"/>
        <v>W9</v>
      </c>
      <c r="D2136" s="11" t="s">
        <v>797</v>
      </c>
      <c r="E2136" s="11" t="s">
        <v>712</v>
      </c>
      <c r="F2136" s="2" t="str" cm="1">
        <f t="array" ref="F2136">INDEX(_xlfn.TEXTSPLIT(E2136,"-"),2)</f>
        <v>女装</v>
      </c>
      <c r="G2136" s="2" t="str" cm="1">
        <f t="array" ref="G2136">INDEX(_xlfn.TEXTSPLIT(E2136,"-"),3)</f>
        <v>时尚防晒服</v>
      </c>
      <c r="H2136" s="12">
        <v>13335</v>
      </c>
      <c r="I2136" s="12">
        <v>2037076.4</v>
      </c>
      <c r="J2136" s="13">
        <v>0.0008</v>
      </c>
      <c r="K2136" s="13">
        <v>-0.1232</v>
      </c>
    </row>
    <row r="2137" ht="14.5" spans="1:11">
      <c r="A2137" s="3" t="str">
        <f t="shared" si="126"/>
        <v>2026年</v>
      </c>
      <c r="B2137" s="3" t="str">
        <f t="shared" si="127"/>
        <v>3月</v>
      </c>
      <c r="C2137" s="4" t="str">
        <f t="shared" si="128"/>
        <v>W9</v>
      </c>
      <c r="D2137" s="11" t="s">
        <v>797</v>
      </c>
      <c r="E2137" s="11" t="s">
        <v>714</v>
      </c>
      <c r="F2137" s="2" t="str" cm="1">
        <f t="array" ref="F2137">INDEX(_xlfn.TEXTSPLIT(E2137,"-"),2)</f>
        <v>女装</v>
      </c>
      <c r="G2137" s="2" t="str" cm="1">
        <f t="array" ref="G2137">INDEX(_xlfn.TEXTSPLIT(E2137,"-"),3)</f>
        <v>棉衣/棉服</v>
      </c>
      <c r="H2137" s="12">
        <v>267975</v>
      </c>
      <c r="I2137" s="12">
        <v>23403670.31</v>
      </c>
      <c r="J2137" s="13">
        <v>0.0095</v>
      </c>
      <c r="K2137" s="13">
        <v>0.0338</v>
      </c>
    </row>
    <row r="2138" ht="14.5" spans="1:11">
      <c r="A2138" s="3" t="str">
        <f t="shared" si="126"/>
        <v>2026年</v>
      </c>
      <c r="B2138" s="3" t="str">
        <f t="shared" si="127"/>
        <v>3月</v>
      </c>
      <c r="C2138" s="4" t="str">
        <f t="shared" si="128"/>
        <v>W9</v>
      </c>
      <c r="D2138" s="11" t="s">
        <v>797</v>
      </c>
      <c r="E2138" s="11" t="s">
        <v>715</v>
      </c>
      <c r="F2138" s="2" t="str" cm="1">
        <f t="array" ref="F2138">INDEX(_xlfn.TEXTSPLIT(E2138,"-"),2)</f>
        <v>女装</v>
      </c>
      <c r="G2138" s="2" t="str" cm="1">
        <f t="array" ref="G2138">INDEX(_xlfn.TEXTSPLIT(E2138,"-"),3)</f>
        <v>毛呢外套</v>
      </c>
      <c r="H2138" s="12">
        <v>345572</v>
      </c>
      <c r="I2138" s="12">
        <v>86038908.01</v>
      </c>
      <c r="J2138" s="13">
        <v>0.035</v>
      </c>
      <c r="K2138" s="13">
        <v>0.0142</v>
      </c>
    </row>
    <row r="2139" ht="14.5" spans="1:11">
      <c r="A2139" s="3" t="str">
        <f t="shared" si="126"/>
        <v>2026年</v>
      </c>
      <c r="B2139" s="3" t="str">
        <f t="shared" si="127"/>
        <v>3月</v>
      </c>
      <c r="C2139" s="4" t="str">
        <f t="shared" si="128"/>
        <v>W9</v>
      </c>
      <c r="D2139" s="11" t="s">
        <v>797</v>
      </c>
      <c r="E2139" s="11" t="s">
        <v>716</v>
      </c>
      <c r="F2139" s="2" t="str" cm="1">
        <f t="array" ref="F2139">INDEX(_xlfn.TEXTSPLIT(E2139,"-"),2)</f>
        <v>女装</v>
      </c>
      <c r="G2139" s="2" t="str" cm="1">
        <f t="array" ref="G2139">INDEX(_xlfn.TEXTSPLIT(E2139,"-"),3)</f>
        <v>毛衣</v>
      </c>
      <c r="H2139" s="12">
        <v>289155</v>
      </c>
      <c r="I2139" s="12">
        <v>27664550.95</v>
      </c>
      <c r="J2139" s="13">
        <v>0.0113</v>
      </c>
      <c r="K2139" s="13">
        <v>0.1929</v>
      </c>
    </row>
    <row r="2140" ht="14.5" spans="1:11">
      <c r="A2140" s="3" t="str">
        <f t="shared" si="126"/>
        <v>2026年</v>
      </c>
      <c r="B2140" s="3" t="str">
        <f t="shared" si="127"/>
        <v>3月</v>
      </c>
      <c r="C2140" s="4" t="str">
        <f t="shared" si="128"/>
        <v>W9</v>
      </c>
      <c r="D2140" s="11" t="s">
        <v>797</v>
      </c>
      <c r="E2140" s="11" t="s">
        <v>717</v>
      </c>
      <c r="F2140" s="2" t="str" cm="1">
        <f t="array" ref="F2140">INDEX(_xlfn.TEXTSPLIT(E2140,"-"),2)</f>
        <v>女装</v>
      </c>
      <c r="G2140" s="2" t="str" cm="1">
        <f t="array" ref="G2140">INDEX(_xlfn.TEXTSPLIT(E2140,"-"),3)</f>
        <v>毛针织衫</v>
      </c>
      <c r="H2140" s="12">
        <v>1739106</v>
      </c>
      <c r="I2140" s="12">
        <v>139376722.52</v>
      </c>
      <c r="J2140" s="13">
        <v>0.0568</v>
      </c>
      <c r="K2140" s="13">
        <v>0.0081</v>
      </c>
    </row>
    <row r="2141" ht="14.5" spans="1:11">
      <c r="A2141" s="3" t="str">
        <f t="shared" si="126"/>
        <v>2026年</v>
      </c>
      <c r="B2141" s="3" t="str">
        <f t="shared" si="127"/>
        <v>3月</v>
      </c>
      <c r="C2141" s="4" t="str">
        <f t="shared" si="128"/>
        <v>W9</v>
      </c>
      <c r="D2141" s="11" t="s">
        <v>797</v>
      </c>
      <c r="E2141" s="11" t="s">
        <v>718</v>
      </c>
      <c r="F2141" s="2" t="str" cm="1">
        <f t="array" ref="F2141">INDEX(_xlfn.TEXTSPLIT(E2141,"-"),2)</f>
        <v>女装</v>
      </c>
      <c r="G2141" s="2" t="str" cm="1">
        <f t="array" ref="G2141">INDEX(_xlfn.TEXTSPLIT(E2141,"-"),3)</f>
        <v>汉服</v>
      </c>
      <c r="H2141" s="12">
        <v>334930</v>
      </c>
      <c r="I2141" s="12">
        <v>117603613.69</v>
      </c>
      <c r="J2141" s="13">
        <v>0.0479</v>
      </c>
      <c r="K2141" s="13">
        <v>0.1865</v>
      </c>
    </row>
    <row r="2142" ht="14.5" spans="1:11">
      <c r="A2142" s="3" t="str">
        <f t="shared" si="126"/>
        <v>2026年</v>
      </c>
      <c r="B2142" s="3" t="str">
        <f t="shared" si="127"/>
        <v>3月</v>
      </c>
      <c r="C2142" s="4" t="str">
        <f t="shared" si="128"/>
        <v>W9</v>
      </c>
      <c r="D2142" s="11" t="s">
        <v>797</v>
      </c>
      <c r="E2142" s="11" t="s">
        <v>719</v>
      </c>
      <c r="F2142" s="2" t="str" cm="1">
        <f t="array" ref="F2142">INDEX(_xlfn.TEXTSPLIT(E2142,"-"),2)</f>
        <v>女装</v>
      </c>
      <c r="G2142" s="2" t="str" cm="1">
        <f t="array" ref="G2142">INDEX(_xlfn.TEXTSPLIT(E2142,"-"),3)</f>
        <v>派克服</v>
      </c>
      <c r="H2142" s="12">
        <v>9099</v>
      </c>
      <c r="I2142" s="12">
        <v>1377512.53</v>
      </c>
      <c r="J2142" s="13">
        <v>0.0006</v>
      </c>
      <c r="K2142" s="13">
        <v>-0.178</v>
      </c>
    </row>
    <row r="2143" ht="14.5" spans="1:11">
      <c r="A2143" s="3" t="str">
        <f t="shared" si="126"/>
        <v>2026年</v>
      </c>
      <c r="B2143" s="3" t="str">
        <f t="shared" si="127"/>
        <v>3月</v>
      </c>
      <c r="C2143" s="4" t="str">
        <f t="shared" si="128"/>
        <v>W9</v>
      </c>
      <c r="D2143" s="11" t="s">
        <v>797</v>
      </c>
      <c r="E2143" s="11" t="s">
        <v>720</v>
      </c>
      <c r="F2143" s="2" t="str" cm="1">
        <f t="array" ref="F2143">INDEX(_xlfn.TEXTSPLIT(E2143,"-"),2)</f>
        <v>女装</v>
      </c>
      <c r="G2143" s="2" t="str" cm="1">
        <f t="array" ref="G2143">INDEX(_xlfn.TEXTSPLIT(E2143,"-"),3)</f>
        <v>皮草</v>
      </c>
      <c r="H2143" s="12">
        <v>37157</v>
      </c>
      <c r="I2143" s="12">
        <v>58464134.65</v>
      </c>
      <c r="J2143" s="13">
        <v>0.0238</v>
      </c>
      <c r="K2143" s="13">
        <v>-0.0748</v>
      </c>
    </row>
    <row r="2144" ht="14.5" spans="1:11">
      <c r="A2144" s="3" t="str">
        <f t="shared" si="126"/>
        <v>2026年</v>
      </c>
      <c r="B2144" s="3" t="str">
        <f t="shared" si="127"/>
        <v>3月</v>
      </c>
      <c r="C2144" s="4" t="str">
        <f t="shared" si="128"/>
        <v>W9</v>
      </c>
      <c r="D2144" s="11" t="s">
        <v>797</v>
      </c>
      <c r="E2144" s="11" t="s">
        <v>721</v>
      </c>
      <c r="F2144" s="2" t="str" cm="1">
        <f t="array" ref="F2144">INDEX(_xlfn.TEXTSPLIT(E2144,"-"),2)</f>
        <v>女装</v>
      </c>
      <c r="G2144" s="2" t="str" cm="1">
        <f t="array" ref="G2144">INDEX(_xlfn.TEXTSPLIT(E2144,"-"),3)</f>
        <v>皮衣</v>
      </c>
      <c r="H2144" s="12">
        <v>220346</v>
      </c>
      <c r="I2144" s="12">
        <v>83572202.04</v>
      </c>
      <c r="J2144" s="13">
        <v>0.034</v>
      </c>
      <c r="K2144" s="13">
        <v>-0.0917</v>
      </c>
    </row>
    <row r="2145" ht="14.5" spans="1:11">
      <c r="A2145" s="3" t="str">
        <f t="shared" si="126"/>
        <v>2026年</v>
      </c>
      <c r="B2145" s="3" t="str">
        <f t="shared" si="127"/>
        <v>3月</v>
      </c>
      <c r="C2145" s="4" t="str">
        <f t="shared" si="128"/>
        <v>W9</v>
      </c>
      <c r="D2145" s="11" t="s">
        <v>797</v>
      </c>
      <c r="E2145" s="11" t="s">
        <v>722</v>
      </c>
      <c r="F2145" s="2" t="str" cm="1">
        <f t="array" ref="F2145">INDEX(_xlfn.TEXTSPLIT(E2145,"-"),2)</f>
        <v>女装</v>
      </c>
      <c r="G2145" s="2" t="str" cm="1">
        <f t="array" ref="G2145">INDEX(_xlfn.TEXTSPLIT(E2145,"-"),3)</f>
        <v>短外套</v>
      </c>
      <c r="H2145" s="12">
        <v>1203350</v>
      </c>
      <c r="I2145" s="12">
        <v>210901922.59</v>
      </c>
      <c r="J2145" s="13">
        <v>0.0859</v>
      </c>
      <c r="K2145" s="13">
        <v>0.0511</v>
      </c>
    </row>
    <row r="2146" ht="14.5" spans="1:11">
      <c r="A2146" s="3" t="str">
        <f t="shared" si="126"/>
        <v>2026年</v>
      </c>
      <c r="B2146" s="3" t="str">
        <f t="shared" si="127"/>
        <v>3月</v>
      </c>
      <c r="C2146" s="4" t="str">
        <f t="shared" si="128"/>
        <v>W9</v>
      </c>
      <c r="D2146" s="11" t="s">
        <v>797</v>
      </c>
      <c r="E2146" s="11" t="s">
        <v>723</v>
      </c>
      <c r="F2146" s="2" t="str" cm="1">
        <f t="array" ref="F2146">INDEX(_xlfn.TEXTSPLIT(E2146,"-"),2)</f>
        <v>女装</v>
      </c>
      <c r="G2146" s="2" t="str" cm="1">
        <f t="array" ref="G2146">INDEX(_xlfn.TEXTSPLIT(E2146,"-"),3)</f>
        <v>短裤</v>
      </c>
      <c r="H2146" s="12">
        <v>137740</v>
      </c>
      <c r="I2146" s="12">
        <v>9081923.72</v>
      </c>
      <c r="J2146" s="13">
        <v>0.0037</v>
      </c>
      <c r="K2146" s="13">
        <v>0.0312</v>
      </c>
    </row>
    <row r="2147" ht="14.5" spans="1:11">
      <c r="A2147" s="3" t="str">
        <f t="shared" si="126"/>
        <v>2026年</v>
      </c>
      <c r="B2147" s="3" t="str">
        <f t="shared" si="127"/>
        <v>3月</v>
      </c>
      <c r="C2147" s="4" t="str">
        <f t="shared" si="128"/>
        <v>W9</v>
      </c>
      <c r="D2147" s="11" t="s">
        <v>797</v>
      </c>
      <c r="E2147" s="11" t="s">
        <v>724</v>
      </c>
      <c r="F2147" s="2" t="str" cm="1">
        <f t="array" ref="F2147">INDEX(_xlfn.TEXTSPLIT(E2147,"-"),2)</f>
        <v>女装</v>
      </c>
      <c r="G2147" s="2" t="str" cm="1">
        <f t="array" ref="G2147">INDEX(_xlfn.TEXTSPLIT(E2147,"-"),3)</f>
        <v>羊毛衫</v>
      </c>
      <c r="H2147" s="12">
        <v>210483</v>
      </c>
      <c r="I2147" s="12">
        <v>26692502.29</v>
      </c>
      <c r="J2147" s="13">
        <v>0.0109</v>
      </c>
      <c r="K2147" s="13">
        <v>-0.039</v>
      </c>
    </row>
    <row r="2148" ht="14.5" spans="1:11">
      <c r="A2148" s="3" t="str">
        <f t="shared" si="126"/>
        <v>2026年</v>
      </c>
      <c r="B2148" s="3" t="str">
        <f t="shared" si="127"/>
        <v>3月</v>
      </c>
      <c r="C2148" s="4" t="str">
        <f t="shared" si="128"/>
        <v>W9</v>
      </c>
      <c r="D2148" s="11" t="s">
        <v>797</v>
      </c>
      <c r="E2148" s="11" t="s">
        <v>725</v>
      </c>
      <c r="F2148" s="2" t="str" cm="1">
        <f t="array" ref="F2148">INDEX(_xlfn.TEXTSPLIT(E2148,"-"),2)</f>
        <v>女装</v>
      </c>
      <c r="G2148" s="2" t="str" cm="1">
        <f t="array" ref="G2148">INDEX(_xlfn.TEXTSPLIT(E2148,"-"),3)</f>
        <v>羊绒大衣</v>
      </c>
      <c r="H2148" s="12">
        <v>1927</v>
      </c>
      <c r="I2148" s="12">
        <v>1381262.64</v>
      </c>
      <c r="J2148" s="13">
        <v>0.0006</v>
      </c>
      <c r="K2148" s="13">
        <v>0.5647</v>
      </c>
    </row>
    <row r="2149" ht="14.5" spans="1:11">
      <c r="A2149" s="3" t="str">
        <f t="shared" si="126"/>
        <v>2026年</v>
      </c>
      <c r="B2149" s="3" t="str">
        <f t="shared" si="127"/>
        <v>3月</v>
      </c>
      <c r="C2149" s="4" t="str">
        <f t="shared" si="128"/>
        <v>W9</v>
      </c>
      <c r="D2149" s="11" t="s">
        <v>797</v>
      </c>
      <c r="E2149" s="11" t="s">
        <v>726</v>
      </c>
      <c r="F2149" s="2" t="str" cm="1">
        <f t="array" ref="F2149">INDEX(_xlfn.TEXTSPLIT(E2149,"-"),2)</f>
        <v>女装</v>
      </c>
      <c r="G2149" s="2" t="str" cm="1">
        <f t="array" ref="G2149">INDEX(_xlfn.TEXTSPLIT(E2149,"-"),3)</f>
        <v>羊绒衫</v>
      </c>
      <c r="H2149" s="12">
        <v>61425</v>
      </c>
      <c r="I2149" s="12">
        <v>13328768.05</v>
      </c>
      <c r="J2149" s="13">
        <v>0.0054</v>
      </c>
      <c r="K2149" s="13">
        <v>-0.0312</v>
      </c>
    </row>
    <row r="2150" ht="14.5" spans="1:11">
      <c r="A2150" s="3" t="str">
        <f t="shared" si="126"/>
        <v>2026年</v>
      </c>
      <c r="B2150" s="3" t="str">
        <f t="shared" si="127"/>
        <v>3月</v>
      </c>
      <c r="C2150" s="4" t="str">
        <f t="shared" si="128"/>
        <v>W9</v>
      </c>
      <c r="D2150" s="11" t="s">
        <v>797</v>
      </c>
      <c r="E2150" s="11" t="s">
        <v>727</v>
      </c>
      <c r="F2150" s="2" t="str" cm="1">
        <f t="array" ref="F2150">INDEX(_xlfn.TEXTSPLIT(E2150,"-"),2)</f>
        <v>女装</v>
      </c>
      <c r="G2150" s="2" t="str" cm="1">
        <f t="array" ref="G2150">INDEX(_xlfn.TEXTSPLIT(E2150,"-"),3)</f>
        <v>羽绒服</v>
      </c>
      <c r="H2150" s="12">
        <v>401662</v>
      </c>
      <c r="I2150" s="12">
        <v>101080169.49</v>
      </c>
      <c r="J2150" s="13">
        <v>0.0412</v>
      </c>
      <c r="K2150" s="13">
        <v>0.0426</v>
      </c>
    </row>
    <row r="2151" ht="14.5" spans="1:11">
      <c r="A2151" s="3" t="str">
        <f t="shared" si="126"/>
        <v>2026年</v>
      </c>
      <c r="B2151" s="3" t="str">
        <f t="shared" si="127"/>
        <v>3月</v>
      </c>
      <c r="C2151" s="4" t="str">
        <f t="shared" si="128"/>
        <v>W9</v>
      </c>
      <c r="D2151" s="11" t="s">
        <v>797</v>
      </c>
      <c r="E2151" s="11" t="s">
        <v>728</v>
      </c>
      <c r="F2151" s="2" t="str" cm="1">
        <f t="array" ref="F2151">INDEX(_xlfn.TEXTSPLIT(E2151,"-"),2)</f>
        <v>女装</v>
      </c>
      <c r="G2151" s="2" t="str" cm="1">
        <f t="array" ref="G2151">INDEX(_xlfn.TEXTSPLIT(E2151,"-"),3)</f>
        <v>肌底衣/肌肤衣</v>
      </c>
      <c r="H2151" s="12">
        <v>7076</v>
      </c>
      <c r="I2151" s="12">
        <v>336539.46</v>
      </c>
      <c r="J2151" s="13">
        <v>0.0001</v>
      </c>
      <c r="K2151" s="13">
        <v>0.6427</v>
      </c>
    </row>
    <row r="2152" ht="14.5" spans="1:11">
      <c r="A2152" s="3" t="str">
        <f t="shared" si="126"/>
        <v>2026年</v>
      </c>
      <c r="B2152" s="3" t="str">
        <f t="shared" si="127"/>
        <v>3月</v>
      </c>
      <c r="C2152" s="4" t="str">
        <f t="shared" si="128"/>
        <v>W9</v>
      </c>
      <c r="D2152" s="11" t="s">
        <v>797</v>
      </c>
      <c r="E2152" s="11" t="s">
        <v>729</v>
      </c>
      <c r="F2152" s="2" t="str" cm="1">
        <f t="array" ref="F2152">INDEX(_xlfn.TEXTSPLIT(E2152,"-"),2)</f>
        <v>女装</v>
      </c>
      <c r="G2152" s="2" t="str" cm="1">
        <f t="array" ref="G2152">INDEX(_xlfn.TEXTSPLIT(E2152,"-"),3)</f>
        <v>背心吊带</v>
      </c>
      <c r="H2152" s="12">
        <v>713424</v>
      </c>
      <c r="I2152" s="12">
        <v>43338030.01</v>
      </c>
      <c r="J2152" s="13">
        <v>0.0176</v>
      </c>
      <c r="K2152" s="13">
        <v>-0.1561</v>
      </c>
    </row>
    <row r="2153" ht="14.5" spans="1:11">
      <c r="A2153" s="3" t="str">
        <f t="shared" si="126"/>
        <v>2026年</v>
      </c>
      <c r="B2153" s="3" t="str">
        <f t="shared" si="127"/>
        <v>3月</v>
      </c>
      <c r="C2153" s="4" t="str">
        <f t="shared" si="128"/>
        <v>W9</v>
      </c>
      <c r="D2153" s="11" t="s">
        <v>797</v>
      </c>
      <c r="E2153" s="11" t="s">
        <v>730</v>
      </c>
      <c r="F2153" s="2" t="str" cm="1">
        <f t="array" ref="F2153">INDEX(_xlfn.TEXTSPLIT(E2153,"-"),2)</f>
        <v>女装</v>
      </c>
      <c r="G2153" s="2" t="str" cm="1">
        <f t="array" ref="G2153">INDEX(_xlfn.TEXTSPLIT(E2153,"-"),3)</f>
        <v>蕾丝衫/雪纺衫</v>
      </c>
      <c r="H2153" s="12">
        <v>250761</v>
      </c>
      <c r="I2153" s="12">
        <v>20330894.9</v>
      </c>
      <c r="J2153" s="13">
        <v>0.0083</v>
      </c>
      <c r="K2153" s="13">
        <v>0.0487</v>
      </c>
    </row>
    <row r="2154" ht="14.5" spans="1:11">
      <c r="A2154" s="3" t="str">
        <f t="shared" si="126"/>
        <v>2026年</v>
      </c>
      <c r="B2154" s="3" t="str">
        <f t="shared" si="127"/>
        <v>3月</v>
      </c>
      <c r="C2154" s="4" t="str">
        <f t="shared" si="128"/>
        <v>W9</v>
      </c>
      <c r="D2154" s="11" t="s">
        <v>797</v>
      </c>
      <c r="E2154" s="11" t="s">
        <v>731</v>
      </c>
      <c r="F2154" s="2" t="str" cm="1">
        <f t="array" ref="F2154">INDEX(_xlfn.TEXTSPLIT(E2154,"-"),2)</f>
        <v>女装</v>
      </c>
      <c r="G2154" s="2" t="str" cm="1">
        <f t="array" ref="G2154">INDEX(_xlfn.TEXTSPLIT(E2154,"-"),3)</f>
        <v>衬衫</v>
      </c>
      <c r="H2154" s="12">
        <v>1030656</v>
      </c>
      <c r="I2154" s="12">
        <v>122497512.26</v>
      </c>
      <c r="J2154" s="13">
        <v>0.0499</v>
      </c>
      <c r="K2154" s="13">
        <v>0.0242</v>
      </c>
    </row>
    <row r="2155" ht="14.5" spans="1:11">
      <c r="A2155" s="3" t="str">
        <f t="shared" si="126"/>
        <v>2026年</v>
      </c>
      <c r="B2155" s="3" t="str">
        <f t="shared" si="127"/>
        <v>3月</v>
      </c>
      <c r="C2155" s="4" t="str">
        <f t="shared" si="128"/>
        <v>W9</v>
      </c>
      <c r="D2155" s="11" t="s">
        <v>797</v>
      </c>
      <c r="E2155" s="11" t="s">
        <v>732</v>
      </c>
      <c r="F2155" s="2" t="str" cm="1">
        <f t="array" ref="F2155">INDEX(_xlfn.TEXTSPLIT(E2155,"-"),2)</f>
        <v>女装</v>
      </c>
      <c r="G2155" s="2" t="str" cm="1">
        <f t="array" ref="G2155">INDEX(_xlfn.TEXTSPLIT(E2155,"-"),3)</f>
        <v>裤子</v>
      </c>
      <c r="H2155" s="12">
        <v>3606427</v>
      </c>
      <c r="I2155" s="12">
        <v>394767485.56</v>
      </c>
      <c r="J2155" s="13">
        <v>0.1608</v>
      </c>
      <c r="K2155" s="13">
        <v>0.0211</v>
      </c>
    </row>
    <row r="2156" ht="14.5" spans="1:11">
      <c r="A2156" s="3" t="str">
        <f t="shared" si="126"/>
        <v>2026年</v>
      </c>
      <c r="B2156" s="3" t="str">
        <f t="shared" si="127"/>
        <v>3月</v>
      </c>
      <c r="C2156" s="4" t="str">
        <f t="shared" si="128"/>
        <v>W9</v>
      </c>
      <c r="D2156" s="11" t="s">
        <v>797</v>
      </c>
      <c r="E2156" s="11" t="s">
        <v>733</v>
      </c>
      <c r="F2156" s="2" t="str" cm="1">
        <f t="array" ref="F2156">INDEX(_xlfn.TEXTSPLIT(E2156,"-"),2)</f>
        <v>女装</v>
      </c>
      <c r="G2156" s="2" t="str" cm="1">
        <f t="array" ref="G2156">INDEX(_xlfn.TEXTSPLIT(E2156,"-"),3)</f>
        <v>西装</v>
      </c>
      <c r="H2156" s="12">
        <v>148835</v>
      </c>
      <c r="I2156" s="12">
        <v>40015679.09</v>
      </c>
      <c r="J2156" s="13">
        <v>0.0163</v>
      </c>
      <c r="K2156" s="13">
        <v>-0.0988</v>
      </c>
    </row>
    <row r="2157" ht="14.5" spans="1:11">
      <c r="A2157" s="3" t="str">
        <f t="shared" si="126"/>
        <v>2026年</v>
      </c>
      <c r="B2157" s="3" t="str">
        <f t="shared" si="127"/>
        <v>3月</v>
      </c>
      <c r="C2157" s="4" t="str">
        <f t="shared" si="128"/>
        <v>W9</v>
      </c>
      <c r="D2157" s="11" t="s">
        <v>797</v>
      </c>
      <c r="E2157" s="11" t="s">
        <v>734</v>
      </c>
      <c r="F2157" s="2" t="str" cm="1">
        <f t="array" ref="F2157">INDEX(_xlfn.TEXTSPLIT(E2157,"-"),2)</f>
        <v>女装</v>
      </c>
      <c r="G2157" s="2" t="str" cm="1">
        <f t="array" ref="G2157">INDEX(_xlfn.TEXTSPLIT(E2157,"-"),3)</f>
        <v>设计师/潮牌女装</v>
      </c>
      <c r="H2157" s="12">
        <v>358581</v>
      </c>
      <c r="I2157" s="12">
        <v>39200536.36</v>
      </c>
      <c r="J2157" s="13">
        <v>0.016</v>
      </c>
      <c r="K2157" s="13">
        <v>0.0049</v>
      </c>
    </row>
    <row r="2158" ht="14.5" spans="1:11">
      <c r="A2158" s="3" t="str">
        <f t="shared" si="126"/>
        <v>2026年</v>
      </c>
      <c r="B2158" s="3" t="str">
        <f t="shared" si="127"/>
        <v>3月</v>
      </c>
      <c r="C2158" s="4" t="str">
        <f t="shared" si="128"/>
        <v>W9</v>
      </c>
      <c r="D2158" s="11" t="s">
        <v>797</v>
      </c>
      <c r="E2158" s="11" t="s">
        <v>735</v>
      </c>
      <c r="F2158" s="2" t="str" cm="1">
        <f t="array" ref="F2158">INDEX(_xlfn.TEXTSPLIT(E2158,"-"),2)</f>
        <v>女装</v>
      </c>
      <c r="G2158" s="2" t="str" cm="1">
        <f t="array" ref="G2158">INDEX(_xlfn.TEXTSPLIT(E2158,"-"),3)</f>
        <v>连体衣/裤</v>
      </c>
      <c r="H2158" s="12">
        <v>21001</v>
      </c>
      <c r="I2158" s="12">
        <v>4097303.44</v>
      </c>
      <c r="J2158" s="13">
        <v>0.0017</v>
      </c>
      <c r="K2158" s="13">
        <v>-0.2379</v>
      </c>
    </row>
    <row r="2159" ht="14.5" spans="1:11">
      <c r="A2159" s="3" t="str">
        <f t="shared" si="126"/>
        <v>2026年</v>
      </c>
      <c r="B2159" s="3" t="str">
        <f t="shared" si="127"/>
        <v>3月</v>
      </c>
      <c r="C2159" s="4" t="str">
        <f t="shared" si="128"/>
        <v>W9</v>
      </c>
      <c r="D2159" s="11" t="s">
        <v>797</v>
      </c>
      <c r="E2159" s="11" t="s">
        <v>736</v>
      </c>
      <c r="F2159" s="2" t="str" cm="1">
        <f t="array" ref="F2159">INDEX(_xlfn.TEXTSPLIT(E2159,"-"),2)</f>
        <v>女装</v>
      </c>
      <c r="G2159" s="2" t="str" cm="1">
        <f t="array" ref="G2159">INDEX(_xlfn.TEXTSPLIT(E2159,"-"),3)</f>
        <v>连衣裙</v>
      </c>
      <c r="H2159" s="12">
        <v>1148705</v>
      </c>
      <c r="I2159" s="12">
        <v>179477404.28</v>
      </c>
      <c r="J2159" s="13">
        <v>0.0731</v>
      </c>
      <c r="K2159" s="13">
        <v>0.0611</v>
      </c>
    </row>
    <row r="2160" ht="14.5" spans="1:11">
      <c r="A2160" s="3" t="str">
        <f t="shared" si="126"/>
        <v>2026年</v>
      </c>
      <c r="B2160" s="3" t="str">
        <f t="shared" si="127"/>
        <v>3月</v>
      </c>
      <c r="C2160" s="4" t="str">
        <f t="shared" si="128"/>
        <v>W9</v>
      </c>
      <c r="D2160" s="11" t="s">
        <v>797</v>
      </c>
      <c r="E2160" s="11" t="s">
        <v>737</v>
      </c>
      <c r="F2160" s="2" t="str" cm="1">
        <f t="array" ref="F2160">INDEX(_xlfn.TEXTSPLIT(E2160,"-"),2)</f>
        <v>女装</v>
      </c>
      <c r="G2160" s="2" t="str" cm="1">
        <f t="array" ref="G2160">INDEX(_xlfn.TEXTSPLIT(E2160,"-"),3)</f>
        <v>风衣</v>
      </c>
      <c r="H2160" s="12">
        <v>210724</v>
      </c>
      <c r="I2160" s="12">
        <v>51960977.36</v>
      </c>
      <c r="J2160" s="13">
        <v>0.0212</v>
      </c>
      <c r="K2160" s="13">
        <v>-0.0051</v>
      </c>
    </row>
    <row r="2161" ht="14.5" spans="1:11">
      <c r="A2161" s="3" t="str">
        <f t="shared" si="126"/>
        <v>2026年</v>
      </c>
      <c r="B2161" s="3" t="str">
        <f t="shared" si="127"/>
        <v>3月</v>
      </c>
      <c r="C2161" s="4" t="str">
        <f t="shared" si="128"/>
        <v>W9</v>
      </c>
      <c r="D2161" s="11" t="s">
        <v>797</v>
      </c>
      <c r="E2161" s="11" t="s">
        <v>738</v>
      </c>
      <c r="F2161" s="2" t="str" cm="1">
        <f t="array" ref="F2161">INDEX(_xlfn.TEXTSPLIT(E2161,"-"),2)</f>
        <v>女装</v>
      </c>
      <c r="G2161" s="2" t="str" cm="1">
        <f t="array" ref="G2161">INDEX(_xlfn.TEXTSPLIT(E2161,"-"),3)</f>
        <v>马夹</v>
      </c>
      <c r="H2161" s="12">
        <v>416385</v>
      </c>
      <c r="I2161" s="12">
        <v>41822908.42</v>
      </c>
      <c r="J2161" s="13">
        <v>0.017</v>
      </c>
      <c r="K2161" s="13">
        <v>0.0021</v>
      </c>
    </row>
    <row r="2162" ht="14.5" spans="1:11">
      <c r="A2162" s="3" t="str">
        <f t="shared" si="126"/>
        <v>2026年</v>
      </c>
      <c r="B2162" s="3" t="str">
        <f t="shared" si="127"/>
        <v>3月</v>
      </c>
      <c r="C2162" s="4" t="str">
        <f t="shared" si="128"/>
        <v>W10</v>
      </c>
      <c r="D2162" s="11" t="s">
        <v>798</v>
      </c>
      <c r="E2162" s="11" t="s">
        <v>702</v>
      </c>
      <c r="F2162" s="2" t="str" cm="1">
        <f t="array" ref="F2162">INDEX(_xlfn.TEXTSPLIT(E2162,"-"),2)</f>
        <v>女装</v>
      </c>
      <c r="G2162" s="2" t="str" cm="1">
        <f t="array" ref="G2162">INDEX(_xlfn.TEXTSPLIT(E2162,"-"),3)</f>
        <v>POLO衫</v>
      </c>
      <c r="H2162" s="12">
        <v>37413</v>
      </c>
      <c r="I2162" s="12">
        <v>2637068.32</v>
      </c>
      <c r="J2162" s="13">
        <v>0.0013</v>
      </c>
      <c r="K2162" s="13">
        <v>-0.2882</v>
      </c>
    </row>
    <row r="2163" ht="14.5" spans="1:11">
      <c r="A2163" s="3" t="str">
        <f t="shared" si="126"/>
        <v>2026年</v>
      </c>
      <c r="B2163" s="3" t="str">
        <f t="shared" si="127"/>
        <v>3月</v>
      </c>
      <c r="C2163" s="4" t="str">
        <f t="shared" si="128"/>
        <v>W10</v>
      </c>
      <c r="D2163" s="11" t="s">
        <v>798</v>
      </c>
      <c r="E2163" s="11" t="s">
        <v>703</v>
      </c>
      <c r="F2163" s="2" t="str" cm="1">
        <f t="array" ref="F2163">INDEX(_xlfn.TEXTSPLIT(E2163,"-"),2)</f>
        <v>女装</v>
      </c>
      <c r="G2163" s="2" t="str" cm="1">
        <f t="array" ref="G2163">INDEX(_xlfn.TEXTSPLIT(E2163,"-"),3)</f>
        <v>T恤</v>
      </c>
      <c r="H2163" s="12">
        <v>2456950</v>
      </c>
      <c r="I2163" s="12">
        <v>153074580.3</v>
      </c>
      <c r="J2163" s="13">
        <v>0.0761</v>
      </c>
      <c r="K2163" s="13">
        <v>-0.0777</v>
      </c>
    </row>
    <row r="2164" ht="14.5" spans="1:11">
      <c r="A2164" s="3" t="str">
        <f t="shared" si="126"/>
        <v>2026年</v>
      </c>
      <c r="B2164" s="3" t="str">
        <f t="shared" si="127"/>
        <v>3月</v>
      </c>
      <c r="C2164" s="4" t="str">
        <f t="shared" si="128"/>
        <v>W10</v>
      </c>
      <c r="D2164" s="11" t="s">
        <v>798</v>
      </c>
      <c r="E2164" s="11" t="s">
        <v>704</v>
      </c>
      <c r="F2164" s="2" t="str" cm="1">
        <f t="array" ref="F2164">INDEX(_xlfn.TEXTSPLIT(E2164,"-"),2)</f>
        <v>女装</v>
      </c>
      <c r="G2164" s="2" t="str" cm="1">
        <f t="array" ref="G2164">INDEX(_xlfn.TEXTSPLIT(E2164,"-"),3)</f>
        <v>中老年女装</v>
      </c>
      <c r="H2164" s="12">
        <v>176322</v>
      </c>
      <c r="I2164" s="12">
        <v>14124082.36</v>
      </c>
      <c r="J2164" s="13">
        <v>0.007</v>
      </c>
      <c r="K2164" s="13">
        <v>-0.0043</v>
      </c>
    </row>
    <row r="2165" ht="14.5" spans="1:11">
      <c r="A2165" s="3" t="str">
        <f t="shared" si="126"/>
        <v>2026年</v>
      </c>
      <c r="B2165" s="3" t="str">
        <f t="shared" si="127"/>
        <v>3月</v>
      </c>
      <c r="C2165" s="4" t="str">
        <f t="shared" si="128"/>
        <v>W10</v>
      </c>
      <c r="D2165" s="11" t="s">
        <v>798</v>
      </c>
      <c r="E2165" s="11" t="s">
        <v>705</v>
      </c>
      <c r="F2165" s="2" t="str" cm="1">
        <f t="array" ref="F2165">INDEX(_xlfn.TEXTSPLIT(E2165,"-"),2)</f>
        <v>女装</v>
      </c>
      <c r="G2165" s="2" t="str" cm="1">
        <f t="array" ref="G2165">INDEX(_xlfn.TEXTSPLIT(E2165,"-"),3)</f>
        <v>半身裙</v>
      </c>
      <c r="H2165" s="12">
        <v>664106</v>
      </c>
      <c r="I2165" s="12">
        <v>76643412.94</v>
      </c>
      <c r="J2165" s="13">
        <v>0.0381</v>
      </c>
      <c r="K2165" s="13">
        <v>-0.1967</v>
      </c>
    </row>
    <row r="2166" ht="14.5" spans="1:11">
      <c r="A2166" s="3" t="str">
        <f t="shared" si="126"/>
        <v>2026年</v>
      </c>
      <c r="B2166" s="3" t="str">
        <f t="shared" si="127"/>
        <v>3月</v>
      </c>
      <c r="C2166" s="4" t="str">
        <f t="shared" si="128"/>
        <v>W10</v>
      </c>
      <c r="D2166" s="11" t="s">
        <v>798</v>
      </c>
      <c r="E2166" s="11" t="s">
        <v>706</v>
      </c>
      <c r="F2166" s="2" t="str" cm="1">
        <f t="array" ref="F2166">INDEX(_xlfn.TEXTSPLIT(E2166,"-"),2)</f>
        <v>女装</v>
      </c>
      <c r="G2166" s="2" t="str" cm="1">
        <f t="array" ref="G2166">INDEX(_xlfn.TEXTSPLIT(E2166,"-"),3)</f>
        <v>卫衣/绒衫</v>
      </c>
      <c r="H2166" s="12">
        <v>345521</v>
      </c>
      <c r="I2166" s="12">
        <v>31339567.63</v>
      </c>
      <c r="J2166" s="13">
        <v>0.0156</v>
      </c>
      <c r="K2166" s="13">
        <v>-0.2282</v>
      </c>
    </row>
    <row r="2167" ht="14.5" spans="1:11">
      <c r="A2167" s="3" t="str">
        <f t="shared" si="126"/>
        <v>2026年</v>
      </c>
      <c r="B2167" s="3" t="str">
        <f t="shared" si="127"/>
        <v>3月</v>
      </c>
      <c r="C2167" s="4" t="str">
        <f t="shared" si="128"/>
        <v>W10</v>
      </c>
      <c r="D2167" s="11" t="s">
        <v>798</v>
      </c>
      <c r="E2167" s="11" t="s">
        <v>707</v>
      </c>
      <c r="F2167" s="2" t="str" cm="1">
        <f t="array" ref="F2167">INDEX(_xlfn.TEXTSPLIT(E2167,"-"),2)</f>
        <v>女装</v>
      </c>
      <c r="G2167" s="2" t="str" cm="1">
        <f t="array" ref="G2167">INDEX(_xlfn.TEXTSPLIT(E2167,"-"),3)</f>
        <v>唐装/民族服装/舞台服装</v>
      </c>
      <c r="H2167" s="12">
        <v>242296</v>
      </c>
      <c r="I2167" s="12">
        <v>43362675.86</v>
      </c>
      <c r="J2167" s="13">
        <v>0.0216</v>
      </c>
      <c r="K2167" s="13">
        <v>-0.1795</v>
      </c>
    </row>
    <row r="2168" ht="14.5" spans="1:11">
      <c r="A2168" s="3" t="str">
        <f t="shared" si="126"/>
        <v>2026年</v>
      </c>
      <c r="B2168" s="3" t="str">
        <f t="shared" si="127"/>
        <v>3月</v>
      </c>
      <c r="C2168" s="4" t="str">
        <f t="shared" si="128"/>
        <v>W10</v>
      </c>
      <c r="D2168" s="11" t="s">
        <v>798</v>
      </c>
      <c r="E2168" s="11" t="s">
        <v>708</v>
      </c>
      <c r="F2168" s="2" t="str" cm="1">
        <f t="array" ref="F2168">INDEX(_xlfn.TEXTSPLIT(E2168,"-"),2)</f>
        <v>女装</v>
      </c>
      <c r="G2168" s="2" t="str" cm="1">
        <f t="array" ref="G2168">INDEX(_xlfn.TEXTSPLIT(E2168,"-"),3)</f>
        <v>大码女装</v>
      </c>
      <c r="H2168" s="12">
        <v>580115</v>
      </c>
      <c r="I2168" s="12">
        <v>37876067.88</v>
      </c>
      <c r="J2168" s="13">
        <v>0.0188</v>
      </c>
      <c r="K2168" s="13">
        <v>-0.0647</v>
      </c>
    </row>
    <row r="2169" ht="14.5" spans="1:11">
      <c r="A2169" s="3" t="str">
        <f t="shared" si="126"/>
        <v>2026年</v>
      </c>
      <c r="B2169" s="3" t="str">
        <f t="shared" si="127"/>
        <v>3月</v>
      </c>
      <c r="C2169" s="4" t="str">
        <f t="shared" si="128"/>
        <v>W10</v>
      </c>
      <c r="D2169" s="11" t="s">
        <v>798</v>
      </c>
      <c r="E2169" s="11" t="s">
        <v>709</v>
      </c>
      <c r="F2169" s="2" t="str" cm="1">
        <f t="array" ref="F2169">INDEX(_xlfn.TEXTSPLIT(E2169,"-"),2)</f>
        <v>女装</v>
      </c>
      <c r="G2169" s="2" t="str" cm="1">
        <f t="array" ref="G2169">INDEX(_xlfn.TEXTSPLIT(E2169,"-"),3)</f>
        <v>套装/学生校服/工作制服</v>
      </c>
      <c r="H2169" s="12">
        <v>1172055</v>
      </c>
      <c r="I2169" s="12">
        <v>154216332.97</v>
      </c>
      <c r="J2169" s="13">
        <v>0.0766</v>
      </c>
      <c r="K2169" s="13">
        <v>-0.1364</v>
      </c>
    </row>
    <row r="2170" ht="14.5" spans="1:11">
      <c r="A2170" s="3" t="str">
        <f t="shared" si="126"/>
        <v>2026年</v>
      </c>
      <c r="B2170" s="3" t="str">
        <f t="shared" si="127"/>
        <v>3月</v>
      </c>
      <c r="C2170" s="4" t="str">
        <f t="shared" si="128"/>
        <v>W10</v>
      </c>
      <c r="D2170" s="11" t="s">
        <v>798</v>
      </c>
      <c r="E2170" s="11" t="s">
        <v>710</v>
      </c>
      <c r="F2170" s="2" t="str" cm="1">
        <f t="array" ref="F2170">INDEX(_xlfn.TEXTSPLIT(E2170,"-"),2)</f>
        <v>女装</v>
      </c>
      <c r="G2170" s="2" t="str" cm="1">
        <f t="array" ref="G2170">INDEX(_xlfn.TEXTSPLIT(E2170,"-"),3)</f>
        <v>婚纱/旗袍/礼服</v>
      </c>
      <c r="H2170" s="12">
        <v>79855</v>
      </c>
      <c r="I2170" s="12">
        <v>14690791.72</v>
      </c>
      <c r="J2170" s="13">
        <v>0.0073</v>
      </c>
      <c r="K2170" s="13">
        <v>-0.0536</v>
      </c>
    </row>
    <row r="2171" ht="14.5" spans="1:11">
      <c r="A2171" s="3" t="str">
        <f t="shared" si="126"/>
        <v>2026年</v>
      </c>
      <c r="B2171" s="3" t="str">
        <f t="shared" si="127"/>
        <v>3月</v>
      </c>
      <c r="C2171" s="4" t="str">
        <f t="shared" si="128"/>
        <v>W10</v>
      </c>
      <c r="D2171" s="11" t="s">
        <v>798</v>
      </c>
      <c r="E2171" s="11" t="s">
        <v>711</v>
      </c>
      <c r="F2171" s="2" t="str" cm="1">
        <f t="array" ref="F2171">INDEX(_xlfn.TEXTSPLIT(E2171,"-"),2)</f>
        <v>女装</v>
      </c>
      <c r="G2171" s="2" t="str" cm="1">
        <f t="array" ref="G2171">INDEX(_xlfn.TEXTSPLIT(E2171,"-"),3)</f>
        <v>新中式女装</v>
      </c>
      <c r="H2171" s="12">
        <v>72903</v>
      </c>
      <c r="I2171" s="12">
        <v>6814216.12</v>
      </c>
      <c r="J2171" s="13">
        <v>0.0034</v>
      </c>
      <c r="K2171" s="13">
        <v>-0.1958</v>
      </c>
    </row>
    <row r="2172" ht="14.5" spans="1:11">
      <c r="A2172" s="3" t="str">
        <f t="shared" si="126"/>
        <v>2026年</v>
      </c>
      <c r="B2172" s="3" t="str">
        <f t="shared" si="127"/>
        <v>3月</v>
      </c>
      <c r="C2172" s="4" t="str">
        <f t="shared" si="128"/>
        <v>W10</v>
      </c>
      <c r="D2172" s="11" t="s">
        <v>798</v>
      </c>
      <c r="E2172" s="11" t="s">
        <v>712</v>
      </c>
      <c r="F2172" s="2" t="str" cm="1">
        <f t="array" ref="F2172">INDEX(_xlfn.TEXTSPLIT(E2172,"-"),2)</f>
        <v>女装</v>
      </c>
      <c r="G2172" s="2" t="str" cm="1">
        <f t="array" ref="G2172">INDEX(_xlfn.TEXTSPLIT(E2172,"-"),3)</f>
        <v>时尚防晒服</v>
      </c>
      <c r="H2172" s="12">
        <v>9574</v>
      </c>
      <c r="I2172" s="12">
        <v>1521383.18</v>
      </c>
      <c r="J2172" s="13">
        <v>0.0008</v>
      </c>
      <c r="K2172" s="13">
        <v>-0.2532</v>
      </c>
    </row>
    <row r="2173" ht="14.5" spans="1:11">
      <c r="A2173" s="3" t="str">
        <f t="shared" si="126"/>
        <v>2026年</v>
      </c>
      <c r="B2173" s="3" t="str">
        <f t="shared" si="127"/>
        <v>3月</v>
      </c>
      <c r="C2173" s="4" t="str">
        <f t="shared" si="128"/>
        <v>W10</v>
      </c>
      <c r="D2173" s="11" t="s">
        <v>798</v>
      </c>
      <c r="E2173" s="11" t="s">
        <v>714</v>
      </c>
      <c r="F2173" s="2" t="str" cm="1">
        <f t="array" ref="F2173">INDEX(_xlfn.TEXTSPLIT(E2173,"-"),2)</f>
        <v>女装</v>
      </c>
      <c r="G2173" s="2" t="str" cm="1">
        <f t="array" ref="G2173">INDEX(_xlfn.TEXTSPLIT(E2173,"-"),3)</f>
        <v>棉衣/棉服</v>
      </c>
      <c r="H2173" s="12">
        <v>229374</v>
      </c>
      <c r="I2173" s="12">
        <v>20174784.69</v>
      </c>
      <c r="J2173" s="14">
        <v>0.01</v>
      </c>
      <c r="K2173" s="13">
        <v>-0.138</v>
      </c>
    </row>
    <row r="2174" ht="14.5" spans="1:11">
      <c r="A2174" s="3" t="str">
        <f t="shared" si="126"/>
        <v>2026年</v>
      </c>
      <c r="B2174" s="3" t="str">
        <f t="shared" si="127"/>
        <v>3月</v>
      </c>
      <c r="C2174" s="4" t="str">
        <f t="shared" si="128"/>
        <v>W10</v>
      </c>
      <c r="D2174" s="11" t="s">
        <v>798</v>
      </c>
      <c r="E2174" s="11" t="s">
        <v>715</v>
      </c>
      <c r="F2174" s="2" t="str" cm="1">
        <f t="array" ref="F2174">INDEX(_xlfn.TEXTSPLIT(E2174,"-"),2)</f>
        <v>女装</v>
      </c>
      <c r="G2174" s="2" t="str" cm="1">
        <f t="array" ref="G2174">INDEX(_xlfn.TEXTSPLIT(E2174,"-"),3)</f>
        <v>毛呢外套</v>
      </c>
      <c r="H2174" s="12">
        <v>294881</v>
      </c>
      <c r="I2174" s="12">
        <v>71223666.27</v>
      </c>
      <c r="J2174" s="13">
        <v>0.0354</v>
      </c>
      <c r="K2174" s="13">
        <v>-0.1722</v>
      </c>
    </row>
    <row r="2175" ht="14.5" spans="1:11">
      <c r="A2175" s="3" t="str">
        <f t="shared" si="126"/>
        <v>2026年</v>
      </c>
      <c r="B2175" s="3" t="str">
        <f t="shared" si="127"/>
        <v>3月</v>
      </c>
      <c r="C2175" s="4" t="str">
        <f t="shared" si="128"/>
        <v>W10</v>
      </c>
      <c r="D2175" s="11" t="s">
        <v>798</v>
      </c>
      <c r="E2175" s="11" t="s">
        <v>716</v>
      </c>
      <c r="F2175" s="2" t="str" cm="1">
        <f t="array" ref="F2175">INDEX(_xlfn.TEXTSPLIT(E2175,"-"),2)</f>
        <v>女装</v>
      </c>
      <c r="G2175" s="2" t="str" cm="1">
        <f t="array" ref="G2175">INDEX(_xlfn.TEXTSPLIT(E2175,"-"),3)</f>
        <v>毛衣</v>
      </c>
      <c r="H2175" s="12">
        <v>187342</v>
      </c>
      <c r="I2175" s="12">
        <v>17941949.78</v>
      </c>
      <c r="J2175" s="13">
        <v>0.0089</v>
      </c>
      <c r="K2175" s="13">
        <v>-0.3514</v>
      </c>
    </row>
    <row r="2176" ht="14.5" spans="1:11">
      <c r="A2176" s="3" t="str">
        <f t="shared" si="126"/>
        <v>2026年</v>
      </c>
      <c r="B2176" s="3" t="str">
        <f t="shared" si="127"/>
        <v>3月</v>
      </c>
      <c r="C2176" s="4" t="str">
        <f t="shared" si="128"/>
        <v>W10</v>
      </c>
      <c r="D2176" s="11" t="s">
        <v>798</v>
      </c>
      <c r="E2176" s="11" t="s">
        <v>717</v>
      </c>
      <c r="F2176" s="2" t="str" cm="1">
        <f t="array" ref="F2176">INDEX(_xlfn.TEXTSPLIT(E2176,"-"),2)</f>
        <v>女装</v>
      </c>
      <c r="G2176" s="2" t="str" cm="1">
        <f t="array" ref="G2176">INDEX(_xlfn.TEXTSPLIT(E2176,"-"),3)</f>
        <v>毛针织衫</v>
      </c>
      <c r="H2176" s="12">
        <v>1543469</v>
      </c>
      <c r="I2176" s="12">
        <v>115634050.19</v>
      </c>
      <c r="J2176" s="13">
        <v>0.0575</v>
      </c>
      <c r="K2176" s="13">
        <v>-0.1703</v>
      </c>
    </row>
    <row r="2177" ht="14.5" spans="1:11">
      <c r="A2177" s="3" t="str">
        <f t="shared" si="126"/>
        <v>2026年</v>
      </c>
      <c r="B2177" s="3" t="str">
        <f t="shared" si="127"/>
        <v>3月</v>
      </c>
      <c r="C2177" s="4" t="str">
        <f t="shared" si="128"/>
        <v>W10</v>
      </c>
      <c r="D2177" s="11" t="s">
        <v>798</v>
      </c>
      <c r="E2177" s="11" t="s">
        <v>718</v>
      </c>
      <c r="F2177" s="2" t="str" cm="1">
        <f t="array" ref="F2177">INDEX(_xlfn.TEXTSPLIT(E2177,"-"),2)</f>
        <v>女装</v>
      </c>
      <c r="G2177" s="2" t="str" cm="1">
        <f t="array" ref="G2177">INDEX(_xlfn.TEXTSPLIT(E2177,"-"),3)</f>
        <v>汉服</v>
      </c>
      <c r="H2177" s="12">
        <v>189908</v>
      </c>
      <c r="I2177" s="12">
        <v>62018530.69</v>
      </c>
      <c r="J2177" s="13">
        <v>0.0308</v>
      </c>
      <c r="K2177" s="13">
        <v>-0.4726</v>
      </c>
    </row>
    <row r="2178" ht="14.5" spans="1:11">
      <c r="A2178" s="3" t="str">
        <f t="shared" si="126"/>
        <v>2026年</v>
      </c>
      <c r="B2178" s="3" t="str">
        <f t="shared" si="127"/>
        <v>3月</v>
      </c>
      <c r="C2178" s="4" t="str">
        <f t="shared" si="128"/>
        <v>W10</v>
      </c>
      <c r="D2178" s="11" t="s">
        <v>798</v>
      </c>
      <c r="E2178" s="11" t="s">
        <v>719</v>
      </c>
      <c r="F2178" s="2" t="str" cm="1">
        <f t="array" ref="F2178">INDEX(_xlfn.TEXTSPLIT(E2178,"-"),2)</f>
        <v>女装</v>
      </c>
      <c r="G2178" s="2" t="str" cm="1">
        <f t="array" ref="G2178">INDEX(_xlfn.TEXTSPLIT(E2178,"-"),3)</f>
        <v>派克服</v>
      </c>
      <c r="H2178" s="12">
        <v>9380</v>
      </c>
      <c r="I2178" s="12">
        <v>1728393.13</v>
      </c>
      <c r="J2178" s="13">
        <v>0.0009</v>
      </c>
      <c r="K2178" s="13">
        <v>0.2547</v>
      </c>
    </row>
    <row r="2179" ht="14.5" spans="1:11">
      <c r="A2179" s="3" t="str">
        <f t="shared" si="126"/>
        <v>2026年</v>
      </c>
      <c r="B2179" s="3" t="str">
        <f t="shared" si="127"/>
        <v>3月</v>
      </c>
      <c r="C2179" s="4" t="str">
        <f t="shared" si="128"/>
        <v>W10</v>
      </c>
      <c r="D2179" s="11" t="s">
        <v>798</v>
      </c>
      <c r="E2179" s="11" t="s">
        <v>720</v>
      </c>
      <c r="F2179" s="2" t="str" cm="1">
        <f t="array" ref="F2179">INDEX(_xlfn.TEXTSPLIT(E2179,"-"),2)</f>
        <v>女装</v>
      </c>
      <c r="G2179" s="2" t="str" cm="1">
        <f t="array" ref="G2179">INDEX(_xlfn.TEXTSPLIT(E2179,"-"),3)</f>
        <v>皮草</v>
      </c>
      <c r="H2179" s="12">
        <v>31187</v>
      </c>
      <c r="I2179" s="12">
        <v>52608357.34</v>
      </c>
      <c r="J2179" s="13">
        <v>0.0261</v>
      </c>
      <c r="K2179" s="13">
        <v>-0.1002</v>
      </c>
    </row>
    <row r="2180" ht="14.5" spans="1:11">
      <c r="A2180" s="3" t="str">
        <f t="shared" si="126"/>
        <v>2026年</v>
      </c>
      <c r="B2180" s="3" t="str">
        <f t="shared" si="127"/>
        <v>3月</v>
      </c>
      <c r="C2180" s="4" t="str">
        <f t="shared" si="128"/>
        <v>W10</v>
      </c>
      <c r="D2180" s="11" t="s">
        <v>798</v>
      </c>
      <c r="E2180" s="11" t="s">
        <v>721</v>
      </c>
      <c r="F2180" s="2" t="str" cm="1">
        <f t="array" ref="F2180">INDEX(_xlfn.TEXTSPLIT(E2180,"-"),2)</f>
        <v>女装</v>
      </c>
      <c r="G2180" s="2" t="str" cm="1">
        <f t="array" ref="G2180">INDEX(_xlfn.TEXTSPLIT(E2180,"-"),3)</f>
        <v>皮衣</v>
      </c>
      <c r="H2180" s="12">
        <v>164416</v>
      </c>
      <c r="I2180" s="12">
        <v>51808247.73</v>
      </c>
      <c r="J2180" s="13">
        <v>0.0257</v>
      </c>
      <c r="K2180" s="13">
        <v>-0.3801</v>
      </c>
    </row>
    <row r="2181" ht="14.5" spans="1:11">
      <c r="A2181" s="3" t="str">
        <f t="shared" si="126"/>
        <v>2026年</v>
      </c>
      <c r="B2181" s="3" t="str">
        <f t="shared" si="127"/>
        <v>3月</v>
      </c>
      <c r="C2181" s="4" t="str">
        <f t="shared" si="128"/>
        <v>W10</v>
      </c>
      <c r="D2181" s="11" t="s">
        <v>798</v>
      </c>
      <c r="E2181" s="11" t="s">
        <v>722</v>
      </c>
      <c r="F2181" s="2" t="str" cm="1">
        <f t="array" ref="F2181">INDEX(_xlfn.TEXTSPLIT(E2181,"-"),2)</f>
        <v>女装</v>
      </c>
      <c r="G2181" s="2" t="str" cm="1">
        <f t="array" ref="G2181">INDEX(_xlfn.TEXTSPLIT(E2181,"-"),3)</f>
        <v>短外套</v>
      </c>
      <c r="H2181" s="12">
        <v>979966</v>
      </c>
      <c r="I2181" s="12">
        <v>149306479.67</v>
      </c>
      <c r="J2181" s="13">
        <v>0.0742</v>
      </c>
      <c r="K2181" s="13">
        <v>-0.2921</v>
      </c>
    </row>
    <row r="2182" ht="14.5" spans="1:11">
      <c r="A2182" s="3" t="str">
        <f t="shared" si="126"/>
        <v>2026年</v>
      </c>
      <c r="B2182" s="3" t="str">
        <f t="shared" si="127"/>
        <v>3月</v>
      </c>
      <c r="C2182" s="4" t="str">
        <f t="shared" si="128"/>
        <v>W10</v>
      </c>
      <c r="D2182" s="11" t="s">
        <v>798</v>
      </c>
      <c r="E2182" s="11" t="s">
        <v>723</v>
      </c>
      <c r="F2182" s="2" t="str" cm="1">
        <f t="array" ref="F2182">INDEX(_xlfn.TEXTSPLIT(E2182,"-"),2)</f>
        <v>女装</v>
      </c>
      <c r="G2182" s="2" t="str" cm="1">
        <f t="array" ref="G2182">INDEX(_xlfn.TEXTSPLIT(E2182,"-"),3)</f>
        <v>短裤</v>
      </c>
      <c r="H2182" s="12">
        <v>130599</v>
      </c>
      <c r="I2182" s="12">
        <v>8026428.29</v>
      </c>
      <c r="J2182" s="13">
        <v>0.004</v>
      </c>
      <c r="K2182" s="13">
        <v>-0.1162</v>
      </c>
    </row>
    <row r="2183" ht="14.5" spans="1:11">
      <c r="A2183" s="3" t="str">
        <f t="shared" si="126"/>
        <v>2026年</v>
      </c>
      <c r="B2183" s="3" t="str">
        <f t="shared" si="127"/>
        <v>3月</v>
      </c>
      <c r="C2183" s="4" t="str">
        <f t="shared" si="128"/>
        <v>W10</v>
      </c>
      <c r="D2183" s="11" t="s">
        <v>798</v>
      </c>
      <c r="E2183" s="11" t="s">
        <v>724</v>
      </c>
      <c r="F2183" s="2" t="str" cm="1">
        <f t="array" ref="F2183">INDEX(_xlfn.TEXTSPLIT(E2183,"-"),2)</f>
        <v>女装</v>
      </c>
      <c r="G2183" s="2" t="str" cm="1">
        <f t="array" ref="G2183">INDEX(_xlfn.TEXTSPLIT(E2183,"-"),3)</f>
        <v>羊毛衫</v>
      </c>
      <c r="H2183" s="12">
        <v>197545</v>
      </c>
      <c r="I2183" s="12">
        <v>24695179.47</v>
      </c>
      <c r="J2183" s="13">
        <v>0.0123</v>
      </c>
      <c r="K2183" s="13">
        <v>-0.0748</v>
      </c>
    </row>
    <row r="2184" ht="14.5" spans="1:11">
      <c r="A2184" s="3" t="str">
        <f t="shared" si="126"/>
        <v>2026年</v>
      </c>
      <c r="B2184" s="3" t="str">
        <f t="shared" si="127"/>
        <v>3月</v>
      </c>
      <c r="C2184" s="4" t="str">
        <f t="shared" si="128"/>
        <v>W10</v>
      </c>
      <c r="D2184" s="11" t="s">
        <v>798</v>
      </c>
      <c r="E2184" s="11" t="s">
        <v>725</v>
      </c>
      <c r="F2184" s="2" t="str" cm="1">
        <f t="array" ref="F2184">INDEX(_xlfn.TEXTSPLIT(E2184,"-"),2)</f>
        <v>女装</v>
      </c>
      <c r="G2184" s="2" t="str" cm="1">
        <f t="array" ref="G2184">INDEX(_xlfn.TEXTSPLIT(E2184,"-"),3)</f>
        <v>羊绒大衣</v>
      </c>
      <c r="H2184" s="12">
        <v>2094</v>
      </c>
      <c r="I2184" s="12">
        <v>1189214.26</v>
      </c>
      <c r="J2184" s="13">
        <v>0.0006</v>
      </c>
      <c r="K2184" s="13">
        <v>-0.139</v>
      </c>
    </row>
    <row r="2185" ht="14.5" spans="1:11">
      <c r="A2185" s="3" t="str">
        <f t="shared" si="126"/>
        <v>2026年</v>
      </c>
      <c r="B2185" s="3" t="str">
        <f t="shared" si="127"/>
        <v>3月</v>
      </c>
      <c r="C2185" s="4" t="str">
        <f t="shared" si="128"/>
        <v>W10</v>
      </c>
      <c r="D2185" s="11" t="s">
        <v>798</v>
      </c>
      <c r="E2185" s="11" t="s">
        <v>726</v>
      </c>
      <c r="F2185" s="2" t="str" cm="1">
        <f t="array" ref="F2185">INDEX(_xlfn.TEXTSPLIT(E2185,"-"),2)</f>
        <v>女装</v>
      </c>
      <c r="G2185" s="2" t="str" cm="1">
        <f t="array" ref="G2185">INDEX(_xlfn.TEXTSPLIT(E2185,"-"),3)</f>
        <v>羊绒衫</v>
      </c>
      <c r="H2185" s="12">
        <v>50652</v>
      </c>
      <c r="I2185" s="12">
        <v>11908873.83</v>
      </c>
      <c r="J2185" s="13">
        <v>0.0059</v>
      </c>
      <c r="K2185" s="13">
        <v>-0.1065</v>
      </c>
    </row>
    <row r="2186" ht="14.5" spans="1:11">
      <c r="A2186" s="3" t="str">
        <f t="shared" si="126"/>
        <v>2026年</v>
      </c>
      <c r="B2186" s="3" t="str">
        <f t="shared" si="127"/>
        <v>3月</v>
      </c>
      <c r="C2186" s="4" t="str">
        <f t="shared" si="128"/>
        <v>W10</v>
      </c>
      <c r="D2186" s="11" t="s">
        <v>798</v>
      </c>
      <c r="E2186" s="11" t="s">
        <v>727</v>
      </c>
      <c r="F2186" s="2" t="str" cm="1">
        <f t="array" ref="F2186">INDEX(_xlfn.TEXTSPLIT(E2186,"-"),2)</f>
        <v>女装</v>
      </c>
      <c r="G2186" s="2" t="str" cm="1">
        <f t="array" ref="G2186">INDEX(_xlfn.TEXTSPLIT(E2186,"-"),3)</f>
        <v>羽绒服</v>
      </c>
      <c r="H2186" s="12">
        <v>359381</v>
      </c>
      <c r="I2186" s="12">
        <v>92545765.7</v>
      </c>
      <c r="J2186" s="13">
        <v>0.046</v>
      </c>
      <c r="K2186" s="13">
        <v>-0.0844</v>
      </c>
    </row>
    <row r="2187" ht="14.5" spans="1:11">
      <c r="A2187" s="3" t="str">
        <f t="shared" si="126"/>
        <v>2026年</v>
      </c>
      <c r="B2187" s="3" t="str">
        <f t="shared" si="127"/>
        <v>3月</v>
      </c>
      <c r="C2187" s="4" t="str">
        <f t="shared" si="128"/>
        <v>W10</v>
      </c>
      <c r="D2187" s="11" t="s">
        <v>798</v>
      </c>
      <c r="E2187" s="11" t="s">
        <v>728</v>
      </c>
      <c r="F2187" s="2" t="str" cm="1">
        <f t="array" ref="F2187">INDEX(_xlfn.TEXTSPLIT(E2187,"-"),2)</f>
        <v>女装</v>
      </c>
      <c r="G2187" s="2" t="str" cm="1">
        <f t="array" ref="G2187">INDEX(_xlfn.TEXTSPLIT(E2187,"-"),3)</f>
        <v>肌底衣/肌肤衣</v>
      </c>
      <c r="H2187" s="12">
        <v>3324</v>
      </c>
      <c r="I2187" s="12">
        <v>101796.02</v>
      </c>
      <c r="J2187" s="13">
        <v>0.0001</v>
      </c>
      <c r="K2187" s="13">
        <v>-0.6975</v>
      </c>
    </row>
    <row r="2188" ht="14.5" spans="1:11">
      <c r="A2188" s="3" t="str">
        <f t="shared" si="126"/>
        <v>2026年</v>
      </c>
      <c r="B2188" s="3" t="str">
        <f t="shared" si="127"/>
        <v>3月</v>
      </c>
      <c r="C2188" s="4" t="str">
        <f t="shared" si="128"/>
        <v>W10</v>
      </c>
      <c r="D2188" s="11" t="s">
        <v>798</v>
      </c>
      <c r="E2188" s="11" t="s">
        <v>729</v>
      </c>
      <c r="F2188" s="2" t="str" cm="1">
        <f t="array" ref="F2188">INDEX(_xlfn.TEXTSPLIT(E2188,"-"),2)</f>
        <v>女装</v>
      </c>
      <c r="G2188" s="2" t="str" cm="1">
        <f t="array" ref="G2188">INDEX(_xlfn.TEXTSPLIT(E2188,"-"),3)</f>
        <v>背心吊带</v>
      </c>
      <c r="H2188" s="12">
        <v>531778</v>
      </c>
      <c r="I2188" s="12">
        <v>32056824.07</v>
      </c>
      <c r="J2188" s="13">
        <v>0.0159</v>
      </c>
      <c r="K2188" s="13">
        <v>-0.2603</v>
      </c>
    </row>
    <row r="2189" ht="14.5" spans="1:11">
      <c r="A2189" s="3" t="str">
        <f t="shared" si="126"/>
        <v>2026年</v>
      </c>
      <c r="B2189" s="3" t="str">
        <f t="shared" si="127"/>
        <v>3月</v>
      </c>
      <c r="C2189" s="4" t="str">
        <f t="shared" si="128"/>
        <v>W10</v>
      </c>
      <c r="D2189" s="11" t="s">
        <v>798</v>
      </c>
      <c r="E2189" s="11" t="s">
        <v>730</v>
      </c>
      <c r="F2189" s="2" t="str" cm="1">
        <f t="array" ref="F2189">INDEX(_xlfn.TEXTSPLIT(E2189,"-"),2)</f>
        <v>女装</v>
      </c>
      <c r="G2189" s="2" t="str" cm="1">
        <f t="array" ref="G2189">INDEX(_xlfn.TEXTSPLIT(E2189,"-"),3)</f>
        <v>蕾丝衫/雪纺衫</v>
      </c>
      <c r="H2189" s="12">
        <v>202379</v>
      </c>
      <c r="I2189" s="12">
        <v>16432247.98</v>
      </c>
      <c r="J2189" s="13">
        <v>0.0082</v>
      </c>
      <c r="K2189" s="13">
        <v>-0.1918</v>
      </c>
    </row>
    <row r="2190" ht="14.5" spans="1:11">
      <c r="A2190" s="3" t="str">
        <f t="shared" ref="A2190:A2253" si="129">TEXT(YEAR(D2190),"0")&amp;"年"</f>
        <v>2026年</v>
      </c>
      <c r="B2190" s="3" t="str">
        <f t="shared" ref="B2190:B2253" si="130">TEXT(MONTH(D2190),"0")&amp;"月"</f>
        <v>3月</v>
      </c>
      <c r="C2190" s="4" t="str">
        <f t="shared" ref="C2190:C2253" si="131">"W"&amp;TEXT(WEEKNUM(D2190,2),"0")</f>
        <v>W10</v>
      </c>
      <c r="D2190" s="11" t="s">
        <v>798</v>
      </c>
      <c r="E2190" s="11" t="s">
        <v>731</v>
      </c>
      <c r="F2190" s="2" t="str" cm="1">
        <f t="array" ref="F2190">INDEX(_xlfn.TEXTSPLIT(E2190,"-"),2)</f>
        <v>女装</v>
      </c>
      <c r="G2190" s="2" t="str" cm="1">
        <f t="array" ref="G2190">INDEX(_xlfn.TEXTSPLIT(E2190,"-"),3)</f>
        <v>衬衫</v>
      </c>
      <c r="H2190" s="12">
        <v>885810</v>
      </c>
      <c r="I2190" s="12">
        <v>99193581.39</v>
      </c>
      <c r="J2190" s="13">
        <v>0.0493</v>
      </c>
      <c r="K2190" s="13">
        <v>-0.1902</v>
      </c>
    </row>
    <row r="2191" ht="14.5" spans="1:11">
      <c r="A2191" s="3" t="str">
        <f t="shared" si="129"/>
        <v>2026年</v>
      </c>
      <c r="B2191" s="3" t="str">
        <f t="shared" si="130"/>
        <v>3月</v>
      </c>
      <c r="C2191" s="4" t="str">
        <f t="shared" si="131"/>
        <v>W10</v>
      </c>
      <c r="D2191" s="11" t="s">
        <v>798</v>
      </c>
      <c r="E2191" s="11" t="s">
        <v>732</v>
      </c>
      <c r="F2191" s="2" t="str" cm="1">
        <f t="array" ref="F2191">INDEX(_xlfn.TEXTSPLIT(E2191,"-"),2)</f>
        <v>女装</v>
      </c>
      <c r="G2191" s="2" t="str" cm="1">
        <f t="array" ref="G2191">INDEX(_xlfn.TEXTSPLIT(E2191,"-"),3)</f>
        <v>裤子</v>
      </c>
      <c r="H2191" s="12">
        <v>3031444</v>
      </c>
      <c r="I2191" s="12">
        <v>327715169.2</v>
      </c>
      <c r="J2191" s="13">
        <v>0.1629</v>
      </c>
      <c r="K2191" s="13">
        <v>-0.1699</v>
      </c>
    </row>
    <row r="2192" ht="14.5" spans="1:11">
      <c r="A2192" s="3" t="str">
        <f t="shared" si="129"/>
        <v>2026年</v>
      </c>
      <c r="B2192" s="3" t="str">
        <f t="shared" si="130"/>
        <v>3月</v>
      </c>
      <c r="C2192" s="4" t="str">
        <f t="shared" si="131"/>
        <v>W10</v>
      </c>
      <c r="D2192" s="11" t="s">
        <v>798</v>
      </c>
      <c r="E2192" s="11" t="s">
        <v>733</v>
      </c>
      <c r="F2192" s="2" t="str" cm="1">
        <f t="array" ref="F2192">INDEX(_xlfn.TEXTSPLIT(E2192,"-"),2)</f>
        <v>女装</v>
      </c>
      <c r="G2192" s="2" t="str" cm="1">
        <f t="array" ref="G2192">INDEX(_xlfn.TEXTSPLIT(E2192,"-"),3)</f>
        <v>西装</v>
      </c>
      <c r="H2192" s="12">
        <v>132253</v>
      </c>
      <c r="I2192" s="12">
        <v>36856228.67</v>
      </c>
      <c r="J2192" s="13">
        <v>0.0183</v>
      </c>
      <c r="K2192" s="13">
        <v>-0.079</v>
      </c>
    </row>
    <row r="2193" ht="14.5" spans="1:11">
      <c r="A2193" s="3" t="str">
        <f t="shared" si="129"/>
        <v>2026年</v>
      </c>
      <c r="B2193" s="3" t="str">
        <f t="shared" si="130"/>
        <v>3月</v>
      </c>
      <c r="C2193" s="4" t="str">
        <f t="shared" si="131"/>
        <v>W10</v>
      </c>
      <c r="D2193" s="11" t="s">
        <v>798</v>
      </c>
      <c r="E2193" s="11" t="s">
        <v>734</v>
      </c>
      <c r="F2193" s="2" t="str" cm="1">
        <f t="array" ref="F2193">INDEX(_xlfn.TEXTSPLIT(E2193,"-"),2)</f>
        <v>女装</v>
      </c>
      <c r="G2193" s="2" t="str" cm="1">
        <f t="array" ref="G2193">INDEX(_xlfn.TEXTSPLIT(E2193,"-"),3)</f>
        <v>设计师/潮牌女装</v>
      </c>
      <c r="H2193" s="12">
        <v>390384</v>
      </c>
      <c r="I2193" s="12">
        <v>32597344.3</v>
      </c>
      <c r="J2193" s="13">
        <v>0.0162</v>
      </c>
      <c r="K2193" s="13">
        <v>-0.1684</v>
      </c>
    </row>
    <row r="2194" ht="14.5" spans="1:11">
      <c r="A2194" s="3" t="str">
        <f t="shared" si="129"/>
        <v>2026年</v>
      </c>
      <c r="B2194" s="3" t="str">
        <f t="shared" si="130"/>
        <v>3月</v>
      </c>
      <c r="C2194" s="4" t="str">
        <f t="shared" si="131"/>
        <v>W10</v>
      </c>
      <c r="D2194" s="11" t="s">
        <v>798</v>
      </c>
      <c r="E2194" s="11" t="s">
        <v>735</v>
      </c>
      <c r="F2194" s="2" t="str" cm="1">
        <f t="array" ref="F2194">INDEX(_xlfn.TEXTSPLIT(E2194,"-"),2)</f>
        <v>女装</v>
      </c>
      <c r="G2194" s="2" t="str" cm="1">
        <f t="array" ref="G2194">INDEX(_xlfn.TEXTSPLIT(E2194,"-"),3)</f>
        <v>连体衣/裤</v>
      </c>
      <c r="H2194" s="12">
        <v>21555</v>
      </c>
      <c r="I2194" s="12">
        <v>3463641.93</v>
      </c>
      <c r="J2194" s="13">
        <v>0.0017</v>
      </c>
      <c r="K2194" s="13">
        <v>-0.1547</v>
      </c>
    </row>
    <row r="2195" ht="14.5" spans="1:11">
      <c r="A2195" s="3" t="str">
        <f t="shared" si="129"/>
        <v>2026年</v>
      </c>
      <c r="B2195" s="3" t="str">
        <f t="shared" si="130"/>
        <v>3月</v>
      </c>
      <c r="C2195" s="4" t="str">
        <f t="shared" si="131"/>
        <v>W10</v>
      </c>
      <c r="D2195" s="11" t="s">
        <v>798</v>
      </c>
      <c r="E2195" s="11" t="s">
        <v>736</v>
      </c>
      <c r="F2195" s="2" t="str" cm="1">
        <f t="array" ref="F2195">INDEX(_xlfn.TEXTSPLIT(E2195,"-"),2)</f>
        <v>女装</v>
      </c>
      <c r="G2195" s="2" t="str" cm="1">
        <f t="array" ref="G2195">INDEX(_xlfn.TEXTSPLIT(E2195,"-"),3)</f>
        <v>连衣裙</v>
      </c>
      <c r="H2195" s="12">
        <v>1035212</v>
      </c>
      <c r="I2195" s="12">
        <v>155571022.21</v>
      </c>
      <c r="J2195" s="13">
        <v>0.0773</v>
      </c>
      <c r="K2195" s="13">
        <v>-0.1332</v>
      </c>
    </row>
    <row r="2196" ht="14.5" spans="1:11">
      <c r="A2196" s="3" t="str">
        <f t="shared" si="129"/>
        <v>2026年</v>
      </c>
      <c r="B2196" s="3" t="str">
        <f t="shared" si="130"/>
        <v>3月</v>
      </c>
      <c r="C2196" s="4" t="str">
        <f t="shared" si="131"/>
        <v>W10</v>
      </c>
      <c r="D2196" s="11" t="s">
        <v>798</v>
      </c>
      <c r="E2196" s="11" t="s">
        <v>737</v>
      </c>
      <c r="F2196" s="2" t="str" cm="1">
        <f t="array" ref="F2196">INDEX(_xlfn.TEXTSPLIT(E2196,"-"),2)</f>
        <v>女装</v>
      </c>
      <c r="G2196" s="2" t="str" cm="1">
        <f t="array" ref="G2196">INDEX(_xlfn.TEXTSPLIT(E2196,"-"),3)</f>
        <v>风衣</v>
      </c>
      <c r="H2196" s="12">
        <v>189404</v>
      </c>
      <c r="I2196" s="12">
        <v>41930485.16</v>
      </c>
      <c r="J2196" s="13">
        <v>0.0208</v>
      </c>
      <c r="K2196" s="13">
        <v>-0.193</v>
      </c>
    </row>
    <row r="2197" ht="14.5" spans="1:11">
      <c r="A2197" s="3" t="str">
        <f t="shared" si="129"/>
        <v>2026年</v>
      </c>
      <c r="B2197" s="3" t="str">
        <f t="shared" si="130"/>
        <v>3月</v>
      </c>
      <c r="C2197" s="4" t="str">
        <f t="shared" si="131"/>
        <v>W10</v>
      </c>
      <c r="D2197" s="11" t="s">
        <v>798</v>
      </c>
      <c r="E2197" s="11" t="s">
        <v>738</v>
      </c>
      <c r="F2197" s="2" t="str" cm="1">
        <f t="array" ref="F2197">INDEX(_xlfn.TEXTSPLIT(E2197,"-"),2)</f>
        <v>女装</v>
      </c>
      <c r="G2197" s="2" t="str" cm="1">
        <f t="array" ref="G2197">INDEX(_xlfn.TEXTSPLIT(E2197,"-"),3)</f>
        <v>马夹</v>
      </c>
      <c r="H2197" s="12">
        <v>335289</v>
      </c>
      <c r="I2197" s="12">
        <v>49115683.92</v>
      </c>
      <c r="J2197" s="13">
        <v>0.0244</v>
      </c>
      <c r="K2197" s="13">
        <v>0.1744</v>
      </c>
    </row>
    <row r="2198" ht="14.5" spans="1:11">
      <c r="A2198" s="3" t="str">
        <f t="shared" si="129"/>
        <v>2026年</v>
      </c>
      <c r="B2198" s="3" t="str">
        <f t="shared" si="130"/>
        <v>3月</v>
      </c>
      <c r="C2198" s="4" t="str">
        <f t="shared" si="131"/>
        <v>W10</v>
      </c>
      <c r="D2198" s="11" t="s">
        <v>799</v>
      </c>
      <c r="E2198" s="11" t="s">
        <v>702</v>
      </c>
      <c r="F2198" s="2" t="str" cm="1">
        <f t="array" ref="F2198">INDEX(_xlfn.TEXTSPLIT(E2198,"-"),2)</f>
        <v>女装</v>
      </c>
      <c r="G2198" s="2" t="str" cm="1">
        <f t="array" ref="G2198">INDEX(_xlfn.TEXTSPLIT(E2198,"-"),3)</f>
        <v>POLO衫</v>
      </c>
      <c r="H2198" s="12">
        <v>27910</v>
      </c>
      <c r="I2198" s="12">
        <v>2477132.5</v>
      </c>
      <c r="J2198" s="13">
        <v>0.0013</v>
      </c>
      <c r="K2198" s="13">
        <v>-0.0606</v>
      </c>
    </row>
    <row r="2199" ht="14.5" spans="1:11">
      <c r="A2199" s="3" t="str">
        <f t="shared" si="129"/>
        <v>2026年</v>
      </c>
      <c r="B2199" s="3" t="str">
        <f t="shared" si="130"/>
        <v>3月</v>
      </c>
      <c r="C2199" s="4" t="str">
        <f t="shared" si="131"/>
        <v>W10</v>
      </c>
      <c r="D2199" s="11" t="s">
        <v>799</v>
      </c>
      <c r="E2199" s="11" t="s">
        <v>703</v>
      </c>
      <c r="F2199" s="2" t="str" cm="1">
        <f t="array" ref="F2199">INDEX(_xlfn.TEXTSPLIT(E2199,"-"),2)</f>
        <v>女装</v>
      </c>
      <c r="G2199" s="2" t="str" cm="1">
        <f t="array" ref="G2199">INDEX(_xlfn.TEXTSPLIT(E2199,"-"),3)</f>
        <v>T恤</v>
      </c>
      <c r="H2199" s="12">
        <v>2086138</v>
      </c>
      <c r="I2199" s="12">
        <v>132977961.08</v>
      </c>
      <c r="J2199" s="13">
        <v>0.0684</v>
      </c>
      <c r="K2199" s="13">
        <v>-0.1313</v>
      </c>
    </row>
    <row r="2200" ht="14.5" spans="1:11">
      <c r="A2200" s="3" t="str">
        <f t="shared" si="129"/>
        <v>2026年</v>
      </c>
      <c r="B2200" s="3" t="str">
        <f t="shared" si="130"/>
        <v>3月</v>
      </c>
      <c r="C2200" s="4" t="str">
        <f t="shared" si="131"/>
        <v>W10</v>
      </c>
      <c r="D2200" s="11" t="s">
        <v>799</v>
      </c>
      <c r="E2200" s="11" t="s">
        <v>704</v>
      </c>
      <c r="F2200" s="2" t="str" cm="1">
        <f t="array" ref="F2200">INDEX(_xlfn.TEXTSPLIT(E2200,"-"),2)</f>
        <v>女装</v>
      </c>
      <c r="G2200" s="2" t="str" cm="1">
        <f t="array" ref="G2200">INDEX(_xlfn.TEXTSPLIT(E2200,"-"),3)</f>
        <v>中老年女装</v>
      </c>
      <c r="H2200" s="12">
        <v>163010</v>
      </c>
      <c r="I2200" s="12">
        <v>14672445.62</v>
      </c>
      <c r="J2200" s="13">
        <v>0.0076</v>
      </c>
      <c r="K2200" s="13">
        <v>0.0388</v>
      </c>
    </row>
    <row r="2201" ht="14.5" spans="1:11">
      <c r="A2201" s="3" t="str">
        <f t="shared" si="129"/>
        <v>2026年</v>
      </c>
      <c r="B2201" s="3" t="str">
        <f t="shared" si="130"/>
        <v>3月</v>
      </c>
      <c r="C2201" s="4" t="str">
        <f t="shared" si="131"/>
        <v>W10</v>
      </c>
      <c r="D2201" s="11" t="s">
        <v>799</v>
      </c>
      <c r="E2201" s="11" t="s">
        <v>705</v>
      </c>
      <c r="F2201" s="2" t="str" cm="1">
        <f t="array" ref="F2201">INDEX(_xlfn.TEXTSPLIT(E2201,"-"),2)</f>
        <v>女装</v>
      </c>
      <c r="G2201" s="2" t="str" cm="1">
        <f t="array" ref="G2201">INDEX(_xlfn.TEXTSPLIT(E2201,"-"),3)</f>
        <v>半身裙</v>
      </c>
      <c r="H2201" s="12">
        <v>636850</v>
      </c>
      <c r="I2201" s="12">
        <v>76891802.55</v>
      </c>
      <c r="J2201" s="13">
        <v>0.0396</v>
      </c>
      <c r="K2201" s="13">
        <v>0.0032</v>
      </c>
    </row>
    <row r="2202" ht="14.5" spans="1:11">
      <c r="A2202" s="3" t="str">
        <f t="shared" si="129"/>
        <v>2026年</v>
      </c>
      <c r="B2202" s="3" t="str">
        <f t="shared" si="130"/>
        <v>3月</v>
      </c>
      <c r="C2202" s="4" t="str">
        <f t="shared" si="131"/>
        <v>W10</v>
      </c>
      <c r="D2202" s="11" t="s">
        <v>799</v>
      </c>
      <c r="E2202" s="11" t="s">
        <v>706</v>
      </c>
      <c r="F2202" s="2" t="str" cm="1">
        <f t="array" ref="F2202">INDEX(_xlfn.TEXTSPLIT(E2202,"-"),2)</f>
        <v>女装</v>
      </c>
      <c r="G2202" s="2" t="str" cm="1">
        <f t="array" ref="G2202">INDEX(_xlfn.TEXTSPLIT(E2202,"-"),3)</f>
        <v>卫衣/绒衫</v>
      </c>
      <c r="H2202" s="12">
        <v>326886</v>
      </c>
      <c r="I2202" s="12">
        <v>31780447.52</v>
      </c>
      <c r="J2202" s="13">
        <v>0.0164</v>
      </c>
      <c r="K2202" s="13">
        <v>0.0141</v>
      </c>
    </row>
    <row r="2203" ht="14.5" spans="1:11">
      <c r="A2203" s="3" t="str">
        <f t="shared" si="129"/>
        <v>2026年</v>
      </c>
      <c r="B2203" s="3" t="str">
        <f t="shared" si="130"/>
        <v>3月</v>
      </c>
      <c r="C2203" s="4" t="str">
        <f t="shared" si="131"/>
        <v>W10</v>
      </c>
      <c r="D2203" s="11" t="s">
        <v>799</v>
      </c>
      <c r="E2203" s="11" t="s">
        <v>707</v>
      </c>
      <c r="F2203" s="2" t="str" cm="1">
        <f t="array" ref="F2203">INDEX(_xlfn.TEXTSPLIT(E2203,"-"),2)</f>
        <v>女装</v>
      </c>
      <c r="G2203" s="2" t="str" cm="1">
        <f t="array" ref="G2203">INDEX(_xlfn.TEXTSPLIT(E2203,"-"),3)</f>
        <v>唐装/民族服装/舞台服装</v>
      </c>
      <c r="H2203" s="12">
        <v>241836</v>
      </c>
      <c r="I2203" s="12">
        <v>40321294.5</v>
      </c>
      <c r="J2203" s="13">
        <v>0.0208</v>
      </c>
      <c r="K2203" s="13">
        <v>-0.0701</v>
      </c>
    </row>
    <row r="2204" ht="14.5" spans="1:11">
      <c r="A2204" s="3" t="str">
        <f t="shared" si="129"/>
        <v>2026年</v>
      </c>
      <c r="B2204" s="3" t="str">
        <f t="shared" si="130"/>
        <v>3月</v>
      </c>
      <c r="C2204" s="4" t="str">
        <f t="shared" si="131"/>
        <v>W10</v>
      </c>
      <c r="D2204" s="11" t="s">
        <v>799</v>
      </c>
      <c r="E2204" s="11" t="s">
        <v>708</v>
      </c>
      <c r="F2204" s="2" t="str" cm="1">
        <f t="array" ref="F2204">INDEX(_xlfn.TEXTSPLIT(E2204,"-"),2)</f>
        <v>女装</v>
      </c>
      <c r="G2204" s="2" t="str" cm="1">
        <f t="array" ref="G2204">INDEX(_xlfn.TEXTSPLIT(E2204,"-"),3)</f>
        <v>大码女装</v>
      </c>
      <c r="H2204" s="12">
        <v>554030</v>
      </c>
      <c r="I2204" s="12">
        <v>37444650.32</v>
      </c>
      <c r="J2204" s="13">
        <v>0.0193</v>
      </c>
      <c r="K2204" s="13">
        <v>-0.0114</v>
      </c>
    </row>
    <row r="2205" ht="14.5" spans="1:11">
      <c r="A2205" s="3" t="str">
        <f t="shared" si="129"/>
        <v>2026年</v>
      </c>
      <c r="B2205" s="3" t="str">
        <f t="shared" si="130"/>
        <v>3月</v>
      </c>
      <c r="C2205" s="4" t="str">
        <f t="shared" si="131"/>
        <v>W10</v>
      </c>
      <c r="D2205" s="11" t="s">
        <v>799</v>
      </c>
      <c r="E2205" s="11" t="s">
        <v>709</v>
      </c>
      <c r="F2205" s="2" t="str" cm="1">
        <f t="array" ref="F2205">INDEX(_xlfn.TEXTSPLIT(E2205,"-"),2)</f>
        <v>女装</v>
      </c>
      <c r="G2205" s="2" t="str" cm="1">
        <f t="array" ref="G2205">INDEX(_xlfn.TEXTSPLIT(E2205,"-"),3)</f>
        <v>套装/学生校服/工作制服</v>
      </c>
      <c r="H2205" s="12">
        <v>1227253</v>
      </c>
      <c r="I2205" s="12">
        <v>162746940.21</v>
      </c>
      <c r="J2205" s="13">
        <v>0.0838</v>
      </c>
      <c r="K2205" s="13">
        <v>0.0553</v>
      </c>
    </row>
    <row r="2206" ht="14.5" spans="1:11">
      <c r="A2206" s="3" t="str">
        <f t="shared" si="129"/>
        <v>2026年</v>
      </c>
      <c r="B2206" s="3" t="str">
        <f t="shared" si="130"/>
        <v>3月</v>
      </c>
      <c r="C2206" s="4" t="str">
        <f t="shared" si="131"/>
        <v>W10</v>
      </c>
      <c r="D2206" s="11" t="s">
        <v>799</v>
      </c>
      <c r="E2206" s="11" t="s">
        <v>710</v>
      </c>
      <c r="F2206" s="2" t="str" cm="1">
        <f t="array" ref="F2206">INDEX(_xlfn.TEXTSPLIT(E2206,"-"),2)</f>
        <v>女装</v>
      </c>
      <c r="G2206" s="2" t="str" cm="1">
        <f t="array" ref="G2206">INDEX(_xlfn.TEXTSPLIT(E2206,"-"),3)</f>
        <v>婚纱/旗袍/礼服</v>
      </c>
      <c r="H2206" s="12">
        <v>82804</v>
      </c>
      <c r="I2206" s="12">
        <v>14897640.72</v>
      </c>
      <c r="J2206" s="13">
        <v>0.0077</v>
      </c>
      <c r="K2206" s="13">
        <v>0.0141</v>
      </c>
    </row>
    <row r="2207" ht="14.5" spans="1:11">
      <c r="A2207" s="3" t="str">
        <f t="shared" si="129"/>
        <v>2026年</v>
      </c>
      <c r="B2207" s="3" t="str">
        <f t="shared" si="130"/>
        <v>3月</v>
      </c>
      <c r="C2207" s="4" t="str">
        <f t="shared" si="131"/>
        <v>W10</v>
      </c>
      <c r="D2207" s="11" t="s">
        <v>799</v>
      </c>
      <c r="E2207" s="11" t="s">
        <v>711</v>
      </c>
      <c r="F2207" s="2" t="str" cm="1">
        <f t="array" ref="F2207">INDEX(_xlfn.TEXTSPLIT(E2207,"-"),2)</f>
        <v>女装</v>
      </c>
      <c r="G2207" s="2" t="str" cm="1">
        <f t="array" ref="G2207">INDEX(_xlfn.TEXTSPLIT(E2207,"-"),3)</f>
        <v>新中式女装</v>
      </c>
      <c r="H2207" s="12">
        <v>81063</v>
      </c>
      <c r="I2207" s="12">
        <v>7109725.38</v>
      </c>
      <c r="J2207" s="13">
        <v>0.0037</v>
      </c>
      <c r="K2207" s="13">
        <v>0.0434</v>
      </c>
    </row>
    <row r="2208" ht="14.5" spans="1:11">
      <c r="A2208" s="3" t="str">
        <f t="shared" si="129"/>
        <v>2026年</v>
      </c>
      <c r="B2208" s="3" t="str">
        <f t="shared" si="130"/>
        <v>3月</v>
      </c>
      <c r="C2208" s="4" t="str">
        <f t="shared" si="131"/>
        <v>W10</v>
      </c>
      <c r="D2208" s="11" t="s">
        <v>799</v>
      </c>
      <c r="E2208" s="11" t="s">
        <v>712</v>
      </c>
      <c r="F2208" s="2" t="str" cm="1">
        <f t="array" ref="F2208">INDEX(_xlfn.TEXTSPLIT(E2208,"-"),2)</f>
        <v>女装</v>
      </c>
      <c r="G2208" s="2" t="str" cm="1">
        <f t="array" ref="G2208">INDEX(_xlfn.TEXTSPLIT(E2208,"-"),3)</f>
        <v>时尚防晒服</v>
      </c>
      <c r="H2208" s="12">
        <v>9987</v>
      </c>
      <c r="I2208" s="12">
        <v>1797900.31</v>
      </c>
      <c r="J2208" s="13">
        <v>0.0009</v>
      </c>
      <c r="K2208" s="13">
        <v>0.1818</v>
      </c>
    </row>
    <row r="2209" ht="14.5" spans="1:11">
      <c r="A2209" s="3" t="str">
        <f t="shared" si="129"/>
        <v>2026年</v>
      </c>
      <c r="B2209" s="3" t="str">
        <f t="shared" si="130"/>
        <v>3月</v>
      </c>
      <c r="C2209" s="4" t="str">
        <f t="shared" si="131"/>
        <v>W10</v>
      </c>
      <c r="D2209" s="11" t="s">
        <v>799</v>
      </c>
      <c r="E2209" s="11" t="s">
        <v>714</v>
      </c>
      <c r="F2209" s="2" t="str" cm="1">
        <f t="array" ref="F2209">INDEX(_xlfn.TEXTSPLIT(E2209,"-"),2)</f>
        <v>女装</v>
      </c>
      <c r="G2209" s="2" t="str" cm="1">
        <f t="array" ref="G2209">INDEX(_xlfn.TEXTSPLIT(E2209,"-"),3)</f>
        <v>棉衣/棉服</v>
      </c>
      <c r="H2209" s="12">
        <v>236536</v>
      </c>
      <c r="I2209" s="12">
        <v>20080412.45</v>
      </c>
      <c r="J2209" s="13">
        <v>0.0103</v>
      </c>
      <c r="K2209" s="13">
        <v>-0.0047</v>
      </c>
    </row>
    <row r="2210" ht="14.5" spans="1:11">
      <c r="A2210" s="3" t="str">
        <f t="shared" si="129"/>
        <v>2026年</v>
      </c>
      <c r="B2210" s="3" t="str">
        <f t="shared" si="130"/>
        <v>3月</v>
      </c>
      <c r="C2210" s="4" t="str">
        <f t="shared" si="131"/>
        <v>W10</v>
      </c>
      <c r="D2210" s="11" t="s">
        <v>799</v>
      </c>
      <c r="E2210" s="11" t="s">
        <v>715</v>
      </c>
      <c r="F2210" s="2" t="str" cm="1">
        <f t="array" ref="F2210">INDEX(_xlfn.TEXTSPLIT(E2210,"-"),2)</f>
        <v>女装</v>
      </c>
      <c r="G2210" s="2" t="str" cm="1">
        <f t="array" ref="G2210">INDEX(_xlfn.TEXTSPLIT(E2210,"-"),3)</f>
        <v>毛呢外套</v>
      </c>
      <c r="H2210" s="12">
        <v>265771</v>
      </c>
      <c r="I2210" s="12">
        <v>66617809.18</v>
      </c>
      <c r="J2210" s="13">
        <v>0.0343</v>
      </c>
      <c r="K2210" s="13">
        <v>-0.0647</v>
      </c>
    </row>
    <row r="2211" ht="14.5" spans="1:11">
      <c r="A2211" s="3" t="str">
        <f t="shared" si="129"/>
        <v>2026年</v>
      </c>
      <c r="B2211" s="3" t="str">
        <f t="shared" si="130"/>
        <v>3月</v>
      </c>
      <c r="C2211" s="4" t="str">
        <f t="shared" si="131"/>
        <v>W10</v>
      </c>
      <c r="D2211" s="11" t="s">
        <v>799</v>
      </c>
      <c r="E2211" s="11" t="s">
        <v>716</v>
      </c>
      <c r="F2211" s="2" t="str" cm="1">
        <f t="array" ref="F2211">INDEX(_xlfn.TEXTSPLIT(E2211,"-"),2)</f>
        <v>女装</v>
      </c>
      <c r="G2211" s="2" t="str" cm="1">
        <f t="array" ref="G2211">INDEX(_xlfn.TEXTSPLIT(E2211,"-"),3)</f>
        <v>毛衣</v>
      </c>
      <c r="H2211" s="12">
        <v>205427</v>
      </c>
      <c r="I2211" s="12">
        <v>20039554.33</v>
      </c>
      <c r="J2211" s="13">
        <v>0.0103</v>
      </c>
      <c r="K2211" s="13">
        <v>0.1169</v>
      </c>
    </row>
    <row r="2212" ht="14.5" spans="1:11">
      <c r="A2212" s="3" t="str">
        <f t="shared" si="129"/>
        <v>2026年</v>
      </c>
      <c r="B2212" s="3" t="str">
        <f t="shared" si="130"/>
        <v>3月</v>
      </c>
      <c r="C2212" s="4" t="str">
        <f t="shared" si="131"/>
        <v>W10</v>
      </c>
      <c r="D2212" s="11" t="s">
        <v>799</v>
      </c>
      <c r="E2212" s="11" t="s">
        <v>717</v>
      </c>
      <c r="F2212" s="2" t="str" cm="1">
        <f t="array" ref="F2212">INDEX(_xlfn.TEXTSPLIT(E2212,"-"),2)</f>
        <v>女装</v>
      </c>
      <c r="G2212" s="2" t="str" cm="1">
        <f t="array" ref="G2212">INDEX(_xlfn.TEXTSPLIT(E2212,"-"),3)</f>
        <v>毛针织衫</v>
      </c>
      <c r="H2212" s="12">
        <v>1537045</v>
      </c>
      <c r="I2212" s="12">
        <v>119016075.1</v>
      </c>
      <c r="J2212" s="13">
        <v>0.0612</v>
      </c>
      <c r="K2212" s="13">
        <v>0.0292</v>
      </c>
    </row>
    <row r="2213" ht="14.5" spans="1:11">
      <c r="A2213" s="3" t="str">
        <f t="shared" si="129"/>
        <v>2026年</v>
      </c>
      <c r="B2213" s="3" t="str">
        <f t="shared" si="130"/>
        <v>3月</v>
      </c>
      <c r="C2213" s="4" t="str">
        <f t="shared" si="131"/>
        <v>W10</v>
      </c>
      <c r="D2213" s="11" t="s">
        <v>799</v>
      </c>
      <c r="E2213" s="11" t="s">
        <v>718</v>
      </c>
      <c r="F2213" s="2" t="str" cm="1">
        <f t="array" ref="F2213">INDEX(_xlfn.TEXTSPLIT(E2213,"-"),2)</f>
        <v>女装</v>
      </c>
      <c r="G2213" s="2" t="str" cm="1">
        <f t="array" ref="G2213">INDEX(_xlfn.TEXTSPLIT(E2213,"-"),3)</f>
        <v>汉服</v>
      </c>
      <c r="H2213" s="12">
        <v>111829</v>
      </c>
      <c r="I2213" s="12">
        <v>37415486.73</v>
      </c>
      <c r="J2213" s="13">
        <v>0.0193</v>
      </c>
      <c r="K2213" s="13">
        <v>-0.3967</v>
      </c>
    </row>
    <row r="2214" ht="14.5" spans="1:11">
      <c r="A2214" s="3" t="str">
        <f t="shared" si="129"/>
        <v>2026年</v>
      </c>
      <c r="B2214" s="3" t="str">
        <f t="shared" si="130"/>
        <v>3月</v>
      </c>
      <c r="C2214" s="4" t="str">
        <f t="shared" si="131"/>
        <v>W10</v>
      </c>
      <c r="D2214" s="11" t="s">
        <v>799</v>
      </c>
      <c r="E2214" s="11" t="s">
        <v>719</v>
      </c>
      <c r="F2214" s="2" t="str" cm="1">
        <f t="array" ref="F2214">INDEX(_xlfn.TEXTSPLIT(E2214,"-"),2)</f>
        <v>女装</v>
      </c>
      <c r="G2214" s="2" t="str" cm="1">
        <f t="array" ref="G2214">INDEX(_xlfn.TEXTSPLIT(E2214,"-"),3)</f>
        <v>派克服</v>
      </c>
      <c r="H2214" s="12">
        <v>7848</v>
      </c>
      <c r="I2214" s="12">
        <v>1129865.5</v>
      </c>
      <c r="J2214" s="13">
        <v>0.0006</v>
      </c>
      <c r="K2214" s="13">
        <v>-0.3463</v>
      </c>
    </row>
    <row r="2215" ht="14.5" spans="1:11">
      <c r="A2215" s="3" t="str">
        <f t="shared" si="129"/>
        <v>2026年</v>
      </c>
      <c r="B2215" s="3" t="str">
        <f t="shared" si="130"/>
        <v>3月</v>
      </c>
      <c r="C2215" s="4" t="str">
        <f t="shared" si="131"/>
        <v>W10</v>
      </c>
      <c r="D2215" s="11" t="s">
        <v>799</v>
      </c>
      <c r="E2215" s="11" t="s">
        <v>720</v>
      </c>
      <c r="F2215" s="2" t="str" cm="1">
        <f t="array" ref="F2215">INDEX(_xlfn.TEXTSPLIT(E2215,"-"),2)</f>
        <v>女装</v>
      </c>
      <c r="G2215" s="2" t="str" cm="1">
        <f t="array" ref="G2215">INDEX(_xlfn.TEXTSPLIT(E2215,"-"),3)</f>
        <v>皮草</v>
      </c>
      <c r="H2215" s="12">
        <v>31958</v>
      </c>
      <c r="I2215" s="12">
        <v>52865643.37</v>
      </c>
      <c r="J2215" s="13">
        <v>0.0272</v>
      </c>
      <c r="K2215" s="13">
        <v>0.0049</v>
      </c>
    </row>
    <row r="2216" ht="14.5" spans="1:11">
      <c r="A2216" s="3" t="str">
        <f t="shared" si="129"/>
        <v>2026年</v>
      </c>
      <c r="B2216" s="3" t="str">
        <f t="shared" si="130"/>
        <v>3月</v>
      </c>
      <c r="C2216" s="4" t="str">
        <f t="shared" si="131"/>
        <v>W10</v>
      </c>
      <c r="D2216" s="11" t="s">
        <v>799</v>
      </c>
      <c r="E2216" s="11" t="s">
        <v>721</v>
      </c>
      <c r="F2216" s="2" t="str" cm="1">
        <f t="array" ref="F2216">INDEX(_xlfn.TEXTSPLIT(E2216,"-"),2)</f>
        <v>女装</v>
      </c>
      <c r="G2216" s="2" t="str" cm="1">
        <f t="array" ref="G2216">INDEX(_xlfn.TEXTSPLIT(E2216,"-"),3)</f>
        <v>皮衣</v>
      </c>
      <c r="H2216" s="12">
        <v>212520</v>
      </c>
      <c r="I2216" s="12">
        <v>60038136.84</v>
      </c>
      <c r="J2216" s="13">
        <v>0.0309</v>
      </c>
      <c r="K2216" s="13">
        <v>0.1589</v>
      </c>
    </row>
    <row r="2217" ht="14.5" spans="1:11">
      <c r="A2217" s="3" t="str">
        <f t="shared" si="129"/>
        <v>2026年</v>
      </c>
      <c r="B2217" s="3" t="str">
        <f t="shared" si="130"/>
        <v>3月</v>
      </c>
      <c r="C2217" s="4" t="str">
        <f t="shared" si="131"/>
        <v>W10</v>
      </c>
      <c r="D2217" s="11" t="s">
        <v>799</v>
      </c>
      <c r="E2217" s="11" t="s">
        <v>722</v>
      </c>
      <c r="F2217" s="2" t="str" cm="1">
        <f t="array" ref="F2217">INDEX(_xlfn.TEXTSPLIT(E2217,"-"),2)</f>
        <v>女装</v>
      </c>
      <c r="G2217" s="2" t="str" cm="1">
        <f t="array" ref="G2217">INDEX(_xlfn.TEXTSPLIT(E2217,"-"),3)</f>
        <v>短外套</v>
      </c>
      <c r="H2217" s="12">
        <v>931136</v>
      </c>
      <c r="I2217" s="12">
        <v>152004609.6</v>
      </c>
      <c r="J2217" s="13">
        <v>0.0782</v>
      </c>
      <c r="K2217" s="13">
        <v>0.0181</v>
      </c>
    </row>
    <row r="2218" ht="14.5" spans="1:11">
      <c r="A2218" s="3" t="str">
        <f t="shared" si="129"/>
        <v>2026年</v>
      </c>
      <c r="B2218" s="3" t="str">
        <f t="shared" si="130"/>
        <v>3月</v>
      </c>
      <c r="C2218" s="4" t="str">
        <f t="shared" si="131"/>
        <v>W10</v>
      </c>
      <c r="D2218" s="11" t="s">
        <v>799</v>
      </c>
      <c r="E2218" s="11" t="s">
        <v>723</v>
      </c>
      <c r="F2218" s="2" t="str" cm="1">
        <f t="array" ref="F2218">INDEX(_xlfn.TEXTSPLIT(E2218,"-"),2)</f>
        <v>女装</v>
      </c>
      <c r="G2218" s="2" t="str" cm="1">
        <f t="array" ref="G2218">INDEX(_xlfn.TEXTSPLIT(E2218,"-"),3)</f>
        <v>短裤</v>
      </c>
      <c r="H2218" s="12">
        <v>133017</v>
      </c>
      <c r="I2218" s="12">
        <v>8982717.55</v>
      </c>
      <c r="J2218" s="13">
        <v>0.0046</v>
      </c>
      <c r="K2218" s="13">
        <v>0.1191</v>
      </c>
    </row>
    <row r="2219" ht="14.5" spans="1:11">
      <c r="A2219" s="3" t="str">
        <f t="shared" si="129"/>
        <v>2026年</v>
      </c>
      <c r="B2219" s="3" t="str">
        <f t="shared" si="130"/>
        <v>3月</v>
      </c>
      <c r="C2219" s="4" t="str">
        <f t="shared" si="131"/>
        <v>W10</v>
      </c>
      <c r="D2219" s="11" t="s">
        <v>799</v>
      </c>
      <c r="E2219" s="11" t="s">
        <v>724</v>
      </c>
      <c r="F2219" s="2" t="str" cm="1">
        <f t="array" ref="F2219">INDEX(_xlfn.TEXTSPLIT(E2219,"-"),2)</f>
        <v>女装</v>
      </c>
      <c r="G2219" s="2" t="str" cm="1">
        <f t="array" ref="G2219">INDEX(_xlfn.TEXTSPLIT(E2219,"-"),3)</f>
        <v>羊毛衫</v>
      </c>
      <c r="H2219" s="12">
        <v>156254</v>
      </c>
      <c r="I2219" s="12">
        <v>19479969.14</v>
      </c>
      <c r="J2219" s="14">
        <v>0.01</v>
      </c>
      <c r="K2219" s="13">
        <v>-0.2112</v>
      </c>
    </row>
    <row r="2220" ht="14.5" spans="1:11">
      <c r="A2220" s="3" t="str">
        <f t="shared" si="129"/>
        <v>2026年</v>
      </c>
      <c r="B2220" s="3" t="str">
        <f t="shared" si="130"/>
        <v>3月</v>
      </c>
      <c r="C2220" s="4" t="str">
        <f t="shared" si="131"/>
        <v>W10</v>
      </c>
      <c r="D2220" s="11" t="s">
        <v>799</v>
      </c>
      <c r="E2220" s="11" t="s">
        <v>725</v>
      </c>
      <c r="F2220" s="2" t="str" cm="1">
        <f t="array" ref="F2220">INDEX(_xlfn.TEXTSPLIT(E2220,"-"),2)</f>
        <v>女装</v>
      </c>
      <c r="G2220" s="2" t="str" cm="1">
        <f t="array" ref="G2220">INDEX(_xlfn.TEXTSPLIT(E2220,"-"),3)</f>
        <v>羊绒大衣</v>
      </c>
      <c r="H2220" s="12">
        <v>2919</v>
      </c>
      <c r="I2220" s="12">
        <v>923425.38</v>
      </c>
      <c r="J2220" s="13">
        <v>0.0005</v>
      </c>
      <c r="K2220" s="13">
        <v>-0.2235</v>
      </c>
    </row>
    <row r="2221" ht="14.5" spans="1:11">
      <c r="A2221" s="3" t="str">
        <f t="shared" si="129"/>
        <v>2026年</v>
      </c>
      <c r="B2221" s="3" t="str">
        <f t="shared" si="130"/>
        <v>3月</v>
      </c>
      <c r="C2221" s="4" t="str">
        <f t="shared" si="131"/>
        <v>W10</v>
      </c>
      <c r="D2221" s="11" t="s">
        <v>799</v>
      </c>
      <c r="E2221" s="11" t="s">
        <v>726</v>
      </c>
      <c r="F2221" s="2" t="str" cm="1">
        <f t="array" ref="F2221">INDEX(_xlfn.TEXTSPLIT(E2221,"-"),2)</f>
        <v>女装</v>
      </c>
      <c r="G2221" s="2" t="str" cm="1">
        <f t="array" ref="G2221">INDEX(_xlfn.TEXTSPLIT(E2221,"-"),3)</f>
        <v>羊绒衫</v>
      </c>
      <c r="H2221" s="12">
        <v>34434</v>
      </c>
      <c r="I2221" s="12">
        <v>10935764.72</v>
      </c>
      <c r="J2221" s="13">
        <v>0.0056</v>
      </c>
      <c r="K2221" s="13">
        <v>-0.0817</v>
      </c>
    </row>
    <row r="2222" ht="14.5" spans="1:11">
      <c r="A2222" s="3" t="str">
        <f t="shared" si="129"/>
        <v>2026年</v>
      </c>
      <c r="B2222" s="3" t="str">
        <f t="shared" si="130"/>
        <v>3月</v>
      </c>
      <c r="C2222" s="4" t="str">
        <f t="shared" si="131"/>
        <v>W10</v>
      </c>
      <c r="D2222" s="11" t="s">
        <v>799</v>
      </c>
      <c r="E2222" s="11" t="s">
        <v>727</v>
      </c>
      <c r="F2222" s="2" t="str" cm="1">
        <f t="array" ref="F2222">INDEX(_xlfn.TEXTSPLIT(E2222,"-"),2)</f>
        <v>女装</v>
      </c>
      <c r="G2222" s="2" t="str" cm="1">
        <f t="array" ref="G2222">INDEX(_xlfn.TEXTSPLIT(E2222,"-"),3)</f>
        <v>羽绒服</v>
      </c>
      <c r="H2222" s="12">
        <v>316441</v>
      </c>
      <c r="I2222" s="12">
        <v>81408218.19</v>
      </c>
      <c r="J2222" s="13">
        <v>0.0419</v>
      </c>
      <c r="K2222" s="13">
        <v>-0.1203</v>
      </c>
    </row>
    <row r="2223" ht="14.5" spans="1:11">
      <c r="A2223" s="3" t="str">
        <f t="shared" si="129"/>
        <v>2026年</v>
      </c>
      <c r="B2223" s="3" t="str">
        <f t="shared" si="130"/>
        <v>3月</v>
      </c>
      <c r="C2223" s="4" t="str">
        <f t="shared" si="131"/>
        <v>W10</v>
      </c>
      <c r="D2223" s="11" t="s">
        <v>799</v>
      </c>
      <c r="E2223" s="11" t="s">
        <v>728</v>
      </c>
      <c r="F2223" s="2" t="str" cm="1">
        <f t="array" ref="F2223">INDEX(_xlfn.TEXTSPLIT(E2223,"-"),2)</f>
        <v>女装</v>
      </c>
      <c r="G2223" s="2" t="str" cm="1">
        <f t="array" ref="G2223">INDEX(_xlfn.TEXTSPLIT(E2223,"-"),3)</f>
        <v>肌底衣/肌肤衣</v>
      </c>
      <c r="H2223" s="12">
        <v>5803</v>
      </c>
      <c r="I2223" s="12">
        <v>251994.6</v>
      </c>
      <c r="J2223" s="13">
        <v>0.0001</v>
      </c>
      <c r="K2223" s="13">
        <v>1.4755</v>
      </c>
    </row>
    <row r="2224" ht="14.5" spans="1:11">
      <c r="A2224" s="3" t="str">
        <f t="shared" si="129"/>
        <v>2026年</v>
      </c>
      <c r="B2224" s="3" t="str">
        <f t="shared" si="130"/>
        <v>3月</v>
      </c>
      <c r="C2224" s="4" t="str">
        <f t="shared" si="131"/>
        <v>W10</v>
      </c>
      <c r="D2224" s="11" t="s">
        <v>799</v>
      </c>
      <c r="E2224" s="11" t="s">
        <v>729</v>
      </c>
      <c r="F2224" s="2" t="str" cm="1">
        <f t="array" ref="F2224">INDEX(_xlfn.TEXTSPLIT(E2224,"-"),2)</f>
        <v>女装</v>
      </c>
      <c r="G2224" s="2" t="str" cm="1">
        <f t="array" ref="G2224">INDEX(_xlfn.TEXTSPLIT(E2224,"-"),3)</f>
        <v>背心吊带</v>
      </c>
      <c r="H2224" s="12">
        <v>550476</v>
      </c>
      <c r="I2224" s="12">
        <v>33894335.01</v>
      </c>
      <c r="J2224" s="13">
        <v>0.0174</v>
      </c>
      <c r="K2224" s="13">
        <v>0.0573</v>
      </c>
    </row>
    <row r="2225" ht="14.5" spans="1:11">
      <c r="A2225" s="3" t="str">
        <f t="shared" si="129"/>
        <v>2026年</v>
      </c>
      <c r="B2225" s="3" t="str">
        <f t="shared" si="130"/>
        <v>3月</v>
      </c>
      <c r="C2225" s="4" t="str">
        <f t="shared" si="131"/>
        <v>W10</v>
      </c>
      <c r="D2225" s="11" t="s">
        <v>799</v>
      </c>
      <c r="E2225" s="11" t="s">
        <v>730</v>
      </c>
      <c r="F2225" s="2" t="str" cm="1">
        <f t="array" ref="F2225">INDEX(_xlfn.TEXTSPLIT(E2225,"-"),2)</f>
        <v>女装</v>
      </c>
      <c r="G2225" s="2" t="str" cm="1">
        <f t="array" ref="G2225">INDEX(_xlfn.TEXTSPLIT(E2225,"-"),3)</f>
        <v>蕾丝衫/雪纺衫</v>
      </c>
      <c r="H2225" s="12">
        <v>186503</v>
      </c>
      <c r="I2225" s="12">
        <v>16311423.24</v>
      </c>
      <c r="J2225" s="13">
        <v>0.0084</v>
      </c>
      <c r="K2225" s="13">
        <v>-0.0074</v>
      </c>
    </row>
    <row r="2226" ht="14.5" spans="1:11">
      <c r="A2226" s="3" t="str">
        <f t="shared" si="129"/>
        <v>2026年</v>
      </c>
      <c r="B2226" s="3" t="str">
        <f t="shared" si="130"/>
        <v>3月</v>
      </c>
      <c r="C2226" s="4" t="str">
        <f t="shared" si="131"/>
        <v>W10</v>
      </c>
      <c r="D2226" s="11" t="s">
        <v>799</v>
      </c>
      <c r="E2226" s="11" t="s">
        <v>731</v>
      </c>
      <c r="F2226" s="2" t="str" cm="1">
        <f t="array" ref="F2226">INDEX(_xlfn.TEXTSPLIT(E2226,"-"),2)</f>
        <v>女装</v>
      </c>
      <c r="G2226" s="2" t="str" cm="1">
        <f t="array" ref="G2226">INDEX(_xlfn.TEXTSPLIT(E2226,"-"),3)</f>
        <v>衬衫</v>
      </c>
      <c r="H2226" s="12">
        <v>901372</v>
      </c>
      <c r="I2226" s="12">
        <v>104392388.33</v>
      </c>
      <c r="J2226" s="13">
        <v>0.0537</v>
      </c>
      <c r="K2226" s="13">
        <v>0.0524</v>
      </c>
    </row>
    <row r="2227" ht="14.5" spans="1:11">
      <c r="A2227" s="3" t="str">
        <f t="shared" si="129"/>
        <v>2026年</v>
      </c>
      <c r="B2227" s="3" t="str">
        <f t="shared" si="130"/>
        <v>3月</v>
      </c>
      <c r="C2227" s="4" t="str">
        <f t="shared" si="131"/>
        <v>W10</v>
      </c>
      <c r="D2227" s="11" t="s">
        <v>799</v>
      </c>
      <c r="E2227" s="11" t="s">
        <v>732</v>
      </c>
      <c r="F2227" s="2" t="str" cm="1">
        <f t="array" ref="F2227">INDEX(_xlfn.TEXTSPLIT(E2227,"-"),2)</f>
        <v>女装</v>
      </c>
      <c r="G2227" s="2" t="str" cm="1">
        <f t="array" ref="G2227">INDEX(_xlfn.TEXTSPLIT(E2227,"-"),3)</f>
        <v>裤子</v>
      </c>
      <c r="H2227" s="12">
        <v>3000578</v>
      </c>
      <c r="I2227" s="12">
        <v>327644724.87</v>
      </c>
      <c r="J2227" s="13">
        <v>0.1686</v>
      </c>
      <c r="K2227" s="13">
        <v>-0.0002</v>
      </c>
    </row>
    <row r="2228" ht="14.5" spans="1:11">
      <c r="A2228" s="3" t="str">
        <f t="shared" si="129"/>
        <v>2026年</v>
      </c>
      <c r="B2228" s="3" t="str">
        <f t="shared" si="130"/>
        <v>3月</v>
      </c>
      <c r="C2228" s="4" t="str">
        <f t="shared" si="131"/>
        <v>W10</v>
      </c>
      <c r="D2228" s="11" t="s">
        <v>799</v>
      </c>
      <c r="E2228" s="11" t="s">
        <v>733</v>
      </c>
      <c r="F2228" s="2" t="str" cm="1">
        <f t="array" ref="F2228">INDEX(_xlfn.TEXTSPLIT(E2228,"-"),2)</f>
        <v>女装</v>
      </c>
      <c r="G2228" s="2" t="str" cm="1">
        <f t="array" ref="G2228">INDEX(_xlfn.TEXTSPLIT(E2228,"-"),3)</f>
        <v>西装</v>
      </c>
      <c r="H2228" s="12">
        <v>124392</v>
      </c>
      <c r="I2228" s="12">
        <v>32051878.61</v>
      </c>
      <c r="J2228" s="13">
        <v>0.0165</v>
      </c>
      <c r="K2228" s="13">
        <v>-0.1304</v>
      </c>
    </row>
    <row r="2229" ht="14.5" spans="1:11">
      <c r="A2229" s="3" t="str">
        <f t="shared" si="129"/>
        <v>2026年</v>
      </c>
      <c r="B2229" s="3" t="str">
        <f t="shared" si="130"/>
        <v>3月</v>
      </c>
      <c r="C2229" s="4" t="str">
        <f t="shared" si="131"/>
        <v>W10</v>
      </c>
      <c r="D2229" s="11" t="s">
        <v>799</v>
      </c>
      <c r="E2229" s="11" t="s">
        <v>734</v>
      </c>
      <c r="F2229" s="2" t="str" cm="1">
        <f t="array" ref="F2229">INDEX(_xlfn.TEXTSPLIT(E2229,"-"),2)</f>
        <v>女装</v>
      </c>
      <c r="G2229" s="2" t="str" cm="1">
        <f t="array" ref="G2229">INDEX(_xlfn.TEXTSPLIT(E2229,"-"),3)</f>
        <v>设计师/潮牌女装</v>
      </c>
      <c r="H2229" s="12">
        <v>223524</v>
      </c>
      <c r="I2229" s="12">
        <v>23566079.22</v>
      </c>
      <c r="J2229" s="13">
        <v>0.0121</v>
      </c>
      <c r="K2229" s="13">
        <v>-0.2771</v>
      </c>
    </row>
    <row r="2230" ht="14.5" spans="1:11">
      <c r="A2230" s="3" t="str">
        <f t="shared" si="129"/>
        <v>2026年</v>
      </c>
      <c r="B2230" s="3" t="str">
        <f t="shared" si="130"/>
        <v>3月</v>
      </c>
      <c r="C2230" s="4" t="str">
        <f t="shared" si="131"/>
        <v>W10</v>
      </c>
      <c r="D2230" s="11" t="s">
        <v>799</v>
      </c>
      <c r="E2230" s="11" t="s">
        <v>735</v>
      </c>
      <c r="F2230" s="2" t="str" cm="1">
        <f t="array" ref="F2230">INDEX(_xlfn.TEXTSPLIT(E2230,"-"),2)</f>
        <v>女装</v>
      </c>
      <c r="G2230" s="2" t="str" cm="1">
        <f t="array" ref="G2230">INDEX(_xlfn.TEXTSPLIT(E2230,"-"),3)</f>
        <v>连体衣/裤</v>
      </c>
      <c r="H2230" s="12">
        <v>20778</v>
      </c>
      <c r="I2230" s="12">
        <v>3485471.06</v>
      </c>
      <c r="J2230" s="13">
        <v>0.0018</v>
      </c>
      <c r="K2230" s="13">
        <v>0.0063</v>
      </c>
    </row>
    <row r="2231" ht="14.5" spans="1:11">
      <c r="A2231" s="3" t="str">
        <f t="shared" si="129"/>
        <v>2026年</v>
      </c>
      <c r="B2231" s="3" t="str">
        <f t="shared" si="130"/>
        <v>3月</v>
      </c>
      <c r="C2231" s="4" t="str">
        <f t="shared" si="131"/>
        <v>W10</v>
      </c>
      <c r="D2231" s="11" t="s">
        <v>799</v>
      </c>
      <c r="E2231" s="11" t="s">
        <v>736</v>
      </c>
      <c r="F2231" s="2" t="str" cm="1">
        <f t="array" ref="F2231">INDEX(_xlfn.TEXTSPLIT(E2231,"-"),2)</f>
        <v>女装</v>
      </c>
      <c r="G2231" s="2" t="str" cm="1">
        <f t="array" ref="G2231">INDEX(_xlfn.TEXTSPLIT(E2231,"-"),3)</f>
        <v>连衣裙</v>
      </c>
      <c r="H2231" s="12">
        <v>979828</v>
      </c>
      <c r="I2231" s="12">
        <v>146381939.36</v>
      </c>
      <c r="J2231" s="13">
        <v>0.0753</v>
      </c>
      <c r="K2231" s="13">
        <v>-0.0591</v>
      </c>
    </row>
    <row r="2232" ht="14.5" spans="1:11">
      <c r="A2232" s="3" t="str">
        <f t="shared" si="129"/>
        <v>2026年</v>
      </c>
      <c r="B2232" s="3" t="str">
        <f t="shared" si="130"/>
        <v>3月</v>
      </c>
      <c r="C2232" s="4" t="str">
        <f t="shared" si="131"/>
        <v>W10</v>
      </c>
      <c r="D2232" s="11" t="s">
        <v>799</v>
      </c>
      <c r="E2232" s="11" t="s">
        <v>737</v>
      </c>
      <c r="F2232" s="2" t="str" cm="1">
        <f t="array" ref="F2232">INDEX(_xlfn.TEXTSPLIT(E2232,"-"),2)</f>
        <v>女装</v>
      </c>
      <c r="G2232" s="2" t="str" cm="1">
        <f t="array" ref="G2232">INDEX(_xlfn.TEXTSPLIT(E2232,"-"),3)</f>
        <v>风衣</v>
      </c>
      <c r="H2232" s="12">
        <v>179838</v>
      </c>
      <c r="I2232" s="12">
        <v>44106553.97</v>
      </c>
      <c r="J2232" s="13">
        <v>0.0227</v>
      </c>
      <c r="K2232" s="13">
        <v>0.0519</v>
      </c>
    </row>
    <row r="2233" ht="14.5" spans="1:11">
      <c r="A2233" s="3" t="str">
        <f t="shared" si="129"/>
        <v>2026年</v>
      </c>
      <c r="B2233" s="3" t="str">
        <f t="shared" si="130"/>
        <v>3月</v>
      </c>
      <c r="C2233" s="4" t="str">
        <f t="shared" si="131"/>
        <v>W10</v>
      </c>
      <c r="D2233" s="11" t="s">
        <v>799</v>
      </c>
      <c r="E2233" s="11" t="s">
        <v>738</v>
      </c>
      <c r="F2233" s="2" t="str" cm="1">
        <f t="array" ref="F2233">INDEX(_xlfn.TEXTSPLIT(E2233,"-"),2)</f>
        <v>女装</v>
      </c>
      <c r="G2233" s="2" t="str" cm="1">
        <f t="array" ref="G2233">INDEX(_xlfn.TEXTSPLIT(E2233,"-"),3)</f>
        <v>马夹</v>
      </c>
      <c r="H2233" s="12">
        <v>334191</v>
      </c>
      <c r="I2233" s="12">
        <v>37034942.2</v>
      </c>
      <c r="J2233" s="13">
        <v>0.0191</v>
      </c>
      <c r="K2233" s="13">
        <v>-0.246</v>
      </c>
    </row>
    <row r="2234" ht="14.5" spans="1:11">
      <c r="A2234" s="3" t="str">
        <f t="shared" si="129"/>
        <v>2026年</v>
      </c>
      <c r="B2234" s="3" t="str">
        <f t="shared" si="130"/>
        <v>3月</v>
      </c>
      <c r="C2234" s="4" t="str">
        <f t="shared" si="131"/>
        <v>W10</v>
      </c>
      <c r="D2234" s="11" t="s">
        <v>800</v>
      </c>
      <c r="E2234" s="11" t="s">
        <v>702</v>
      </c>
      <c r="F2234" s="2" t="str" cm="1">
        <f t="array" ref="F2234">INDEX(_xlfn.TEXTSPLIT(E2234,"-"),2)</f>
        <v>女装</v>
      </c>
      <c r="G2234" s="2" t="str" cm="1">
        <f t="array" ref="G2234">INDEX(_xlfn.TEXTSPLIT(E2234,"-"),3)</f>
        <v>POLO衫</v>
      </c>
      <c r="H2234" s="12">
        <v>29414</v>
      </c>
      <c r="I2234" s="12">
        <v>3212717.6</v>
      </c>
      <c r="J2234" s="13">
        <v>0.0016</v>
      </c>
      <c r="K2234" s="13">
        <v>0.297</v>
      </c>
    </row>
    <row r="2235" ht="14.5" spans="1:11">
      <c r="A2235" s="3" t="str">
        <f t="shared" si="129"/>
        <v>2026年</v>
      </c>
      <c r="B2235" s="3" t="str">
        <f t="shared" si="130"/>
        <v>3月</v>
      </c>
      <c r="C2235" s="4" t="str">
        <f t="shared" si="131"/>
        <v>W10</v>
      </c>
      <c r="D2235" s="11" t="s">
        <v>800</v>
      </c>
      <c r="E2235" s="11" t="s">
        <v>703</v>
      </c>
      <c r="F2235" s="2" t="str" cm="1">
        <f t="array" ref="F2235">INDEX(_xlfn.TEXTSPLIT(E2235,"-"),2)</f>
        <v>女装</v>
      </c>
      <c r="G2235" s="2" t="str" cm="1">
        <f t="array" ref="G2235">INDEX(_xlfn.TEXTSPLIT(E2235,"-"),3)</f>
        <v>T恤</v>
      </c>
      <c r="H2235" s="12">
        <v>2101744</v>
      </c>
      <c r="I2235" s="12">
        <v>135129362.29</v>
      </c>
      <c r="J2235" s="13">
        <v>0.0684</v>
      </c>
      <c r="K2235" s="13">
        <v>0.0162</v>
      </c>
    </row>
    <row r="2236" ht="14.5" spans="1:11">
      <c r="A2236" s="3" t="str">
        <f t="shared" si="129"/>
        <v>2026年</v>
      </c>
      <c r="B2236" s="3" t="str">
        <f t="shared" si="130"/>
        <v>3月</v>
      </c>
      <c r="C2236" s="4" t="str">
        <f t="shared" si="131"/>
        <v>W10</v>
      </c>
      <c r="D2236" s="11" t="s">
        <v>800</v>
      </c>
      <c r="E2236" s="11" t="s">
        <v>704</v>
      </c>
      <c r="F2236" s="2" t="str" cm="1">
        <f t="array" ref="F2236">INDEX(_xlfn.TEXTSPLIT(E2236,"-"),2)</f>
        <v>女装</v>
      </c>
      <c r="G2236" s="2" t="str" cm="1">
        <f t="array" ref="G2236">INDEX(_xlfn.TEXTSPLIT(E2236,"-"),3)</f>
        <v>中老年女装</v>
      </c>
      <c r="H2236" s="12">
        <v>173629</v>
      </c>
      <c r="I2236" s="12">
        <v>14636323.55</v>
      </c>
      <c r="J2236" s="13">
        <v>0.0074</v>
      </c>
      <c r="K2236" s="13">
        <v>-0.0025</v>
      </c>
    </row>
    <row r="2237" ht="14.5" spans="1:11">
      <c r="A2237" s="3" t="str">
        <f t="shared" si="129"/>
        <v>2026年</v>
      </c>
      <c r="B2237" s="3" t="str">
        <f t="shared" si="130"/>
        <v>3月</v>
      </c>
      <c r="C2237" s="4" t="str">
        <f t="shared" si="131"/>
        <v>W10</v>
      </c>
      <c r="D2237" s="11" t="s">
        <v>800</v>
      </c>
      <c r="E2237" s="11" t="s">
        <v>705</v>
      </c>
      <c r="F2237" s="2" t="str" cm="1">
        <f t="array" ref="F2237">INDEX(_xlfn.TEXTSPLIT(E2237,"-"),2)</f>
        <v>女装</v>
      </c>
      <c r="G2237" s="2" t="str" cm="1">
        <f t="array" ref="G2237">INDEX(_xlfn.TEXTSPLIT(E2237,"-"),3)</f>
        <v>半身裙</v>
      </c>
      <c r="H2237" s="12">
        <v>607262</v>
      </c>
      <c r="I2237" s="12">
        <v>74984556.63</v>
      </c>
      <c r="J2237" s="13">
        <v>0.0379</v>
      </c>
      <c r="K2237" s="13">
        <v>-0.0248</v>
      </c>
    </row>
    <row r="2238" ht="14.5" spans="1:11">
      <c r="A2238" s="3" t="str">
        <f t="shared" si="129"/>
        <v>2026年</v>
      </c>
      <c r="B2238" s="3" t="str">
        <f t="shared" si="130"/>
        <v>3月</v>
      </c>
      <c r="C2238" s="4" t="str">
        <f t="shared" si="131"/>
        <v>W10</v>
      </c>
      <c r="D2238" s="11" t="s">
        <v>800</v>
      </c>
      <c r="E2238" s="11" t="s">
        <v>706</v>
      </c>
      <c r="F2238" s="2" t="str" cm="1">
        <f t="array" ref="F2238">INDEX(_xlfn.TEXTSPLIT(E2238,"-"),2)</f>
        <v>女装</v>
      </c>
      <c r="G2238" s="2" t="str" cm="1">
        <f t="array" ref="G2238">INDEX(_xlfn.TEXTSPLIT(E2238,"-"),3)</f>
        <v>卫衣/绒衫</v>
      </c>
      <c r="H2238" s="12">
        <v>331057</v>
      </c>
      <c r="I2238" s="12">
        <v>32706735.76</v>
      </c>
      <c r="J2238" s="13">
        <v>0.0165</v>
      </c>
      <c r="K2238" s="13">
        <v>0.0291</v>
      </c>
    </row>
    <row r="2239" ht="14.5" spans="1:11">
      <c r="A2239" s="3" t="str">
        <f t="shared" si="129"/>
        <v>2026年</v>
      </c>
      <c r="B2239" s="3" t="str">
        <f t="shared" si="130"/>
        <v>3月</v>
      </c>
      <c r="C2239" s="4" t="str">
        <f t="shared" si="131"/>
        <v>W10</v>
      </c>
      <c r="D2239" s="11" t="s">
        <v>800</v>
      </c>
      <c r="E2239" s="11" t="s">
        <v>707</v>
      </c>
      <c r="F2239" s="2" t="str" cm="1">
        <f t="array" ref="F2239">INDEX(_xlfn.TEXTSPLIT(E2239,"-"),2)</f>
        <v>女装</v>
      </c>
      <c r="G2239" s="2" t="str" cm="1">
        <f t="array" ref="G2239">INDEX(_xlfn.TEXTSPLIT(E2239,"-"),3)</f>
        <v>唐装/民族服装/舞台服装</v>
      </c>
      <c r="H2239" s="12">
        <v>234776</v>
      </c>
      <c r="I2239" s="12">
        <v>44473040.03</v>
      </c>
      <c r="J2239" s="13">
        <v>0.0225</v>
      </c>
      <c r="K2239" s="13">
        <v>0.103</v>
      </c>
    </row>
    <row r="2240" ht="14.5" spans="1:11">
      <c r="A2240" s="3" t="str">
        <f t="shared" si="129"/>
        <v>2026年</v>
      </c>
      <c r="B2240" s="3" t="str">
        <f t="shared" si="130"/>
        <v>3月</v>
      </c>
      <c r="C2240" s="4" t="str">
        <f t="shared" si="131"/>
        <v>W10</v>
      </c>
      <c r="D2240" s="11" t="s">
        <v>800</v>
      </c>
      <c r="E2240" s="11" t="s">
        <v>708</v>
      </c>
      <c r="F2240" s="2" t="str" cm="1">
        <f t="array" ref="F2240">INDEX(_xlfn.TEXTSPLIT(E2240,"-"),2)</f>
        <v>女装</v>
      </c>
      <c r="G2240" s="2" t="str" cm="1">
        <f t="array" ref="G2240">INDEX(_xlfn.TEXTSPLIT(E2240,"-"),3)</f>
        <v>大码女装</v>
      </c>
      <c r="H2240" s="12">
        <v>504757</v>
      </c>
      <c r="I2240" s="12">
        <v>34935969.57</v>
      </c>
      <c r="J2240" s="13">
        <v>0.0177</v>
      </c>
      <c r="K2240" s="13">
        <v>-0.067</v>
      </c>
    </row>
    <row r="2241" ht="14.5" spans="1:11">
      <c r="A2241" s="3" t="str">
        <f t="shared" si="129"/>
        <v>2026年</v>
      </c>
      <c r="B2241" s="3" t="str">
        <f t="shared" si="130"/>
        <v>3月</v>
      </c>
      <c r="C2241" s="4" t="str">
        <f t="shared" si="131"/>
        <v>W10</v>
      </c>
      <c r="D2241" s="11" t="s">
        <v>800</v>
      </c>
      <c r="E2241" s="11" t="s">
        <v>709</v>
      </c>
      <c r="F2241" s="2" t="str" cm="1">
        <f t="array" ref="F2241">INDEX(_xlfn.TEXTSPLIT(E2241,"-"),2)</f>
        <v>女装</v>
      </c>
      <c r="G2241" s="2" t="str" cm="1">
        <f t="array" ref="G2241">INDEX(_xlfn.TEXTSPLIT(E2241,"-"),3)</f>
        <v>套装/学生校服/工作制服</v>
      </c>
      <c r="H2241" s="12">
        <v>1140755</v>
      </c>
      <c r="I2241" s="12">
        <v>145586679.64</v>
      </c>
      <c r="J2241" s="13">
        <v>0.0737</v>
      </c>
      <c r="K2241" s="13">
        <v>-0.1054</v>
      </c>
    </row>
    <row r="2242" ht="14.5" spans="1:11">
      <c r="A2242" s="3" t="str">
        <f t="shared" si="129"/>
        <v>2026年</v>
      </c>
      <c r="B2242" s="3" t="str">
        <f t="shared" si="130"/>
        <v>3月</v>
      </c>
      <c r="C2242" s="4" t="str">
        <f t="shared" si="131"/>
        <v>W10</v>
      </c>
      <c r="D2242" s="11" t="s">
        <v>800</v>
      </c>
      <c r="E2242" s="11" t="s">
        <v>710</v>
      </c>
      <c r="F2242" s="2" t="str" cm="1">
        <f t="array" ref="F2242">INDEX(_xlfn.TEXTSPLIT(E2242,"-"),2)</f>
        <v>女装</v>
      </c>
      <c r="G2242" s="2" t="str" cm="1">
        <f t="array" ref="G2242">INDEX(_xlfn.TEXTSPLIT(E2242,"-"),3)</f>
        <v>婚纱/旗袍/礼服</v>
      </c>
      <c r="H2242" s="12">
        <v>77834</v>
      </c>
      <c r="I2242" s="12">
        <v>13777497.83</v>
      </c>
      <c r="J2242" s="13">
        <v>0.007</v>
      </c>
      <c r="K2242" s="13">
        <v>-0.0752</v>
      </c>
    </row>
    <row r="2243" ht="14.5" spans="1:11">
      <c r="A2243" s="3" t="str">
        <f t="shared" si="129"/>
        <v>2026年</v>
      </c>
      <c r="B2243" s="3" t="str">
        <f t="shared" si="130"/>
        <v>3月</v>
      </c>
      <c r="C2243" s="4" t="str">
        <f t="shared" si="131"/>
        <v>W10</v>
      </c>
      <c r="D2243" s="11" t="s">
        <v>800</v>
      </c>
      <c r="E2243" s="11" t="s">
        <v>711</v>
      </c>
      <c r="F2243" s="2" t="str" cm="1">
        <f t="array" ref="F2243">INDEX(_xlfn.TEXTSPLIT(E2243,"-"),2)</f>
        <v>女装</v>
      </c>
      <c r="G2243" s="2" t="str" cm="1">
        <f t="array" ref="G2243">INDEX(_xlfn.TEXTSPLIT(E2243,"-"),3)</f>
        <v>新中式女装</v>
      </c>
      <c r="H2243" s="12">
        <v>81124</v>
      </c>
      <c r="I2243" s="12">
        <v>7496002.44</v>
      </c>
      <c r="J2243" s="13">
        <v>0.0038</v>
      </c>
      <c r="K2243" s="13">
        <v>0.0543</v>
      </c>
    </row>
    <row r="2244" ht="14.5" spans="1:11">
      <c r="A2244" s="3" t="str">
        <f t="shared" si="129"/>
        <v>2026年</v>
      </c>
      <c r="B2244" s="3" t="str">
        <f t="shared" si="130"/>
        <v>3月</v>
      </c>
      <c r="C2244" s="4" t="str">
        <f t="shared" si="131"/>
        <v>W10</v>
      </c>
      <c r="D2244" s="11" t="s">
        <v>800</v>
      </c>
      <c r="E2244" s="11" t="s">
        <v>712</v>
      </c>
      <c r="F2244" s="2" t="str" cm="1">
        <f t="array" ref="F2244">INDEX(_xlfn.TEXTSPLIT(E2244,"-"),2)</f>
        <v>女装</v>
      </c>
      <c r="G2244" s="2" t="str" cm="1">
        <f t="array" ref="G2244">INDEX(_xlfn.TEXTSPLIT(E2244,"-"),3)</f>
        <v>时尚防晒服</v>
      </c>
      <c r="H2244" s="12">
        <v>7343</v>
      </c>
      <c r="I2244" s="12">
        <v>1072909.31</v>
      </c>
      <c r="J2244" s="13">
        <v>0.0005</v>
      </c>
      <c r="K2244" s="13">
        <v>-0.4032</v>
      </c>
    </row>
    <row r="2245" ht="14.5" spans="1:11">
      <c r="A2245" s="3" t="str">
        <f t="shared" si="129"/>
        <v>2026年</v>
      </c>
      <c r="B2245" s="3" t="str">
        <f t="shared" si="130"/>
        <v>3月</v>
      </c>
      <c r="C2245" s="4" t="str">
        <f t="shared" si="131"/>
        <v>W10</v>
      </c>
      <c r="D2245" s="11" t="s">
        <v>800</v>
      </c>
      <c r="E2245" s="11" t="s">
        <v>714</v>
      </c>
      <c r="F2245" s="2" t="str" cm="1">
        <f t="array" ref="F2245">INDEX(_xlfn.TEXTSPLIT(E2245,"-"),2)</f>
        <v>女装</v>
      </c>
      <c r="G2245" s="2" t="str" cm="1">
        <f t="array" ref="G2245">INDEX(_xlfn.TEXTSPLIT(E2245,"-"),3)</f>
        <v>棉衣/棉服</v>
      </c>
      <c r="H2245" s="12">
        <v>220656</v>
      </c>
      <c r="I2245" s="12">
        <v>17898485.33</v>
      </c>
      <c r="J2245" s="13">
        <v>0.0091</v>
      </c>
      <c r="K2245" s="13">
        <v>-0.1087</v>
      </c>
    </row>
    <row r="2246" ht="14.5" spans="1:11">
      <c r="A2246" s="3" t="str">
        <f t="shared" si="129"/>
        <v>2026年</v>
      </c>
      <c r="B2246" s="3" t="str">
        <f t="shared" si="130"/>
        <v>3月</v>
      </c>
      <c r="C2246" s="4" t="str">
        <f t="shared" si="131"/>
        <v>W10</v>
      </c>
      <c r="D2246" s="11" t="s">
        <v>800</v>
      </c>
      <c r="E2246" s="11" t="s">
        <v>715</v>
      </c>
      <c r="F2246" s="2" t="str" cm="1">
        <f t="array" ref="F2246">INDEX(_xlfn.TEXTSPLIT(E2246,"-"),2)</f>
        <v>女装</v>
      </c>
      <c r="G2246" s="2" t="str" cm="1">
        <f t="array" ref="G2246">INDEX(_xlfn.TEXTSPLIT(E2246,"-"),3)</f>
        <v>毛呢外套</v>
      </c>
      <c r="H2246" s="12">
        <v>298662</v>
      </c>
      <c r="I2246" s="12">
        <v>65286191.47</v>
      </c>
      <c r="J2246" s="13">
        <v>0.033</v>
      </c>
      <c r="K2246" s="14">
        <v>-0.02</v>
      </c>
    </row>
    <row r="2247" ht="14.5" spans="1:11">
      <c r="A2247" s="3" t="str">
        <f t="shared" si="129"/>
        <v>2026年</v>
      </c>
      <c r="B2247" s="3" t="str">
        <f t="shared" si="130"/>
        <v>3月</v>
      </c>
      <c r="C2247" s="4" t="str">
        <f t="shared" si="131"/>
        <v>W10</v>
      </c>
      <c r="D2247" s="11" t="s">
        <v>800</v>
      </c>
      <c r="E2247" s="11" t="s">
        <v>716</v>
      </c>
      <c r="F2247" s="2" t="str" cm="1">
        <f t="array" ref="F2247">INDEX(_xlfn.TEXTSPLIT(E2247,"-"),2)</f>
        <v>女装</v>
      </c>
      <c r="G2247" s="2" t="str" cm="1">
        <f t="array" ref="G2247">INDEX(_xlfn.TEXTSPLIT(E2247,"-"),3)</f>
        <v>毛衣</v>
      </c>
      <c r="H2247" s="12">
        <v>202651</v>
      </c>
      <c r="I2247" s="12">
        <v>17789400.51</v>
      </c>
      <c r="J2247" s="13">
        <v>0.009</v>
      </c>
      <c r="K2247" s="13">
        <v>-0.1123</v>
      </c>
    </row>
    <row r="2248" ht="14.5" spans="1:11">
      <c r="A2248" s="3" t="str">
        <f t="shared" si="129"/>
        <v>2026年</v>
      </c>
      <c r="B2248" s="3" t="str">
        <f t="shared" si="130"/>
        <v>3月</v>
      </c>
      <c r="C2248" s="4" t="str">
        <f t="shared" si="131"/>
        <v>W10</v>
      </c>
      <c r="D2248" s="11" t="s">
        <v>800</v>
      </c>
      <c r="E2248" s="11" t="s">
        <v>717</v>
      </c>
      <c r="F2248" s="2" t="str" cm="1">
        <f t="array" ref="F2248">INDEX(_xlfn.TEXTSPLIT(E2248,"-"),2)</f>
        <v>女装</v>
      </c>
      <c r="G2248" s="2" t="str" cm="1">
        <f t="array" ref="G2248">INDEX(_xlfn.TEXTSPLIT(E2248,"-"),3)</f>
        <v>毛针织衫</v>
      </c>
      <c r="H2248" s="12">
        <v>1419868</v>
      </c>
      <c r="I2248" s="12">
        <v>112110300.29</v>
      </c>
      <c r="J2248" s="13">
        <v>0.0567</v>
      </c>
      <c r="K2248" s="13">
        <v>-0.058</v>
      </c>
    </row>
    <row r="2249" ht="14.5" spans="1:11">
      <c r="A2249" s="3" t="str">
        <f t="shared" si="129"/>
        <v>2026年</v>
      </c>
      <c r="B2249" s="3" t="str">
        <f t="shared" si="130"/>
        <v>3月</v>
      </c>
      <c r="C2249" s="4" t="str">
        <f t="shared" si="131"/>
        <v>W10</v>
      </c>
      <c r="D2249" s="11" t="s">
        <v>800</v>
      </c>
      <c r="E2249" s="11" t="s">
        <v>718</v>
      </c>
      <c r="F2249" s="2" t="str" cm="1">
        <f t="array" ref="F2249">INDEX(_xlfn.TEXTSPLIT(E2249,"-"),2)</f>
        <v>女装</v>
      </c>
      <c r="G2249" s="2" t="str" cm="1">
        <f t="array" ref="G2249">INDEX(_xlfn.TEXTSPLIT(E2249,"-"),3)</f>
        <v>汉服</v>
      </c>
      <c r="H2249" s="12">
        <v>187260</v>
      </c>
      <c r="I2249" s="12">
        <v>74107772.3</v>
      </c>
      <c r="J2249" s="13">
        <v>0.0375</v>
      </c>
      <c r="K2249" s="13">
        <v>0.9807</v>
      </c>
    </row>
    <row r="2250" ht="14.5" spans="1:11">
      <c r="A2250" s="3" t="str">
        <f t="shared" si="129"/>
        <v>2026年</v>
      </c>
      <c r="B2250" s="3" t="str">
        <f t="shared" si="130"/>
        <v>3月</v>
      </c>
      <c r="C2250" s="4" t="str">
        <f t="shared" si="131"/>
        <v>W10</v>
      </c>
      <c r="D2250" s="11" t="s">
        <v>800</v>
      </c>
      <c r="E2250" s="11" t="s">
        <v>719</v>
      </c>
      <c r="F2250" s="2" t="str" cm="1">
        <f t="array" ref="F2250">INDEX(_xlfn.TEXTSPLIT(E2250,"-"),2)</f>
        <v>女装</v>
      </c>
      <c r="G2250" s="2" t="str" cm="1">
        <f t="array" ref="G2250">INDEX(_xlfn.TEXTSPLIT(E2250,"-"),3)</f>
        <v>派克服</v>
      </c>
      <c r="H2250" s="12">
        <v>7506</v>
      </c>
      <c r="I2250" s="12">
        <v>1025766.82</v>
      </c>
      <c r="J2250" s="13">
        <v>0.0005</v>
      </c>
      <c r="K2250" s="13">
        <v>-0.0921</v>
      </c>
    </row>
    <row r="2251" ht="14.5" spans="1:11">
      <c r="A2251" s="3" t="str">
        <f t="shared" si="129"/>
        <v>2026年</v>
      </c>
      <c r="B2251" s="3" t="str">
        <f t="shared" si="130"/>
        <v>3月</v>
      </c>
      <c r="C2251" s="4" t="str">
        <f t="shared" si="131"/>
        <v>W10</v>
      </c>
      <c r="D2251" s="11" t="s">
        <v>800</v>
      </c>
      <c r="E2251" s="11" t="s">
        <v>720</v>
      </c>
      <c r="F2251" s="2" t="str" cm="1">
        <f t="array" ref="F2251">INDEX(_xlfn.TEXTSPLIT(E2251,"-"),2)</f>
        <v>女装</v>
      </c>
      <c r="G2251" s="2" t="str" cm="1">
        <f t="array" ref="G2251">INDEX(_xlfn.TEXTSPLIT(E2251,"-"),3)</f>
        <v>皮草</v>
      </c>
      <c r="H2251" s="12">
        <v>26455</v>
      </c>
      <c r="I2251" s="12">
        <v>52340066.33</v>
      </c>
      <c r="J2251" s="13">
        <v>0.0265</v>
      </c>
      <c r="K2251" s="13">
        <v>-0.0099</v>
      </c>
    </row>
    <row r="2252" ht="14.5" spans="1:11">
      <c r="A2252" s="3" t="str">
        <f t="shared" si="129"/>
        <v>2026年</v>
      </c>
      <c r="B2252" s="3" t="str">
        <f t="shared" si="130"/>
        <v>3月</v>
      </c>
      <c r="C2252" s="4" t="str">
        <f t="shared" si="131"/>
        <v>W10</v>
      </c>
      <c r="D2252" s="11" t="s">
        <v>800</v>
      </c>
      <c r="E2252" s="11" t="s">
        <v>721</v>
      </c>
      <c r="F2252" s="2" t="str" cm="1">
        <f t="array" ref="F2252">INDEX(_xlfn.TEXTSPLIT(E2252,"-"),2)</f>
        <v>女装</v>
      </c>
      <c r="G2252" s="2" t="str" cm="1">
        <f t="array" ref="G2252">INDEX(_xlfn.TEXTSPLIT(E2252,"-"),3)</f>
        <v>皮衣</v>
      </c>
      <c r="H2252" s="12">
        <v>229248</v>
      </c>
      <c r="I2252" s="12">
        <v>90931383.32</v>
      </c>
      <c r="J2252" s="13">
        <v>0.046</v>
      </c>
      <c r="K2252" s="13">
        <v>0.5146</v>
      </c>
    </row>
    <row r="2253" ht="14.5" spans="1:11">
      <c r="A2253" s="3" t="str">
        <f t="shared" si="129"/>
        <v>2026年</v>
      </c>
      <c r="B2253" s="3" t="str">
        <f t="shared" si="130"/>
        <v>3月</v>
      </c>
      <c r="C2253" s="4" t="str">
        <f t="shared" si="131"/>
        <v>W10</v>
      </c>
      <c r="D2253" s="11" t="s">
        <v>800</v>
      </c>
      <c r="E2253" s="11" t="s">
        <v>722</v>
      </c>
      <c r="F2253" s="2" t="str" cm="1">
        <f t="array" ref="F2253">INDEX(_xlfn.TEXTSPLIT(E2253,"-"),2)</f>
        <v>女装</v>
      </c>
      <c r="G2253" s="2" t="str" cm="1">
        <f t="array" ref="G2253">INDEX(_xlfn.TEXTSPLIT(E2253,"-"),3)</f>
        <v>短外套</v>
      </c>
      <c r="H2253" s="12">
        <v>926419</v>
      </c>
      <c r="I2253" s="12">
        <v>154702326.87</v>
      </c>
      <c r="J2253" s="13">
        <v>0.0783</v>
      </c>
      <c r="K2253" s="13">
        <v>0.0177</v>
      </c>
    </row>
    <row r="2254" ht="14.5" spans="1:11">
      <c r="A2254" s="3" t="str">
        <f t="shared" ref="A2254:A2317" si="132">TEXT(YEAR(D2254),"0")&amp;"年"</f>
        <v>2026年</v>
      </c>
      <c r="B2254" s="3" t="str">
        <f t="shared" ref="B2254:B2317" si="133">TEXT(MONTH(D2254),"0")&amp;"月"</f>
        <v>3月</v>
      </c>
      <c r="C2254" s="4" t="str">
        <f t="shared" ref="C2254:C2317" si="134">"W"&amp;TEXT(WEEKNUM(D2254,2),"0")</f>
        <v>W10</v>
      </c>
      <c r="D2254" s="11" t="s">
        <v>800</v>
      </c>
      <c r="E2254" s="11" t="s">
        <v>723</v>
      </c>
      <c r="F2254" s="2" t="str" cm="1">
        <f t="array" ref="F2254">INDEX(_xlfn.TEXTSPLIT(E2254,"-"),2)</f>
        <v>女装</v>
      </c>
      <c r="G2254" s="2" t="str" cm="1">
        <f t="array" ref="G2254">INDEX(_xlfn.TEXTSPLIT(E2254,"-"),3)</f>
        <v>短裤</v>
      </c>
      <c r="H2254" s="12">
        <v>123429</v>
      </c>
      <c r="I2254" s="12">
        <v>9752811.72</v>
      </c>
      <c r="J2254" s="13">
        <v>0.0049</v>
      </c>
      <c r="K2254" s="13">
        <v>0.0857</v>
      </c>
    </row>
    <row r="2255" ht="14.5" spans="1:11">
      <c r="A2255" s="3" t="str">
        <f t="shared" si="132"/>
        <v>2026年</v>
      </c>
      <c r="B2255" s="3" t="str">
        <f t="shared" si="133"/>
        <v>3月</v>
      </c>
      <c r="C2255" s="4" t="str">
        <f t="shared" si="134"/>
        <v>W10</v>
      </c>
      <c r="D2255" s="11" t="s">
        <v>800</v>
      </c>
      <c r="E2255" s="11" t="s">
        <v>724</v>
      </c>
      <c r="F2255" s="2" t="str" cm="1">
        <f t="array" ref="F2255">INDEX(_xlfn.TEXTSPLIT(E2255,"-"),2)</f>
        <v>女装</v>
      </c>
      <c r="G2255" s="2" t="str" cm="1">
        <f t="array" ref="G2255">INDEX(_xlfn.TEXTSPLIT(E2255,"-"),3)</f>
        <v>羊毛衫</v>
      </c>
      <c r="H2255" s="12">
        <v>183770</v>
      </c>
      <c r="I2255" s="12">
        <v>22422809.99</v>
      </c>
      <c r="J2255" s="13">
        <v>0.0113</v>
      </c>
      <c r="K2255" s="13">
        <v>0.1511</v>
      </c>
    </row>
    <row r="2256" ht="14.5" spans="1:11">
      <c r="A2256" s="3" t="str">
        <f t="shared" si="132"/>
        <v>2026年</v>
      </c>
      <c r="B2256" s="3" t="str">
        <f t="shared" si="133"/>
        <v>3月</v>
      </c>
      <c r="C2256" s="4" t="str">
        <f t="shared" si="134"/>
        <v>W10</v>
      </c>
      <c r="D2256" s="11" t="s">
        <v>800</v>
      </c>
      <c r="E2256" s="11" t="s">
        <v>725</v>
      </c>
      <c r="F2256" s="2" t="str" cm="1">
        <f t="array" ref="F2256">INDEX(_xlfn.TEXTSPLIT(E2256,"-"),2)</f>
        <v>女装</v>
      </c>
      <c r="G2256" s="2" t="str" cm="1">
        <f t="array" ref="G2256">INDEX(_xlfn.TEXTSPLIT(E2256,"-"),3)</f>
        <v>羊绒大衣</v>
      </c>
      <c r="H2256" s="12">
        <v>1783</v>
      </c>
      <c r="I2256" s="12">
        <v>683807</v>
      </c>
      <c r="J2256" s="13">
        <v>0.0003</v>
      </c>
      <c r="K2256" s="13">
        <v>-0.2595</v>
      </c>
    </row>
    <row r="2257" ht="14.5" spans="1:11">
      <c r="A2257" s="3" t="str">
        <f t="shared" si="132"/>
        <v>2026年</v>
      </c>
      <c r="B2257" s="3" t="str">
        <f t="shared" si="133"/>
        <v>3月</v>
      </c>
      <c r="C2257" s="4" t="str">
        <f t="shared" si="134"/>
        <v>W10</v>
      </c>
      <c r="D2257" s="11" t="s">
        <v>800</v>
      </c>
      <c r="E2257" s="11" t="s">
        <v>726</v>
      </c>
      <c r="F2257" s="2" t="str" cm="1">
        <f t="array" ref="F2257">INDEX(_xlfn.TEXTSPLIT(E2257,"-"),2)</f>
        <v>女装</v>
      </c>
      <c r="G2257" s="2" t="str" cm="1">
        <f t="array" ref="G2257">INDEX(_xlfn.TEXTSPLIT(E2257,"-"),3)</f>
        <v>羊绒衫</v>
      </c>
      <c r="H2257" s="12">
        <v>36750</v>
      </c>
      <c r="I2257" s="12">
        <v>9169475.15</v>
      </c>
      <c r="J2257" s="13">
        <v>0.0046</v>
      </c>
      <c r="K2257" s="13">
        <v>-0.1615</v>
      </c>
    </row>
    <row r="2258" ht="14.5" spans="1:11">
      <c r="A2258" s="3" t="str">
        <f t="shared" si="132"/>
        <v>2026年</v>
      </c>
      <c r="B2258" s="3" t="str">
        <f t="shared" si="133"/>
        <v>3月</v>
      </c>
      <c r="C2258" s="4" t="str">
        <f t="shared" si="134"/>
        <v>W10</v>
      </c>
      <c r="D2258" s="11" t="s">
        <v>800</v>
      </c>
      <c r="E2258" s="11" t="s">
        <v>727</v>
      </c>
      <c r="F2258" s="2" t="str" cm="1">
        <f t="array" ref="F2258">INDEX(_xlfn.TEXTSPLIT(E2258,"-"),2)</f>
        <v>女装</v>
      </c>
      <c r="G2258" s="2" t="str" cm="1">
        <f t="array" ref="G2258">INDEX(_xlfn.TEXTSPLIT(E2258,"-"),3)</f>
        <v>羽绒服</v>
      </c>
      <c r="H2258" s="12">
        <v>321577</v>
      </c>
      <c r="I2258" s="12">
        <v>82417895.4</v>
      </c>
      <c r="J2258" s="13">
        <v>0.0417</v>
      </c>
      <c r="K2258" s="13">
        <v>0.0124</v>
      </c>
    </row>
    <row r="2259" ht="14.5" spans="1:11">
      <c r="A2259" s="3" t="str">
        <f t="shared" si="132"/>
        <v>2026年</v>
      </c>
      <c r="B2259" s="3" t="str">
        <f t="shared" si="133"/>
        <v>3月</v>
      </c>
      <c r="C2259" s="4" t="str">
        <f t="shared" si="134"/>
        <v>W10</v>
      </c>
      <c r="D2259" s="11" t="s">
        <v>800</v>
      </c>
      <c r="E2259" s="11" t="s">
        <v>728</v>
      </c>
      <c r="F2259" s="2" t="str" cm="1">
        <f t="array" ref="F2259">INDEX(_xlfn.TEXTSPLIT(E2259,"-"),2)</f>
        <v>女装</v>
      </c>
      <c r="G2259" s="2" t="str" cm="1">
        <f t="array" ref="G2259">INDEX(_xlfn.TEXTSPLIT(E2259,"-"),3)</f>
        <v>肌底衣/肌肤衣</v>
      </c>
      <c r="H2259" s="12">
        <v>6814</v>
      </c>
      <c r="I2259" s="12">
        <v>291674.07</v>
      </c>
      <c r="J2259" s="13">
        <v>0.0001</v>
      </c>
      <c r="K2259" s="13">
        <v>0.1575</v>
      </c>
    </row>
    <row r="2260" ht="14.5" spans="1:11">
      <c r="A2260" s="3" t="str">
        <f t="shared" si="132"/>
        <v>2026年</v>
      </c>
      <c r="B2260" s="3" t="str">
        <f t="shared" si="133"/>
        <v>3月</v>
      </c>
      <c r="C2260" s="4" t="str">
        <f t="shared" si="134"/>
        <v>W10</v>
      </c>
      <c r="D2260" s="11" t="s">
        <v>800</v>
      </c>
      <c r="E2260" s="11" t="s">
        <v>729</v>
      </c>
      <c r="F2260" s="2" t="str" cm="1">
        <f t="array" ref="F2260">INDEX(_xlfn.TEXTSPLIT(E2260,"-"),2)</f>
        <v>女装</v>
      </c>
      <c r="G2260" s="2" t="str" cm="1">
        <f t="array" ref="G2260">INDEX(_xlfn.TEXTSPLIT(E2260,"-"),3)</f>
        <v>背心吊带</v>
      </c>
      <c r="H2260" s="12">
        <v>544724</v>
      </c>
      <c r="I2260" s="12">
        <v>33821734.97</v>
      </c>
      <c r="J2260" s="13">
        <v>0.0171</v>
      </c>
      <c r="K2260" s="13">
        <v>-0.0021</v>
      </c>
    </row>
    <row r="2261" ht="14.5" spans="1:11">
      <c r="A2261" s="3" t="str">
        <f t="shared" si="132"/>
        <v>2026年</v>
      </c>
      <c r="B2261" s="3" t="str">
        <f t="shared" si="133"/>
        <v>3月</v>
      </c>
      <c r="C2261" s="4" t="str">
        <f t="shared" si="134"/>
        <v>W10</v>
      </c>
      <c r="D2261" s="11" t="s">
        <v>800</v>
      </c>
      <c r="E2261" s="11" t="s">
        <v>730</v>
      </c>
      <c r="F2261" s="2" t="str" cm="1">
        <f t="array" ref="F2261">INDEX(_xlfn.TEXTSPLIT(E2261,"-"),2)</f>
        <v>女装</v>
      </c>
      <c r="G2261" s="2" t="str" cm="1">
        <f t="array" ref="G2261">INDEX(_xlfn.TEXTSPLIT(E2261,"-"),3)</f>
        <v>蕾丝衫/雪纺衫</v>
      </c>
      <c r="H2261" s="12">
        <v>198271</v>
      </c>
      <c r="I2261" s="12">
        <v>15686924.42</v>
      </c>
      <c r="J2261" s="13">
        <v>0.0079</v>
      </c>
      <c r="K2261" s="13">
        <v>-0.0383</v>
      </c>
    </row>
    <row r="2262" ht="14.5" spans="1:11">
      <c r="A2262" s="3" t="str">
        <f t="shared" si="132"/>
        <v>2026年</v>
      </c>
      <c r="B2262" s="3" t="str">
        <f t="shared" si="133"/>
        <v>3月</v>
      </c>
      <c r="C2262" s="4" t="str">
        <f t="shared" si="134"/>
        <v>W10</v>
      </c>
      <c r="D2262" s="11" t="s">
        <v>800</v>
      </c>
      <c r="E2262" s="11" t="s">
        <v>731</v>
      </c>
      <c r="F2262" s="2" t="str" cm="1">
        <f t="array" ref="F2262">INDEX(_xlfn.TEXTSPLIT(E2262,"-"),2)</f>
        <v>女装</v>
      </c>
      <c r="G2262" s="2" t="str" cm="1">
        <f t="array" ref="G2262">INDEX(_xlfn.TEXTSPLIT(E2262,"-"),3)</f>
        <v>衬衫</v>
      </c>
      <c r="H2262" s="12">
        <v>866289</v>
      </c>
      <c r="I2262" s="12">
        <v>99755681.95</v>
      </c>
      <c r="J2262" s="13">
        <v>0.0505</v>
      </c>
      <c r="K2262" s="13">
        <v>-0.0444</v>
      </c>
    </row>
    <row r="2263" ht="14.5" spans="1:11">
      <c r="A2263" s="3" t="str">
        <f t="shared" si="132"/>
        <v>2026年</v>
      </c>
      <c r="B2263" s="3" t="str">
        <f t="shared" si="133"/>
        <v>3月</v>
      </c>
      <c r="C2263" s="4" t="str">
        <f t="shared" si="134"/>
        <v>W10</v>
      </c>
      <c r="D2263" s="11" t="s">
        <v>800</v>
      </c>
      <c r="E2263" s="11" t="s">
        <v>732</v>
      </c>
      <c r="F2263" s="2" t="str" cm="1">
        <f t="array" ref="F2263">INDEX(_xlfn.TEXTSPLIT(E2263,"-"),2)</f>
        <v>女装</v>
      </c>
      <c r="G2263" s="2" t="str" cm="1">
        <f t="array" ref="G2263">INDEX(_xlfn.TEXTSPLIT(E2263,"-"),3)</f>
        <v>裤子</v>
      </c>
      <c r="H2263" s="12">
        <v>2870270</v>
      </c>
      <c r="I2263" s="12">
        <v>319924669.97</v>
      </c>
      <c r="J2263" s="13">
        <v>0.1619</v>
      </c>
      <c r="K2263" s="13">
        <v>-0.0236</v>
      </c>
    </row>
    <row r="2264" ht="14.5" spans="1:11">
      <c r="A2264" s="3" t="str">
        <f t="shared" si="132"/>
        <v>2026年</v>
      </c>
      <c r="B2264" s="3" t="str">
        <f t="shared" si="133"/>
        <v>3月</v>
      </c>
      <c r="C2264" s="4" t="str">
        <f t="shared" si="134"/>
        <v>W10</v>
      </c>
      <c r="D2264" s="11" t="s">
        <v>800</v>
      </c>
      <c r="E2264" s="11" t="s">
        <v>733</v>
      </c>
      <c r="F2264" s="2" t="str" cm="1">
        <f t="array" ref="F2264">INDEX(_xlfn.TEXTSPLIT(E2264,"-"),2)</f>
        <v>女装</v>
      </c>
      <c r="G2264" s="2" t="str" cm="1">
        <f t="array" ref="G2264">INDEX(_xlfn.TEXTSPLIT(E2264,"-"),3)</f>
        <v>西装</v>
      </c>
      <c r="H2264" s="12">
        <v>122223</v>
      </c>
      <c r="I2264" s="12">
        <v>32202205.71</v>
      </c>
      <c r="J2264" s="13">
        <v>0.0163</v>
      </c>
      <c r="K2264" s="13">
        <v>0.0047</v>
      </c>
    </row>
    <row r="2265" ht="14.5" spans="1:11">
      <c r="A2265" s="3" t="str">
        <f t="shared" si="132"/>
        <v>2026年</v>
      </c>
      <c r="B2265" s="3" t="str">
        <f t="shared" si="133"/>
        <v>3月</v>
      </c>
      <c r="C2265" s="4" t="str">
        <f t="shared" si="134"/>
        <v>W10</v>
      </c>
      <c r="D2265" s="11" t="s">
        <v>800</v>
      </c>
      <c r="E2265" s="11" t="s">
        <v>734</v>
      </c>
      <c r="F2265" s="2" t="str" cm="1">
        <f t="array" ref="F2265">INDEX(_xlfn.TEXTSPLIT(E2265,"-"),2)</f>
        <v>女装</v>
      </c>
      <c r="G2265" s="2" t="str" cm="1">
        <f t="array" ref="G2265">INDEX(_xlfn.TEXTSPLIT(E2265,"-"),3)</f>
        <v>设计师/潮牌女装</v>
      </c>
      <c r="H2265" s="12">
        <v>313819</v>
      </c>
      <c r="I2265" s="12">
        <v>31363902.05</v>
      </c>
      <c r="J2265" s="13">
        <v>0.0159</v>
      </c>
      <c r="K2265" s="13">
        <v>0.3309</v>
      </c>
    </row>
    <row r="2266" ht="14.5" spans="1:11">
      <c r="A2266" s="3" t="str">
        <f t="shared" si="132"/>
        <v>2026年</v>
      </c>
      <c r="B2266" s="3" t="str">
        <f t="shared" si="133"/>
        <v>3月</v>
      </c>
      <c r="C2266" s="4" t="str">
        <f t="shared" si="134"/>
        <v>W10</v>
      </c>
      <c r="D2266" s="11" t="s">
        <v>800</v>
      </c>
      <c r="E2266" s="11" t="s">
        <v>735</v>
      </c>
      <c r="F2266" s="2" t="str" cm="1">
        <f t="array" ref="F2266">INDEX(_xlfn.TEXTSPLIT(E2266,"-"),2)</f>
        <v>女装</v>
      </c>
      <c r="G2266" s="2" t="str" cm="1">
        <f t="array" ref="G2266">INDEX(_xlfn.TEXTSPLIT(E2266,"-"),3)</f>
        <v>连体衣/裤</v>
      </c>
      <c r="H2266" s="12">
        <v>23008</v>
      </c>
      <c r="I2266" s="12">
        <v>4525506.34</v>
      </c>
      <c r="J2266" s="13">
        <v>0.0023</v>
      </c>
      <c r="K2266" s="13">
        <v>0.2984</v>
      </c>
    </row>
    <row r="2267" ht="14.5" spans="1:11">
      <c r="A2267" s="3" t="str">
        <f t="shared" si="132"/>
        <v>2026年</v>
      </c>
      <c r="B2267" s="3" t="str">
        <f t="shared" si="133"/>
        <v>3月</v>
      </c>
      <c r="C2267" s="4" t="str">
        <f t="shared" si="134"/>
        <v>W10</v>
      </c>
      <c r="D2267" s="11" t="s">
        <v>800</v>
      </c>
      <c r="E2267" s="11" t="s">
        <v>736</v>
      </c>
      <c r="F2267" s="2" t="str" cm="1">
        <f t="array" ref="F2267">INDEX(_xlfn.TEXTSPLIT(E2267,"-"),2)</f>
        <v>女装</v>
      </c>
      <c r="G2267" s="2" t="str" cm="1">
        <f t="array" ref="G2267">INDEX(_xlfn.TEXTSPLIT(E2267,"-"),3)</f>
        <v>连衣裙</v>
      </c>
      <c r="H2267" s="12">
        <v>920441</v>
      </c>
      <c r="I2267" s="12">
        <v>143392582.98</v>
      </c>
      <c r="J2267" s="13">
        <v>0.0726</v>
      </c>
      <c r="K2267" s="13">
        <v>-0.0204</v>
      </c>
    </row>
    <row r="2268" ht="14.5" spans="1:11">
      <c r="A2268" s="3" t="str">
        <f t="shared" si="132"/>
        <v>2026年</v>
      </c>
      <c r="B2268" s="3" t="str">
        <f t="shared" si="133"/>
        <v>3月</v>
      </c>
      <c r="C2268" s="4" t="str">
        <f t="shared" si="134"/>
        <v>W10</v>
      </c>
      <c r="D2268" s="11" t="s">
        <v>800</v>
      </c>
      <c r="E2268" s="11" t="s">
        <v>737</v>
      </c>
      <c r="F2268" s="2" t="str" cm="1">
        <f t="array" ref="F2268">INDEX(_xlfn.TEXTSPLIT(E2268,"-"),2)</f>
        <v>女装</v>
      </c>
      <c r="G2268" s="2" t="str" cm="1">
        <f t="array" ref="G2268">INDEX(_xlfn.TEXTSPLIT(E2268,"-"),3)</f>
        <v>风衣</v>
      </c>
      <c r="H2268" s="12">
        <v>175175</v>
      </c>
      <c r="I2268" s="12">
        <v>42464749.34</v>
      </c>
      <c r="J2268" s="13">
        <v>0.0215</v>
      </c>
      <c r="K2268" s="13">
        <v>-0.0372</v>
      </c>
    </row>
    <row r="2269" ht="14.5" spans="1:11">
      <c r="A2269" s="3" t="str">
        <f t="shared" si="132"/>
        <v>2026年</v>
      </c>
      <c r="B2269" s="3" t="str">
        <f t="shared" si="133"/>
        <v>3月</v>
      </c>
      <c r="C2269" s="4" t="str">
        <f t="shared" si="134"/>
        <v>W10</v>
      </c>
      <c r="D2269" s="11" t="s">
        <v>800</v>
      </c>
      <c r="E2269" s="11" t="s">
        <v>738</v>
      </c>
      <c r="F2269" s="2" t="str" cm="1">
        <f t="array" ref="F2269">INDEX(_xlfn.TEXTSPLIT(E2269,"-"),2)</f>
        <v>女装</v>
      </c>
      <c r="G2269" s="2" t="str" cm="1">
        <f t="array" ref="G2269">INDEX(_xlfn.TEXTSPLIT(E2269,"-"),3)</f>
        <v>马夹</v>
      </c>
      <c r="H2269" s="12">
        <v>304451</v>
      </c>
      <c r="I2269" s="12">
        <v>34175336.39</v>
      </c>
      <c r="J2269" s="13">
        <v>0.0173</v>
      </c>
      <c r="K2269" s="13">
        <v>-0.0772</v>
      </c>
    </row>
    <row r="2270" ht="14.5" spans="1:11">
      <c r="A2270" s="3" t="str">
        <f t="shared" si="132"/>
        <v>2026年</v>
      </c>
      <c r="B2270" s="3" t="str">
        <f t="shared" si="133"/>
        <v>3月</v>
      </c>
      <c r="C2270" s="4" t="str">
        <f t="shared" si="134"/>
        <v>W10</v>
      </c>
      <c r="D2270" s="11" t="s">
        <v>801</v>
      </c>
      <c r="E2270" s="11" t="s">
        <v>702</v>
      </c>
      <c r="F2270" s="2" t="str" cm="1">
        <f t="array" ref="F2270">INDEX(_xlfn.TEXTSPLIT(E2270,"-"),2)</f>
        <v>女装</v>
      </c>
      <c r="G2270" s="2" t="str" cm="1">
        <f t="array" ref="G2270">INDEX(_xlfn.TEXTSPLIT(E2270,"-"),3)</f>
        <v>POLO衫</v>
      </c>
      <c r="H2270" s="12">
        <v>34522</v>
      </c>
      <c r="I2270" s="12">
        <v>2955740.93</v>
      </c>
      <c r="J2270" s="13">
        <v>0.0014</v>
      </c>
      <c r="K2270" s="14">
        <v>-0.08</v>
      </c>
    </row>
    <row r="2271" ht="14.5" spans="1:11">
      <c r="A2271" s="3" t="str">
        <f t="shared" si="132"/>
        <v>2026年</v>
      </c>
      <c r="B2271" s="3" t="str">
        <f t="shared" si="133"/>
        <v>3月</v>
      </c>
      <c r="C2271" s="4" t="str">
        <f t="shared" si="134"/>
        <v>W10</v>
      </c>
      <c r="D2271" s="11" t="s">
        <v>801</v>
      </c>
      <c r="E2271" s="11" t="s">
        <v>703</v>
      </c>
      <c r="F2271" s="2" t="str" cm="1">
        <f t="array" ref="F2271">INDEX(_xlfn.TEXTSPLIT(E2271,"-"),2)</f>
        <v>女装</v>
      </c>
      <c r="G2271" s="2" t="str" cm="1">
        <f t="array" ref="G2271">INDEX(_xlfn.TEXTSPLIT(E2271,"-"),3)</f>
        <v>T恤</v>
      </c>
      <c r="H2271" s="12">
        <v>2210003</v>
      </c>
      <c r="I2271" s="12">
        <v>151814292.67</v>
      </c>
      <c r="J2271" s="13">
        <v>0.0704</v>
      </c>
      <c r="K2271" s="13">
        <v>0.1235</v>
      </c>
    </row>
    <row r="2272" ht="14.5" spans="1:11">
      <c r="A2272" s="3" t="str">
        <f t="shared" si="132"/>
        <v>2026年</v>
      </c>
      <c r="B2272" s="3" t="str">
        <f t="shared" si="133"/>
        <v>3月</v>
      </c>
      <c r="C2272" s="4" t="str">
        <f t="shared" si="134"/>
        <v>W10</v>
      </c>
      <c r="D2272" s="11" t="s">
        <v>801</v>
      </c>
      <c r="E2272" s="11" t="s">
        <v>704</v>
      </c>
      <c r="F2272" s="2" t="str" cm="1">
        <f t="array" ref="F2272">INDEX(_xlfn.TEXTSPLIT(E2272,"-"),2)</f>
        <v>女装</v>
      </c>
      <c r="G2272" s="2" t="str" cm="1">
        <f t="array" ref="G2272">INDEX(_xlfn.TEXTSPLIT(E2272,"-"),3)</f>
        <v>中老年女装</v>
      </c>
      <c r="H2272" s="12">
        <v>165543</v>
      </c>
      <c r="I2272" s="12">
        <v>14429913.55</v>
      </c>
      <c r="J2272" s="13">
        <v>0.0067</v>
      </c>
      <c r="K2272" s="13">
        <v>-0.0141</v>
      </c>
    </row>
    <row r="2273" ht="14.5" spans="1:11">
      <c r="A2273" s="3" t="str">
        <f t="shared" si="132"/>
        <v>2026年</v>
      </c>
      <c r="B2273" s="3" t="str">
        <f t="shared" si="133"/>
        <v>3月</v>
      </c>
      <c r="C2273" s="4" t="str">
        <f t="shared" si="134"/>
        <v>W10</v>
      </c>
      <c r="D2273" s="11" t="s">
        <v>801</v>
      </c>
      <c r="E2273" s="11" t="s">
        <v>705</v>
      </c>
      <c r="F2273" s="2" t="str" cm="1">
        <f t="array" ref="F2273">INDEX(_xlfn.TEXTSPLIT(E2273,"-"),2)</f>
        <v>女装</v>
      </c>
      <c r="G2273" s="2" t="str" cm="1">
        <f t="array" ref="G2273">INDEX(_xlfn.TEXTSPLIT(E2273,"-"),3)</f>
        <v>半身裙</v>
      </c>
      <c r="H2273" s="12">
        <v>695463</v>
      </c>
      <c r="I2273" s="12">
        <v>87714305.6</v>
      </c>
      <c r="J2273" s="13">
        <v>0.0407</v>
      </c>
      <c r="K2273" s="13">
        <v>0.1698</v>
      </c>
    </row>
    <row r="2274" ht="14.5" spans="1:11">
      <c r="A2274" s="3" t="str">
        <f t="shared" si="132"/>
        <v>2026年</v>
      </c>
      <c r="B2274" s="3" t="str">
        <f t="shared" si="133"/>
        <v>3月</v>
      </c>
      <c r="C2274" s="4" t="str">
        <f t="shared" si="134"/>
        <v>W10</v>
      </c>
      <c r="D2274" s="11" t="s">
        <v>801</v>
      </c>
      <c r="E2274" s="11" t="s">
        <v>706</v>
      </c>
      <c r="F2274" s="2" t="str" cm="1">
        <f t="array" ref="F2274">INDEX(_xlfn.TEXTSPLIT(E2274,"-"),2)</f>
        <v>女装</v>
      </c>
      <c r="G2274" s="2" t="str" cm="1">
        <f t="array" ref="G2274">INDEX(_xlfn.TEXTSPLIT(E2274,"-"),3)</f>
        <v>卫衣/绒衫</v>
      </c>
      <c r="H2274" s="12">
        <v>393729</v>
      </c>
      <c r="I2274" s="12">
        <v>41391544.53</v>
      </c>
      <c r="J2274" s="13">
        <v>0.0192</v>
      </c>
      <c r="K2274" s="13">
        <v>0.2655</v>
      </c>
    </row>
    <row r="2275" ht="14.5" spans="1:11">
      <c r="A2275" s="3" t="str">
        <f t="shared" si="132"/>
        <v>2026年</v>
      </c>
      <c r="B2275" s="3" t="str">
        <f t="shared" si="133"/>
        <v>3月</v>
      </c>
      <c r="C2275" s="4" t="str">
        <f t="shared" si="134"/>
        <v>W10</v>
      </c>
      <c r="D2275" s="11" t="s">
        <v>801</v>
      </c>
      <c r="E2275" s="11" t="s">
        <v>707</v>
      </c>
      <c r="F2275" s="2" t="str" cm="1">
        <f t="array" ref="F2275">INDEX(_xlfn.TEXTSPLIT(E2275,"-"),2)</f>
        <v>女装</v>
      </c>
      <c r="G2275" s="2" t="str" cm="1">
        <f t="array" ref="G2275">INDEX(_xlfn.TEXTSPLIT(E2275,"-"),3)</f>
        <v>唐装/民族服装/舞台服装</v>
      </c>
      <c r="H2275" s="12">
        <v>217790</v>
      </c>
      <c r="I2275" s="12">
        <v>43137136.3</v>
      </c>
      <c r="J2275" s="14">
        <v>0.02</v>
      </c>
      <c r="K2275" s="14">
        <v>-0.03</v>
      </c>
    </row>
    <row r="2276" ht="14.5" spans="1:11">
      <c r="A2276" s="3" t="str">
        <f t="shared" si="132"/>
        <v>2026年</v>
      </c>
      <c r="B2276" s="3" t="str">
        <f t="shared" si="133"/>
        <v>3月</v>
      </c>
      <c r="C2276" s="4" t="str">
        <f t="shared" si="134"/>
        <v>W10</v>
      </c>
      <c r="D2276" s="11" t="s">
        <v>801</v>
      </c>
      <c r="E2276" s="11" t="s">
        <v>708</v>
      </c>
      <c r="F2276" s="2" t="str" cm="1">
        <f t="array" ref="F2276">INDEX(_xlfn.TEXTSPLIT(E2276,"-"),2)</f>
        <v>女装</v>
      </c>
      <c r="G2276" s="2" t="str" cm="1">
        <f t="array" ref="G2276">INDEX(_xlfn.TEXTSPLIT(E2276,"-"),3)</f>
        <v>大码女装</v>
      </c>
      <c r="H2276" s="12">
        <v>530012</v>
      </c>
      <c r="I2276" s="12">
        <v>38332693.75</v>
      </c>
      <c r="J2276" s="13">
        <v>0.0178</v>
      </c>
      <c r="K2276" s="13">
        <v>0.0972</v>
      </c>
    </row>
    <row r="2277" ht="14.5" spans="1:11">
      <c r="A2277" s="3" t="str">
        <f t="shared" si="132"/>
        <v>2026年</v>
      </c>
      <c r="B2277" s="3" t="str">
        <f t="shared" si="133"/>
        <v>3月</v>
      </c>
      <c r="C2277" s="4" t="str">
        <f t="shared" si="134"/>
        <v>W10</v>
      </c>
      <c r="D2277" s="11" t="s">
        <v>801</v>
      </c>
      <c r="E2277" s="11" t="s">
        <v>709</v>
      </c>
      <c r="F2277" s="2" t="str" cm="1">
        <f t="array" ref="F2277">INDEX(_xlfn.TEXTSPLIT(E2277,"-"),2)</f>
        <v>女装</v>
      </c>
      <c r="G2277" s="2" t="str" cm="1">
        <f t="array" ref="G2277">INDEX(_xlfn.TEXTSPLIT(E2277,"-"),3)</f>
        <v>套装/学生校服/工作制服</v>
      </c>
      <c r="H2277" s="12">
        <v>1216949</v>
      </c>
      <c r="I2277" s="12">
        <v>158444222.49</v>
      </c>
      <c r="J2277" s="13">
        <v>0.0735</v>
      </c>
      <c r="K2277" s="13">
        <v>0.0883</v>
      </c>
    </row>
    <row r="2278" ht="14.5" spans="1:11">
      <c r="A2278" s="3" t="str">
        <f t="shared" si="132"/>
        <v>2026年</v>
      </c>
      <c r="B2278" s="3" t="str">
        <f t="shared" si="133"/>
        <v>3月</v>
      </c>
      <c r="C2278" s="4" t="str">
        <f t="shared" si="134"/>
        <v>W10</v>
      </c>
      <c r="D2278" s="11" t="s">
        <v>801</v>
      </c>
      <c r="E2278" s="11" t="s">
        <v>710</v>
      </c>
      <c r="F2278" s="2" t="str" cm="1">
        <f t="array" ref="F2278">INDEX(_xlfn.TEXTSPLIT(E2278,"-"),2)</f>
        <v>女装</v>
      </c>
      <c r="G2278" s="2" t="str" cm="1">
        <f t="array" ref="G2278">INDEX(_xlfn.TEXTSPLIT(E2278,"-"),3)</f>
        <v>婚纱/旗袍/礼服</v>
      </c>
      <c r="H2278" s="12">
        <v>76431</v>
      </c>
      <c r="I2278" s="12">
        <v>13837381.05</v>
      </c>
      <c r="J2278" s="13">
        <v>0.0064</v>
      </c>
      <c r="K2278" s="13">
        <v>0.0043</v>
      </c>
    </row>
    <row r="2279" ht="14.5" spans="1:11">
      <c r="A2279" s="3" t="str">
        <f t="shared" si="132"/>
        <v>2026年</v>
      </c>
      <c r="B2279" s="3" t="str">
        <f t="shared" si="133"/>
        <v>3月</v>
      </c>
      <c r="C2279" s="4" t="str">
        <f t="shared" si="134"/>
        <v>W10</v>
      </c>
      <c r="D2279" s="11" t="s">
        <v>801</v>
      </c>
      <c r="E2279" s="11" t="s">
        <v>711</v>
      </c>
      <c r="F2279" s="2" t="str" cm="1">
        <f t="array" ref="F2279">INDEX(_xlfn.TEXTSPLIT(E2279,"-"),2)</f>
        <v>女装</v>
      </c>
      <c r="G2279" s="2" t="str" cm="1">
        <f t="array" ref="G2279">INDEX(_xlfn.TEXTSPLIT(E2279,"-"),3)</f>
        <v>新中式女装</v>
      </c>
      <c r="H2279" s="12">
        <v>62252</v>
      </c>
      <c r="I2279" s="12">
        <v>6529222.26</v>
      </c>
      <c r="J2279" s="13">
        <v>0.003</v>
      </c>
      <c r="K2279" s="13">
        <v>-0.129</v>
      </c>
    </row>
    <row r="2280" ht="14.5" spans="1:11">
      <c r="A2280" s="3" t="str">
        <f t="shared" si="132"/>
        <v>2026年</v>
      </c>
      <c r="B2280" s="3" t="str">
        <f t="shared" si="133"/>
        <v>3月</v>
      </c>
      <c r="C2280" s="4" t="str">
        <f t="shared" si="134"/>
        <v>W10</v>
      </c>
      <c r="D2280" s="11" t="s">
        <v>801</v>
      </c>
      <c r="E2280" s="11" t="s">
        <v>712</v>
      </c>
      <c r="F2280" s="2" t="str" cm="1">
        <f t="array" ref="F2280">INDEX(_xlfn.TEXTSPLIT(E2280,"-"),2)</f>
        <v>女装</v>
      </c>
      <c r="G2280" s="2" t="str" cm="1">
        <f t="array" ref="G2280">INDEX(_xlfn.TEXTSPLIT(E2280,"-"),3)</f>
        <v>时尚防晒服</v>
      </c>
      <c r="H2280" s="12">
        <v>9039</v>
      </c>
      <c r="I2280" s="12">
        <v>1397358.97</v>
      </c>
      <c r="J2280" s="13">
        <v>0.0006</v>
      </c>
      <c r="K2280" s="13">
        <v>0.3024</v>
      </c>
    </row>
    <row r="2281" ht="14.5" spans="1:11">
      <c r="A2281" s="3" t="str">
        <f t="shared" si="132"/>
        <v>2026年</v>
      </c>
      <c r="B2281" s="3" t="str">
        <f t="shared" si="133"/>
        <v>3月</v>
      </c>
      <c r="C2281" s="4" t="str">
        <f t="shared" si="134"/>
        <v>W10</v>
      </c>
      <c r="D2281" s="11" t="s">
        <v>801</v>
      </c>
      <c r="E2281" s="11" t="s">
        <v>714</v>
      </c>
      <c r="F2281" s="2" t="str" cm="1">
        <f t="array" ref="F2281">INDEX(_xlfn.TEXTSPLIT(E2281,"-"),2)</f>
        <v>女装</v>
      </c>
      <c r="G2281" s="2" t="str" cm="1">
        <f t="array" ref="G2281">INDEX(_xlfn.TEXTSPLIT(E2281,"-"),3)</f>
        <v>棉衣/棉服</v>
      </c>
      <c r="H2281" s="12">
        <v>222729</v>
      </c>
      <c r="I2281" s="12">
        <v>19419770.44</v>
      </c>
      <c r="J2281" s="13">
        <v>0.009</v>
      </c>
      <c r="K2281" s="13">
        <v>0.085</v>
      </c>
    </row>
    <row r="2282" ht="14.5" spans="1:11">
      <c r="A2282" s="3" t="str">
        <f t="shared" si="132"/>
        <v>2026年</v>
      </c>
      <c r="B2282" s="3" t="str">
        <f t="shared" si="133"/>
        <v>3月</v>
      </c>
      <c r="C2282" s="4" t="str">
        <f t="shared" si="134"/>
        <v>W10</v>
      </c>
      <c r="D2282" s="11" t="s">
        <v>801</v>
      </c>
      <c r="E2282" s="11" t="s">
        <v>715</v>
      </c>
      <c r="F2282" s="2" t="str" cm="1">
        <f t="array" ref="F2282">INDEX(_xlfn.TEXTSPLIT(E2282,"-"),2)</f>
        <v>女装</v>
      </c>
      <c r="G2282" s="2" t="str" cm="1">
        <f t="array" ref="G2282">INDEX(_xlfn.TEXTSPLIT(E2282,"-"),3)</f>
        <v>毛呢外套</v>
      </c>
      <c r="H2282" s="12">
        <v>310691</v>
      </c>
      <c r="I2282" s="12">
        <v>71951903.94</v>
      </c>
      <c r="J2282" s="13">
        <v>0.0334</v>
      </c>
      <c r="K2282" s="13">
        <v>0.1021</v>
      </c>
    </row>
    <row r="2283" ht="14.5" spans="1:11">
      <c r="A2283" s="3" t="str">
        <f t="shared" si="132"/>
        <v>2026年</v>
      </c>
      <c r="B2283" s="3" t="str">
        <f t="shared" si="133"/>
        <v>3月</v>
      </c>
      <c r="C2283" s="4" t="str">
        <f t="shared" si="134"/>
        <v>W10</v>
      </c>
      <c r="D2283" s="11" t="s">
        <v>801</v>
      </c>
      <c r="E2283" s="11" t="s">
        <v>716</v>
      </c>
      <c r="F2283" s="2" t="str" cm="1">
        <f t="array" ref="F2283">INDEX(_xlfn.TEXTSPLIT(E2283,"-"),2)</f>
        <v>女装</v>
      </c>
      <c r="G2283" s="2" t="str" cm="1">
        <f t="array" ref="G2283">INDEX(_xlfn.TEXTSPLIT(E2283,"-"),3)</f>
        <v>毛衣</v>
      </c>
      <c r="H2283" s="12">
        <v>238956</v>
      </c>
      <c r="I2283" s="12">
        <v>21212508.7</v>
      </c>
      <c r="J2283" s="13">
        <v>0.0098</v>
      </c>
      <c r="K2283" s="13">
        <v>0.1924</v>
      </c>
    </row>
    <row r="2284" ht="14.5" spans="1:11">
      <c r="A2284" s="3" t="str">
        <f t="shared" si="132"/>
        <v>2026年</v>
      </c>
      <c r="B2284" s="3" t="str">
        <f t="shared" si="133"/>
        <v>3月</v>
      </c>
      <c r="C2284" s="4" t="str">
        <f t="shared" si="134"/>
        <v>W10</v>
      </c>
      <c r="D2284" s="11" t="s">
        <v>801</v>
      </c>
      <c r="E2284" s="11" t="s">
        <v>717</v>
      </c>
      <c r="F2284" s="2" t="str" cm="1">
        <f t="array" ref="F2284">INDEX(_xlfn.TEXTSPLIT(E2284,"-"),2)</f>
        <v>女装</v>
      </c>
      <c r="G2284" s="2" t="str" cm="1">
        <f t="array" ref="G2284">INDEX(_xlfn.TEXTSPLIT(E2284,"-"),3)</f>
        <v>毛针织衫</v>
      </c>
      <c r="H2284" s="12">
        <v>1672665</v>
      </c>
      <c r="I2284" s="12">
        <v>128570436.44</v>
      </c>
      <c r="J2284" s="13">
        <v>0.0596</v>
      </c>
      <c r="K2284" s="13">
        <v>0.1468</v>
      </c>
    </row>
    <row r="2285" ht="14.5" spans="1:11">
      <c r="A2285" s="3" t="str">
        <f t="shared" si="132"/>
        <v>2026年</v>
      </c>
      <c r="B2285" s="3" t="str">
        <f t="shared" si="133"/>
        <v>3月</v>
      </c>
      <c r="C2285" s="4" t="str">
        <f t="shared" si="134"/>
        <v>W10</v>
      </c>
      <c r="D2285" s="11" t="s">
        <v>801</v>
      </c>
      <c r="E2285" s="11" t="s">
        <v>718</v>
      </c>
      <c r="F2285" s="2" t="str" cm="1">
        <f t="array" ref="F2285">INDEX(_xlfn.TEXTSPLIT(E2285,"-"),2)</f>
        <v>女装</v>
      </c>
      <c r="G2285" s="2" t="str" cm="1">
        <f t="array" ref="G2285">INDEX(_xlfn.TEXTSPLIT(E2285,"-"),3)</f>
        <v>汉服</v>
      </c>
      <c r="H2285" s="12">
        <v>159690</v>
      </c>
      <c r="I2285" s="12">
        <v>55676389.75</v>
      </c>
      <c r="J2285" s="13">
        <v>0.0258</v>
      </c>
      <c r="K2285" s="13">
        <v>-0.2487</v>
      </c>
    </row>
    <row r="2286" ht="14.5" spans="1:11">
      <c r="A2286" s="3" t="str">
        <f t="shared" si="132"/>
        <v>2026年</v>
      </c>
      <c r="B2286" s="3" t="str">
        <f t="shared" si="133"/>
        <v>3月</v>
      </c>
      <c r="C2286" s="4" t="str">
        <f t="shared" si="134"/>
        <v>W10</v>
      </c>
      <c r="D2286" s="11" t="s">
        <v>801</v>
      </c>
      <c r="E2286" s="11" t="s">
        <v>719</v>
      </c>
      <c r="F2286" s="2" t="str" cm="1">
        <f t="array" ref="F2286">INDEX(_xlfn.TEXTSPLIT(E2286,"-"),2)</f>
        <v>女装</v>
      </c>
      <c r="G2286" s="2" t="str" cm="1">
        <f t="array" ref="G2286">INDEX(_xlfn.TEXTSPLIT(E2286,"-"),3)</f>
        <v>派克服</v>
      </c>
      <c r="H2286" s="12">
        <v>13726</v>
      </c>
      <c r="I2286" s="12">
        <v>2251684.93</v>
      </c>
      <c r="J2286" s="13">
        <v>0.001</v>
      </c>
      <c r="K2286" s="13">
        <v>1.1951</v>
      </c>
    </row>
    <row r="2287" ht="14.5" spans="1:11">
      <c r="A2287" s="3" t="str">
        <f t="shared" si="132"/>
        <v>2026年</v>
      </c>
      <c r="B2287" s="3" t="str">
        <f t="shared" si="133"/>
        <v>3月</v>
      </c>
      <c r="C2287" s="4" t="str">
        <f t="shared" si="134"/>
        <v>W10</v>
      </c>
      <c r="D2287" s="11" t="s">
        <v>801</v>
      </c>
      <c r="E2287" s="11" t="s">
        <v>720</v>
      </c>
      <c r="F2287" s="2" t="str" cm="1">
        <f t="array" ref="F2287">INDEX(_xlfn.TEXTSPLIT(E2287,"-"),2)</f>
        <v>女装</v>
      </c>
      <c r="G2287" s="2" t="str" cm="1">
        <f t="array" ref="G2287">INDEX(_xlfn.TEXTSPLIT(E2287,"-"),3)</f>
        <v>皮草</v>
      </c>
      <c r="H2287" s="12">
        <v>27807</v>
      </c>
      <c r="I2287" s="12">
        <v>52763052.62</v>
      </c>
      <c r="J2287" s="13">
        <v>0.0245</v>
      </c>
      <c r="K2287" s="13">
        <v>0.0081</v>
      </c>
    </row>
    <row r="2288" ht="14.5" spans="1:11">
      <c r="A2288" s="3" t="str">
        <f t="shared" si="132"/>
        <v>2026年</v>
      </c>
      <c r="B2288" s="3" t="str">
        <f t="shared" si="133"/>
        <v>3月</v>
      </c>
      <c r="C2288" s="4" t="str">
        <f t="shared" si="134"/>
        <v>W10</v>
      </c>
      <c r="D2288" s="11" t="s">
        <v>801</v>
      </c>
      <c r="E2288" s="11" t="s">
        <v>721</v>
      </c>
      <c r="F2288" s="2" t="str" cm="1">
        <f t="array" ref="F2288">INDEX(_xlfn.TEXTSPLIT(E2288,"-"),2)</f>
        <v>女装</v>
      </c>
      <c r="G2288" s="2" t="str" cm="1">
        <f t="array" ref="G2288">INDEX(_xlfn.TEXTSPLIT(E2288,"-"),3)</f>
        <v>皮衣</v>
      </c>
      <c r="H2288" s="12">
        <v>213320</v>
      </c>
      <c r="I2288" s="12">
        <v>84919817.99</v>
      </c>
      <c r="J2288" s="13">
        <v>0.0394</v>
      </c>
      <c r="K2288" s="13">
        <v>-0.0661</v>
      </c>
    </row>
    <row r="2289" ht="14.5" spans="1:11">
      <c r="A2289" s="3" t="str">
        <f t="shared" si="132"/>
        <v>2026年</v>
      </c>
      <c r="B2289" s="3" t="str">
        <f t="shared" si="133"/>
        <v>3月</v>
      </c>
      <c r="C2289" s="4" t="str">
        <f t="shared" si="134"/>
        <v>W10</v>
      </c>
      <c r="D2289" s="11" t="s">
        <v>801</v>
      </c>
      <c r="E2289" s="11" t="s">
        <v>722</v>
      </c>
      <c r="F2289" s="2" t="str" cm="1">
        <f t="array" ref="F2289">INDEX(_xlfn.TEXTSPLIT(E2289,"-"),2)</f>
        <v>女装</v>
      </c>
      <c r="G2289" s="2" t="str" cm="1">
        <f t="array" ref="G2289">INDEX(_xlfn.TEXTSPLIT(E2289,"-"),3)</f>
        <v>短外套</v>
      </c>
      <c r="H2289" s="12">
        <v>1020119</v>
      </c>
      <c r="I2289" s="12">
        <v>171198365.12</v>
      </c>
      <c r="J2289" s="13">
        <v>0.0794</v>
      </c>
      <c r="K2289" s="13">
        <v>0.1066</v>
      </c>
    </row>
    <row r="2290" ht="14.5" spans="1:11">
      <c r="A2290" s="3" t="str">
        <f t="shared" si="132"/>
        <v>2026年</v>
      </c>
      <c r="B2290" s="3" t="str">
        <f t="shared" si="133"/>
        <v>3月</v>
      </c>
      <c r="C2290" s="4" t="str">
        <f t="shared" si="134"/>
        <v>W10</v>
      </c>
      <c r="D2290" s="11" t="s">
        <v>801</v>
      </c>
      <c r="E2290" s="11" t="s">
        <v>723</v>
      </c>
      <c r="F2290" s="2" t="str" cm="1">
        <f t="array" ref="F2290">INDEX(_xlfn.TEXTSPLIT(E2290,"-"),2)</f>
        <v>女装</v>
      </c>
      <c r="G2290" s="2" t="str" cm="1">
        <f t="array" ref="G2290">INDEX(_xlfn.TEXTSPLIT(E2290,"-"),3)</f>
        <v>短裤</v>
      </c>
      <c r="H2290" s="12">
        <v>127086</v>
      </c>
      <c r="I2290" s="12">
        <v>10806891.87</v>
      </c>
      <c r="J2290" s="13">
        <v>0.005</v>
      </c>
      <c r="K2290" s="13">
        <v>0.1081</v>
      </c>
    </row>
    <row r="2291" ht="14.5" spans="1:11">
      <c r="A2291" s="3" t="str">
        <f t="shared" si="132"/>
        <v>2026年</v>
      </c>
      <c r="B2291" s="3" t="str">
        <f t="shared" si="133"/>
        <v>3月</v>
      </c>
      <c r="C2291" s="4" t="str">
        <f t="shared" si="134"/>
        <v>W10</v>
      </c>
      <c r="D2291" s="11" t="s">
        <v>801</v>
      </c>
      <c r="E2291" s="11" t="s">
        <v>724</v>
      </c>
      <c r="F2291" s="2" t="str" cm="1">
        <f t="array" ref="F2291">INDEX(_xlfn.TEXTSPLIT(E2291,"-"),2)</f>
        <v>女装</v>
      </c>
      <c r="G2291" s="2" t="str" cm="1">
        <f t="array" ref="G2291">INDEX(_xlfn.TEXTSPLIT(E2291,"-"),3)</f>
        <v>羊毛衫</v>
      </c>
      <c r="H2291" s="12">
        <v>158830</v>
      </c>
      <c r="I2291" s="12">
        <v>20112722.77</v>
      </c>
      <c r="J2291" s="13">
        <v>0.0093</v>
      </c>
      <c r="K2291" s="13">
        <v>-0.103</v>
      </c>
    </row>
    <row r="2292" ht="14.5" spans="1:11">
      <c r="A2292" s="3" t="str">
        <f t="shared" si="132"/>
        <v>2026年</v>
      </c>
      <c r="B2292" s="3" t="str">
        <f t="shared" si="133"/>
        <v>3月</v>
      </c>
      <c r="C2292" s="4" t="str">
        <f t="shared" si="134"/>
        <v>W10</v>
      </c>
      <c r="D2292" s="11" t="s">
        <v>801</v>
      </c>
      <c r="E2292" s="11" t="s">
        <v>725</v>
      </c>
      <c r="F2292" s="2" t="str" cm="1">
        <f t="array" ref="F2292">INDEX(_xlfn.TEXTSPLIT(E2292,"-"),2)</f>
        <v>女装</v>
      </c>
      <c r="G2292" s="2" t="str" cm="1">
        <f t="array" ref="G2292">INDEX(_xlfn.TEXTSPLIT(E2292,"-"),3)</f>
        <v>羊绒大衣</v>
      </c>
      <c r="H2292" s="12">
        <v>2571</v>
      </c>
      <c r="I2292" s="12">
        <v>602443.85</v>
      </c>
      <c r="J2292" s="13">
        <v>0.0003</v>
      </c>
      <c r="K2292" s="13">
        <v>-0.119</v>
      </c>
    </row>
    <row r="2293" ht="14.5" spans="1:11">
      <c r="A2293" s="3" t="str">
        <f t="shared" si="132"/>
        <v>2026年</v>
      </c>
      <c r="B2293" s="3" t="str">
        <f t="shared" si="133"/>
        <v>3月</v>
      </c>
      <c r="C2293" s="4" t="str">
        <f t="shared" si="134"/>
        <v>W10</v>
      </c>
      <c r="D2293" s="11" t="s">
        <v>801</v>
      </c>
      <c r="E2293" s="11" t="s">
        <v>726</v>
      </c>
      <c r="F2293" s="2" t="str" cm="1">
        <f t="array" ref="F2293">INDEX(_xlfn.TEXTSPLIT(E2293,"-"),2)</f>
        <v>女装</v>
      </c>
      <c r="G2293" s="2" t="str" cm="1">
        <f t="array" ref="G2293">INDEX(_xlfn.TEXTSPLIT(E2293,"-"),3)</f>
        <v>羊绒衫</v>
      </c>
      <c r="H2293" s="12">
        <v>31104</v>
      </c>
      <c r="I2293" s="12">
        <v>9832859.94</v>
      </c>
      <c r="J2293" s="13">
        <v>0.0046</v>
      </c>
      <c r="K2293" s="13">
        <v>0.0723</v>
      </c>
    </row>
    <row r="2294" ht="14.5" spans="1:11">
      <c r="A2294" s="3" t="str">
        <f t="shared" si="132"/>
        <v>2026年</v>
      </c>
      <c r="B2294" s="3" t="str">
        <f t="shared" si="133"/>
        <v>3月</v>
      </c>
      <c r="C2294" s="4" t="str">
        <f t="shared" si="134"/>
        <v>W10</v>
      </c>
      <c r="D2294" s="11" t="s">
        <v>801</v>
      </c>
      <c r="E2294" s="11" t="s">
        <v>727</v>
      </c>
      <c r="F2294" s="2" t="str" cm="1">
        <f t="array" ref="F2294">INDEX(_xlfn.TEXTSPLIT(E2294,"-"),2)</f>
        <v>女装</v>
      </c>
      <c r="G2294" s="2" t="str" cm="1">
        <f t="array" ref="G2294">INDEX(_xlfn.TEXTSPLIT(E2294,"-"),3)</f>
        <v>羽绒服</v>
      </c>
      <c r="H2294" s="12">
        <v>314002</v>
      </c>
      <c r="I2294" s="12">
        <v>78629024.26</v>
      </c>
      <c r="J2294" s="13">
        <v>0.0365</v>
      </c>
      <c r="K2294" s="13">
        <v>-0.046</v>
      </c>
    </row>
    <row r="2295" ht="14.5" spans="1:11">
      <c r="A2295" s="3" t="str">
        <f t="shared" si="132"/>
        <v>2026年</v>
      </c>
      <c r="B2295" s="3" t="str">
        <f t="shared" si="133"/>
        <v>3月</v>
      </c>
      <c r="C2295" s="4" t="str">
        <f t="shared" si="134"/>
        <v>W10</v>
      </c>
      <c r="D2295" s="11" t="s">
        <v>801</v>
      </c>
      <c r="E2295" s="11" t="s">
        <v>728</v>
      </c>
      <c r="F2295" s="2" t="str" cm="1">
        <f t="array" ref="F2295">INDEX(_xlfn.TEXTSPLIT(E2295,"-"),2)</f>
        <v>女装</v>
      </c>
      <c r="G2295" s="2" t="str" cm="1">
        <f t="array" ref="G2295">INDEX(_xlfn.TEXTSPLIT(E2295,"-"),3)</f>
        <v>肌底衣/肌肤衣</v>
      </c>
      <c r="H2295" s="12">
        <v>3981</v>
      </c>
      <c r="I2295" s="12">
        <v>144098.89</v>
      </c>
      <c r="J2295" s="13">
        <v>0.0001</v>
      </c>
      <c r="K2295" s="13">
        <v>-0.506</v>
      </c>
    </row>
    <row r="2296" ht="14.5" spans="1:11">
      <c r="A2296" s="3" t="str">
        <f t="shared" si="132"/>
        <v>2026年</v>
      </c>
      <c r="B2296" s="3" t="str">
        <f t="shared" si="133"/>
        <v>3月</v>
      </c>
      <c r="C2296" s="4" t="str">
        <f t="shared" si="134"/>
        <v>W10</v>
      </c>
      <c r="D2296" s="11" t="s">
        <v>801</v>
      </c>
      <c r="E2296" s="11" t="s">
        <v>729</v>
      </c>
      <c r="F2296" s="2" t="str" cm="1">
        <f t="array" ref="F2296">INDEX(_xlfn.TEXTSPLIT(E2296,"-"),2)</f>
        <v>女装</v>
      </c>
      <c r="G2296" s="2" t="str" cm="1">
        <f t="array" ref="G2296">INDEX(_xlfn.TEXTSPLIT(E2296,"-"),3)</f>
        <v>背心吊带</v>
      </c>
      <c r="H2296" s="12">
        <v>668521</v>
      </c>
      <c r="I2296" s="12">
        <v>44878535.99</v>
      </c>
      <c r="J2296" s="13">
        <v>0.0208</v>
      </c>
      <c r="K2296" s="13">
        <v>0.3269</v>
      </c>
    </row>
    <row r="2297" ht="14.5" spans="1:11">
      <c r="A2297" s="3" t="str">
        <f t="shared" si="132"/>
        <v>2026年</v>
      </c>
      <c r="B2297" s="3" t="str">
        <f t="shared" si="133"/>
        <v>3月</v>
      </c>
      <c r="C2297" s="4" t="str">
        <f t="shared" si="134"/>
        <v>W10</v>
      </c>
      <c r="D2297" s="11" t="s">
        <v>801</v>
      </c>
      <c r="E2297" s="11" t="s">
        <v>730</v>
      </c>
      <c r="F2297" s="2" t="str" cm="1">
        <f t="array" ref="F2297">INDEX(_xlfn.TEXTSPLIT(E2297,"-"),2)</f>
        <v>女装</v>
      </c>
      <c r="G2297" s="2" t="str" cm="1">
        <f t="array" ref="G2297">INDEX(_xlfn.TEXTSPLIT(E2297,"-"),3)</f>
        <v>蕾丝衫/雪纺衫</v>
      </c>
      <c r="H2297" s="12">
        <v>207874</v>
      </c>
      <c r="I2297" s="12">
        <v>16501347.27</v>
      </c>
      <c r="J2297" s="13">
        <v>0.0077</v>
      </c>
      <c r="K2297" s="13">
        <v>0.0519</v>
      </c>
    </row>
    <row r="2298" ht="14.5" spans="1:11">
      <c r="A2298" s="3" t="str">
        <f t="shared" si="132"/>
        <v>2026年</v>
      </c>
      <c r="B2298" s="3" t="str">
        <f t="shared" si="133"/>
        <v>3月</v>
      </c>
      <c r="C2298" s="4" t="str">
        <f t="shared" si="134"/>
        <v>W10</v>
      </c>
      <c r="D2298" s="11" t="s">
        <v>801</v>
      </c>
      <c r="E2298" s="11" t="s">
        <v>731</v>
      </c>
      <c r="F2298" s="2" t="str" cm="1">
        <f t="array" ref="F2298">INDEX(_xlfn.TEXTSPLIT(E2298,"-"),2)</f>
        <v>女装</v>
      </c>
      <c r="G2298" s="2" t="str" cm="1">
        <f t="array" ref="G2298">INDEX(_xlfn.TEXTSPLIT(E2298,"-"),3)</f>
        <v>衬衫</v>
      </c>
      <c r="H2298" s="12">
        <v>949883</v>
      </c>
      <c r="I2298" s="12">
        <v>113647988.64</v>
      </c>
      <c r="J2298" s="13">
        <v>0.0527</v>
      </c>
      <c r="K2298" s="13">
        <v>0.1393</v>
      </c>
    </row>
    <row r="2299" ht="14.5" spans="1:11">
      <c r="A2299" s="3" t="str">
        <f t="shared" si="132"/>
        <v>2026年</v>
      </c>
      <c r="B2299" s="3" t="str">
        <f t="shared" si="133"/>
        <v>3月</v>
      </c>
      <c r="C2299" s="4" t="str">
        <f t="shared" si="134"/>
        <v>W10</v>
      </c>
      <c r="D2299" s="11" t="s">
        <v>801</v>
      </c>
      <c r="E2299" s="11" t="s">
        <v>732</v>
      </c>
      <c r="F2299" s="2" t="str" cm="1">
        <f t="array" ref="F2299">INDEX(_xlfn.TEXTSPLIT(E2299,"-"),2)</f>
        <v>女装</v>
      </c>
      <c r="G2299" s="2" t="str" cm="1">
        <f t="array" ref="G2299">INDEX(_xlfn.TEXTSPLIT(E2299,"-"),3)</f>
        <v>裤子</v>
      </c>
      <c r="H2299" s="12">
        <v>3148595</v>
      </c>
      <c r="I2299" s="12">
        <v>371828459.53</v>
      </c>
      <c r="J2299" s="13">
        <v>0.1725</v>
      </c>
      <c r="K2299" s="13">
        <v>0.1622</v>
      </c>
    </row>
    <row r="2300" ht="14.5" spans="1:11">
      <c r="A2300" s="3" t="str">
        <f t="shared" si="132"/>
        <v>2026年</v>
      </c>
      <c r="B2300" s="3" t="str">
        <f t="shared" si="133"/>
        <v>3月</v>
      </c>
      <c r="C2300" s="4" t="str">
        <f t="shared" si="134"/>
        <v>W10</v>
      </c>
      <c r="D2300" s="11" t="s">
        <v>801</v>
      </c>
      <c r="E2300" s="11" t="s">
        <v>733</v>
      </c>
      <c r="F2300" s="2" t="str" cm="1">
        <f t="array" ref="F2300">INDEX(_xlfn.TEXTSPLIT(E2300,"-"),2)</f>
        <v>女装</v>
      </c>
      <c r="G2300" s="2" t="str" cm="1">
        <f t="array" ref="G2300">INDEX(_xlfn.TEXTSPLIT(E2300,"-"),3)</f>
        <v>西装</v>
      </c>
      <c r="H2300" s="12">
        <v>151959</v>
      </c>
      <c r="I2300" s="12">
        <v>42355385.07</v>
      </c>
      <c r="J2300" s="13">
        <v>0.0196</v>
      </c>
      <c r="K2300" s="13">
        <v>0.3153</v>
      </c>
    </row>
    <row r="2301" ht="14.5" spans="1:11">
      <c r="A2301" s="3" t="str">
        <f t="shared" si="132"/>
        <v>2026年</v>
      </c>
      <c r="B2301" s="3" t="str">
        <f t="shared" si="133"/>
        <v>3月</v>
      </c>
      <c r="C2301" s="4" t="str">
        <f t="shared" si="134"/>
        <v>W10</v>
      </c>
      <c r="D2301" s="11" t="s">
        <v>801</v>
      </c>
      <c r="E2301" s="11" t="s">
        <v>734</v>
      </c>
      <c r="F2301" s="2" t="str" cm="1">
        <f t="array" ref="F2301">INDEX(_xlfn.TEXTSPLIT(E2301,"-"),2)</f>
        <v>女装</v>
      </c>
      <c r="G2301" s="2" t="str" cm="1">
        <f t="array" ref="G2301">INDEX(_xlfn.TEXTSPLIT(E2301,"-"),3)</f>
        <v>设计师/潮牌女装</v>
      </c>
      <c r="H2301" s="12">
        <v>324751</v>
      </c>
      <c r="I2301" s="12">
        <v>33803597.69</v>
      </c>
      <c r="J2301" s="13">
        <v>0.0157</v>
      </c>
      <c r="K2301" s="13">
        <v>0.0778</v>
      </c>
    </row>
    <row r="2302" ht="14.5" spans="1:11">
      <c r="A2302" s="3" t="str">
        <f t="shared" si="132"/>
        <v>2026年</v>
      </c>
      <c r="B2302" s="3" t="str">
        <f t="shared" si="133"/>
        <v>3月</v>
      </c>
      <c r="C2302" s="4" t="str">
        <f t="shared" si="134"/>
        <v>W10</v>
      </c>
      <c r="D2302" s="11" t="s">
        <v>801</v>
      </c>
      <c r="E2302" s="11" t="s">
        <v>735</v>
      </c>
      <c r="F2302" s="2" t="str" cm="1">
        <f t="array" ref="F2302">INDEX(_xlfn.TEXTSPLIT(E2302,"-"),2)</f>
        <v>女装</v>
      </c>
      <c r="G2302" s="2" t="str" cm="1">
        <f t="array" ref="G2302">INDEX(_xlfn.TEXTSPLIT(E2302,"-"),3)</f>
        <v>连体衣/裤</v>
      </c>
      <c r="H2302" s="12">
        <v>23513</v>
      </c>
      <c r="I2302" s="12">
        <v>4025838.08</v>
      </c>
      <c r="J2302" s="13">
        <v>0.0019</v>
      </c>
      <c r="K2302" s="13">
        <v>-0.1104</v>
      </c>
    </row>
    <row r="2303" ht="14.5" spans="1:11">
      <c r="A2303" s="3" t="str">
        <f t="shared" si="132"/>
        <v>2026年</v>
      </c>
      <c r="B2303" s="3" t="str">
        <f t="shared" si="133"/>
        <v>3月</v>
      </c>
      <c r="C2303" s="4" t="str">
        <f t="shared" si="134"/>
        <v>W10</v>
      </c>
      <c r="D2303" s="11" t="s">
        <v>801</v>
      </c>
      <c r="E2303" s="11" t="s">
        <v>736</v>
      </c>
      <c r="F2303" s="2" t="str" cm="1">
        <f t="array" ref="F2303">INDEX(_xlfn.TEXTSPLIT(E2303,"-"),2)</f>
        <v>女装</v>
      </c>
      <c r="G2303" s="2" t="str" cm="1">
        <f t="array" ref="G2303">INDEX(_xlfn.TEXTSPLIT(E2303,"-"),3)</f>
        <v>连衣裙</v>
      </c>
      <c r="H2303" s="12">
        <v>945548</v>
      </c>
      <c r="I2303" s="12">
        <v>145758548.41</v>
      </c>
      <c r="J2303" s="13">
        <v>0.0676</v>
      </c>
      <c r="K2303" s="13">
        <v>0.0165</v>
      </c>
    </row>
    <row r="2304" ht="14.5" spans="1:11">
      <c r="A2304" s="3" t="str">
        <f t="shared" si="132"/>
        <v>2026年</v>
      </c>
      <c r="B2304" s="3" t="str">
        <f t="shared" si="133"/>
        <v>3月</v>
      </c>
      <c r="C2304" s="4" t="str">
        <f t="shared" si="134"/>
        <v>W10</v>
      </c>
      <c r="D2304" s="11" t="s">
        <v>801</v>
      </c>
      <c r="E2304" s="11" t="s">
        <v>737</v>
      </c>
      <c r="F2304" s="2" t="str" cm="1">
        <f t="array" ref="F2304">INDEX(_xlfn.TEXTSPLIT(E2304,"-"),2)</f>
        <v>女装</v>
      </c>
      <c r="G2304" s="2" t="str" cm="1">
        <f t="array" ref="G2304">INDEX(_xlfn.TEXTSPLIT(E2304,"-"),3)</f>
        <v>风衣</v>
      </c>
      <c r="H2304" s="12">
        <v>211669</v>
      </c>
      <c r="I2304" s="12">
        <v>48728551.33</v>
      </c>
      <c r="J2304" s="13">
        <v>0.0226</v>
      </c>
      <c r="K2304" s="13">
        <v>0.1475</v>
      </c>
    </row>
    <row r="2305" ht="14.5" spans="1:11">
      <c r="A2305" s="3" t="str">
        <f t="shared" si="132"/>
        <v>2026年</v>
      </c>
      <c r="B2305" s="3" t="str">
        <f t="shared" si="133"/>
        <v>3月</v>
      </c>
      <c r="C2305" s="4" t="str">
        <f t="shared" si="134"/>
        <v>W10</v>
      </c>
      <c r="D2305" s="11" t="s">
        <v>801</v>
      </c>
      <c r="E2305" s="11" t="s">
        <v>738</v>
      </c>
      <c r="F2305" s="2" t="str" cm="1">
        <f t="array" ref="F2305">INDEX(_xlfn.TEXTSPLIT(E2305,"-"),2)</f>
        <v>女装</v>
      </c>
      <c r="G2305" s="2" t="str" cm="1">
        <f t="array" ref="G2305">INDEX(_xlfn.TEXTSPLIT(E2305,"-"),3)</f>
        <v>马夹</v>
      </c>
      <c r="H2305" s="12">
        <v>344098</v>
      </c>
      <c r="I2305" s="12">
        <v>46219154.44</v>
      </c>
      <c r="J2305" s="13">
        <v>0.0214</v>
      </c>
      <c r="K2305" s="13">
        <v>0.3524</v>
      </c>
    </row>
    <row r="2306" ht="14.5" spans="1:11">
      <c r="A2306" s="3" t="str">
        <f t="shared" si="132"/>
        <v>2026年</v>
      </c>
      <c r="B2306" s="3" t="str">
        <f t="shared" si="133"/>
        <v>3月</v>
      </c>
      <c r="C2306" s="4" t="str">
        <f t="shared" si="134"/>
        <v>W10</v>
      </c>
      <c r="D2306" s="11" t="s">
        <v>802</v>
      </c>
      <c r="E2306" s="11" t="s">
        <v>702</v>
      </c>
      <c r="F2306" s="2" t="str" cm="1">
        <f t="array" ref="F2306">INDEX(_xlfn.TEXTSPLIT(E2306,"-"),2)</f>
        <v>女装</v>
      </c>
      <c r="G2306" s="2" t="str" cm="1">
        <f t="array" ref="G2306">INDEX(_xlfn.TEXTSPLIT(E2306,"-"),3)</f>
        <v>POLO衫</v>
      </c>
      <c r="H2306" s="12">
        <v>30183</v>
      </c>
      <c r="I2306" s="12">
        <v>2391981.39</v>
      </c>
      <c r="J2306" s="13">
        <v>0.0013</v>
      </c>
      <c r="K2306" s="13">
        <v>-0.1907</v>
      </c>
    </row>
    <row r="2307" ht="14.5" spans="1:11">
      <c r="A2307" s="3" t="str">
        <f t="shared" si="132"/>
        <v>2026年</v>
      </c>
      <c r="B2307" s="3" t="str">
        <f t="shared" si="133"/>
        <v>3月</v>
      </c>
      <c r="C2307" s="4" t="str">
        <f t="shared" si="134"/>
        <v>W10</v>
      </c>
      <c r="D2307" s="11" t="s">
        <v>802</v>
      </c>
      <c r="E2307" s="11" t="s">
        <v>703</v>
      </c>
      <c r="F2307" s="2" t="str" cm="1">
        <f t="array" ref="F2307">INDEX(_xlfn.TEXTSPLIT(E2307,"-"),2)</f>
        <v>女装</v>
      </c>
      <c r="G2307" s="2" t="str" cm="1">
        <f t="array" ref="G2307">INDEX(_xlfn.TEXTSPLIT(E2307,"-"),3)</f>
        <v>T恤</v>
      </c>
      <c r="H2307" s="12">
        <v>1963126</v>
      </c>
      <c r="I2307" s="12">
        <v>122950091.34</v>
      </c>
      <c r="J2307" s="13">
        <v>0.0674</v>
      </c>
      <c r="K2307" s="13">
        <v>-0.1901</v>
      </c>
    </row>
    <row r="2308" ht="14.5" spans="1:11">
      <c r="A2308" s="3" t="str">
        <f t="shared" si="132"/>
        <v>2026年</v>
      </c>
      <c r="B2308" s="3" t="str">
        <f t="shared" si="133"/>
        <v>3月</v>
      </c>
      <c r="C2308" s="4" t="str">
        <f t="shared" si="134"/>
        <v>W10</v>
      </c>
      <c r="D2308" s="11" t="s">
        <v>802</v>
      </c>
      <c r="E2308" s="11" t="s">
        <v>704</v>
      </c>
      <c r="F2308" s="2" t="str" cm="1">
        <f t="array" ref="F2308">INDEX(_xlfn.TEXTSPLIT(E2308,"-"),2)</f>
        <v>女装</v>
      </c>
      <c r="G2308" s="2" t="str" cm="1">
        <f t="array" ref="G2308">INDEX(_xlfn.TEXTSPLIT(E2308,"-"),3)</f>
        <v>中老年女装</v>
      </c>
      <c r="H2308" s="12">
        <v>154034</v>
      </c>
      <c r="I2308" s="12">
        <v>13146826.74</v>
      </c>
      <c r="J2308" s="13">
        <v>0.0072</v>
      </c>
      <c r="K2308" s="13">
        <v>-0.0889</v>
      </c>
    </row>
    <row r="2309" ht="14.5" spans="1:11">
      <c r="A2309" s="3" t="str">
        <f t="shared" si="132"/>
        <v>2026年</v>
      </c>
      <c r="B2309" s="3" t="str">
        <f t="shared" si="133"/>
        <v>3月</v>
      </c>
      <c r="C2309" s="4" t="str">
        <f t="shared" si="134"/>
        <v>W10</v>
      </c>
      <c r="D2309" s="11" t="s">
        <v>802</v>
      </c>
      <c r="E2309" s="11" t="s">
        <v>705</v>
      </c>
      <c r="F2309" s="2" t="str" cm="1">
        <f t="array" ref="F2309">INDEX(_xlfn.TEXTSPLIT(E2309,"-"),2)</f>
        <v>女装</v>
      </c>
      <c r="G2309" s="2" t="str" cm="1">
        <f t="array" ref="G2309">INDEX(_xlfn.TEXTSPLIT(E2309,"-"),3)</f>
        <v>半身裙</v>
      </c>
      <c r="H2309" s="12">
        <v>604142</v>
      </c>
      <c r="I2309" s="12">
        <v>68913616.3</v>
      </c>
      <c r="J2309" s="13">
        <v>0.0378</v>
      </c>
      <c r="K2309" s="13">
        <v>-0.2143</v>
      </c>
    </row>
    <row r="2310" ht="14.5" spans="1:11">
      <c r="A2310" s="3" t="str">
        <f t="shared" si="132"/>
        <v>2026年</v>
      </c>
      <c r="B2310" s="3" t="str">
        <f t="shared" si="133"/>
        <v>3月</v>
      </c>
      <c r="C2310" s="4" t="str">
        <f t="shared" si="134"/>
        <v>W10</v>
      </c>
      <c r="D2310" s="11" t="s">
        <v>802</v>
      </c>
      <c r="E2310" s="11" t="s">
        <v>706</v>
      </c>
      <c r="F2310" s="2" t="str" cm="1">
        <f t="array" ref="F2310">INDEX(_xlfn.TEXTSPLIT(E2310,"-"),2)</f>
        <v>女装</v>
      </c>
      <c r="G2310" s="2" t="str" cm="1">
        <f t="array" ref="G2310">INDEX(_xlfn.TEXTSPLIT(E2310,"-"),3)</f>
        <v>卫衣/绒衫</v>
      </c>
      <c r="H2310" s="12">
        <v>315628</v>
      </c>
      <c r="I2310" s="12">
        <v>29156093.92</v>
      </c>
      <c r="J2310" s="13">
        <v>0.016</v>
      </c>
      <c r="K2310" s="13">
        <v>-0.2956</v>
      </c>
    </row>
    <row r="2311" ht="14.5" spans="1:11">
      <c r="A2311" s="3" t="str">
        <f t="shared" si="132"/>
        <v>2026年</v>
      </c>
      <c r="B2311" s="3" t="str">
        <f t="shared" si="133"/>
        <v>3月</v>
      </c>
      <c r="C2311" s="4" t="str">
        <f t="shared" si="134"/>
        <v>W10</v>
      </c>
      <c r="D2311" s="11" t="s">
        <v>802</v>
      </c>
      <c r="E2311" s="11" t="s">
        <v>707</v>
      </c>
      <c r="F2311" s="2" t="str" cm="1">
        <f t="array" ref="F2311">INDEX(_xlfn.TEXTSPLIT(E2311,"-"),2)</f>
        <v>女装</v>
      </c>
      <c r="G2311" s="2" t="str" cm="1">
        <f t="array" ref="G2311">INDEX(_xlfn.TEXTSPLIT(E2311,"-"),3)</f>
        <v>唐装/民族服装/舞台服装</v>
      </c>
      <c r="H2311" s="12">
        <v>183818</v>
      </c>
      <c r="I2311" s="12">
        <v>34348249.48</v>
      </c>
      <c r="J2311" s="13">
        <v>0.0188</v>
      </c>
      <c r="K2311" s="13">
        <v>-0.2037</v>
      </c>
    </row>
    <row r="2312" ht="14.5" spans="1:11">
      <c r="A2312" s="3" t="str">
        <f t="shared" si="132"/>
        <v>2026年</v>
      </c>
      <c r="B2312" s="3" t="str">
        <f t="shared" si="133"/>
        <v>3月</v>
      </c>
      <c r="C2312" s="4" t="str">
        <f t="shared" si="134"/>
        <v>W10</v>
      </c>
      <c r="D2312" s="11" t="s">
        <v>802</v>
      </c>
      <c r="E2312" s="11" t="s">
        <v>708</v>
      </c>
      <c r="F2312" s="2" t="str" cm="1">
        <f t="array" ref="F2312">INDEX(_xlfn.TEXTSPLIT(E2312,"-"),2)</f>
        <v>女装</v>
      </c>
      <c r="G2312" s="2" t="str" cm="1">
        <f t="array" ref="G2312">INDEX(_xlfn.TEXTSPLIT(E2312,"-"),3)</f>
        <v>大码女装</v>
      </c>
      <c r="H2312" s="12">
        <v>540881</v>
      </c>
      <c r="I2312" s="12">
        <v>38890306.33</v>
      </c>
      <c r="J2312" s="13">
        <v>0.0213</v>
      </c>
      <c r="K2312" s="13">
        <v>0.0145</v>
      </c>
    </row>
    <row r="2313" ht="14.5" spans="1:11">
      <c r="A2313" s="3" t="str">
        <f t="shared" si="132"/>
        <v>2026年</v>
      </c>
      <c r="B2313" s="3" t="str">
        <f t="shared" si="133"/>
        <v>3月</v>
      </c>
      <c r="C2313" s="4" t="str">
        <f t="shared" si="134"/>
        <v>W10</v>
      </c>
      <c r="D2313" s="11" t="s">
        <v>802</v>
      </c>
      <c r="E2313" s="11" t="s">
        <v>709</v>
      </c>
      <c r="F2313" s="2" t="str" cm="1">
        <f t="array" ref="F2313">INDEX(_xlfn.TEXTSPLIT(E2313,"-"),2)</f>
        <v>女装</v>
      </c>
      <c r="G2313" s="2" t="str" cm="1">
        <f t="array" ref="G2313">INDEX(_xlfn.TEXTSPLIT(E2313,"-"),3)</f>
        <v>套装/学生校服/工作制服</v>
      </c>
      <c r="H2313" s="12">
        <v>1141532</v>
      </c>
      <c r="I2313" s="12">
        <v>146196099.88</v>
      </c>
      <c r="J2313" s="13">
        <v>0.0801</v>
      </c>
      <c r="K2313" s="13">
        <v>-0.0773</v>
      </c>
    </row>
    <row r="2314" ht="14.5" spans="1:11">
      <c r="A2314" s="3" t="str">
        <f t="shared" si="132"/>
        <v>2026年</v>
      </c>
      <c r="B2314" s="3" t="str">
        <f t="shared" si="133"/>
        <v>3月</v>
      </c>
      <c r="C2314" s="4" t="str">
        <f t="shared" si="134"/>
        <v>W10</v>
      </c>
      <c r="D2314" s="11" t="s">
        <v>802</v>
      </c>
      <c r="E2314" s="11" t="s">
        <v>710</v>
      </c>
      <c r="F2314" s="2" t="str" cm="1">
        <f t="array" ref="F2314">INDEX(_xlfn.TEXTSPLIT(E2314,"-"),2)</f>
        <v>女装</v>
      </c>
      <c r="G2314" s="2" t="str" cm="1">
        <f t="array" ref="G2314">INDEX(_xlfn.TEXTSPLIT(E2314,"-"),3)</f>
        <v>婚纱/旗袍/礼服</v>
      </c>
      <c r="H2314" s="12">
        <v>70484</v>
      </c>
      <c r="I2314" s="12">
        <v>12825362.72</v>
      </c>
      <c r="J2314" s="13">
        <v>0.007</v>
      </c>
      <c r="K2314" s="13">
        <v>-0.0731</v>
      </c>
    </row>
    <row r="2315" ht="14.5" spans="1:11">
      <c r="A2315" s="3" t="str">
        <f t="shared" si="132"/>
        <v>2026年</v>
      </c>
      <c r="B2315" s="3" t="str">
        <f t="shared" si="133"/>
        <v>3月</v>
      </c>
      <c r="C2315" s="4" t="str">
        <f t="shared" si="134"/>
        <v>W10</v>
      </c>
      <c r="D2315" s="11" t="s">
        <v>802</v>
      </c>
      <c r="E2315" s="11" t="s">
        <v>711</v>
      </c>
      <c r="F2315" s="2" t="str" cm="1">
        <f t="array" ref="F2315">INDEX(_xlfn.TEXTSPLIT(E2315,"-"),2)</f>
        <v>女装</v>
      </c>
      <c r="G2315" s="2" t="str" cm="1">
        <f t="array" ref="G2315">INDEX(_xlfn.TEXTSPLIT(E2315,"-"),3)</f>
        <v>新中式女装</v>
      </c>
      <c r="H2315" s="12">
        <v>59221</v>
      </c>
      <c r="I2315" s="12">
        <v>5630109.49</v>
      </c>
      <c r="J2315" s="13">
        <v>0.0031</v>
      </c>
      <c r="K2315" s="13">
        <v>-0.1377</v>
      </c>
    </row>
    <row r="2316" ht="14.5" spans="1:11">
      <c r="A2316" s="3" t="str">
        <f t="shared" si="132"/>
        <v>2026年</v>
      </c>
      <c r="B2316" s="3" t="str">
        <f t="shared" si="133"/>
        <v>3月</v>
      </c>
      <c r="C2316" s="4" t="str">
        <f t="shared" si="134"/>
        <v>W10</v>
      </c>
      <c r="D2316" s="11" t="s">
        <v>802</v>
      </c>
      <c r="E2316" s="11" t="s">
        <v>712</v>
      </c>
      <c r="F2316" s="2" t="str" cm="1">
        <f t="array" ref="F2316">INDEX(_xlfn.TEXTSPLIT(E2316,"-"),2)</f>
        <v>女装</v>
      </c>
      <c r="G2316" s="2" t="str" cm="1">
        <f t="array" ref="G2316">INDEX(_xlfn.TEXTSPLIT(E2316,"-"),3)</f>
        <v>时尚防晒服</v>
      </c>
      <c r="H2316" s="12">
        <v>9418</v>
      </c>
      <c r="I2316" s="12">
        <v>1413648.65</v>
      </c>
      <c r="J2316" s="13">
        <v>0.0008</v>
      </c>
      <c r="K2316" s="13">
        <v>0.0117</v>
      </c>
    </row>
    <row r="2317" ht="14.5" spans="1:11">
      <c r="A2317" s="3" t="str">
        <f t="shared" si="132"/>
        <v>2026年</v>
      </c>
      <c r="B2317" s="3" t="str">
        <f t="shared" si="133"/>
        <v>3月</v>
      </c>
      <c r="C2317" s="4" t="str">
        <f t="shared" si="134"/>
        <v>W10</v>
      </c>
      <c r="D2317" s="11" t="s">
        <v>802</v>
      </c>
      <c r="E2317" s="11" t="s">
        <v>714</v>
      </c>
      <c r="F2317" s="2" t="str" cm="1">
        <f t="array" ref="F2317">INDEX(_xlfn.TEXTSPLIT(E2317,"-"),2)</f>
        <v>女装</v>
      </c>
      <c r="G2317" s="2" t="str" cm="1">
        <f t="array" ref="G2317">INDEX(_xlfn.TEXTSPLIT(E2317,"-"),3)</f>
        <v>棉衣/棉服</v>
      </c>
      <c r="H2317" s="12">
        <v>189529</v>
      </c>
      <c r="I2317" s="12">
        <v>14523294.58</v>
      </c>
      <c r="J2317" s="13">
        <v>0.008</v>
      </c>
      <c r="K2317" s="13">
        <v>-0.2521</v>
      </c>
    </row>
    <row r="2318" ht="14.5" spans="1:11">
      <c r="A2318" s="3" t="str">
        <f t="shared" ref="A2318:A2377" si="135">TEXT(YEAR(D2318),"0")&amp;"年"</f>
        <v>2026年</v>
      </c>
      <c r="B2318" s="3" t="str">
        <f t="shared" ref="B2318:B2377" si="136">TEXT(MONTH(D2318),"0")&amp;"月"</f>
        <v>3月</v>
      </c>
      <c r="C2318" s="4" t="str">
        <f t="shared" ref="C2318:C2377" si="137">"W"&amp;TEXT(WEEKNUM(D2318,2),"0")</f>
        <v>W10</v>
      </c>
      <c r="D2318" s="11" t="s">
        <v>802</v>
      </c>
      <c r="E2318" s="11" t="s">
        <v>715</v>
      </c>
      <c r="F2318" s="2" t="str" cm="1">
        <f t="array" ref="F2318">INDEX(_xlfn.TEXTSPLIT(E2318,"-"),2)</f>
        <v>女装</v>
      </c>
      <c r="G2318" s="2" t="str" cm="1">
        <f t="array" ref="G2318">INDEX(_xlfn.TEXTSPLIT(E2318,"-"),3)</f>
        <v>毛呢外套</v>
      </c>
      <c r="H2318" s="12">
        <v>256241</v>
      </c>
      <c r="I2318" s="12">
        <v>59841893.87</v>
      </c>
      <c r="J2318" s="13">
        <v>0.0328</v>
      </c>
      <c r="K2318" s="13">
        <v>-0.1683</v>
      </c>
    </row>
    <row r="2319" ht="14.5" spans="1:11">
      <c r="A2319" s="3" t="str">
        <f t="shared" si="135"/>
        <v>2026年</v>
      </c>
      <c r="B2319" s="3" t="str">
        <f t="shared" si="136"/>
        <v>3月</v>
      </c>
      <c r="C2319" s="4" t="str">
        <f t="shared" si="137"/>
        <v>W10</v>
      </c>
      <c r="D2319" s="11" t="s">
        <v>802</v>
      </c>
      <c r="E2319" s="11" t="s">
        <v>716</v>
      </c>
      <c r="F2319" s="2" t="str" cm="1">
        <f t="array" ref="F2319">INDEX(_xlfn.TEXTSPLIT(E2319,"-"),2)</f>
        <v>女装</v>
      </c>
      <c r="G2319" s="2" t="str" cm="1">
        <f t="array" ref="G2319">INDEX(_xlfn.TEXTSPLIT(E2319,"-"),3)</f>
        <v>毛衣</v>
      </c>
      <c r="H2319" s="12">
        <v>195012</v>
      </c>
      <c r="I2319" s="12">
        <v>15893594.7</v>
      </c>
      <c r="J2319" s="13">
        <v>0.0087</v>
      </c>
      <c r="K2319" s="13">
        <v>-0.2507</v>
      </c>
    </row>
    <row r="2320" ht="14.5" spans="1:11">
      <c r="A2320" s="3" t="str">
        <f t="shared" si="135"/>
        <v>2026年</v>
      </c>
      <c r="B2320" s="3" t="str">
        <f t="shared" si="136"/>
        <v>3月</v>
      </c>
      <c r="C2320" s="4" t="str">
        <f t="shared" si="137"/>
        <v>W10</v>
      </c>
      <c r="D2320" s="11" t="s">
        <v>802</v>
      </c>
      <c r="E2320" s="11" t="s">
        <v>717</v>
      </c>
      <c r="F2320" s="2" t="str" cm="1">
        <f t="array" ref="F2320">INDEX(_xlfn.TEXTSPLIT(E2320,"-"),2)</f>
        <v>女装</v>
      </c>
      <c r="G2320" s="2" t="str" cm="1">
        <f t="array" ref="G2320">INDEX(_xlfn.TEXTSPLIT(E2320,"-"),3)</f>
        <v>毛针织衫</v>
      </c>
      <c r="H2320" s="12">
        <v>1439582</v>
      </c>
      <c r="I2320" s="12">
        <v>111527411.15</v>
      </c>
      <c r="J2320" s="13">
        <v>0.0611</v>
      </c>
      <c r="K2320" s="13">
        <v>-0.1326</v>
      </c>
    </row>
    <row r="2321" ht="14.5" spans="1:11">
      <c r="A2321" s="3" t="str">
        <f t="shared" si="135"/>
        <v>2026年</v>
      </c>
      <c r="B2321" s="3" t="str">
        <f t="shared" si="136"/>
        <v>3月</v>
      </c>
      <c r="C2321" s="4" t="str">
        <f t="shared" si="137"/>
        <v>W10</v>
      </c>
      <c r="D2321" s="11" t="s">
        <v>802</v>
      </c>
      <c r="E2321" s="11" t="s">
        <v>718</v>
      </c>
      <c r="F2321" s="2" t="str" cm="1">
        <f t="array" ref="F2321">INDEX(_xlfn.TEXTSPLIT(E2321,"-"),2)</f>
        <v>女装</v>
      </c>
      <c r="G2321" s="2" t="str" cm="1">
        <f t="array" ref="G2321">INDEX(_xlfn.TEXTSPLIT(E2321,"-"),3)</f>
        <v>汉服</v>
      </c>
      <c r="H2321" s="12">
        <v>148610</v>
      </c>
      <c r="I2321" s="12">
        <v>48297258.61</v>
      </c>
      <c r="J2321" s="13">
        <v>0.0265</v>
      </c>
      <c r="K2321" s="13">
        <v>-0.1325</v>
      </c>
    </row>
    <row r="2322" ht="14.5" spans="1:11">
      <c r="A2322" s="3" t="str">
        <f t="shared" si="135"/>
        <v>2026年</v>
      </c>
      <c r="B2322" s="3" t="str">
        <f t="shared" si="136"/>
        <v>3月</v>
      </c>
      <c r="C2322" s="4" t="str">
        <f t="shared" si="137"/>
        <v>W10</v>
      </c>
      <c r="D2322" s="11" t="s">
        <v>802</v>
      </c>
      <c r="E2322" s="11" t="s">
        <v>719</v>
      </c>
      <c r="F2322" s="2" t="str" cm="1">
        <f t="array" ref="F2322">INDEX(_xlfn.TEXTSPLIT(E2322,"-"),2)</f>
        <v>女装</v>
      </c>
      <c r="G2322" s="2" t="str" cm="1">
        <f t="array" ref="G2322">INDEX(_xlfn.TEXTSPLIT(E2322,"-"),3)</f>
        <v>派克服</v>
      </c>
      <c r="H2322" s="12">
        <v>14528</v>
      </c>
      <c r="I2322" s="12">
        <v>1622222.95</v>
      </c>
      <c r="J2322" s="13">
        <v>0.0009</v>
      </c>
      <c r="K2322" s="13">
        <v>-0.2796</v>
      </c>
    </row>
    <row r="2323" ht="14.5" spans="1:11">
      <c r="A2323" s="3" t="str">
        <f t="shared" si="135"/>
        <v>2026年</v>
      </c>
      <c r="B2323" s="3" t="str">
        <f t="shared" si="136"/>
        <v>3月</v>
      </c>
      <c r="C2323" s="4" t="str">
        <f t="shared" si="137"/>
        <v>W10</v>
      </c>
      <c r="D2323" s="11" t="s">
        <v>802</v>
      </c>
      <c r="E2323" s="11" t="s">
        <v>720</v>
      </c>
      <c r="F2323" s="2" t="str" cm="1">
        <f t="array" ref="F2323">INDEX(_xlfn.TEXTSPLIT(E2323,"-"),2)</f>
        <v>女装</v>
      </c>
      <c r="G2323" s="2" t="str" cm="1">
        <f t="array" ref="G2323">INDEX(_xlfn.TEXTSPLIT(E2323,"-"),3)</f>
        <v>皮草</v>
      </c>
      <c r="H2323" s="12">
        <v>24037</v>
      </c>
      <c r="I2323" s="12">
        <v>46363922.2</v>
      </c>
      <c r="J2323" s="13">
        <v>0.0254</v>
      </c>
      <c r="K2323" s="13">
        <v>-0.1213</v>
      </c>
    </row>
    <row r="2324" ht="14.5" spans="1:11">
      <c r="A2324" s="3" t="str">
        <f t="shared" si="135"/>
        <v>2026年</v>
      </c>
      <c r="B2324" s="3" t="str">
        <f t="shared" si="136"/>
        <v>3月</v>
      </c>
      <c r="C2324" s="4" t="str">
        <f t="shared" si="137"/>
        <v>W10</v>
      </c>
      <c r="D2324" s="11" t="s">
        <v>802</v>
      </c>
      <c r="E2324" s="11" t="s">
        <v>721</v>
      </c>
      <c r="F2324" s="2" t="str" cm="1">
        <f t="array" ref="F2324">INDEX(_xlfn.TEXTSPLIT(E2324,"-"),2)</f>
        <v>女装</v>
      </c>
      <c r="G2324" s="2" t="str" cm="1">
        <f t="array" ref="G2324">INDEX(_xlfn.TEXTSPLIT(E2324,"-"),3)</f>
        <v>皮衣</v>
      </c>
      <c r="H2324" s="12">
        <v>199237</v>
      </c>
      <c r="I2324" s="12">
        <v>64268575.2</v>
      </c>
      <c r="J2324" s="13">
        <v>0.0352</v>
      </c>
      <c r="K2324" s="13">
        <v>-0.2432</v>
      </c>
    </row>
    <row r="2325" ht="14.5" spans="1:11">
      <c r="A2325" s="3" t="str">
        <f t="shared" si="135"/>
        <v>2026年</v>
      </c>
      <c r="B2325" s="3" t="str">
        <f t="shared" si="136"/>
        <v>3月</v>
      </c>
      <c r="C2325" s="4" t="str">
        <f t="shared" si="137"/>
        <v>W10</v>
      </c>
      <c r="D2325" s="11" t="s">
        <v>802</v>
      </c>
      <c r="E2325" s="11" t="s">
        <v>722</v>
      </c>
      <c r="F2325" s="2" t="str" cm="1">
        <f t="array" ref="F2325">INDEX(_xlfn.TEXTSPLIT(E2325,"-"),2)</f>
        <v>女装</v>
      </c>
      <c r="G2325" s="2" t="str" cm="1">
        <f t="array" ref="G2325">INDEX(_xlfn.TEXTSPLIT(E2325,"-"),3)</f>
        <v>短外套</v>
      </c>
      <c r="H2325" s="12">
        <v>930106</v>
      </c>
      <c r="I2325" s="12">
        <v>145466881.76</v>
      </c>
      <c r="J2325" s="13">
        <v>0.0797</v>
      </c>
      <c r="K2325" s="13">
        <v>-0.1503</v>
      </c>
    </row>
    <row r="2326" ht="14.5" spans="1:11">
      <c r="A2326" s="3" t="str">
        <f t="shared" si="135"/>
        <v>2026年</v>
      </c>
      <c r="B2326" s="3" t="str">
        <f t="shared" si="136"/>
        <v>3月</v>
      </c>
      <c r="C2326" s="4" t="str">
        <f t="shared" si="137"/>
        <v>W10</v>
      </c>
      <c r="D2326" s="11" t="s">
        <v>802</v>
      </c>
      <c r="E2326" s="11" t="s">
        <v>723</v>
      </c>
      <c r="F2326" s="2" t="str" cm="1">
        <f t="array" ref="F2326">INDEX(_xlfn.TEXTSPLIT(E2326,"-"),2)</f>
        <v>女装</v>
      </c>
      <c r="G2326" s="2" t="str" cm="1">
        <f t="array" ref="G2326">INDEX(_xlfn.TEXTSPLIT(E2326,"-"),3)</f>
        <v>短裤</v>
      </c>
      <c r="H2326" s="12">
        <v>112909</v>
      </c>
      <c r="I2326" s="12">
        <v>8520816.48</v>
      </c>
      <c r="J2326" s="13">
        <v>0.0047</v>
      </c>
      <c r="K2326" s="13">
        <v>-0.2115</v>
      </c>
    </row>
    <row r="2327" ht="14.5" spans="1:11">
      <c r="A2327" s="3" t="str">
        <f t="shared" si="135"/>
        <v>2026年</v>
      </c>
      <c r="B2327" s="3" t="str">
        <f t="shared" si="136"/>
        <v>3月</v>
      </c>
      <c r="C2327" s="4" t="str">
        <f t="shared" si="137"/>
        <v>W10</v>
      </c>
      <c r="D2327" s="11" t="s">
        <v>802</v>
      </c>
      <c r="E2327" s="11" t="s">
        <v>724</v>
      </c>
      <c r="F2327" s="2" t="str" cm="1">
        <f t="array" ref="F2327">INDEX(_xlfn.TEXTSPLIT(E2327,"-"),2)</f>
        <v>女装</v>
      </c>
      <c r="G2327" s="2" t="str" cm="1">
        <f t="array" ref="G2327">INDEX(_xlfn.TEXTSPLIT(E2327,"-"),3)</f>
        <v>羊毛衫</v>
      </c>
      <c r="H2327" s="12">
        <v>153672</v>
      </c>
      <c r="I2327" s="12">
        <v>19601236.27</v>
      </c>
      <c r="J2327" s="13">
        <v>0.0107</v>
      </c>
      <c r="K2327" s="13">
        <v>-0.0254</v>
      </c>
    </row>
    <row r="2328" ht="14.5" spans="1:11">
      <c r="A2328" s="3" t="str">
        <f t="shared" si="135"/>
        <v>2026年</v>
      </c>
      <c r="B2328" s="3" t="str">
        <f t="shared" si="136"/>
        <v>3月</v>
      </c>
      <c r="C2328" s="4" t="str">
        <f t="shared" si="137"/>
        <v>W10</v>
      </c>
      <c r="D2328" s="11" t="s">
        <v>802</v>
      </c>
      <c r="E2328" s="11" t="s">
        <v>725</v>
      </c>
      <c r="F2328" s="2" t="str" cm="1">
        <f t="array" ref="F2328">INDEX(_xlfn.TEXTSPLIT(E2328,"-"),2)</f>
        <v>女装</v>
      </c>
      <c r="G2328" s="2" t="str" cm="1">
        <f t="array" ref="G2328">INDEX(_xlfn.TEXTSPLIT(E2328,"-"),3)</f>
        <v>羊绒大衣</v>
      </c>
      <c r="H2328" s="12">
        <v>3544</v>
      </c>
      <c r="I2328" s="12">
        <v>1450380.82</v>
      </c>
      <c r="J2328" s="13">
        <v>0.0008</v>
      </c>
      <c r="K2328" s="13">
        <v>1.4075</v>
      </c>
    </row>
    <row r="2329" ht="14.5" spans="1:11">
      <c r="A2329" s="3" t="str">
        <f t="shared" si="135"/>
        <v>2026年</v>
      </c>
      <c r="B2329" s="3" t="str">
        <f t="shared" si="136"/>
        <v>3月</v>
      </c>
      <c r="C2329" s="4" t="str">
        <f t="shared" si="137"/>
        <v>W10</v>
      </c>
      <c r="D2329" s="11" t="s">
        <v>802</v>
      </c>
      <c r="E2329" s="11" t="s">
        <v>726</v>
      </c>
      <c r="F2329" s="2" t="str" cm="1">
        <f t="array" ref="F2329">INDEX(_xlfn.TEXTSPLIT(E2329,"-"),2)</f>
        <v>女装</v>
      </c>
      <c r="G2329" s="2" t="str" cm="1">
        <f t="array" ref="G2329">INDEX(_xlfn.TEXTSPLIT(E2329,"-"),3)</f>
        <v>羊绒衫</v>
      </c>
      <c r="H2329" s="12">
        <v>29211</v>
      </c>
      <c r="I2329" s="12">
        <v>10271044.01</v>
      </c>
      <c r="J2329" s="13">
        <v>0.0056</v>
      </c>
      <c r="K2329" s="13">
        <v>0.0446</v>
      </c>
    </row>
    <row r="2330" ht="14.5" spans="1:11">
      <c r="A2330" s="3" t="str">
        <f t="shared" si="135"/>
        <v>2026年</v>
      </c>
      <c r="B2330" s="3" t="str">
        <f t="shared" si="136"/>
        <v>3月</v>
      </c>
      <c r="C2330" s="4" t="str">
        <f t="shared" si="137"/>
        <v>W10</v>
      </c>
      <c r="D2330" s="11" t="s">
        <v>802</v>
      </c>
      <c r="E2330" s="11" t="s">
        <v>727</v>
      </c>
      <c r="F2330" s="2" t="str" cm="1">
        <f t="array" ref="F2330">INDEX(_xlfn.TEXTSPLIT(E2330,"-"),2)</f>
        <v>女装</v>
      </c>
      <c r="G2330" s="2" t="str" cm="1">
        <f t="array" ref="G2330">INDEX(_xlfn.TEXTSPLIT(E2330,"-"),3)</f>
        <v>羽绒服</v>
      </c>
      <c r="H2330" s="12">
        <v>303985</v>
      </c>
      <c r="I2330" s="12">
        <v>74206105.94</v>
      </c>
      <c r="J2330" s="13">
        <v>0.0407</v>
      </c>
      <c r="K2330" s="13">
        <v>-0.0563</v>
      </c>
    </row>
    <row r="2331" ht="14.5" spans="1:11">
      <c r="A2331" s="3" t="str">
        <f t="shared" si="135"/>
        <v>2026年</v>
      </c>
      <c r="B2331" s="3" t="str">
        <f t="shared" si="136"/>
        <v>3月</v>
      </c>
      <c r="C2331" s="4" t="str">
        <f t="shared" si="137"/>
        <v>W10</v>
      </c>
      <c r="D2331" s="11" t="s">
        <v>802</v>
      </c>
      <c r="E2331" s="11" t="s">
        <v>728</v>
      </c>
      <c r="F2331" s="2" t="str" cm="1">
        <f t="array" ref="F2331">INDEX(_xlfn.TEXTSPLIT(E2331,"-"),2)</f>
        <v>女装</v>
      </c>
      <c r="G2331" s="2" t="str" cm="1">
        <f t="array" ref="G2331">INDEX(_xlfn.TEXTSPLIT(E2331,"-"),3)</f>
        <v>肌底衣/肌肤衣</v>
      </c>
      <c r="H2331" s="12">
        <v>3331</v>
      </c>
      <c r="I2331" s="12">
        <v>125326.92</v>
      </c>
      <c r="J2331" s="13">
        <v>0.0001</v>
      </c>
      <c r="K2331" s="13">
        <v>-0.1303</v>
      </c>
    </row>
    <row r="2332" ht="14.5" spans="1:11">
      <c r="A2332" s="3" t="str">
        <f t="shared" si="135"/>
        <v>2026年</v>
      </c>
      <c r="B2332" s="3" t="str">
        <f t="shared" si="136"/>
        <v>3月</v>
      </c>
      <c r="C2332" s="4" t="str">
        <f t="shared" si="137"/>
        <v>W10</v>
      </c>
      <c r="D2332" s="11" t="s">
        <v>802</v>
      </c>
      <c r="E2332" s="11" t="s">
        <v>729</v>
      </c>
      <c r="F2332" s="2" t="str" cm="1">
        <f t="array" ref="F2332">INDEX(_xlfn.TEXTSPLIT(E2332,"-"),2)</f>
        <v>女装</v>
      </c>
      <c r="G2332" s="2" t="str" cm="1">
        <f t="array" ref="G2332">INDEX(_xlfn.TEXTSPLIT(E2332,"-"),3)</f>
        <v>背心吊带</v>
      </c>
      <c r="H2332" s="12">
        <v>579421</v>
      </c>
      <c r="I2332" s="12">
        <v>36236249.54</v>
      </c>
      <c r="J2332" s="13">
        <v>0.0199</v>
      </c>
      <c r="K2332" s="13">
        <v>-0.1926</v>
      </c>
    </row>
    <row r="2333" ht="14.5" spans="1:11">
      <c r="A2333" s="3" t="str">
        <f t="shared" si="135"/>
        <v>2026年</v>
      </c>
      <c r="B2333" s="3" t="str">
        <f t="shared" si="136"/>
        <v>3月</v>
      </c>
      <c r="C2333" s="4" t="str">
        <f t="shared" si="137"/>
        <v>W10</v>
      </c>
      <c r="D2333" s="11" t="s">
        <v>802</v>
      </c>
      <c r="E2333" s="11" t="s">
        <v>730</v>
      </c>
      <c r="F2333" s="2" t="str" cm="1">
        <f t="array" ref="F2333">INDEX(_xlfn.TEXTSPLIT(E2333,"-"),2)</f>
        <v>女装</v>
      </c>
      <c r="G2333" s="2" t="str" cm="1">
        <f t="array" ref="G2333">INDEX(_xlfn.TEXTSPLIT(E2333,"-"),3)</f>
        <v>蕾丝衫/雪纺衫</v>
      </c>
      <c r="H2333" s="12">
        <v>195242</v>
      </c>
      <c r="I2333" s="12">
        <v>16306367.92</v>
      </c>
      <c r="J2333" s="13">
        <v>0.0089</v>
      </c>
      <c r="K2333" s="13">
        <v>-0.0118</v>
      </c>
    </row>
    <row r="2334" ht="14.5" spans="1:11">
      <c r="A2334" s="3" t="str">
        <f t="shared" si="135"/>
        <v>2026年</v>
      </c>
      <c r="B2334" s="3" t="str">
        <f t="shared" si="136"/>
        <v>3月</v>
      </c>
      <c r="C2334" s="4" t="str">
        <f t="shared" si="137"/>
        <v>W10</v>
      </c>
      <c r="D2334" s="11" t="s">
        <v>802</v>
      </c>
      <c r="E2334" s="11" t="s">
        <v>731</v>
      </c>
      <c r="F2334" s="2" t="str" cm="1">
        <f t="array" ref="F2334">INDEX(_xlfn.TEXTSPLIT(E2334,"-"),2)</f>
        <v>女装</v>
      </c>
      <c r="G2334" s="2" t="str" cm="1">
        <f t="array" ref="G2334">INDEX(_xlfn.TEXTSPLIT(E2334,"-"),3)</f>
        <v>衬衫</v>
      </c>
      <c r="H2334" s="12">
        <v>836591</v>
      </c>
      <c r="I2334" s="12">
        <v>95344005.14</v>
      </c>
      <c r="J2334" s="13">
        <v>0.0523</v>
      </c>
      <c r="K2334" s="13">
        <v>-0.1611</v>
      </c>
    </row>
    <row r="2335" ht="14.5" spans="1:11">
      <c r="A2335" s="3" t="str">
        <f t="shared" si="135"/>
        <v>2026年</v>
      </c>
      <c r="B2335" s="3" t="str">
        <f t="shared" si="136"/>
        <v>3月</v>
      </c>
      <c r="C2335" s="4" t="str">
        <f t="shared" si="137"/>
        <v>W10</v>
      </c>
      <c r="D2335" s="11" t="s">
        <v>802</v>
      </c>
      <c r="E2335" s="11" t="s">
        <v>732</v>
      </c>
      <c r="F2335" s="2" t="str" cm="1">
        <f t="array" ref="F2335">INDEX(_xlfn.TEXTSPLIT(E2335,"-"),2)</f>
        <v>女装</v>
      </c>
      <c r="G2335" s="2" t="str" cm="1">
        <f t="array" ref="G2335">INDEX(_xlfn.TEXTSPLIT(E2335,"-"),3)</f>
        <v>裤子</v>
      </c>
      <c r="H2335" s="12">
        <v>2859047</v>
      </c>
      <c r="I2335" s="12">
        <v>309722626.89</v>
      </c>
      <c r="J2335" s="13">
        <v>0.1697</v>
      </c>
      <c r="K2335" s="13">
        <v>-0.167</v>
      </c>
    </row>
    <row r="2336" ht="14.5" spans="1:11">
      <c r="A2336" s="3" t="str">
        <f t="shared" si="135"/>
        <v>2026年</v>
      </c>
      <c r="B2336" s="3" t="str">
        <f t="shared" si="136"/>
        <v>3月</v>
      </c>
      <c r="C2336" s="4" t="str">
        <f t="shared" si="137"/>
        <v>W10</v>
      </c>
      <c r="D2336" s="11" t="s">
        <v>802</v>
      </c>
      <c r="E2336" s="11" t="s">
        <v>733</v>
      </c>
      <c r="F2336" s="2" t="str" cm="1">
        <f t="array" ref="F2336">INDEX(_xlfn.TEXTSPLIT(E2336,"-"),2)</f>
        <v>女装</v>
      </c>
      <c r="G2336" s="2" t="str" cm="1">
        <f t="array" ref="G2336">INDEX(_xlfn.TEXTSPLIT(E2336,"-"),3)</f>
        <v>西装</v>
      </c>
      <c r="H2336" s="12">
        <v>126787</v>
      </c>
      <c r="I2336" s="12">
        <v>30742716.47</v>
      </c>
      <c r="J2336" s="13">
        <v>0.0168</v>
      </c>
      <c r="K2336" s="13">
        <v>-0.2742</v>
      </c>
    </row>
    <row r="2337" ht="14.5" spans="1:11">
      <c r="A2337" s="3" t="str">
        <f t="shared" si="135"/>
        <v>2026年</v>
      </c>
      <c r="B2337" s="3" t="str">
        <f t="shared" si="136"/>
        <v>3月</v>
      </c>
      <c r="C2337" s="4" t="str">
        <f t="shared" si="137"/>
        <v>W10</v>
      </c>
      <c r="D2337" s="11" t="s">
        <v>802</v>
      </c>
      <c r="E2337" s="11" t="s">
        <v>734</v>
      </c>
      <c r="F2337" s="2" t="str" cm="1">
        <f t="array" ref="F2337">INDEX(_xlfn.TEXTSPLIT(E2337,"-"),2)</f>
        <v>女装</v>
      </c>
      <c r="G2337" s="2" t="str" cm="1">
        <f t="array" ref="G2337">INDEX(_xlfn.TEXTSPLIT(E2337,"-"),3)</f>
        <v>设计师/潮牌女装</v>
      </c>
      <c r="H2337" s="12">
        <v>291184</v>
      </c>
      <c r="I2337" s="12">
        <v>30182002.12</v>
      </c>
      <c r="J2337" s="13">
        <v>0.0165</v>
      </c>
      <c r="K2337" s="13">
        <v>-0.1071</v>
      </c>
    </row>
    <row r="2338" ht="14.5" spans="1:11">
      <c r="A2338" s="3" t="str">
        <f t="shared" si="135"/>
        <v>2026年</v>
      </c>
      <c r="B2338" s="3" t="str">
        <f t="shared" si="136"/>
        <v>3月</v>
      </c>
      <c r="C2338" s="4" t="str">
        <f t="shared" si="137"/>
        <v>W10</v>
      </c>
      <c r="D2338" s="11" t="s">
        <v>802</v>
      </c>
      <c r="E2338" s="11" t="s">
        <v>735</v>
      </c>
      <c r="F2338" s="2" t="str" cm="1">
        <f t="array" ref="F2338">INDEX(_xlfn.TEXTSPLIT(E2338,"-"),2)</f>
        <v>女装</v>
      </c>
      <c r="G2338" s="2" t="str" cm="1">
        <f t="array" ref="G2338">INDEX(_xlfn.TEXTSPLIT(E2338,"-"),3)</f>
        <v>连体衣/裤</v>
      </c>
      <c r="H2338" s="12">
        <v>23930</v>
      </c>
      <c r="I2338" s="12">
        <v>4469357.87</v>
      </c>
      <c r="J2338" s="13">
        <v>0.0024</v>
      </c>
      <c r="K2338" s="13">
        <v>0.1102</v>
      </c>
    </row>
    <row r="2339" ht="14.5" spans="1:11">
      <c r="A2339" s="3" t="str">
        <f t="shared" si="135"/>
        <v>2026年</v>
      </c>
      <c r="B2339" s="3" t="str">
        <f t="shared" si="136"/>
        <v>3月</v>
      </c>
      <c r="C2339" s="4" t="str">
        <f t="shared" si="137"/>
        <v>W10</v>
      </c>
      <c r="D2339" s="11" t="s">
        <v>802</v>
      </c>
      <c r="E2339" s="11" t="s">
        <v>736</v>
      </c>
      <c r="F2339" s="2" t="str" cm="1">
        <f t="array" ref="F2339">INDEX(_xlfn.TEXTSPLIT(E2339,"-"),2)</f>
        <v>女装</v>
      </c>
      <c r="G2339" s="2" t="str" cm="1">
        <f t="array" ref="G2339">INDEX(_xlfn.TEXTSPLIT(E2339,"-"),3)</f>
        <v>连衣裙</v>
      </c>
      <c r="H2339" s="12">
        <v>835328</v>
      </c>
      <c r="I2339" s="12">
        <v>131937454.81</v>
      </c>
      <c r="J2339" s="13">
        <v>0.0723</v>
      </c>
      <c r="K2339" s="13">
        <v>-0.0948</v>
      </c>
    </row>
    <row r="2340" ht="14.5" spans="1:11">
      <c r="A2340" s="3" t="str">
        <f t="shared" si="135"/>
        <v>2026年</v>
      </c>
      <c r="B2340" s="3" t="str">
        <f t="shared" si="136"/>
        <v>3月</v>
      </c>
      <c r="C2340" s="4" t="str">
        <f t="shared" si="137"/>
        <v>W10</v>
      </c>
      <c r="D2340" s="11" t="s">
        <v>802</v>
      </c>
      <c r="E2340" s="11" t="s">
        <v>737</v>
      </c>
      <c r="F2340" s="2" t="str" cm="1">
        <f t="array" ref="F2340">INDEX(_xlfn.TEXTSPLIT(E2340,"-"),2)</f>
        <v>女装</v>
      </c>
      <c r="G2340" s="2" t="str" cm="1">
        <f t="array" ref="G2340">INDEX(_xlfn.TEXTSPLIT(E2340,"-"),3)</f>
        <v>风衣</v>
      </c>
      <c r="H2340" s="12">
        <v>181526</v>
      </c>
      <c r="I2340" s="12">
        <v>41913255.16</v>
      </c>
      <c r="J2340" s="13">
        <v>0.023</v>
      </c>
      <c r="K2340" s="13">
        <v>-0.1399</v>
      </c>
    </row>
    <row r="2341" ht="14.5" spans="1:11">
      <c r="A2341" s="3" t="str">
        <f t="shared" si="135"/>
        <v>2026年</v>
      </c>
      <c r="B2341" s="3" t="str">
        <f t="shared" si="136"/>
        <v>3月</v>
      </c>
      <c r="C2341" s="4" t="str">
        <f t="shared" si="137"/>
        <v>W10</v>
      </c>
      <c r="D2341" s="11" t="s">
        <v>802</v>
      </c>
      <c r="E2341" s="11" t="s">
        <v>738</v>
      </c>
      <c r="F2341" s="2" t="str" cm="1">
        <f t="array" ref="F2341">INDEX(_xlfn.TEXTSPLIT(E2341,"-"),2)</f>
        <v>女装</v>
      </c>
      <c r="G2341" s="2" t="str" cm="1">
        <f t="array" ref="G2341">INDEX(_xlfn.TEXTSPLIT(E2341,"-"),3)</f>
        <v>马夹</v>
      </c>
      <c r="H2341" s="12">
        <v>295103</v>
      </c>
      <c r="I2341" s="12">
        <v>29958068.28</v>
      </c>
      <c r="J2341" s="13">
        <v>0.0164</v>
      </c>
      <c r="K2341" s="13">
        <v>-0.3518</v>
      </c>
    </row>
    <row r="2342" ht="14.5" spans="1:11">
      <c r="A2342" s="3" t="str">
        <f t="shared" si="135"/>
        <v>2026年</v>
      </c>
      <c r="B2342" s="3" t="str">
        <f t="shared" si="136"/>
        <v>3月</v>
      </c>
      <c r="C2342" s="4" t="str">
        <f t="shared" si="137"/>
        <v>W10</v>
      </c>
      <c r="D2342" s="11" t="s">
        <v>803</v>
      </c>
      <c r="E2342" s="11" t="s">
        <v>702</v>
      </c>
      <c r="F2342" s="2" t="str" cm="1">
        <f t="array" ref="F2342">INDEX(_xlfn.TEXTSPLIT(E2342,"-"),2)</f>
        <v>女装</v>
      </c>
      <c r="G2342" s="2" t="str" cm="1">
        <f t="array" ref="G2342">INDEX(_xlfn.TEXTSPLIT(E2342,"-"),3)</f>
        <v>POLO衫</v>
      </c>
      <c r="H2342" s="12">
        <v>37978</v>
      </c>
      <c r="I2342" s="12">
        <v>2281286.12</v>
      </c>
      <c r="J2342" s="13">
        <v>0.0017</v>
      </c>
      <c r="K2342" s="13">
        <v>0.5171</v>
      </c>
    </row>
    <row r="2343" ht="14.5" spans="1:11">
      <c r="A2343" s="3" t="str">
        <f t="shared" si="135"/>
        <v>2026年</v>
      </c>
      <c r="B2343" s="3" t="str">
        <f t="shared" si="136"/>
        <v>3月</v>
      </c>
      <c r="C2343" s="4" t="str">
        <f t="shared" si="137"/>
        <v>W10</v>
      </c>
      <c r="D2343" s="11" t="s">
        <v>803</v>
      </c>
      <c r="E2343" s="11" t="s">
        <v>703</v>
      </c>
      <c r="F2343" s="2" t="str" cm="1">
        <f t="array" ref="F2343">INDEX(_xlfn.TEXTSPLIT(E2343,"-"),2)</f>
        <v>女装</v>
      </c>
      <c r="G2343" s="2" t="str" cm="1">
        <f t="array" ref="G2343">INDEX(_xlfn.TEXTSPLIT(E2343,"-"),3)</f>
        <v>T恤</v>
      </c>
      <c r="H2343" s="12">
        <v>2186493</v>
      </c>
      <c r="I2343" s="12">
        <v>87451967.44</v>
      </c>
      <c r="J2343" s="13">
        <v>0.0666</v>
      </c>
      <c r="K2343" s="13">
        <v>0.1855</v>
      </c>
    </row>
    <row r="2344" ht="14.5" spans="1:11">
      <c r="A2344" s="3" t="str">
        <f t="shared" si="135"/>
        <v>2026年</v>
      </c>
      <c r="B2344" s="3" t="str">
        <f t="shared" si="136"/>
        <v>3月</v>
      </c>
      <c r="C2344" s="4" t="str">
        <f t="shared" si="137"/>
        <v>W10</v>
      </c>
      <c r="D2344" s="11" t="s">
        <v>803</v>
      </c>
      <c r="E2344" s="11" t="s">
        <v>704</v>
      </c>
      <c r="F2344" s="2" t="str" cm="1">
        <f t="array" ref="F2344">INDEX(_xlfn.TEXTSPLIT(E2344,"-"),2)</f>
        <v>女装</v>
      </c>
      <c r="G2344" s="2" t="str" cm="1">
        <f t="array" ref="G2344">INDEX(_xlfn.TEXTSPLIT(E2344,"-"),3)</f>
        <v>中老年女装</v>
      </c>
      <c r="H2344" s="12">
        <v>167505</v>
      </c>
      <c r="I2344" s="12">
        <v>10446296.52</v>
      </c>
      <c r="J2344" s="13">
        <v>0.0064</v>
      </c>
      <c r="K2344" s="13">
        <v>0.061</v>
      </c>
    </row>
    <row r="2345" ht="14.5" spans="1:11">
      <c r="A2345" s="3" t="str">
        <f t="shared" si="135"/>
        <v>2026年</v>
      </c>
      <c r="B2345" s="3" t="str">
        <f t="shared" si="136"/>
        <v>3月</v>
      </c>
      <c r="C2345" s="4" t="str">
        <f t="shared" si="137"/>
        <v>W10</v>
      </c>
      <c r="D2345" s="11" t="s">
        <v>803</v>
      </c>
      <c r="E2345" s="11" t="s">
        <v>705</v>
      </c>
      <c r="F2345" s="2" t="str" cm="1">
        <f t="array" ref="F2345">INDEX(_xlfn.TEXTSPLIT(E2345,"-"),2)</f>
        <v>女装</v>
      </c>
      <c r="G2345" s="2" t="str" cm="1">
        <f t="array" ref="G2345">INDEX(_xlfn.TEXTSPLIT(E2345,"-"),3)</f>
        <v>半身裙</v>
      </c>
      <c r="H2345" s="12">
        <v>666387</v>
      </c>
      <c r="I2345" s="12">
        <v>50181164.26</v>
      </c>
      <c r="J2345" s="13">
        <v>0.038</v>
      </c>
      <c r="K2345" s="13">
        <v>0.2079</v>
      </c>
    </row>
    <row r="2346" ht="14.5" spans="1:11">
      <c r="A2346" s="3" t="str">
        <f t="shared" si="135"/>
        <v>2026年</v>
      </c>
      <c r="B2346" s="3" t="str">
        <f t="shared" si="136"/>
        <v>3月</v>
      </c>
      <c r="C2346" s="4" t="str">
        <f t="shared" si="137"/>
        <v>W10</v>
      </c>
      <c r="D2346" s="11" t="s">
        <v>803</v>
      </c>
      <c r="E2346" s="11" t="s">
        <v>706</v>
      </c>
      <c r="F2346" s="2" t="str" cm="1">
        <f t="array" ref="F2346">INDEX(_xlfn.TEXTSPLIT(E2346,"-"),2)</f>
        <v>女装</v>
      </c>
      <c r="G2346" s="2" t="str" cm="1">
        <f t="array" ref="G2346">INDEX(_xlfn.TEXTSPLIT(E2346,"-"),3)</f>
        <v>卫衣/绒衫</v>
      </c>
      <c r="H2346" s="12">
        <v>359260</v>
      </c>
      <c r="I2346" s="12">
        <v>17170590.43</v>
      </c>
      <c r="J2346" s="13">
        <v>0.0152</v>
      </c>
      <c r="K2346" s="13">
        <v>0.1449</v>
      </c>
    </row>
    <row r="2347" ht="14.5" spans="1:11">
      <c r="A2347" s="3" t="str">
        <f t="shared" si="135"/>
        <v>2026年</v>
      </c>
      <c r="B2347" s="3" t="str">
        <f t="shared" si="136"/>
        <v>3月</v>
      </c>
      <c r="C2347" s="4" t="str">
        <f t="shared" si="137"/>
        <v>W10</v>
      </c>
      <c r="D2347" s="11" t="s">
        <v>803</v>
      </c>
      <c r="E2347" s="11" t="s">
        <v>707</v>
      </c>
      <c r="F2347" s="2" t="str" cm="1">
        <f t="array" ref="F2347">INDEX(_xlfn.TEXTSPLIT(E2347,"-"),2)</f>
        <v>女装</v>
      </c>
      <c r="G2347" s="2" t="str" cm="1">
        <f t="array" ref="G2347">INDEX(_xlfn.TEXTSPLIT(E2347,"-"),3)</f>
        <v>唐装/民族服装/舞台服装</v>
      </c>
      <c r="H2347" s="12">
        <v>245639</v>
      </c>
      <c r="I2347" s="12">
        <v>27152385.36</v>
      </c>
      <c r="J2347" s="13">
        <v>0.0202</v>
      </c>
      <c r="K2347" s="13">
        <v>0.285</v>
      </c>
    </row>
    <row r="2348" ht="14.5" spans="1:11">
      <c r="A2348" s="3" t="str">
        <f t="shared" si="135"/>
        <v>2026年</v>
      </c>
      <c r="B2348" s="3" t="str">
        <f t="shared" si="136"/>
        <v>3月</v>
      </c>
      <c r="C2348" s="4" t="str">
        <f t="shared" si="137"/>
        <v>W10</v>
      </c>
      <c r="D2348" s="11" t="s">
        <v>803</v>
      </c>
      <c r="E2348" s="11" t="s">
        <v>708</v>
      </c>
      <c r="F2348" s="2" t="str" cm="1">
        <f t="array" ref="F2348">INDEX(_xlfn.TEXTSPLIT(E2348,"-"),2)</f>
        <v>女装</v>
      </c>
      <c r="G2348" s="2" t="str" cm="1">
        <f t="array" ref="G2348">INDEX(_xlfn.TEXTSPLIT(E2348,"-"),3)</f>
        <v>大码女装</v>
      </c>
      <c r="H2348" s="12">
        <v>587305</v>
      </c>
      <c r="I2348" s="12">
        <v>25080515.5</v>
      </c>
      <c r="J2348" s="13">
        <v>0.0183</v>
      </c>
      <c r="K2348" s="13">
        <v>0.0288</v>
      </c>
    </row>
    <row r="2349" ht="14.5" spans="1:11">
      <c r="A2349" s="3" t="str">
        <f t="shared" si="135"/>
        <v>2026年</v>
      </c>
      <c r="B2349" s="3" t="str">
        <f t="shared" si="136"/>
        <v>3月</v>
      </c>
      <c r="C2349" s="4" t="str">
        <f t="shared" si="137"/>
        <v>W10</v>
      </c>
      <c r="D2349" s="11" t="s">
        <v>803</v>
      </c>
      <c r="E2349" s="11" t="s">
        <v>709</v>
      </c>
      <c r="F2349" s="2" t="str" cm="1">
        <f t="array" ref="F2349">INDEX(_xlfn.TEXTSPLIT(E2349,"-"),2)</f>
        <v>女装</v>
      </c>
      <c r="G2349" s="2" t="str" cm="1">
        <f t="array" ref="G2349">INDEX(_xlfn.TEXTSPLIT(E2349,"-"),3)</f>
        <v>套装/学生校服/工作制服</v>
      </c>
      <c r="H2349" s="12">
        <v>1265847</v>
      </c>
      <c r="I2349" s="12">
        <v>94811351.6</v>
      </c>
      <c r="J2349" s="13">
        <v>0.0749</v>
      </c>
      <c r="K2349" s="13">
        <v>0.1213</v>
      </c>
    </row>
    <row r="2350" ht="14.5" spans="1:11">
      <c r="A2350" s="3" t="str">
        <f t="shared" si="135"/>
        <v>2026年</v>
      </c>
      <c r="B2350" s="3" t="str">
        <f t="shared" si="136"/>
        <v>3月</v>
      </c>
      <c r="C2350" s="4" t="str">
        <f t="shared" si="137"/>
        <v>W10</v>
      </c>
      <c r="D2350" s="11" t="s">
        <v>803</v>
      </c>
      <c r="E2350" s="11" t="s">
        <v>710</v>
      </c>
      <c r="F2350" s="2" t="str" cm="1">
        <f t="array" ref="F2350">INDEX(_xlfn.TEXTSPLIT(E2350,"-"),2)</f>
        <v>女装</v>
      </c>
      <c r="G2350" s="2" t="str" cm="1">
        <f t="array" ref="G2350">INDEX(_xlfn.TEXTSPLIT(E2350,"-"),3)</f>
        <v>婚纱/旗袍/礼服</v>
      </c>
      <c r="H2350" s="12">
        <v>70553</v>
      </c>
      <c r="I2350" s="12">
        <v>9366817.5</v>
      </c>
      <c r="J2350" s="13">
        <v>0.0059</v>
      </c>
      <c r="K2350" s="13">
        <v>0.0124</v>
      </c>
    </row>
    <row r="2351" ht="14.5" spans="1:11">
      <c r="A2351" s="3" t="str">
        <f t="shared" si="135"/>
        <v>2026年</v>
      </c>
      <c r="B2351" s="3" t="str">
        <f t="shared" si="136"/>
        <v>3月</v>
      </c>
      <c r="C2351" s="4" t="str">
        <f t="shared" si="137"/>
        <v>W10</v>
      </c>
      <c r="D2351" s="11" t="s">
        <v>803</v>
      </c>
      <c r="E2351" s="11" t="s">
        <v>711</v>
      </c>
      <c r="F2351" s="2" t="str" cm="1">
        <f t="array" ref="F2351">INDEX(_xlfn.TEXTSPLIT(E2351,"-"),2)</f>
        <v>女装</v>
      </c>
      <c r="G2351" s="2" t="str" cm="1">
        <f t="array" ref="G2351">INDEX(_xlfn.TEXTSPLIT(E2351,"-"),3)</f>
        <v>新中式女装</v>
      </c>
      <c r="H2351" s="12">
        <v>75671</v>
      </c>
      <c r="I2351" s="12">
        <v>5802272.57</v>
      </c>
      <c r="J2351" s="13">
        <v>0.0044</v>
      </c>
      <c r="K2351" s="13">
        <v>0.6982</v>
      </c>
    </row>
    <row r="2352" ht="14.5" spans="1:11">
      <c r="A2352" s="3" t="str">
        <f t="shared" si="135"/>
        <v>2026年</v>
      </c>
      <c r="B2352" s="3" t="str">
        <f t="shared" si="136"/>
        <v>3月</v>
      </c>
      <c r="C2352" s="4" t="str">
        <f t="shared" si="137"/>
        <v>W10</v>
      </c>
      <c r="D2352" s="11" t="s">
        <v>803</v>
      </c>
      <c r="E2352" s="11" t="s">
        <v>712</v>
      </c>
      <c r="F2352" s="2" t="str" cm="1">
        <f t="array" ref="F2352">INDEX(_xlfn.TEXTSPLIT(E2352,"-"),2)</f>
        <v>女装</v>
      </c>
      <c r="G2352" s="2" t="str" cm="1">
        <f t="array" ref="G2352">INDEX(_xlfn.TEXTSPLIT(E2352,"-"),3)</f>
        <v>时尚防晒服</v>
      </c>
      <c r="H2352" s="12">
        <v>15585</v>
      </c>
      <c r="I2352" s="12">
        <v>2282223.5</v>
      </c>
      <c r="J2352" s="13">
        <v>0.0012</v>
      </c>
      <c r="K2352" s="13">
        <v>0.8789</v>
      </c>
    </row>
    <row r="2353" ht="14.5" spans="1:11">
      <c r="A2353" s="3" t="str">
        <f t="shared" si="135"/>
        <v>2026年</v>
      </c>
      <c r="B2353" s="3" t="str">
        <f t="shared" si="136"/>
        <v>3月</v>
      </c>
      <c r="C2353" s="4" t="str">
        <f t="shared" si="137"/>
        <v>W10</v>
      </c>
      <c r="D2353" s="11" t="s">
        <v>803</v>
      </c>
      <c r="E2353" s="11" t="s">
        <v>714</v>
      </c>
      <c r="F2353" s="2" t="str" cm="1">
        <f t="array" ref="F2353">INDEX(_xlfn.TEXTSPLIT(E2353,"-"),2)</f>
        <v>女装</v>
      </c>
      <c r="G2353" s="2" t="str" cm="1">
        <f t="array" ref="G2353">INDEX(_xlfn.TEXTSPLIT(E2353,"-"),3)</f>
        <v>棉衣/棉服</v>
      </c>
      <c r="H2353" s="12">
        <v>202393</v>
      </c>
      <c r="I2353" s="12">
        <v>10370340.01</v>
      </c>
      <c r="J2353" s="13">
        <v>0.0072</v>
      </c>
      <c r="K2353" s="13">
        <v>0.0873</v>
      </c>
    </row>
    <row r="2354" ht="14.5" spans="1:11">
      <c r="A2354" s="3" t="str">
        <f t="shared" si="135"/>
        <v>2026年</v>
      </c>
      <c r="B2354" s="3" t="str">
        <f t="shared" si="136"/>
        <v>3月</v>
      </c>
      <c r="C2354" s="4" t="str">
        <f t="shared" si="137"/>
        <v>W10</v>
      </c>
      <c r="D2354" s="11" t="s">
        <v>803</v>
      </c>
      <c r="E2354" s="11" t="s">
        <v>715</v>
      </c>
      <c r="F2354" s="2" t="str" cm="1">
        <f t="array" ref="F2354">INDEX(_xlfn.TEXTSPLIT(E2354,"-"),2)</f>
        <v>女装</v>
      </c>
      <c r="G2354" s="2" t="str" cm="1">
        <f t="array" ref="G2354">INDEX(_xlfn.TEXTSPLIT(E2354,"-"),3)</f>
        <v>毛呢外套</v>
      </c>
      <c r="H2354" s="12">
        <v>276769</v>
      </c>
      <c r="I2354" s="12">
        <v>48343634.04</v>
      </c>
      <c r="J2354" s="13">
        <v>0.0285</v>
      </c>
      <c r="K2354" s="13">
        <v>0.0435</v>
      </c>
    </row>
    <row r="2355" ht="14.5" spans="1:11">
      <c r="A2355" s="3" t="str">
        <f t="shared" si="135"/>
        <v>2026年</v>
      </c>
      <c r="B2355" s="3" t="str">
        <f t="shared" si="136"/>
        <v>3月</v>
      </c>
      <c r="C2355" s="4" t="str">
        <f t="shared" si="137"/>
        <v>W10</v>
      </c>
      <c r="D2355" s="11" t="s">
        <v>803</v>
      </c>
      <c r="E2355" s="11" t="s">
        <v>716</v>
      </c>
      <c r="F2355" s="2" t="str" cm="1">
        <f t="array" ref="F2355">INDEX(_xlfn.TEXTSPLIT(E2355,"-"),2)</f>
        <v>女装</v>
      </c>
      <c r="G2355" s="2" t="str" cm="1">
        <f t="array" ref="G2355">INDEX(_xlfn.TEXTSPLIT(E2355,"-"),3)</f>
        <v>毛衣</v>
      </c>
      <c r="H2355" s="12">
        <v>190048</v>
      </c>
      <c r="I2355" s="12">
        <v>8184573.36</v>
      </c>
      <c r="J2355" s="13">
        <v>0.0076</v>
      </c>
      <c r="K2355" s="13">
        <v>0.051</v>
      </c>
    </row>
    <row r="2356" ht="14.5" spans="1:11">
      <c r="A2356" s="3" t="str">
        <f t="shared" si="135"/>
        <v>2026年</v>
      </c>
      <c r="B2356" s="3" t="str">
        <f t="shared" si="136"/>
        <v>3月</v>
      </c>
      <c r="C2356" s="4" t="str">
        <f t="shared" si="137"/>
        <v>W10</v>
      </c>
      <c r="D2356" s="11" t="s">
        <v>803</v>
      </c>
      <c r="E2356" s="11" t="s">
        <v>717</v>
      </c>
      <c r="F2356" s="2" t="str" cm="1">
        <f t="array" ref="F2356">INDEX(_xlfn.TEXTSPLIT(E2356,"-"),2)</f>
        <v>女装</v>
      </c>
      <c r="G2356" s="2" t="str" cm="1">
        <f t="array" ref="G2356">INDEX(_xlfn.TEXTSPLIT(E2356,"-"),3)</f>
        <v>毛针织衫</v>
      </c>
      <c r="H2356" s="12">
        <v>1545533</v>
      </c>
      <c r="I2356" s="12">
        <v>79277957.43</v>
      </c>
      <c r="J2356" s="13">
        <v>0.0607</v>
      </c>
      <c r="K2356" s="13">
        <v>0.1915</v>
      </c>
    </row>
    <row r="2357" ht="14.5" spans="1:11">
      <c r="A2357" s="3" t="str">
        <f t="shared" si="135"/>
        <v>2026年</v>
      </c>
      <c r="B2357" s="3" t="str">
        <f t="shared" si="136"/>
        <v>3月</v>
      </c>
      <c r="C2357" s="4" t="str">
        <f t="shared" si="137"/>
        <v>W10</v>
      </c>
      <c r="D2357" s="11" t="s">
        <v>803</v>
      </c>
      <c r="E2357" s="11" t="s">
        <v>718</v>
      </c>
      <c r="F2357" s="2" t="str" cm="1">
        <f t="array" ref="F2357">INDEX(_xlfn.TEXTSPLIT(E2357,"-"),2)</f>
        <v>女装</v>
      </c>
      <c r="G2357" s="2" t="str" cm="1">
        <f t="array" ref="G2357">INDEX(_xlfn.TEXTSPLIT(E2357,"-"),3)</f>
        <v>汉服</v>
      </c>
      <c r="H2357" s="12">
        <v>212026</v>
      </c>
      <c r="I2357" s="12">
        <v>39802546.81</v>
      </c>
      <c r="J2357" s="13">
        <v>0.0426</v>
      </c>
      <c r="K2357" s="13">
        <v>0.9324</v>
      </c>
    </row>
    <row r="2358" ht="14.5" spans="1:11">
      <c r="A2358" s="3" t="str">
        <f t="shared" si="135"/>
        <v>2026年</v>
      </c>
      <c r="B2358" s="3" t="str">
        <f t="shared" si="136"/>
        <v>3月</v>
      </c>
      <c r="C2358" s="4" t="str">
        <f t="shared" si="137"/>
        <v>W10</v>
      </c>
      <c r="D2358" s="11" t="s">
        <v>803</v>
      </c>
      <c r="E2358" s="11" t="s">
        <v>719</v>
      </c>
      <c r="F2358" s="2" t="str" cm="1">
        <f t="array" ref="F2358">INDEX(_xlfn.TEXTSPLIT(E2358,"-"),2)</f>
        <v>女装</v>
      </c>
      <c r="G2358" s="2" t="str" cm="1">
        <f t="array" ref="G2358">INDEX(_xlfn.TEXTSPLIT(E2358,"-"),3)</f>
        <v>派克服</v>
      </c>
      <c r="H2358" s="12">
        <v>8107</v>
      </c>
      <c r="I2358" s="12">
        <v>1281496.29</v>
      </c>
      <c r="J2358" s="13">
        <v>0.0007</v>
      </c>
      <c r="K2358" s="13">
        <v>-0.0874</v>
      </c>
    </row>
    <row r="2359" ht="14.5" spans="1:11">
      <c r="A2359" s="3" t="str">
        <f t="shared" si="135"/>
        <v>2026年</v>
      </c>
      <c r="B2359" s="3" t="str">
        <f t="shared" si="136"/>
        <v>3月</v>
      </c>
      <c r="C2359" s="4" t="str">
        <f t="shared" si="137"/>
        <v>W10</v>
      </c>
      <c r="D2359" s="11" t="s">
        <v>803</v>
      </c>
      <c r="E2359" s="11" t="s">
        <v>720</v>
      </c>
      <c r="F2359" s="2" t="str" cm="1">
        <f t="array" ref="F2359">INDEX(_xlfn.TEXTSPLIT(E2359,"-"),2)</f>
        <v>女装</v>
      </c>
      <c r="G2359" s="2" t="str" cm="1">
        <f t="array" ref="G2359">INDEX(_xlfn.TEXTSPLIT(E2359,"-"),3)</f>
        <v>皮草</v>
      </c>
      <c r="H2359" s="12">
        <v>26810</v>
      </c>
      <c r="I2359" s="12">
        <v>32491759.06</v>
      </c>
      <c r="J2359" s="13">
        <v>0.0212</v>
      </c>
      <c r="K2359" s="13">
        <v>0.0017</v>
      </c>
    </row>
    <row r="2360" ht="14.5" spans="1:11">
      <c r="A2360" s="3" t="str">
        <f t="shared" si="135"/>
        <v>2026年</v>
      </c>
      <c r="B2360" s="3" t="str">
        <f t="shared" si="136"/>
        <v>3月</v>
      </c>
      <c r="C2360" s="4" t="str">
        <f t="shared" si="137"/>
        <v>W10</v>
      </c>
      <c r="D2360" s="11" t="s">
        <v>803</v>
      </c>
      <c r="E2360" s="11" t="s">
        <v>721</v>
      </c>
      <c r="F2360" s="2" t="str" cm="1">
        <f t="array" ref="F2360">INDEX(_xlfn.TEXTSPLIT(E2360,"-"),2)</f>
        <v>女装</v>
      </c>
      <c r="G2360" s="2" t="str" cm="1">
        <f t="array" ref="G2360">INDEX(_xlfn.TEXTSPLIT(E2360,"-"),3)</f>
        <v>皮衣</v>
      </c>
      <c r="H2360" s="12">
        <v>207409</v>
      </c>
      <c r="I2360" s="12">
        <v>46188785.29</v>
      </c>
      <c r="J2360" s="13">
        <v>0.0348</v>
      </c>
      <c r="K2360" s="13">
        <v>0.1861</v>
      </c>
    </row>
    <row r="2361" ht="14.5" spans="1:11">
      <c r="A2361" s="3" t="str">
        <f t="shared" si="135"/>
        <v>2026年</v>
      </c>
      <c r="B2361" s="3" t="str">
        <f t="shared" si="136"/>
        <v>3月</v>
      </c>
      <c r="C2361" s="4" t="str">
        <f t="shared" si="137"/>
        <v>W10</v>
      </c>
      <c r="D2361" s="11" t="s">
        <v>803</v>
      </c>
      <c r="E2361" s="11" t="s">
        <v>722</v>
      </c>
      <c r="F2361" s="2" t="str" cm="1">
        <f t="array" ref="F2361">INDEX(_xlfn.TEXTSPLIT(E2361,"-"),2)</f>
        <v>女装</v>
      </c>
      <c r="G2361" s="2" t="str" cm="1">
        <f t="array" ref="G2361">INDEX(_xlfn.TEXTSPLIT(E2361,"-"),3)</f>
        <v>短外套</v>
      </c>
      <c r="H2361" s="12">
        <v>1054484</v>
      </c>
      <c r="I2361" s="12">
        <v>105884651.18</v>
      </c>
      <c r="J2361" s="13">
        <v>0.0815</v>
      </c>
      <c r="K2361" s="13">
        <v>0.2266</v>
      </c>
    </row>
    <row r="2362" ht="14.5" spans="1:11">
      <c r="A2362" s="3" t="str">
        <f t="shared" si="135"/>
        <v>2026年</v>
      </c>
      <c r="B2362" s="3" t="str">
        <f t="shared" si="136"/>
        <v>3月</v>
      </c>
      <c r="C2362" s="4" t="str">
        <f t="shared" si="137"/>
        <v>W10</v>
      </c>
      <c r="D2362" s="11" t="s">
        <v>803</v>
      </c>
      <c r="E2362" s="11" t="s">
        <v>723</v>
      </c>
      <c r="F2362" s="2" t="str" cm="1">
        <f t="array" ref="F2362">INDEX(_xlfn.TEXTSPLIT(E2362,"-"),2)</f>
        <v>女装</v>
      </c>
      <c r="G2362" s="2" t="str" cm="1">
        <f t="array" ref="G2362">INDEX(_xlfn.TEXTSPLIT(E2362,"-"),3)</f>
        <v>短裤</v>
      </c>
      <c r="H2362" s="12">
        <v>127682</v>
      </c>
      <c r="I2362" s="12">
        <v>4785147.94</v>
      </c>
      <c r="J2362" s="13">
        <v>0.0038</v>
      </c>
      <c r="K2362" s="13">
        <v>-0.0137</v>
      </c>
    </row>
    <row r="2363" ht="14.5" spans="1:11">
      <c r="A2363" s="3" t="str">
        <f t="shared" si="135"/>
        <v>2026年</v>
      </c>
      <c r="B2363" s="3" t="str">
        <f t="shared" si="136"/>
        <v>3月</v>
      </c>
      <c r="C2363" s="4" t="str">
        <f t="shared" si="137"/>
        <v>W10</v>
      </c>
      <c r="D2363" s="11" t="s">
        <v>803</v>
      </c>
      <c r="E2363" s="11" t="s">
        <v>724</v>
      </c>
      <c r="F2363" s="2" t="str" cm="1">
        <f t="array" ref="F2363">INDEX(_xlfn.TEXTSPLIT(E2363,"-"),2)</f>
        <v>女装</v>
      </c>
      <c r="G2363" s="2" t="str" cm="1">
        <f t="array" ref="G2363">INDEX(_xlfn.TEXTSPLIT(E2363,"-"),3)</f>
        <v>羊毛衫</v>
      </c>
      <c r="H2363" s="12">
        <v>189971</v>
      </c>
      <c r="I2363" s="12">
        <v>13386369.88</v>
      </c>
      <c r="J2363" s="13">
        <v>0.0102</v>
      </c>
      <c r="K2363" s="13">
        <v>0.1428</v>
      </c>
    </row>
    <row r="2364" ht="14.5" spans="1:11">
      <c r="A2364" s="3" t="str">
        <f t="shared" si="135"/>
        <v>2026年</v>
      </c>
      <c r="B2364" s="3" t="str">
        <f t="shared" si="136"/>
        <v>3月</v>
      </c>
      <c r="C2364" s="4" t="str">
        <f t="shared" si="137"/>
        <v>W10</v>
      </c>
      <c r="D2364" s="11" t="s">
        <v>803</v>
      </c>
      <c r="E2364" s="11" t="s">
        <v>725</v>
      </c>
      <c r="F2364" s="2" t="str" cm="1">
        <f t="array" ref="F2364">INDEX(_xlfn.TEXTSPLIT(E2364,"-"),2)</f>
        <v>女装</v>
      </c>
      <c r="G2364" s="2" t="str" cm="1">
        <f t="array" ref="G2364">INDEX(_xlfn.TEXTSPLIT(E2364,"-"),3)</f>
        <v>羊绒大衣</v>
      </c>
      <c r="H2364" s="12">
        <v>2031</v>
      </c>
      <c r="I2364" s="12">
        <v>474731.65</v>
      </c>
      <c r="J2364" s="13">
        <v>0.0005</v>
      </c>
      <c r="K2364" s="13">
        <v>-0.291</v>
      </c>
    </row>
    <row r="2365" ht="14.5" spans="1:11">
      <c r="A2365" s="3" t="str">
        <f t="shared" si="135"/>
        <v>2026年</v>
      </c>
      <c r="B2365" s="3" t="str">
        <f t="shared" si="136"/>
        <v>3月</v>
      </c>
      <c r="C2365" s="4" t="str">
        <f t="shared" si="137"/>
        <v>W10</v>
      </c>
      <c r="D2365" s="11" t="s">
        <v>803</v>
      </c>
      <c r="E2365" s="11" t="s">
        <v>726</v>
      </c>
      <c r="F2365" s="2" t="str" cm="1">
        <f t="array" ref="F2365">INDEX(_xlfn.TEXTSPLIT(E2365,"-"),2)</f>
        <v>女装</v>
      </c>
      <c r="G2365" s="2" t="str" cm="1">
        <f t="array" ref="G2365">INDEX(_xlfn.TEXTSPLIT(E2365,"-"),3)</f>
        <v>羊绒衫</v>
      </c>
      <c r="H2365" s="12">
        <v>28095</v>
      </c>
      <c r="I2365" s="12">
        <v>7837847.03</v>
      </c>
      <c r="J2365" s="13">
        <v>0.0048</v>
      </c>
      <c r="K2365" s="13">
        <v>0.0155</v>
      </c>
    </row>
    <row r="2366" ht="14.5" spans="1:11">
      <c r="A2366" s="3" t="str">
        <f t="shared" si="135"/>
        <v>2026年</v>
      </c>
      <c r="B2366" s="3" t="str">
        <f t="shared" si="136"/>
        <v>3月</v>
      </c>
      <c r="C2366" s="4" t="str">
        <f t="shared" si="137"/>
        <v>W10</v>
      </c>
      <c r="D2366" s="11" t="s">
        <v>803</v>
      </c>
      <c r="E2366" s="11" t="s">
        <v>727</v>
      </c>
      <c r="F2366" s="2" t="str" cm="1">
        <f t="array" ref="F2366">INDEX(_xlfn.TEXTSPLIT(E2366,"-"),2)</f>
        <v>女装</v>
      </c>
      <c r="G2366" s="2" t="str" cm="1">
        <f t="array" ref="G2366">INDEX(_xlfn.TEXTSPLIT(E2366,"-"),3)</f>
        <v>羽绒服</v>
      </c>
      <c r="H2366" s="12">
        <v>310383</v>
      </c>
      <c r="I2366" s="12">
        <v>55170894.67</v>
      </c>
      <c r="J2366" s="13">
        <v>0.0347</v>
      </c>
      <c r="K2366" s="13">
        <v>0.0227</v>
      </c>
    </row>
    <row r="2367" ht="14.5" spans="1:11">
      <c r="A2367" s="3" t="str">
        <f t="shared" si="135"/>
        <v>2026年</v>
      </c>
      <c r="B2367" s="3" t="str">
        <f t="shared" si="136"/>
        <v>3月</v>
      </c>
      <c r="C2367" s="4" t="str">
        <f t="shared" si="137"/>
        <v>W10</v>
      </c>
      <c r="D2367" s="11" t="s">
        <v>803</v>
      </c>
      <c r="E2367" s="11" t="s">
        <v>728</v>
      </c>
      <c r="F2367" s="2" t="str" cm="1">
        <f t="array" ref="F2367">INDEX(_xlfn.TEXTSPLIT(E2367,"-"),2)</f>
        <v>女装</v>
      </c>
      <c r="G2367" s="2" t="str" cm="1">
        <f t="array" ref="G2367">INDEX(_xlfn.TEXTSPLIT(E2367,"-"),3)</f>
        <v>肌底衣/肌肤衣</v>
      </c>
      <c r="H2367" s="12">
        <v>4403</v>
      </c>
      <c r="I2367" s="12">
        <v>92672.3</v>
      </c>
      <c r="J2367" s="13">
        <v>0.0001</v>
      </c>
      <c r="K2367" s="13">
        <v>0.2814</v>
      </c>
    </row>
    <row r="2368" ht="14.5" spans="1:11">
      <c r="A2368" s="3" t="str">
        <f t="shared" si="135"/>
        <v>2026年</v>
      </c>
      <c r="B2368" s="3" t="str">
        <f t="shared" si="136"/>
        <v>3月</v>
      </c>
      <c r="C2368" s="4" t="str">
        <f t="shared" si="137"/>
        <v>W10</v>
      </c>
      <c r="D2368" s="11" t="s">
        <v>803</v>
      </c>
      <c r="E2368" s="11" t="s">
        <v>729</v>
      </c>
      <c r="F2368" s="2" t="str" cm="1">
        <f t="array" ref="F2368">INDEX(_xlfn.TEXTSPLIT(E2368,"-"),2)</f>
        <v>女装</v>
      </c>
      <c r="G2368" s="2" t="str" cm="1">
        <f t="array" ref="G2368">INDEX(_xlfn.TEXTSPLIT(E2368,"-"),3)</f>
        <v>背心吊带</v>
      </c>
      <c r="H2368" s="12">
        <v>607077</v>
      </c>
      <c r="I2368" s="12">
        <v>22433109.26</v>
      </c>
      <c r="J2368" s="13">
        <v>0.0165</v>
      </c>
      <c r="K2368" s="13">
        <v>-0.0025</v>
      </c>
    </row>
    <row r="2369" ht="14.5" spans="1:11">
      <c r="A2369" s="3" t="str">
        <f t="shared" si="135"/>
        <v>2026年</v>
      </c>
      <c r="B2369" s="3" t="str">
        <f t="shared" si="136"/>
        <v>3月</v>
      </c>
      <c r="C2369" s="4" t="str">
        <f t="shared" si="137"/>
        <v>W10</v>
      </c>
      <c r="D2369" s="11" t="s">
        <v>803</v>
      </c>
      <c r="E2369" s="11" t="s">
        <v>730</v>
      </c>
      <c r="F2369" s="2" t="str" cm="1">
        <f t="array" ref="F2369">INDEX(_xlfn.TEXTSPLIT(E2369,"-"),2)</f>
        <v>女装</v>
      </c>
      <c r="G2369" s="2" t="str" cm="1">
        <f t="array" ref="G2369">INDEX(_xlfn.TEXTSPLIT(E2369,"-"),3)</f>
        <v>蕾丝衫/雪纺衫</v>
      </c>
      <c r="H2369" s="12">
        <v>212493</v>
      </c>
      <c r="I2369" s="12">
        <v>10886204.28</v>
      </c>
      <c r="J2369" s="13">
        <v>0.0083</v>
      </c>
      <c r="K2369" s="13">
        <v>0.1144</v>
      </c>
    </row>
    <row r="2370" ht="14.5" spans="1:11">
      <c r="A2370" s="3" t="str">
        <f t="shared" si="135"/>
        <v>2026年</v>
      </c>
      <c r="B2370" s="3" t="str">
        <f t="shared" si="136"/>
        <v>3月</v>
      </c>
      <c r="C2370" s="4" t="str">
        <f t="shared" si="137"/>
        <v>W10</v>
      </c>
      <c r="D2370" s="11" t="s">
        <v>803</v>
      </c>
      <c r="E2370" s="11" t="s">
        <v>731</v>
      </c>
      <c r="F2370" s="2" t="str" cm="1">
        <f t="array" ref="F2370">INDEX(_xlfn.TEXTSPLIT(E2370,"-"),2)</f>
        <v>女装</v>
      </c>
      <c r="G2370" s="2" t="str" cm="1">
        <f t="array" ref="G2370">INDEX(_xlfn.TEXTSPLIT(E2370,"-"),3)</f>
        <v>衬衫</v>
      </c>
      <c r="H2370" s="12">
        <v>998691</v>
      </c>
      <c r="I2370" s="12">
        <v>65659488.6</v>
      </c>
      <c r="J2370" s="13">
        <v>0.0519</v>
      </c>
      <c r="K2370" s="13">
        <v>0.193</v>
      </c>
    </row>
    <row r="2371" ht="14.5" spans="1:11">
      <c r="A2371" s="3" t="str">
        <f t="shared" si="135"/>
        <v>2026年</v>
      </c>
      <c r="B2371" s="3" t="str">
        <f t="shared" si="136"/>
        <v>3月</v>
      </c>
      <c r="C2371" s="4" t="str">
        <f t="shared" si="137"/>
        <v>W10</v>
      </c>
      <c r="D2371" s="11" t="s">
        <v>803</v>
      </c>
      <c r="E2371" s="11" t="s">
        <v>732</v>
      </c>
      <c r="F2371" s="2" t="str" cm="1">
        <f t="array" ref="F2371">INDEX(_xlfn.TEXTSPLIT(E2371,"-"),2)</f>
        <v>女装</v>
      </c>
      <c r="G2371" s="2" t="str" cm="1">
        <f t="array" ref="G2371">INDEX(_xlfn.TEXTSPLIT(E2371,"-"),3)</f>
        <v>裤子</v>
      </c>
      <c r="H2371" s="12">
        <v>3234485</v>
      </c>
      <c r="I2371" s="12">
        <v>230707942.72</v>
      </c>
      <c r="J2371" s="13">
        <v>0.1683</v>
      </c>
      <c r="K2371" s="13">
        <v>0.1897</v>
      </c>
    </row>
    <row r="2372" ht="14.5" spans="1:11">
      <c r="A2372" s="3" t="str">
        <f t="shared" si="135"/>
        <v>2026年</v>
      </c>
      <c r="B2372" s="3" t="str">
        <f t="shared" si="136"/>
        <v>3月</v>
      </c>
      <c r="C2372" s="4" t="str">
        <f t="shared" si="137"/>
        <v>W10</v>
      </c>
      <c r="D2372" s="11" t="s">
        <v>803</v>
      </c>
      <c r="E2372" s="11" t="s">
        <v>733</v>
      </c>
      <c r="F2372" s="2" t="str" cm="1">
        <f t="array" ref="F2372">INDEX(_xlfn.TEXTSPLIT(E2372,"-"),2)</f>
        <v>女装</v>
      </c>
      <c r="G2372" s="2" t="str" cm="1">
        <f t="array" ref="G2372">INDEX(_xlfn.TEXTSPLIT(E2372,"-"),3)</f>
        <v>西装</v>
      </c>
      <c r="H2372" s="12">
        <v>160123</v>
      </c>
      <c r="I2372" s="12">
        <v>27551737.19</v>
      </c>
      <c r="J2372" s="13">
        <v>0.0207</v>
      </c>
      <c r="K2372" s="13">
        <v>0.474</v>
      </c>
    </row>
    <row r="2373" ht="14.5" spans="1:11">
      <c r="A2373" s="3" t="str">
        <f t="shared" si="135"/>
        <v>2026年</v>
      </c>
      <c r="B2373" s="3" t="str">
        <f t="shared" si="136"/>
        <v>3月</v>
      </c>
      <c r="C2373" s="4" t="str">
        <f t="shared" si="137"/>
        <v>W10</v>
      </c>
      <c r="D2373" s="11" t="s">
        <v>803</v>
      </c>
      <c r="E2373" s="11" t="s">
        <v>734</v>
      </c>
      <c r="F2373" s="2" t="str" cm="1">
        <f t="array" ref="F2373">INDEX(_xlfn.TEXTSPLIT(E2373,"-"),2)</f>
        <v>女装</v>
      </c>
      <c r="G2373" s="2" t="str" cm="1">
        <f t="array" ref="G2373">INDEX(_xlfn.TEXTSPLIT(E2373,"-"),3)</f>
        <v>设计师/潮牌女装</v>
      </c>
      <c r="H2373" s="12">
        <v>301199</v>
      </c>
      <c r="I2373" s="12">
        <v>20406310.07</v>
      </c>
      <c r="J2373" s="13">
        <v>0.0157</v>
      </c>
      <c r="K2373" s="13">
        <v>0.1419</v>
      </c>
    </row>
    <row r="2374" ht="14.5" spans="1:11">
      <c r="A2374" s="3" t="str">
        <f t="shared" si="135"/>
        <v>2026年</v>
      </c>
      <c r="B2374" s="3" t="str">
        <f t="shared" si="136"/>
        <v>3月</v>
      </c>
      <c r="C2374" s="4" t="str">
        <f t="shared" si="137"/>
        <v>W10</v>
      </c>
      <c r="D2374" s="11" t="s">
        <v>803</v>
      </c>
      <c r="E2374" s="11" t="s">
        <v>735</v>
      </c>
      <c r="F2374" s="2" t="str" cm="1">
        <f t="array" ref="F2374">INDEX(_xlfn.TEXTSPLIT(E2374,"-"),2)</f>
        <v>女装</v>
      </c>
      <c r="G2374" s="2" t="str" cm="1">
        <f t="array" ref="G2374">INDEX(_xlfn.TEXTSPLIT(E2374,"-"),3)</f>
        <v>连体衣/裤</v>
      </c>
      <c r="H2374" s="12">
        <v>25713</v>
      </c>
      <c r="I2374" s="12">
        <v>2874543.3</v>
      </c>
      <c r="J2374" s="13">
        <v>0.0024</v>
      </c>
      <c r="K2374" s="13">
        <v>0.1563</v>
      </c>
    </row>
    <row r="2375" ht="14.5" spans="1:11">
      <c r="A2375" s="3" t="str">
        <f t="shared" si="135"/>
        <v>2026年</v>
      </c>
      <c r="B2375" s="3" t="str">
        <f t="shared" si="136"/>
        <v>3月</v>
      </c>
      <c r="C2375" s="4" t="str">
        <f t="shared" si="137"/>
        <v>W10</v>
      </c>
      <c r="D2375" s="11" t="s">
        <v>803</v>
      </c>
      <c r="E2375" s="11" t="s">
        <v>736</v>
      </c>
      <c r="F2375" s="2" t="str" cm="1">
        <f t="array" ref="F2375">INDEX(_xlfn.TEXTSPLIT(E2375,"-"),2)</f>
        <v>女装</v>
      </c>
      <c r="G2375" s="2" t="str" cm="1">
        <f t="array" ref="G2375">INDEX(_xlfn.TEXTSPLIT(E2375,"-"),3)</f>
        <v>连衣裙</v>
      </c>
      <c r="H2375" s="12">
        <v>994178</v>
      </c>
      <c r="I2375" s="12">
        <v>104381808.54</v>
      </c>
      <c r="J2375" s="13">
        <v>0.0807</v>
      </c>
      <c r="K2375" s="13">
        <v>0.3396</v>
      </c>
    </row>
    <row r="2376" ht="14.5" spans="1:11">
      <c r="A2376" s="3" t="str">
        <f t="shared" si="135"/>
        <v>2026年</v>
      </c>
      <c r="B2376" s="3" t="str">
        <f t="shared" si="136"/>
        <v>3月</v>
      </c>
      <c r="C2376" s="4" t="str">
        <f t="shared" si="137"/>
        <v>W10</v>
      </c>
      <c r="D2376" s="11" t="s">
        <v>803</v>
      </c>
      <c r="E2376" s="11" t="s">
        <v>737</v>
      </c>
      <c r="F2376" s="2" t="str" cm="1">
        <f t="array" ref="F2376">INDEX(_xlfn.TEXTSPLIT(E2376,"-"),2)</f>
        <v>女装</v>
      </c>
      <c r="G2376" s="2" t="str" cm="1">
        <f t="array" ref="G2376">INDEX(_xlfn.TEXTSPLIT(E2376,"-"),3)</f>
        <v>风衣</v>
      </c>
      <c r="H2376" s="12">
        <v>202956</v>
      </c>
      <c r="I2376" s="12">
        <v>34145896.64</v>
      </c>
      <c r="J2376" s="13">
        <v>0.0262</v>
      </c>
      <c r="K2376" s="13">
        <v>0.3674</v>
      </c>
    </row>
    <row r="2377" ht="14.5" spans="1:11">
      <c r="A2377" s="3" t="str">
        <f t="shared" si="135"/>
        <v>2026年</v>
      </c>
      <c r="B2377" s="3" t="str">
        <f t="shared" si="136"/>
        <v>3月</v>
      </c>
      <c r="C2377" s="4" t="str">
        <f t="shared" si="137"/>
        <v>W10</v>
      </c>
      <c r="D2377" s="11" t="s">
        <v>803</v>
      </c>
      <c r="E2377" s="11" t="s">
        <v>738</v>
      </c>
      <c r="F2377" s="2" t="str" cm="1">
        <f t="array" ref="F2377">INDEX(_xlfn.TEXTSPLIT(E2377,"-"),2)</f>
        <v>女装</v>
      </c>
      <c r="G2377" s="2" t="str" cm="1">
        <f t="array" ref="G2377">INDEX(_xlfn.TEXTSPLIT(E2377,"-"),3)</f>
        <v>马夹</v>
      </c>
      <c r="H2377" s="12">
        <v>347544</v>
      </c>
      <c r="I2377" s="12">
        <v>23302438.58</v>
      </c>
      <c r="J2377" s="13">
        <v>0.0177</v>
      </c>
      <c r="K2377" s="13">
        <v>0.2972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09"/>
  <sheetViews>
    <sheetView workbookViewId="0">
      <pane ySplit="1" topLeftCell="A2481" activePane="bottomLeft" state="frozen"/>
      <selection/>
      <selection pane="bottomLeft" activeCell="D2493" sqref="D2493"/>
    </sheetView>
  </sheetViews>
  <sheetFormatPr defaultColWidth="8.66666666666667" defaultRowHeight="14"/>
  <cols>
    <col min="1" max="4" width="10.25" customWidth="1"/>
    <col min="5" max="5" width="28.5" customWidth="1"/>
    <col min="6" max="6" width="12.0833333333333" customWidth="1"/>
    <col min="7" max="7" width="13.4166666666667" customWidth="1"/>
    <col min="9" max="9" width="11.6666666666667"/>
    <col min="11" max="11" width="8.75"/>
  </cols>
  <sheetData>
    <row r="1" ht="14.5" spans="1:11">
      <c r="A1" s="1" t="s">
        <v>302</v>
      </c>
      <c r="B1" s="1" t="s">
        <v>303</v>
      </c>
      <c r="C1" s="1" t="s">
        <v>304</v>
      </c>
      <c r="D1" s="2" t="s">
        <v>301</v>
      </c>
      <c r="E1" s="2" t="s">
        <v>695</v>
      </c>
      <c r="F1" s="1" t="s">
        <v>696</v>
      </c>
      <c r="G1" s="1" t="s">
        <v>249</v>
      </c>
      <c r="H1" s="2" t="s">
        <v>697</v>
      </c>
      <c r="I1" s="2" t="s">
        <v>698</v>
      </c>
      <c r="J1" s="2" t="s">
        <v>699</v>
      </c>
      <c r="K1" s="2" t="s">
        <v>700</v>
      </c>
    </row>
    <row r="2" ht="14.5" spans="1:11">
      <c r="A2" s="3" t="str">
        <f t="shared" ref="A2:A13" si="0">TEXT(YEAR(D2),"0")&amp;"年"</f>
        <v>2026年</v>
      </c>
      <c r="B2" s="3" t="str">
        <f t="shared" ref="B2:B13" si="1">TEXT(MONTH(D2),"0")&amp;"月"</f>
        <v>1月</v>
      </c>
      <c r="C2" s="4" t="str">
        <f t="shared" ref="C2:C13" si="2">"W"&amp;TEXT(WEEKNUM(D2,2),"0")</f>
        <v>W1</v>
      </c>
      <c r="D2" s="2" t="s">
        <v>701</v>
      </c>
      <c r="E2" s="2" t="s">
        <v>804</v>
      </c>
      <c r="F2" s="2" t="str" cm="1">
        <f t="array" ref="F2">INDEX(_xlfn.TEXTSPLIT(E2,"-"),2)</f>
        <v>男装</v>
      </c>
      <c r="G2" s="2" t="str" cm="1">
        <f t="array" ref="G2">INDEX(_xlfn.TEXTSPLIT(E2,"-"),3)</f>
        <v>Polo衫</v>
      </c>
      <c r="H2" s="5">
        <v>50114</v>
      </c>
      <c r="I2" s="5">
        <v>4631364.34</v>
      </c>
      <c r="J2" s="6">
        <v>0.0059</v>
      </c>
      <c r="K2" s="6">
        <v>0.5425</v>
      </c>
    </row>
    <row r="3" ht="14.5" spans="1:11">
      <c r="A3" s="3" t="str">
        <f t="shared" si="0"/>
        <v>2026年</v>
      </c>
      <c r="B3" s="3" t="str">
        <f t="shared" si="1"/>
        <v>1月</v>
      </c>
      <c r="C3" s="4" t="str">
        <f t="shared" si="2"/>
        <v>W1</v>
      </c>
      <c r="D3" s="2" t="s">
        <v>701</v>
      </c>
      <c r="E3" s="2" t="s">
        <v>805</v>
      </c>
      <c r="F3" s="2" t="str" cm="1">
        <f t="array" ref="F3">INDEX(_xlfn.TEXTSPLIT(E3,"-"),2)</f>
        <v>男装</v>
      </c>
      <c r="G3" s="2" t="str" cm="1">
        <f t="array" ref="G3">INDEX(_xlfn.TEXTSPLIT(E3,"-"),3)</f>
        <v>T恤</v>
      </c>
      <c r="H3" s="5">
        <v>373914</v>
      </c>
      <c r="I3" s="5">
        <v>26233748.55</v>
      </c>
      <c r="J3" s="6">
        <v>0.0336</v>
      </c>
      <c r="K3" s="6">
        <v>0.1759</v>
      </c>
    </row>
    <row r="4" ht="14.5" spans="1:11">
      <c r="A4" s="3" t="str">
        <f t="shared" si="0"/>
        <v>2026年</v>
      </c>
      <c r="B4" s="3" t="str">
        <f t="shared" si="1"/>
        <v>1月</v>
      </c>
      <c r="C4" s="4" t="str">
        <f t="shared" si="2"/>
        <v>W1</v>
      </c>
      <c r="D4" s="2" t="s">
        <v>701</v>
      </c>
      <c r="E4" s="2" t="s">
        <v>806</v>
      </c>
      <c r="F4" s="2" t="str" cm="1">
        <f t="array" ref="F4">INDEX(_xlfn.TEXTSPLIT(E4,"-"),2)</f>
        <v>男装</v>
      </c>
      <c r="G4" s="2" t="str" cm="1">
        <f t="array" ref="G4">INDEX(_xlfn.TEXTSPLIT(E4,"-"),3)</f>
        <v>中老年男装</v>
      </c>
      <c r="H4" s="5">
        <v>128131</v>
      </c>
      <c r="I4" s="5">
        <v>16895772.78</v>
      </c>
      <c r="J4" s="6">
        <v>0.0217</v>
      </c>
      <c r="K4" s="6">
        <v>-0.4228</v>
      </c>
    </row>
    <row r="5" ht="14.5" spans="1:11">
      <c r="A5" s="3" t="str">
        <f t="shared" si="0"/>
        <v>2026年</v>
      </c>
      <c r="B5" s="3" t="str">
        <f t="shared" si="1"/>
        <v>1月</v>
      </c>
      <c r="C5" s="4" t="str">
        <f t="shared" si="2"/>
        <v>W1</v>
      </c>
      <c r="D5" s="2" t="s">
        <v>701</v>
      </c>
      <c r="E5" s="2" t="s">
        <v>807</v>
      </c>
      <c r="F5" s="2" t="str" cm="1">
        <f t="array" ref="F5">INDEX(_xlfn.TEXTSPLIT(E5,"-"),2)</f>
        <v>男装</v>
      </c>
      <c r="G5" s="2" t="str" cm="1">
        <f t="array" ref="G5">INDEX(_xlfn.TEXTSPLIT(E5,"-"),3)</f>
        <v>休闲裤</v>
      </c>
      <c r="H5" s="5">
        <v>964785</v>
      </c>
      <c r="I5" s="5">
        <v>98626743.75</v>
      </c>
      <c r="J5" s="6">
        <v>0.1264</v>
      </c>
      <c r="K5" s="6">
        <v>0.2327</v>
      </c>
    </row>
    <row r="6" ht="14.5" spans="1:11">
      <c r="A6" s="3" t="str">
        <f t="shared" si="0"/>
        <v>2026年</v>
      </c>
      <c r="B6" s="3" t="str">
        <f t="shared" si="1"/>
        <v>1月</v>
      </c>
      <c r="C6" s="4" t="str">
        <f t="shared" si="2"/>
        <v>W1</v>
      </c>
      <c r="D6" s="2" t="s">
        <v>701</v>
      </c>
      <c r="E6" s="2" t="s">
        <v>808</v>
      </c>
      <c r="F6" s="2" t="str" cm="1">
        <f t="array" ref="F6">INDEX(_xlfn.TEXTSPLIT(E6,"-"),2)</f>
        <v>男装</v>
      </c>
      <c r="G6" s="2" t="str" cm="1">
        <f t="array" ref="G6">INDEX(_xlfn.TEXTSPLIT(E6,"-"),3)</f>
        <v>卫衣</v>
      </c>
      <c r="H6" s="5">
        <v>587992</v>
      </c>
      <c r="I6" s="5">
        <v>49851089.92</v>
      </c>
      <c r="J6" s="6">
        <v>0.0639</v>
      </c>
      <c r="K6" s="6">
        <v>0.1923</v>
      </c>
    </row>
    <row r="7" ht="14.5" spans="1:11">
      <c r="A7" s="3" t="str">
        <f t="shared" si="0"/>
        <v>2026年</v>
      </c>
      <c r="B7" s="3" t="str">
        <f t="shared" si="1"/>
        <v>1月</v>
      </c>
      <c r="C7" s="4" t="str">
        <f t="shared" si="2"/>
        <v>W1</v>
      </c>
      <c r="D7" s="2" t="s">
        <v>701</v>
      </c>
      <c r="E7" s="2" t="s">
        <v>809</v>
      </c>
      <c r="F7" s="2" t="str" cm="1">
        <f t="array" ref="F7">INDEX(_xlfn.TEXTSPLIT(E7,"-"),2)</f>
        <v>男装</v>
      </c>
      <c r="G7" s="2" t="str" cm="1">
        <f t="array" ref="G7">INDEX(_xlfn.TEXTSPLIT(E7,"-"),3)</f>
        <v>卫裤</v>
      </c>
      <c r="H7" s="5">
        <v>205803</v>
      </c>
      <c r="I7" s="5">
        <v>19088995.63</v>
      </c>
      <c r="J7" s="6">
        <v>0.0245</v>
      </c>
      <c r="K7" s="6">
        <v>0.3019</v>
      </c>
    </row>
    <row r="8" ht="14.5" spans="1:11">
      <c r="A8" s="3" t="str">
        <f t="shared" si="0"/>
        <v>2026年</v>
      </c>
      <c r="B8" s="3" t="str">
        <f t="shared" si="1"/>
        <v>1月</v>
      </c>
      <c r="C8" s="4" t="str">
        <f t="shared" si="2"/>
        <v>W1</v>
      </c>
      <c r="D8" s="2" t="s">
        <v>701</v>
      </c>
      <c r="E8" s="2" t="s">
        <v>810</v>
      </c>
      <c r="F8" s="2" t="str" cm="1">
        <f t="array" ref="F8">INDEX(_xlfn.TEXTSPLIT(E8,"-"),2)</f>
        <v>男装</v>
      </c>
      <c r="G8" s="2" t="str" cm="1">
        <f t="array" ref="G8">INDEX(_xlfn.TEXTSPLIT(E8,"-"),3)</f>
        <v>大码男装</v>
      </c>
      <c r="H8" s="5">
        <v>40612</v>
      </c>
      <c r="I8" s="5">
        <v>3894707.42</v>
      </c>
      <c r="J8" s="6">
        <v>0.005</v>
      </c>
      <c r="K8" s="6">
        <v>0.227</v>
      </c>
    </row>
    <row r="9" ht="14.5" spans="1:11">
      <c r="A9" s="3" t="str">
        <f t="shared" si="0"/>
        <v>2026年</v>
      </c>
      <c r="B9" s="3" t="str">
        <f t="shared" si="1"/>
        <v>1月</v>
      </c>
      <c r="C9" s="4" t="str">
        <f t="shared" si="2"/>
        <v>W1</v>
      </c>
      <c r="D9" s="2" t="s">
        <v>701</v>
      </c>
      <c r="E9" s="2" t="s">
        <v>811</v>
      </c>
      <c r="F9" s="2" t="str" cm="1">
        <f t="array" ref="F9">INDEX(_xlfn.TEXTSPLIT(E9,"-"),2)</f>
        <v>男装</v>
      </c>
      <c r="G9" s="2" t="str" cm="1">
        <f t="array" ref="G9">INDEX(_xlfn.TEXTSPLIT(E9,"-"),3)</f>
        <v>夹克</v>
      </c>
      <c r="H9" s="5">
        <v>397939</v>
      </c>
      <c r="I9" s="5">
        <v>66688905.7</v>
      </c>
      <c r="J9" s="6">
        <v>0.0855</v>
      </c>
      <c r="K9" s="6">
        <v>0.114</v>
      </c>
    </row>
    <row r="10" ht="14.5" spans="1:11">
      <c r="A10" s="3" t="str">
        <f t="shared" si="0"/>
        <v>2026年</v>
      </c>
      <c r="B10" s="3" t="str">
        <f t="shared" si="1"/>
        <v>1月</v>
      </c>
      <c r="C10" s="4" t="str">
        <f t="shared" si="2"/>
        <v>W1</v>
      </c>
      <c r="D10" s="2" t="s">
        <v>701</v>
      </c>
      <c r="E10" s="2" t="s">
        <v>812</v>
      </c>
      <c r="F10" s="2" t="str" cm="1">
        <f t="array" ref="F10">INDEX(_xlfn.TEXTSPLIT(E10,"-"),2)</f>
        <v>男装</v>
      </c>
      <c r="G10" s="2" t="str" cm="1">
        <f t="array" ref="G10">INDEX(_xlfn.TEXTSPLIT(E10,"-"),3)</f>
        <v>套装</v>
      </c>
      <c r="H10" s="5">
        <v>41837</v>
      </c>
      <c r="I10" s="5">
        <v>6140689.68</v>
      </c>
      <c r="J10" s="6">
        <v>0.0079</v>
      </c>
      <c r="K10" s="6">
        <v>0.1559</v>
      </c>
    </row>
    <row r="11" ht="14.5" spans="1:11">
      <c r="A11" s="3" t="str">
        <f t="shared" si="0"/>
        <v>2026年</v>
      </c>
      <c r="B11" s="3" t="str">
        <f t="shared" si="1"/>
        <v>1月</v>
      </c>
      <c r="C11" s="4" t="str">
        <f t="shared" si="2"/>
        <v>W1</v>
      </c>
      <c r="D11" s="2" t="s">
        <v>701</v>
      </c>
      <c r="E11" s="2" t="s">
        <v>813</v>
      </c>
      <c r="F11" s="2" t="str" cm="1">
        <f t="array" ref="F11">INDEX(_xlfn.TEXTSPLIT(E11,"-"),2)</f>
        <v>男装</v>
      </c>
      <c r="G11" s="2" t="str" cm="1">
        <f t="array" ref="G11">INDEX(_xlfn.TEXTSPLIT(E11,"-"),3)</f>
        <v>学生校服</v>
      </c>
      <c r="H11" s="5">
        <v>60</v>
      </c>
      <c r="I11" s="5">
        <v>5136.72</v>
      </c>
      <c r="J11" s="2" t="s">
        <v>713</v>
      </c>
      <c r="K11" s="6">
        <v>-0.4961</v>
      </c>
    </row>
    <row r="12" ht="14.5" spans="1:11">
      <c r="A12" s="3" t="str">
        <f t="shared" si="0"/>
        <v>2026年</v>
      </c>
      <c r="B12" s="3" t="str">
        <f t="shared" si="1"/>
        <v>1月</v>
      </c>
      <c r="C12" s="4" t="str">
        <f t="shared" si="2"/>
        <v>W1</v>
      </c>
      <c r="D12" s="2" t="s">
        <v>701</v>
      </c>
      <c r="E12" s="2" t="s">
        <v>814</v>
      </c>
      <c r="F12" s="2" t="str" cm="1">
        <f t="array" ref="F12">INDEX(_xlfn.TEXTSPLIT(E12,"-"),2)</f>
        <v>男装</v>
      </c>
      <c r="G12" s="2" t="str" cm="1">
        <f t="array" ref="G12">INDEX(_xlfn.TEXTSPLIT(E12,"-"),3)</f>
        <v>打底衫</v>
      </c>
      <c r="H12" s="5">
        <v>20852</v>
      </c>
      <c r="I12" s="5">
        <v>904313.62</v>
      </c>
      <c r="J12" s="6">
        <v>0.0012</v>
      </c>
      <c r="K12" s="6">
        <v>0.0693</v>
      </c>
    </row>
    <row r="13" ht="14.5" spans="1:11">
      <c r="A13" s="3" t="str">
        <f t="shared" si="0"/>
        <v>2026年</v>
      </c>
      <c r="B13" s="3" t="str">
        <f t="shared" si="1"/>
        <v>1月</v>
      </c>
      <c r="C13" s="4" t="str">
        <f t="shared" si="2"/>
        <v>W1</v>
      </c>
      <c r="D13" s="2" t="s">
        <v>701</v>
      </c>
      <c r="E13" s="2" t="s">
        <v>815</v>
      </c>
      <c r="F13" s="2" t="str" cm="1">
        <f t="array" ref="F13">INDEX(_xlfn.TEXTSPLIT(E13,"-"),2)</f>
        <v>男装</v>
      </c>
      <c r="G13" s="2" t="str" cm="1">
        <f t="array" ref="G13">INDEX(_xlfn.TEXTSPLIT(E13,"-"),3)</f>
        <v>新中式男装</v>
      </c>
      <c r="H13" s="5">
        <v>486</v>
      </c>
      <c r="I13" s="5">
        <v>51193.33</v>
      </c>
      <c r="J13" s="6">
        <v>0.0001</v>
      </c>
      <c r="K13" s="6">
        <v>-0.3444</v>
      </c>
    </row>
    <row r="14" ht="14.5" spans="1:11">
      <c r="A14" s="3" t="str">
        <f t="shared" ref="A14:A77" si="3">TEXT(YEAR(D14),"0")&amp;"年"</f>
        <v>2026年</v>
      </c>
      <c r="B14" s="3" t="str">
        <f t="shared" ref="B14:B77" si="4">TEXT(MONTH(D14),"0")&amp;"月"</f>
        <v>1月</v>
      </c>
      <c r="C14" s="4" t="str">
        <f t="shared" ref="C14:C77" si="5">"W"&amp;TEXT(WEEKNUM(D14,2),"0")</f>
        <v>W1</v>
      </c>
      <c r="D14" s="2" t="s">
        <v>701</v>
      </c>
      <c r="E14" s="2" t="s">
        <v>816</v>
      </c>
      <c r="F14" s="2" t="str" cm="1">
        <f t="array" ref="F14">INDEX(_xlfn.TEXTSPLIT(E14,"-"),2)</f>
        <v>男装</v>
      </c>
      <c r="G14" s="2" t="str" cm="1">
        <f t="array" ref="G14">INDEX(_xlfn.TEXTSPLIT(E14,"-"),3)</f>
        <v>棉衣</v>
      </c>
      <c r="H14" s="5">
        <v>367226</v>
      </c>
      <c r="I14" s="5">
        <v>47807610.92</v>
      </c>
      <c r="J14" s="6">
        <v>0.0613</v>
      </c>
      <c r="K14" s="6">
        <v>0.0833</v>
      </c>
    </row>
    <row r="15" ht="14.5" spans="1:11">
      <c r="A15" s="3" t="str">
        <f t="shared" si="3"/>
        <v>2026年</v>
      </c>
      <c r="B15" s="3" t="str">
        <f t="shared" si="4"/>
        <v>1月</v>
      </c>
      <c r="C15" s="4" t="str">
        <f t="shared" si="5"/>
        <v>W1</v>
      </c>
      <c r="D15" s="2" t="s">
        <v>701</v>
      </c>
      <c r="E15" s="2" t="s">
        <v>817</v>
      </c>
      <c r="F15" s="2" t="str" cm="1">
        <f t="array" ref="F15">INDEX(_xlfn.TEXTSPLIT(E15,"-"),2)</f>
        <v>男装</v>
      </c>
      <c r="G15" s="2" t="str" cm="1">
        <f t="array" ref="G15">INDEX(_xlfn.TEXTSPLIT(E15,"-"),3)</f>
        <v>棉裤</v>
      </c>
      <c r="H15" s="5">
        <v>42451</v>
      </c>
      <c r="I15" s="5">
        <v>3166592.95</v>
      </c>
      <c r="J15" s="6">
        <v>0.0041</v>
      </c>
      <c r="K15" s="6">
        <v>0.2215</v>
      </c>
    </row>
    <row r="16" ht="14.5" spans="1:11">
      <c r="A16" s="3" t="str">
        <f t="shared" si="3"/>
        <v>2026年</v>
      </c>
      <c r="B16" s="3" t="str">
        <f t="shared" si="4"/>
        <v>1月</v>
      </c>
      <c r="C16" s="4" t="str">
        <f t="shared" si="5"/>
        <v>W1</v>
      </c>
      <c r="D16" s="2" t="s">
        <v>701</v>
      </c>
      <c r="E16" s="2" t="s">
        <v>818</v>
      </c>
      <c r="F16" s="2" t="str" cm="1">
        <f t="array" ref="F16">INDEX(_xlfn.TEXTSPLIT(E16,"-"),2)</f>
        <v>男装</v>
      </c>
      <c r="G16" s="2" t="str" cm="1">
        <f t="array" ref="G16">INDEX(_xlfn.TEXTSPLIT(E16,"-"),3)</f>
        <v>毛呢大衣</v>
      </c>
      <c r="H16" s="5">
        <v>40823</v>
      </c>
      <c r="I16" s="5">
        <v>18418949.36</v>
      </c>
      <c r="J16" s="6">
        <v>0.0236</v>
      </c>
      <c r="K16" s="6">
        <v>0.0607</v>
      </c>
    </row>
    <row r="17" ht="14.5" spans="1:11">
      <c r="A17" s="3" t="str">
        <f t="shared" si="3"/>
        <v>2026年</v>
      </c>
      <c r="B17" s="3" t="str">
        <f t="shared" si="4"/>
        <v>1月</v>
      </c>
      <c r="C17" s="4" t="str">
        <f t="shared" si="5"/>
        <v>W1</v>
      </c>
      <c r="D17" s="2" t="s">
        <v>701</v>
      </c>
      <c r="E17" s="2" t="s">
        <v>819</v>
      </c>
      <c r="F17" s="2" t="str" cm="1">
        <f t="array" ref="F17">INDEX(_xlfn.TEXTSPLIT(E17,"-"),2)</f>
        <v>男装</v>
      </c>
      <c r="G17" s="2" t="str" cm="1">
        <f t="array" ref="G17">INDEX(_xlfn.TEXTSPLIT(E17,"-"),3)</f>
        <v>民族服装</v>
      </c>
      <c r="H17" s="5">
        <v>6350</v>
      </c>
      <c r="I17" s="5">
        <v>1534503.3</v>
      </c>
      <c r="J17" s="6">
        <v>0.002</v>
      </c>
      <c r="K17" s="6">
        <v>0.1611</v>
      </c>
    </row>
    <row r="18" ht="14.5" spans="1:11">
      <c r="A18" s="3" t="str">
        <f t="shared" si="3"/>
        <v>2026年</v>
      </c>
      <c r="B18" s="3" t="str">
        <f t="shared" si="4"/>
        <v>1月</v>
      </c>
      <c r="C18" s="4" t="str">
        <f t="shared" si="5"/>
        <v>W1</v>
      </c>
      <c r="D18" s="2" t="s">
        <v>701</v>
      </c>
      <c r="E18" s="2" t="s">
        <v>820</v>
      </c>
      <c r="F18" s="2" t="str" cm="1">
        <f t="array" ref="F18">INDEX(_xlfn.TEXTSPLIT(E18,"-"),2)</f>
        <v>男装</v>
      </c>
      <c r="G18" s="2" t="str" cm="1">
        <f t="array" ref="G18">INDEX(_xlfn.TEXTSPLIT(E18,"-"),3)</f>
        <v>派克服</v>
      </c>
      <c r="H18" s="5">
        <v>18359</v>
      </c>
      <c r="I18" s="5">
        <v>3695145.49</v>
      </c>
      <c r="J18" s="6">
        <v>0.0047</v>
      </c>
      <c r="K18" s="6">
        <v>0.2042</v>
      </c>
    </row>
    <row r="19" ht="14.5" spans="1:11">
      <c r="A19" s="3" t="str">
        <f t="shared" si="3"/>
        <v>2026年</v>
      </c>
      <c r="B19" s="3" t="str">
        <f t="shared" si="4"/>
        <v>1月</v>
      </c>
      <c r="C19" s="4" t="str">
        <f t="shared" si="5"/>
        <v>W1</v>
      </c>
      <c r="D19" s="2" t="s">
        <v>701</v>
      </c>
      <c r="E19" s="2" t="s">
        <v>821</v>
      </c>
      <c r="F19" s="2" t="str" cm="1">
        <f t="array" ref="F19">INDEX(_xlfn.TEXTSPLIT(E19,"-"),2)</f>
        <v>男装</v>
      </c>
      <c r="G19" s="2" t="str" cm="1">
        <f t="array" ref="G19">INDEX(_xlfn.TEXTSPLIT(E19,"-"),3)</f>
        <v>牛仔裤</v>
      </c>
      <c r="H19" s="5">
        <v>565381</v>
      </c>
      <c r="I19" s="5">
        <v>62890191.62</v>
      </c>
      <c r="J19" s="6">
        <v>0.0806</v>
      </c>
      <c r="K19" s="6">
        <v>0.2348</v>
      </c>
    </row>
    <row r="20" ht="14.5" spans="1:11">
      <c r="A20" s="3" t="str">
        <f t="shared" si="3"/>
        <v>2026年</v>
      </c>
      <c r="B20" s="3" t="str">
        <f t="shared" si="4"/>
        <v>1月</v>
      </c>
      <c r="C20" s="4" t="str">
        <f t="shared" si="5"/>
        <v>W1</v>
      </c>
      <c r="D20" s="2" t="s">
        <v>701</v>
      </c>
      <c r="E20" s="2" t="s">
        <v>822</v>
      </c>
      <c r="F20" s="2" t="str" cm="1">
        <f t="array" ref="F20">INDEX(_xlfn.TEXTSPLIT(E20,"-"),2)</f>
        <v>男装</v>
      </c>
      <c r="G20" s="2" t="str" cm="1">
        <f t="array" ref="G20">INDEX(_xlfn.TEXTSPLIT(E20,"-"),3)</f>
        <v>皮草</v>
      </c>
      <c r="H20" s="5">
        <v>5198</v>
      </c>
      <c r="I20" s="5">
        <v>7775810.17</v>
      </c>
      <c r="J20" s="7">
        <v>0.01</v>
      </c>
      <c r="K20" s="6">
        <v>0.0689</v>
      </c>
    </row>
    <row r="21" ht="14.5" spans="1:11">
      <c r="A21" s="3" t="str">
        <f t="shared" si="3"/>
        <v>2026年</v>
      </c>
      <c r="B21" s="3" t="str">
        <f t="shared" si="4"/>
        <v>1月</v>
      </c>
      <c r="C21" s="4" t="str">
        <f t="shared" si="5"/>
        <v>W1</v>
      </c>
      <c r="D21" s="2" t="s">
        <v>701</v>
      </c>
      <c r="E21" s="2" t="s">
        <v>823</v>
      </c>
      <c r="F21" s="2" t="str" cm="1">
        <f t="array" ref="F21">INDEX(_xlfn.TEXTSPLIT(E21,"-"),2)</f>
        <v>男装</v>
      </c>
      <c r="G21" s="2" t="str" cm="1">
        <f t="array" ref="G21">INDEX(_xlfn.TEXTSPLIT(E21,"-"),3)</f>
        <v>皮衣</v>
      </c>
      <c r="H21" s="5">
        <v>55225</v>
      </c>
      <c r="I21" s="5">
        <v>22752062</v>
      </c>
      <c r="J21" s="6">
        <v>0.0292</v>
      </c>
      <c r="K21" s="6">
        <v>-0.0253</v>
      </c>
    </row>
    <row r="22" ht="14.5" spans="1:11">
      <c r="A22" s="3" t="str">
        <f t="shared" si="3"/>
        <v>2026年</v>
      </c>
      <c r="B22" s="3" t="str">
        <f t="shared" si="4"/>
        <v>1月</v>
      </c>
      <c r="C22" s="4" t="str">
        <f t="shared" si="5"/>
        <v>W1</v>
      </c>
      <c r="D22" s="2" t="s">
        <v>701</v>
      </c>
      <c r="E22" s="2" t="s">
        <v>824</v>
      </c>
      <c r="F22" s="2" t="str" cm="1">
        <f t="array" ref="F22">INDEX(_xlfn.TEXTSPLIT(E22,"-"),2)</f>
        <v>男装</v>
      </c>
      <c r="G22" s="2" t="str" cm="1">
        <f t="array" ref="G22">INDEX(_xlfn.TEXTSPLIT(E22,"-"),3)</f>
        <v>皮裤</v>
      </c>
      <c r="H22" s="5">
        <v>4507</v>
      </c>
      <c r="I22" s="5">
        <v>642921.93</v>
      </c>
      <c r="J22" s="6">
        <v>0.0008</v>
      </c>
      <c r="K22" s="6">
        <v>0.229</v>
      </c>
    </row>
    <row r="23" ht="14.5" spans="1:11">
      <c r="A23" s="3" t="str">
        <f t="shared" si="3"/>
        <v>2026年</v>
      </c>
      <c r="B23" s="3" t="str">
        <f t="shared" si="4"/>
        <v>1月</v>
      </c>
      <c r="C23" s="4" t="str">
        <f t="shared" si="5"/>
        <v>W1</v>
      </c>
      <c r="D23" s="2" t="s">
        <v>701</v>
      </c>
      <c r="E23" s="2" t="s">
        <v>825</v>
      </c>
      <c r="F23" s="2" t="str" cm="1">
        <f t="array" ref="F23">INDEX(_xlfn.TEXTSPLIT(E23,"-"),2)</f>
        <v>男装</v>
      </c>
      <c r="G23" s="2" t="str" cm="1">
        <f t="array" ref="G23">INDEX(_xlfn.TEXTSPLIT(E23,"-"),3)</f>
        <v>短外套</v>
      </c>
      <c r="H23" s="5">
        <v>22298</v>
      </c>
      <c r="I23" s="5">
        <v>2862022.99</v>
      </c>
      <c r="J23" s="6">
        <v>0.0037</v>
      </c>
      <c r="K23" s="6">
        <v>0.0334</v>
      </c>
    </row>
    <row r="24" ht="14.5" spans="1:11">
      <c r="A24" s="3" t="str">
        <f t="shared" si="3"/>
        <v>2026年</v>
      </c>
      <c r="B24" s="3" t="str">
        <f t="shared" si="4"/>
        <v>1月</v>
      </c>
      <c r="C24" s="4" t="str">
        <f t="shared" si="5"/>
        <v>W1</v>
      </c>
      <c r="D24" s="2" t="s">
        <v>701</v>
      </c>
      <c r="E24" s="2" t="s">
        <v>826</v>
      </c>
      <c r="F24" s="2" t="str" cm="1">
        <f t="array" ref="F24">INDEX(_xlfn.TEXTSPLIT(E24,"-"),2)</f>
        <v>男装</v>
      </c>
      <c r="G24" s="2" t="str" cm="1">
        <f t="array" ref="G24">INDEX(_xlfn.TEXTSPLIT(E24,"-"),3)</f>
        <v>短裤</v>
      </c>
      <c r="H24" s="5">
        <v>45834</v>
      </c>
      <c r="I24" s="5">
        <v>1487324.81</v>
      </c>
      <c r="J24" s="6">
        <v>0.0019</v>
      </c>
      <c r="K24" s="6">
        <v>0.3727</v>
      </c>
    </row>
    <row r="25" ht="14.5" spans="1:11">
      <c r="A25" s="3" t="str">
        <f t="shared" si="3"/>
        <v>2026年</v>
      </c>
      <c r="B25" s="3" t="str">
        <f t="shared" si="4"/>
        <v>1月</v>
      </c>
      <c r="C25" s="4" t="str">
        <f t="shared" si="5"/>
        <v>W1</v>
      </c>
      <c r="D25" s="2" t="s">
        <v>701</v>
      </c>
      <c r="E25" s="2" t="s">
        <v>827</v>
      </c>
      <c r="F25" s="2" t="str" cm="1">
        <f t="array" ref="F25">INDEX(_xlfn.TEXTSPLIT(E25,"-"),2)</f>
        <v>男装</v>
      </c>
      <c r="G25" s="2" t="str" cm="1">
        <f t="array" ref="G25">INDEX(_xlfn.TEXTSPLIT(E25,"-"),3)</f>
        <v>紧身衣</v>
      </c>
      <c r="H25" s="5">
        <v>615</v>
      </c>
      <c r="I25" s="5">
        <v>24958.3</v>
      </c>
      <c r="J25" s="2" t="s">
        <v>713</v>
      </c>
      <c r="K25" s="6">
        <v>0.8969</v>
      </c>
    </row>
    <row r="26" ht="14.5" spans="1:11">
      <c r="A26" s="3" t="str">
        <f t="shared" si="3"/>
        <v>2026年</v>
      </c>
      <c r="B26" s="3" t="str">
        <f t="shared" si="4"/>
        <v>1月</v>
      </c>
      <c r="C26" s="4" t="str">
        <f t="shared" si="5"/>
        <v>W1</v>
      </c>
      <c r="D26" s="2" t="s">
        <v>701</v>
      </c>
      <c r="E26" s="2" t="s">
        <v>828</v>
      </c>
      <c r="F26" s="2" t="str" cm="1">
        <f t="array" ref="F26">INDEX(_xlfn.TEXTSPLIT(E26,"-"),2)</f>
        <v>男装</v>
      </c>
      <c r="G26" s="2" t="str" cm="1">
        <f t="array" ref="G26">INDEX(_xlfn.TEXTSPLIT(E26,"-"),3)</f>
        <v>羊毛衫</v>
      </c>
      <c r="H26" s="5">
        <v>111614</v>
      </c>
      <c r="I26" s="5">
        <v>17442481.82</v>
      </c>
      <c r="J26" s="6">
        <v>0.0224</v>
      </c>
      <c r="K26" s="6">
        <v>0.1972</v>
      </c>
    </row>
    <row r="27" ht="14.5" spans="1:11">
      <c r="A27" s="3" t="str">
        <f t="shared" si="3"/>
        <v>2026年</v>
      </c>
      <c r="B27" s="3" t="str">
        <f t="shared" si="4"/>
        <v>1月</v>
      </c>
      <c r="C27" s="4" t="str">
        <f t="shared" si="5"/>
        <v>W1</v>
      </c>
      <c r="D27" s="2" t="s">
        <v>701</v>
      </c>
      <c r="E27" s="2" t="s">
        <v>829</v>
      </c>
      <c r="F27" s="2" t="str" cm="1">
        <f t="array" ref="F27">INDEX(_xlfn.TEXTSPLIT(E27,"-"),2)</f>
        <v>男装</v>
      </c>
      <c r="G27" s="2" t="str" cm="1">
        <f t="array" ref="G27">INDEX(_xlfn.TEXTSPLIT(E27,"-"),3)</f>
        <v>羊绒衫</v>
      </c>
      <c r="H27" s="5">
        <v>27462</v>
      </c>
      <c r="I27" s="5">
        <v>7802130.54</v>
      </c>
      <c r="J27" s="7">
        <v>0.01</v>
      </c>
      <c r="K27" s="6">
        <v>0.104</v>
      </c>
    </row>
    <row r="28" ht="14.5" spans="1:11">
      <c r="A28" s="3" t="str">
        <f t="shared" si="3"/>
        <v>2026年</v>
      </c>
      <c r="B28" s="3" t="str">
        <f t="shared" si="4"/>
        <v>1月</v>
      </c>
      <c r="C28" s="4" t="str">
        <f t="shared" si="5"/>
        <v>W1</v>
      </c>
      <c r="D28" s="2" t="s">
        <v>701</v>
      </c>
      <c r="E28" s="2" t="s">
        <v>830</v>
      </c>
      <c r="F28" s="2" t="str" cm="1">
        <f t="array" ref="F28">INDEX(_xlfn.TEXTSPLIT(E28,"-"),2)</f>
        <v>男装</v>
      </c>
      <c r="G28" s="2" t="str" cm="1">
        <f t="array" ref="G28">INDEX(_xlfn.TEXTSPLIT(E28,"-"),3)</f>
        <v>羽绒服</v>
      </c>
      <c r="H28" s="5">
        <v>535088</v>
      </c>
      <c r="I28" s="5">
        <v>208109384.6</v>
      </c>
      <c r="J28" s="6">
        <v>0.2668</v>
      </c>
      <c r="K28" s="6">
        <v>-0.0654</v>
      </c>
    </row>
    <row r="29" ht="14.5" spans="1:11">
      <c r="A29" s="3" t="str">
        <f t="shared" si="3"/>
        <v>2026年</v>
      </c>
      <c r="B29" s="3" t="str">
        <f t="shared" si="4"/>
        <v>1月</v>
      </c>
      <c r="C29" s="4" t="str">
        <f t="shared" si="5"/>
        <v>W1</v>
      </c>
      <c r="D29" s="2" t="s">
        <v>701</v>
      </c>
      <c r="E29" s="2" t="s">
        <v>831</v>
      </c>
      <c r="F29" s="2" t="str" cm="1">
        <f t="array" ref="F29">INDEX(_xlfn.TEXTSPLIT(E29,"-"),2)</f>
        <v>男装</v>
      </c>
      <c r="G29" s="2" t="str" cm="1">
        <f t="array" ref="G29">INDEX(_xlfn.TEXTSPLIT(E29,"-"),3)</f>
        <v>羽绒裤</v>
      </c>
      <c r="H29" s="5">
        <v>17133</v>
      </c>
      <c r="I29" s="5">
        <v>2730819.37</v>
      </c>
      <c r="J29" s="6">
        <v>0.0035</v>
      </c>
      <c r="K29" s="6">
        <v>-0.0039</v>
      </c>
    </row>
    <row r="30" ht="14.5" spans="1:11">
      <c r="A30" s="3" t="str">
        <f t="shared" si="3"/>
        <v>2026年</v>
      </c>
      <c r="B30" s="3" t="str">
        <f t="shared" si="4"/>
        <v>1月</v>
      </c>
      <c r="C30" s="4" t="str">
        <f t="shared" si="5"/>
        <v>W1</v>
      </c>
      <c r="D30" s="2" t="s">
        <v>701</v>
      </c>
      <c r="E30" s="2" t="s">
        <v>832</v>
      </c>
      <c r="F30" s="2" t="str" cm="1">
        <f t="array" ref="F30">INDEX(_xlfn.TEXTSPLIT(E30,"-"),2)</f>
        <v>男装</v>
      </c>
      <c r="G30" s="2" t="str" cm="1">
        <f t="array" ref="G30">INDEX(_xlfn.TEXTSPLIT(E30,"-"),3)</f>
        <v>羽绒马甲</v>
      </c>
      <c r="H30" s="5">
        <v>15114</v>
      </c>
      <c r="I30" s="5">
        <v>2973789.31</v>
      </c>
      <c r="J30" s="6">
        <v>0.0038</v>
      </c>
      <c r="K30" s="6">
        <v>-0.1051</v>
      </c>
    </row>
    <row r="31" ht="14.5" spans="1:11">
      <c r="A31" s="3" t="str">
        <f t="shared" si="3"/>
        <v>2026年</v>
      </c>
      <c r="B31" s="3" t="str">
        <f t="shared" si="4"/>
        <v>1月</v>
      </c>
      <c r="C31" s="4" t="str">
        <f t="shared" si="5"/>
        <v>W1</v>
      </c>
      <c r="D31" s="2" t="s">
        <v>701</v>
      </c>
      <c r="E31" s="2" t="s">
        <v>833</v>
      </c>
      <c r="F31" s="2" t="str" cm="1">
        <f t="array" ref="F31">INDEX(_xlfn.TEXTSPLIT(E31,"-"),2)</f>
        <v>男装</v>
      </c>
      <c r="G31" s="2" t="str" cm="1">
        <f t="array" ref="G31">INDEX(_xlfn.TEXTSPLIT(E31,"-"),3)</f>
        <v>背心</v>
      </c>
      <c r="H31" s="5">
        <v>42864</v>
      </c>
      <c r="I31" s="5">
        <v>2515654.92</v>
      </c>
      <c r="J31" s="6">
        <v>0.0032</v>
      </c>
      <c r="K31" s="6">
        <v>-0.3478</v>
      </c>
    </row>
    <row r="32" ht="14.5" spans="1:11">
      <c r="A32" s="3" t="str">
        <f t="shared" si="3"/>
        <v>2026年</v>
      </c>
      <c r="B32" s="3" t="str">
        <f t="shared" si="4"/>
        <v>1月</v>
      </c>
      <c r="C32" s="4" t="str">
        <f t="shared" si="5"/>
        <v>W1</v>
      </c>
      <c r="D32" s="2" t="s">
        <v>701</v>
      </c>
      <c r="E32" s="2" t="s">
        <v>834</v>
      </c>
      <c r="F32" s="2" t="str" cm="1">
        <f t="array" ref="F32">INDEX(_xlfn.TEXTSPLIT(E32,"-"),2)</f>
        <v>男装</v>
      </c>
      <c r="G32" s="2" t="str" cm="1">
        <f t="array" ref="G32">INDEX(_xlfn.TEXTSPLIT(E32,"-"),3)</f>
        <v>衬衫</v>
      </c>
      <c r="H32" s="5">
        <v>80764</v>
      </c>
      <c r="I32" s="5">
        <v>9473817.72</v>
      </c>
      <c r="J32" s="6">
        <v>0.0121</v>
      </c>
      <c r="K32" s="6">
        <v>0.0874</v>
      </c>
    </row>
    <row r="33" ht="14.5" spans="1:11">
      <c r="A33" s="3" t="str">
        <f t="shared" si="3"/>
        <v>2026年</v>
      </c>
      <c r="B33" s="3" t="str">
        <f t="shared" si="4"/>
        <v>1月</v>
      </c>
      <c r="C33" s="4" t="str">
        <f t="shared" si="5"/>
        <v>W1</v>
      </c>
      <c r="D33" s="2" t="s">
        <v>701</v>
      </c>
      <c r="E33" s="2" t="s">
        <v>835</v>
      </c>
      <c r="F33" s="2" t="str" cm="1">
        <f t="array" ref="F33">INDEX(_xlfn.TEXTSPLIT(E33,"-"),2)</f>
        <v>男装</v>
      </c>
      <c r="G33" s="2" t="str" cm="1">
        <f t="array" ref="G33">INDEX(_xlfn.TEXTSPLIT(E33,"-"),3)</f>
        <v>西服</v>
      </c>
      <c r="H33" s="5">
        <v>63687</v>
      </c>
      <c r="I33" s="5">
        <v>13378058.58</v>
      </c>
      <c r="J33" s="6">
        <v>0.0171</v>
      </c>
      <c r="K33" s="6">
        <v>0.0846</v>
      </c>
    </row>
    <row r="34" ht="14.5" spans="1:11">
      <c r="A34" s="3" t="str">
        <f t="shared" si="3"/>
        <v>2026年</v>
      </c>
      <c r="B34" s="3" t="str">
        <f t="shared" si="4"/>
        <v>1月</v>
      </c>
      <c r="C34" s="4" t="str">
        <f t="shared" si="5"/>
        <v>W1</v>
      </c>
      <c r="D34" s="2" t="s">
        <v>701</v>
      </c>
      <c r="E34" s="2" t="s">
        <v>836</v>
      </c>
      <c r="F34" s="2" t="str" cm="1">
        <f t="array" ref="F34">INDEX(_xlfn.TEXTSPLIT(E34,"-"),2)</f>
        <v>男装</v>
      </c>
      <c r="G34" s="2" t="str" cm="1">
        <f t="array" ref="G34">INDEX(_xlfn.TEXTSPLIT(E34,"-"),3)</f>
        <v>连体衣/裤</v>
      </c>
      <c r="H34" s="5">
        <v>865</v>
      </c>
      <c r="I34" s="5">
        <v>33899.94</v>
      </c>
      <c r="J34" s="2" t="s">
        <v>713</v>
      </c>
      <c r="K34" s="6">
        <v>0.6714</v>
      </c>
    </row>
    <row r="35" ht="14.5" spans="1:11">
      <c r="A35" s="3" t="str">
        <f t="shared" si="3"/>
        <v>2026年</v>
      </c>
      <c r="B35" s="3" t="str">
        <f t="shared" si="4"/>
        <v>1月</v>
      </c>
      <c r="C35" s="4" t="str">
        <f t="shared" si="5"/>
        <v>W1</v>
      </c>
      <c r="D35" s="2" t="s">
        <v>701</v>
      </c>
      <c r="E35" s="2" t="s">
        <v>837</v>
      </c>
      <c r="F35" s="2" t="str" cm="1">
        <f t="array" ref="F35">INDEX(_xlfn.TEXTSPLIT(E35,"-"),2)</f>
        <v>男装</v>
      </c>
      <c r="G35" s="2" t="str" cm="1">
        <f t="array" ref="G35">INDEX(_xlfn.TEXTSPLIT(E35,"-"),3)</f>
        <v>速干/三防T恤</v>
      </c>
      <c r="H35" s="5">
        <v>3694</v>
      </c>
      <c r="I35" s="5">
        <v>107540.85</v>
      </c>
      <c r="J35" s="6">
        <v>0.0001</v>
      </c>
      <c r="K35" s="6">
        <v>-0.0882</v>
      </c>
    </row>
    <row r="36" ht="14.5" spans="1:11">
      <c r="A36" s="3" t="str">
        <f t="shared" si="3"/>
        <v>2026年</v>
      </c>
      <c r="B36" s="3" t="str">
        <f t="shared" si="4"/>
        <v>1月</v>
      </c>
      <c r="C36" s="4" t="str">
        <f t="shared" si="5"/>
        <v>W1</v>
      </c>
      <c r="D36" s="2" t="s">
        <v>701</v>
      </c>
      <c r="E36" s="2" t="s">
        <v>838</v>
      </c>
      <c r="F36" s="2" t="str" cm="1">
        <f t="array" ref="F36">INDEX(_xlfn.TEXTSPLIT(E36,"-"),2)</f>
        <v>男装</v>
      </c>
      <c r="G36" s="2" t="str" cm="1">
        <f t="array" ref="G36">INDEX(_xlfn.TEXTSPLIT(E36,"-"),3)</f>
        <v>针织衫/毛衣</v>
      </c>
      <c r="H36" s="5">
        <v>375666</v>
      </c>
      <c r="I36" s="5">
        <v>43408665.21</v>
      </c>
      <c r="J36" s="6">
        <v>0.0556</v>
      </c>
      <c r="K36" s="6">
        <v>0.0952</v>
      </c>
    </row>
    <row r="37" ht="14.5" spans="1:11">
      <c r="A37" s="3" t="str">
        <f t="shared" si="3"/>
        <v>2026年</v>
      </c>
      <c r="B37" s="3" t="str">
        <f t="shared" si="4"/>
        <v>1月</v>
      </c>
      <c r="C37" s="4" t="str">
        <f t="shared" si="5"/>
        <v>W1</v>
      </c>
      <c r="D37" s="2" t="s">
        <v>701</v>
      </c>
      <c r="E37" s="2" t="s">
        <v>839</v>
      </c>
      <c r="F37" s="2" t="str" cm="1">
        <f t="array" ref="F37">INDEX(_xlfn.TEXTSPLIT(E37,"-"),2)</f>
        <v>男装</v>
      </c>
      <c r="G37" s="2" t="str" cm="1">
        <f t="array" ref="G37">INDEX(_xlfn.TEXTSPLIT(E37,"-"),3)</f>
        <v>防晒服</v>
      </c>
      <c r="H37" s="5">
        <v>156</v>
      </c>
      <c r="I37" s="5">
        <v>11915.54</v>
      </c>
      <c r="J37" s="2" t="s">
        <v>713</v>
      </c>
      <c r="K37" s="6">
        <v>-0.2042</v>
      </c>
    </row>
    <row r="38" ht="14.5" spans="1:11">
      <c r="A38" s="3" t="str">
        <f t="shared" si="3"/>
        <v>2026年</v>
      </c>
      <c r="B38" s="3" t="str">
        <f t="shared" si="4"/>
        <v>1月</v>
      </c>
      <c r="C38" s="4" t="str">
        <f t="shared" si="5"/>
        <v>W1</v>
      </c>
      <c r="D38" s="2" t="s">
        <v>701</v>
      </c>
      <c r="E38" s="2" t="s">
        <v>840</v>
      </c>
      <c r="F38" s="2" t="str" cm="1">
        <f t="array" ref="F38">INDEX(_xlfn.TEXTSPLIT(E38,"-"),2)</f>
        <v>男装</v>
      </c>
      <c r="G38" s="2" t="str" cm="1">
        <f t="array" ref="G38">INDEX(_xlfn.TEXTSPLIT(E38,"-"),3)</f>
        <v>风衣</v>
      </c>
      <c r="H38" s="5">
        <v>4924</v>
      </c>
      <c r="I38" s="5">
        <v>1690168.03</v>
      </c>
      <c r="J38" s="6">
        <v>0.0022</v>
      </c>
      <c r="K38" s="6">
        <v>0.1158</v>
      </c>
    </row>
    <row r="39" ht="14.5" spans="1:11">
      <c r="A39" s="3" t="str">
        <f t="shared" si="3"/>
        <v>2026年</v>
      </c>
      <c r="B39" s="3" t="str">
        <f t="shared" si="4"/>
        <v>1月</v>
      </c>
      <c r="C39" s="4" t="str">
        <f t="shared" si="5"/>
        <v>W1</v>
      </c>
      <c r="D39" s="2" t="s">
        <v>701</v>
      </c>
      <c r="E39" s="2" t="s">
        <v>841</v>
      </c>
      <c r="F39" s="2" t="str" cm="1">
        <f t="array" ref="F39">INDEX(_xlfn.TEXTSPLIT(E39,"-"),2)</f>
        <v>男装</v>
      </c>
      <c r="G39" s="2" t="str" cm="1">
        <f t="array" ref="G39">INDEX(_xlfn.TEXTSPLIT(E39,"-"),3)</f>
        <v>马甲</v>
      </c>
      <c r="H39" s="5">
        <v>57341</v>
      </c>
      <c r="I39" s="5">
        <v>4314678.19</v>
      </c>
      <c r="J39" s="6">
        <v>0.0055</v>
      </c>
      <c r="K39" s="6">
        <v>0.1192</v>
      </c>
    </row>
    <row r="40" ht="14.5" spans="1:11">
      <c r="A40" s="3" t="str">
        <f t="shared" si="3"/>
        <v>2026年</v>
      </c>
      <c r="B40" s="3" t="str">
        <f t="shared" si="4"/>
        <v>1月</v>
      </c>
      <c r="C40" s="4" t="str">
        <f t="shared" si="5"/>
        <v>W1</v>
      </c>
      <c r="D40" s="2" t="s">
        <v>739</v>
      </c>
      <c r="E40" s="2" t="s">
        <v>804</v>
      </c>
      <c r="F40" s="2" t="str" cm="1">
        <f t="array" ref="F40">INDEX(_xlfn.TEXTSPLIT(E40,"-"),2)</f>
        <v>男装</v>
      </c>
      <c r="G40" s="2" t="str" cm="1">
        <f t="array" ref="G40">INDEX(_xlfn.TEXTSPLIT(E40,"-"),3)</f>
        <v>Polo衫</v>
      </c>
      <c r="H40" s="5">
        <v>47785</v>
      </c>
      <c r="I40" s="5">
        <v>4489846.09</v>
      </c>
      <c r="J40" s="6">
        <v>0.0047</v>
      </c>
      <c r="K40" s="6">
        <v>-0.0306</v>
      </c>
    </row>
    <row r="41" ht="14.5" spans="1:11">
      <c r="A41" s="3" t="str">
        <f t="shared" si="3"/>
        <v>2026年</v>
      </c>
      <c r="B41" s="3" t="str">
        <f t="shared" si="4"/>
        <v>1月</v>
      </c>
      <c r="C41" s="4" t="str">
        <f t="shared" si="5"/>
        <v>W1</v>
      </c>
      <c r="D41" s="2" t="s">
        <v>739</v>
      </c>
      <c r="E41" s="2" t="s">
        <v>805</v>
      </c>
      <c r="F41" s="2" t="str" cm="1">
        <f t="array" ref="F41">INDEX(_xlfn.TEXTSPLIT(E41,"-"),2)</f>
        <v>男装</v>
      </c>
      <c r="G41" s="2" t="str" cm="1">
        <f t="array" ref="G41">INDEX(_xlfn.TEXTSPLIT(E41,"-"),3)</f>
        <v>T恤</v>
      </c>
      <c r="H41" s="5">
        <v>473218</v>
      </c>
      <c r="I41" s="5">
        <v>31307859.67</v>
      </c>
      <c r="J41" s="6">
        <v>0.0327</v>
      </c>
      <c r="K41" s="6">
        <v>0.1934</v>
      </c>
    </row>
    <row r="42" ht="14.5" spans="1:11">
      <c r="A42" s="3" t="str">
        <f t="shared" si="3"/>
        <v>2026年</v>
      </c>
      <c r="B42" s="3" t="str">
        <f t="shared" si="4"/>
        <v>1月</v>
      </c>
      <c r="C42" s="4" t="str">
        <f t="shared" si="5"/>
        <v>W1</v>
      </c>
      <c r="D42" s="2" t="s">
        <v>739</v>
      </c>
      <c r="E42" s="2" t="s">
        <v>806</v>
      </c>
      <c r="F42" s="2" t="str" cm="1">
        <f t="array" ref="F42">INDEX(_xlfn.TEXTSPLIT(E42,"-"),2)</f>
        <v>男装</v>
      </c>
      <c r="G42" s="2" t="str" cm="1">
        <f t="array" ref="G42">INDEX(_xlfn.TEXTSPLIT(E42,"-"),3)</f>
        <v>中老年男装</v>
      </c>
      <c r="H42" s="5">
        <v>277221</v>
      </c>
      <c r="I42" s="5">
        <v>37830369.87</v>
      </c>
      <c r="J42" s="6">
        <v>0.0395</v>
      </c>
      <c r="K42" s="6">
        <v>1.239</v>
      </c>
    </row>
    <row r="43" ht="14.5" spans="1:11">
      <c r="A43" s="3" t="str">
        <f t="shared" si="3"/>
        <v>2026年</v>
      </c>
      <c r="B43" s="3" t="str">
        <f t="shared" si="4"/>
        <v>1月</v>
      </c>
      <c r="C43" s="4" t="str">
        <f t="shared" si="5"/>
        <v>W1</v>
      </c>
      <c r="D43" s="2" t="s">
        <v>739</v>
      </c>
      <c r="E43" s="2" t="s">
        <v>807</v>
      </c>
      <c r="F43" s="2" t="str" cm="1">
        <f t="array" ref="F43">INDEX(_xlfn.TEXTSPLIT(E43,"-"),2)</f>
        <v>男装</v>
      </c>
      <c r="G43" s="2" t="str" cm="1">
        <f t="array" ref="G43">INDEX(_xlfn.TEXTSPLIT(E43,"-"),3)</f>
        <v>休闲裤</v>
      </c>
      <c r="H43" s="5">
        <v>1143996</v>
      </c>
      <c r="I43" s="5">
        <v>113917681.83</v>
      </c>
      <c r="J43" s="6">
        <v>0.119</v>
      </c>
      <c r="K43" s="6">
        <v>0.155</v>
      </c>
    </row>
    <row r="44" ht="14.5" spans="1:11">
      <c r="A44" s="3" t="str">
        <f t="shared" si="3"/>
        <v>2026年</v>
      </c>
      <c r="B44" s="3" t="str">
        <f t="shared" si="4"/>
        <v>1月</v>
      </c>
      <c r="C44" s="4" t="str">
        <f t="shared" si="5"/>
        <v>W1</v>
      </c>
      <c r="D44" s="2" t="s">
        <v>739</v>
      </c>
      <c r="E44" s="2" t="s">
        <v>808</v>
      </c>
      <c r="F44" s="2" t="str" cm="1">
        <f t="array" ref="F44">INDEX(_xlfn.TEXTSPLIT(E44,"-"),2)</f>
        <v>男装</v>
      </c>
      <c r="G44" s="2" t="str" cm="1">
        <f t="array" ref="G44">INDEX(_xlfn.TEXTSPLIT(E44,"-"),3)</f>
        <v>卫衣</v>
      </c>
      <c r="H44" s="5">
        <v>692336</v>
      </c>
      <c r="I44" s="5">
        <v>54962950.46</v>
      </c>
      <c r="J44" s="6">
        <v>0.0574</v>
      </c>
      <c r="K44" s="6">
        <v>0.1025</v>
      </c>
    </row>
    <row r="45" ht="14.5" spans="1:11">
      <c r="A45" s="3" t="str">
        <f t="shared" si="3"/>
        <v>2026年</v>
      </c>
      <c r="B45" s="3" t="str">
        <f t="shared" si="4"/>
        <v>1月</v>
      </c>
      <c r="C45" s="4" t="str">
        <f t="shared" si="5"/>
        <v>W1</v>
      </c>
      <c r="D45" s="2" t="s">
        <v>739</v>
      </c>
      <c r="E45" s="2" t="s">
        <v>809</v>
      </c>
      <c r="F45" s="2" t="str" cm="1">
        <f t="array" ref="F45">INDEX(_xlfn.TEXTSPLIT(E45,"-"),2)</f>
        <v>男装</v>
      </c>
      <c r="G45" s="2" t="str" cm="1">
        <f t="array" ref="G45">INDEX(_xlfn.TEXTSPLIT(E45,"-"),3)</f>
        <v>卫裤</v>
      </c>
      <c r="H45" s="5">
        <v>296515</v>
      </c>
      <c r="I45" s="5">
        <v>27476140.29</v>
      </c>
      <c r="J45" s="6">
        <v>0.0287</v>
      </c>
      <c r="K45" s="6">
        <v>0.4394</v>
      </c>
    </row>
    <row r="46" ht="14.5" spans="1:11">
      <c r="A46" s="3" t="str">
        <f t="shared" si="3"/>
        <v>2026年</v>
      </c>
      <c r="B46" s="3" t="str">
        <f t="shared" si="4"/>
        <v>1月</v>
      </c>
      <c r="C46" s="4" t="str">
        <f t="shared" si="5"/>
        <v>W1</v>
      </c>
      <c r="D46" s="2" t="s">
        <v>739</v>
      </c>
      <c r="E46" s="2" t="s">
        <v>810</v>
      </c>
      <c r="F46" s="2" t="str" cm="1">
        <f t="array" ref="F46">INDEX(_xlfn.TEXTSPLIT(E46,"-"),2)</f>
        <v>男装</v>
      </c>
      <c r="G46" s="2" t="str" cm="1">
        <f t="array" ref="G46">INDEX(_xlfn.TEXTSPLIT(E46,"-"),3)</f>
        <v>大码男装</v>
      </c>
      <c r="H46" s="5">
        <v>43077</v>
      </c>
      <c r="I46" s="5">
        <v>4329334.08</v>
      </c>
      <c r="J46" s="6">
        <v>0.0045</v>
      </c>
      <c r="K46" s="6">
        <v>0.1116</v>
      </c>
    </row>
    <row r="47" ht="14.5" spans="1:11">
      <c r="A47" s="3" t="str">
        <f t="shared" si="3"/>
        <v>2026年</v>
      </c>
      <c r="B47" s="3" t="str">
        <f t="shared" si="4"/>
        <v>1月</v>
      </c>
      <c r="C47" s="4" t="str">
        <f t="shared" si="5"/>
        <v>W1</v>
      </c>
      <c r="D47" s="2" t="s">
        <v>739</v>
      </c>
      <c r="E47" s="2" t="s">
        <v>811</v>
      </c>
      <c r="F47" s="2" t="str" cm="1">
        <f t="array" ref="F47">INDEX(_xlfn.TEXTSPLIT(E47,"-"),2)</f>
        <v>男装</v>
      </c>
      <c r="G47" s="2" t="str" cm="1">
        <f t="array" ref="G47">INDEX(_xlfn.TEXTSPLIT(E47,"-"),3)</f>
        <v>夹克</v>
      </c>
      <c r="H47" s="5">
        <v>476640</v>
      </c>
      <c r="I47" s="5">
        <v>78850516.07</v>
      </c>
      <c r="J47" s="6">
        <v>0.0824</v>
      </c>
      <c r="K47" s="6">
        <v>0.1824</v>
      </c>
    </row>
    <row r="48" ht="14.5" spans="1:11">
      <c r="A48" s="3" t="str">
        <f t="shared" si="3"/>
        <v>2026年</v>
      </c>
      <c r="B48" s="3" t="str">
        <f t="shared" si="4"/>
        <v>1月</v>
      </c>
      <c r="C48" s="4" t="str">
        <f t="shared" si="5"/>
        <v>W1</v>
      </c>
      <c r="D48" s="2" t="s">
        <v>739</v>
      </c>
      <c r="E48" s="2" t="s">
        <v>812</v>
      </c>
      <c r="F48" s="2" t="str" cm="1">
        <f t="array" ref="F48">INDEX(_xlfn.TEXTSPLIT(E48,"-"),2)</f>
        <v>男装</v>
      </c>
      <c r="G48" s="2" t="str" cm="1">
        <f t="array" ref="G48">INDEX(_xlfn.TEXTSPLIT(E48,"-"),3)</f>
        <v>套装</v>
      </c>
      <c r="H48" s="5">
        <v>54256</v>
      </c>
      <c r="I48" s="5">
        <v>8290018.21</v>
      </c>
      <c r="J48" s="6">
        <v>0.0087</v>
      </c>
      <c r="K48" s="7">
        <v>0.35</v>
      </c>
    </row>
    <row r="49" ht="14.5" spans="1:11">
      <c r="A49" s="3" t="str">
        <f t="shared" si="3"/>
        <v>2026年</v>
      </c>
      <c r="B49" s="3" t="str">
        <f t="shared" si="4"/>
        <v>1月</v>
      </c>
      <c r="C49" s="4" t="str">
        <f t="shared" si="5"/>
        <v>W1</v>
      </c>
      <c r="D49" s="2" t="s">
        <v>739</v>
      </c>
      <c r="E49" s="2" t="s">
        <v>813</v>
      </c>
      <c r="F49" s="2" t="str" cm="1">
        <f t="array" ref="F49">INDEX(_xlfn.TEXTSPLIT(E49,"-"),2)</f>
        <v>男装</v>
      </c>
      <c r="G49" s="2" t="str" cm="1">
        <f t="array" ref="G49">INDEX(_xlfn.TEXTSPLIT(E49,"-"),3)</f>
        <v>学生校服</v>
      </c>
      <c r="H49" s="5">
        <v>114</v>
      </c>
      <c r="I49" s="5">
        <v>9809.42</v>
      </c>
      <c r="J49" s="2" t="s">
        <v>713</v>
      </c>
      <c r="K49" s="6">
        <v>0.9097</v>
      </c>
    </row>
    <row r="50" ht="14.5" spans="1:11">
      <c r="A50" s="3" t="str">
        <f t="shared" si="3"/>
        <v>2026年</v>
      </c>
      <c r="B50" s="3" t="str">
        <f t="shared" si="4"/>
        <v>1月</v>
      </c>
      <c r="C50" s="4" t="str">
        <f t="shared" si="5"/>
        <v>W1</v>
      </c>
      <c r="D50" s="2" t="s">
        <v>739</v>
      </c>
      <c r="E50" s="2" t="s">
        <v>814</v>
      </c>
      <c r="F50" s="2" t="str" cm="1">
        <f t="array" ref="F50">INDEX(_xlfn.TEXTSPLIT(E50,"-"),2)</f>
        <v>男装</v>
      </c>
      <c r="G50" s="2" t="str" cm="1">
        <f t="array" ref="G50">INDEX(_xlfn.TEXTSPLIT(E50,"-"),3)</f>
        <v>打底衫</v>
      </c>
      <c r="H50" s="5">
        <v>27843</v>
      </c>
      <c r="I50" s="5">
        <v>1124144.41</v>
      </c>
      <c r="J50" s="6">
        <v>0.0012</v>
      </c>
      <c r="K50" s="6">
        <v>0.2431</v>
      </c>
    </row>
    <row r="51" ht="14.5" spans="1:11">
      <c r="A51" s="3" t="str">
        <f t="shared" si="3"/>
        <v>2026年</v>
      </c>
      <c r="B51" s="3" t="str">
        <f t="shared" si="4"/>
        <v>1月</v>
      </c>
      <c r="C51" s="4" t="str">
        <f t="shared" si="5"/>
        <v>W1</v>
      </c>
      <c r="D51" s="2" t="s">
        <v>739</v>
      </c>
      <c r="E51" s="2" t="s">
        <v>815</v>
      </c>
      <c r="F51" s="2" t="str" cm="1">
        <f t="array" ref="F51">INDEX(_xlfn.TEXTSPLIT(E51,"-"),2)</f>
        <v>男装</v>
      </c>
      <c r="G51" s="2" t="str" cm="1">
        <f t="array" ref="G51">INDEX(_xlfn.TEXTSPLIT(E51,"-"),3)</f>
        <v>新中式男装</v>
      </c>
      <c r="H51" s="5">
        <v>379</v>
      </c>
      <c r="I51" s="5">
        <v>37176.42</v>
      </c>
      <c r="J51" s="2" t="s">
        <v>713</v>
      </c>
      <c r="K51" s="6">
        <v>-0.2738</v>
      </c>
    </row>
    <row r="52" ht="14.5" spans="1:11">
      <c r="A52" s="3" t="str">
        <f t="shared" si="3"/>
        <v>2026年</v>
      </c>
      <c r="B52" s="3" t="str">
        <f t="shared" si="4"/>
        <v>1月</v>
      </c>
      <c r="C52" s="4" t="str">
        <f t="shared" si="5"/>
        <v>W1</v>
      </c>
      <c r="D52" s="2" t="s">
        <v>739</v>
      </c>
      <c r="E52" s="2" t="s">
        <v>816</v>
      </c>
      <c r="F52" s="2" t="str" cm="1">
        <f t="array" ref="F52">INDEX(_xlfn.TEXTSPLIT(E52,"-"),2)</f>
        <v>男装</v>
      </c>
      <c r="G52" s="2" t="str" cm="1">
        <f t="array" ref="G52">INDEX(_xlfn.TEXTSPLIT(E52,"-"),3)</f>
        <v>棉衣</v>
      </c>
      <c r="H52" s="5">
        <v>492270</v>
      </c>
      <c r="I52" s="5">
        <v>63526469.7</v>
      </c>
      <c r="J52" s="6">
        <v>0.0664</v>
      </c>
      <c r="K52" s="6">
        <v>0.3288</v>
      </c>
    </row>
    <row r="53" ht="14.5" spans="1:11">
      <c r="A53" s="3" t="str">
        <f t="shared" si="3"/>
        <v>2026年</v>
      </c>
      <c r="B53" s="3" t="str">
        <f t="shared" si="4"/>
        <v>1月</v>
      </c>
      <c r="C53" s="4" t="str">
        <f t="shared" si="5"/>
        <v>W1</v>
      </c>
      <c r="D53" s="2" t="s">
        <v>739</v>
      </c>
      <c r="E53" s="2" t="s">
        <v>817</v>
      </c>
      <c r="F53" s="2" t="str" cm="1">
        <f t="array" ref="F53">INDEX(_xlfn.TEXTSPLIT(E53,"-"),2)</f>
        <v>男装</v>
      </c>
      <c r="G53" s="2" t="str" cm="1">
        <f t="array" ref="G53">INDEX(_xlfn.TEXTSPLIT(E53,"-"),3)</f>
        <v>棉裤</v>
      </c>
      <c r="H53" s="5">
        <v>53985</v>
      </c>
      <c r="I53" s="5">
        <v>3787522.64</v>
      </c>
      <c r="J53" s="6">
        <v>0.004</v>
      </c>
      <c r="K53" s="6">
        <v>0.1961</v>
      </c>
    </row>
    <row r="54" ht="14.5" spans="1:11">
      <c r="A54" s="3" t="str">
        <f t="shared" si="3"/>
        <v>2026年</v>
      </c>
      <c r="B54" s="3" t="str">
        <f t="shared" si="4"/>
        <v>1月</v>
      </c>
      <c r="C54" s="4" t="str">
        <f t="shared" si="5"/>
        <v>W1</v>
      </c>
      <c r="D54" s="2" t="s">
        <v>739</v>
      </c>
      <c r="E54" s="2" t="s">
        <v>818</v>
      </c>
      <c r="F54" s="2" t="str" cm="1">
        <f t="array" ref="F54">INDEX(_xlfn.TEXTSPLIT(E54,"-"),2)</f>
        <v>男装</v>
      </c>
      <c r="G54" s="2" t="str" cm="1">
        <f t="array" ref="G54">INDEX(_xlfn.TEXTSPLIT(E54,"-"),3)</f>
        <v>毛呢大衣</v>
      </c>
      <c r="H54" s="5">
        <v>42864</v>
      </c>
      <c r="I54" s="5">
        <v>19979811.91</v>
      </c>
      <c r="J54" s="6">
        <v>0.0209</v>
      </c>
      <c r="K54" s="6">
        <v>0.0847</v>
      </c>
    </row>
    <row r="55" ht="14.5" spans="1:11">
      <c r="A55" s="3" t="str">
        <f t="shared" si="3"/>
        <v>2026年</v>
      </c>
      <c r="B55" s="3" t="str">
        <f t="shared" si="4"/>
        <v>1月</v>
      </c>
      <c r="C55" s="4" t="str">
        <f t="shared" si="5"/>
        <v>W1</v>
      </c>
      <c r="D55" s="2" t="s">
        <v>739</v>
      </c>
      <c r="E55" s="2" t="s">
        <v>819</v>
      </c>
      <c r="F55" s="2" t="str" cm="1">
        <f t="array" ref="F55">INDEX(_xlfn.TEXTSPLIT(E55,"-"),2)</f>
        <v>男装</v>
      </c>
      <c r="G55" s="2" t="str" cm="1">
        <f t="array" ref="G55">INDEX(_xlfn.TEXTSPLIT(E55,"-"),3)</f>
        <v>民族服装</v>
      </c>
      <c r="H55" s="5">
        <v>6678</v>
      </c>
      <c r="I55" s="5">
        <v>1643126.76</v>
      </c>
      <c r="J55" s="6">
        <v>0.0017</v>
      </c>
      <c r="K55" s="6">
        <v>0.0708</v>
      </c>
    </row>
    <row r="56" ht="14.5" spans="1:11">
      <c r="A56" s="3" t="str">
        <f t="shared" si="3"/>
        <v>2026年</v>
      </c>
      <c r="B56" s="3" t="str">
        <f t="shared" si="4"/>
        <v>1月</v>
      </c>
      <c r="C56" s="4" t="str">
        <f t="shared" si="5"/>
        <v>W1</v>
      </c>
      <c r="D56" s="2" t="s">
        <v>739</v>
      </c>
      <c r="E56" s="2" t="s">
        <v>820</v>
      </c>
      <c r="F56" s="2" t="str" cm="1">
        <f t="array" ref="F56">INDEX(_xlfn.TEXTSPLIT(E56,"-"),2)</f>
        <v>男装</v>
      </c>
      <c r="G56" s="2" t="str" cm="1">
        <f t="array" ref="G56">INDEX(_xlfn.TEXTSPLIT(E56,"-"),3)</f>
        <v>派克服</v>
      </c>
      <c r="H56" s="5">
        <v>22428</v>
      </c>
      <c r="I56" s="5">
        <v>4227101.11</v>
      </c>
      <c r="J56" s="6">
        <v>0.0044</v>
      </c>
      <c r="K56" s="6">
        <v>0.144</v>
      </c>
    </row>
    <row r="57" ht="14.5" spans="1:11">
      <c r="A57" s="3" t="str">
        <f t="shared" si="3"/>
        <v>2026年</v>
      </c>
      <c r="B57" s="3" t="str">
        <f t="shared" si="4"/>
        <v>1月</v>
      </c>
      <c r="C57" s="4" t="str">
        <f t="shared" si="5"/>
        <v>W1</v>
      </c>
      <c r="D57" s="2" t="s">
        <v>739</v>
      </c>
      <c r="E57" s="2" t="s">
        <v>821</v>
      </c>
      <c r="F57" s="2" t="str" cm="1">
        <f t="array" ref="F57">INDEX(_xlfn.TEXTSPLIT(E57,"-"),2)</f>
        <v>男装</v>
      </c>
      <c r="G57" s="2" t="str" cm="1">
        <f t="array" ref="G57">INDEX(_xlfn.TEXTSPLIT(E57,"-"),3)</f>
        <v>牛仔裤</v>
      </c>
      <c r="H57" s="5">
        <v>655426</v>
      </c>
      <c r="I57" s="5">
        <v>70808801.9</v>
      </c>
      <c r="J57" s="6">
        <v>0.074</v>
      </c>
      <c r="K57" s="6">
        <v>0.1259</v>
      </c>
    </row>
    <row r="58" ht="14.5" spans="1:11">
      <c r="A58" s="3" t="str">
        <f t="shared" si="3"/>
        <v>2026年</v>
      </c>
      <c r="B58" s="3" t="str">
        <f t="shared" si="4"/>
        <v>1月</v>
      </c>
      <c r="C58" s="4" t="str">
        <f t="shared" si="5"/>
        <v>W1</v>
      </c>
      <c r="D58" s="2" t="s">
        <v>739</v>
      </c>
      <c r="E58" s="2" t="s">
        <v>822</v>
      </c>
      <c r="F58" s="2" t="str" cm="1">
        <f t="array" ref="F58">INDEX(_xlfn.TEXTSPLIT(E58,"-"),2)</f>
        <v>男装</v>
      </c>
      <c r="G58" s="2" t="str" cm="1">
        <f t="array" ref="G58">INDEX(_xlfn.TEXTSPLIT(E58,"-"),3)</f>
        <v>皮草</v>
      </c>
      <c r="H58" s="5">
        <v>6837</v>
      </c>
      <c r="I58" s="5">
        <v>8536492.24</v>
      </c>
      <c r="J58" s="6">
        <v>0.0089</v>
      </c>
      <c r="K58" s="6">
        <v>0.0978</v>
      </c>
    </row>
    <row r="59" ht="14.5" spans="1:11">
      <c r="A59" s="3" t="str">
        <f t="shared" si="3"/>
        <v>2026年</v>
      </c>
      <c r="B59" s="3" t="str">
        <f t="shared" si="4"/>
        <v>1月</v>
      </c>
      <c r="C59" s="4" t="str">
        <f t="shared" si="5"/>
        <v>W1</v>
      </c>
      <c r="D59" s="2" t="s">
        <v>739</v>
      </c>
      <c r="E59" s="2" t="s">
        <v>823</v>
      </c>
      <c r="F59" s="2" t="str" cm="1">
        <f t="array" ref="F59">INDEX(_xlfn.TEXTSPLIT(E59,"-"),2)</f>
        <v>男装</v>
      </c>
      <c r="G59" s="2" t="str" cm="1">
        <f t="array" ref="G59">INDEX(_xlfn.TEXTSPLIT(E59,"-"),3)</f>
        <v>皮衣</v>
      </c>
      <c r="H59" s="5">
        <v>63732</v>
      </c>
      <c r="I59" s="5">
        <v>26564745.24</v>
      </c>
      <c r="J59" s="6">
        <v>0.0278</v>
      </c>
      <c r="K59" s="6">
        <v>0.1676</v>
      </c>
    </row>
    <row r="60" ht="14.5" spans="1:11">
      <c r="A60" s="3" t="str">
        <f t="shared" si="3"/>
        <v>2026年</v>
      </c>
      <c r="B60" s="3" t="str">
        <f t="shared" si="4"/>
        <v>1月</v>
      </c>
      <c r="C60" s="4" t="str">
        <f t="shared" si="5"/>
        <v>W1</v>
      </c>
      <c r="D60" s="2" t="s">
        <v>739</v>
      </c>
      <c r="E60" s="2" t="s">
        <v>824</v>
      </c>
      <c r="F60" s="2" t="str" cm="1">
        <f t="array" ref="F60">INDEX(_xlfn.TEXTSPLIT(E60,"-"),2)</f>
        <v>男装</v>
      </c>
      <c r="G60" s="2" t="str" cm="1">
        <f t="array" ref="G60">INDEX(_xlfn.TEXTSPLIT(E60,"-"),3)</f>
        <v>皮裤</v>
      </c>
      <c r="H60" s="5">
        <v>4826</v>
      </c>
      <c r="I60" s="5">
        <v>625602.12</v>
      </c>
      <c r="J60" s="6">
        <v>0.0007</v>
      </c>
      <c r="K60" s="6">
        <v>-0.0269</v>
      </c>
    </row>
    <row r="61" ht="14.5" spans="1:11">
      <c r="A61" s="3" t="str">
        <f t="shared" si="3"/>
        <v>2026年</v>
      </c>
      <c r="B61" s="3" t="str">
        <f t="shared" si="4"/>
        <v>1月</v>
      </c>
      <c r="C61" s="4" t="str">
        <f t="shared" si="5"/>
        <v>W1</v>
      </c>
      <c r="D61" s="2" t="s">
        <v>739</v>
      </c>
      <c r="E61" s="2" t="s">
        <v>825</v>
      </c>
      <c r="F61" s="2" t="str" cm="1">
        <f t="array" ref="F61">INDEX(_xlfn.TEXTSPLIT(E61,"-"),2)</f>
        <v>男装</v>
      </c>
      <c r="G61" s="2" t="str" cm="1">
        <f t="array" ref="G61">INDEX(_xlfn.TEXTSPLIT(E61,"-"),3)</f>
        <v>短外套</v>
      </c>
      <c r="H61" s="5">
        <v>31873</v>
      </c>
      <c r="I61" s="5">
        <v>3932366.17</v>
      </c>
      <c r="J61" s="6">
        <v>0.0041</v>
      </c>
      <c r="K61" s="6">
        <v>0.374</v>
      </c>
    </row>
    <row r="62" ht="14.5" spans="1:11">
      <c r="A62" s="3" t="str">
        <f t="shared" si="3"/>
        <v>2026年</v>
      </c>
      <c r="B62" s="3" t="str">
        <f t="shared" si="4"/>
        <v>1月</v>
      </c>
      <c r="C62" s="4" t="str">
        <f t="shared" si="5"/>
        <v>W1</v>
      </c>
      <c r="D62" s="2" t="s">
        <v>739</v>
      </c>
      <c r="E62" s="2" t="s">
        <v>826</v>
      </c>
      <c r="F62" s="2" t="str" cm="1">
        <f t="array" ref="F62">INDEX(_xlfn.TEXTSPLIT(E62,"-"),2)</f>
        <v>男装</v>
      </c>
      <c r="G62" s="2" t="str" cm="1">
        <f t="array" ref="G62">INDEX(_xlfn.TEXTSPLIT(E62,"-"),3)</f>
        <v>短裤</v>
      </c>
      <c r="H62" s="5">
        <v>49748</v>
      </c>
      <c r="I62" s="5">
        <v>1462956.09</v>
      </c>
      <c r="J62" s="6">
        <v>0.0015</v>
      </c>
      <c r="K62" s="6">
        <v>-0.0164</v>
      </c>
    </row>
    <row r="63" ht="14.5" spans="1:11">
      <c r="A63" s="3" t="str">
        <f t="shared" si="3"/>
        <v>2026年</v>
      </c>
      <c r="B63" s="3" t="str">
        <f t="shared" si="4"/>
        <v>1月</v>
      </c>
      <c r="C63" s="4" t="str">
        <f t="shared" si="5"/>
        <v>W1</v>
      </c>
      <c r="D63" s="2" t="s">
        <v>739</v>
      </c>
      <c r="E63" s="2" t="s">
        <v>827</v>
      </c>
      <c r="F63" s="2" t="str" cm="1">
        <f t="array" ref="F63">INDEX(_xlfn.TEXTSPLIT(E63,"-"),2)</f>
        <v>男装</v>
      </c>
      <c r="G63" s="2" t="str" cm="1">
        <f t="array" ref="G63">INDEX(_xlfn.TEXTSPLIT(E63,"-"),3)</f>
        <v>紧身衣</v>
      </c>
      <c r="H63" s="5">
        <v>1066</v>
      </c>
      <c r="I63" s="5">
        <v>42935.7</v>
      </c>
      <c r="J63" s="2" t="s">
        <v>713</v>
      </c>
      <c r="K63" s="6">
        <v>0.7203</v>
      </c>
    </row>
    <row r="64" ht="14.5" spans="1:11">
      <c r="A64" s="3" t="str">
        <f t="shared" si="3"/>
        <v>2026年</v>
      </c>
      <c r="B64" s="3" t="str">
        <f t="shared" si="4"/>
        <v>1月</v>
      </c>
      <c r="C64" s="4" t="str">
        <f t="shared" si="5"/>
        <v>W1</v>
      </c>
      <c r="D64" s="2" t="s">
        <v>739</v>
      </c>
      <c r="E64" s="2" t="s">
        <v>828</v>
      </c>
      <c r="F64" s="2" t="str" cm="1">
        <f t="array" ref="F64">INDEX(_xlfn.TEXTSPLIT(E64,"-"),2)</f>
        <v>男装</v>
      </c>
      <c r="G64" s="2" t="str" cm="1">
        <f t="array" ref="G64">INDEX(_xlfn.TEXTSPLIT(E64,"-"),3)</f>
        <v>羊毛衫</v>
      </c>
      <c r="H64" s="5">
        <v>123428</v>
      </c>
      <c r="I64" s="5">
        <v>18991906.72</v>
      </c>
      <c r="J64" s="6">
        <v>0.0198</v>
      </c>
      <c r="K64" s="6">
        <v>0.0888</v>
      </c>
    </row>
    <row r="65" ht="14.5" spans="1:11">
      <c r="A65" s="3" t="str">
        <f t="shared" si="3"/>
        <v>2026年</v>
      </c>
      <c r="B65" s="3" t="str">
        <f t="shared" si="4"/>
        <v>1月</v>
      </c>
      <c r="C65" s="4" t="str">
        <f t="shared" si="5"/>
        <v>W1</v>
      </c>
      <c r="D65" s="2" t="s">
        <v>739</v>
      </c>
      <c r="E65" s="2" t="s">
        <v>829</v>
      </c>
      <c r="F65" s="2" t="str" cm="1">
        <f t="array" ref="F65">INDEX(_xlfn.TEXTSPLIT(E65,"-"),2)</f>
        <v>男装</v>
      </c>
      <c r="G65" s="2" t="str" cm="1">
        <f t="array" ref="G65">INDEX(_xlfn.TEXTSPLIT(E65,"-"),3)</f>
        <v>羊绒衫</v>
      </c>
      <c r="H65" s="5">
        <v>31016</v>
      </c>
      <c r="I65" s="5">
        <v>9405701.3</v>
      </c>
      <c r="J65" s="6">
        <v>0.0098</v>
      </c>
      <c r="K65" s="6">
        <v>0.2055</v>
      </c>
    </row>
    <row r="66" ht="14.5" spans="1:11">
      <c r="A66" s="3" t="str">
        <f t="shared" si="3"/>
        <v>2026年</v>
      </c>
      <c r="B66" s="3" t="str">
        <f t="shared" si="4"/>
        <v>1月</v>
      </c>
      <c r="C66" s="4" t="str">
        <f t="shared" si="5"/>
        <v>W1</v>
      </c>
      <c r="D66" s="2" t="s">
        <v>739</v>
      </c>
      <c r="E66" s="2" t="s">
        <v>830</v>
      </c>
      <c r="F66" s="2" t="str" cm="1">
        <f t="array" ref="F66">INDEX(_xlfn.TEXTSPLIT(E66,"-"),2)</f>
        <v>男装</v>
      </c>
      <c r="G66" s="2" t="str" cm="1">
        <f t="array" ref="G66">INDEX(_xlfn.TEXTSPLIT(E66,"-"),3)</f>
        <v>羽绒服</v>
      </c>
      <c r="H66" s="5">
        <v>669281</v>
      </c>
      <c r="I66" s="5">
        <v>260344032.8</v>
      </c>
      <c r="J66" s="6">
        <v>0.272</v>
      </c>
      <c r="K66" s="6">
        <v>0.251</v>
      </c>
    </row>
    <row r="67" ht="14.5" spans="1:11">
      <c r="A67" s="3" t="str">
        <f t="shared" si="3"/>
        <v>2026年</v>
      </c>
      <c r="B67" s="3" t="str">
        <f t="shared" si="4"/>
        <v>1月</v>
      </c>
      <c r="C67" s="4" t="str">
        <f t="shared" si="5"/>
        <v>W1</v>
      </c>
      <c r="D67" s="2" t="s">
        <v>739</v>
      </c>
      <c r="E67" s="2" t="s">
        <v>831</v>
      </c>
      <c r="F67" s="2" t="str" cm="1">
        <f t="array" ref="F67">INDEX(_xlfn.TEXTSPLIT(E67,"-"),2)</f>
        <v>男装</v>
      </c>
      <c r="G67" s="2" t="str" cm="1">
        <f t="array" ref="G67">INDEX(_xlfn.TEXTSPLIT(E67,"-"),3)</f>
        <v>羽绒裤</v>
      </c>
      <c r="H67" s="5">
        <v>23182</v>
      </c>
      <c r="I67" s="5">
        <v>3451047.26</v>
      </c>
      <c r="J67" s="6">
        <v>0.0036</v>
      </c>
      <c r="K67" s="6">
        <v>0.2637</v>
      </c>
    </row>
    <row r="68" ht="14.5" spans="1:11">
      <c r="A68" s="3" t="str">
        <f t="shared" si="3"/>
        <v>2026年</v>
      </c>
      <c r="B68" s="3" t="str">
        <f t="shared" si="4"/>
        <v>1月</v>
      </c>
      <c r="C68" s="4" t="str">
        <f t="shared" si="5"/>
        <v>W1</v>
      </c>
      <c r="D68" s="2" t="s">
        <v>739</v>
      </c>
      <c r="E68" s="2" t="s">
        <v>832</v>
      </c>
      <c r="F68" s="2" t="str" cm="1">
        <f t="array" ref="F68">INDEX(_xlfn.TEXTSPLIT(E68,"-"),2)</f>
        <v>男装</v>
      </c>
      <c r="G68" s="2" t="str" cm="1">
        <f t="array" ref="G68">INDEX(_xlfn.TEXTSPLIT(E68,"-"),3)</f>
        <v>羽绒马甲</v>
      </c>
      <c r="H68" s="5">
        <v>17973</v>
      </c>
      <c r="I68" s="5">
        <v>3587655.23</v>
      </c>
      <c r="J68" s="6">
        <v>0.0037</v>
      </c>
      <c r="K68" s="6">
        <v>0.2064</v>
      </c>
    </row>
    <row r="69" ht="14.5" spans="1:11">
      <c r="A69" s="3" t="str">
        <f t="shared" si="3"/>
        <v>2026年</v>
      </c>
      <c r="B69" s="3" t="str">
        <f t="shared" si="4"/>
        <v>1月</v>
      </c>
      <c r="C69" s="4" t="str">
        <f t="shared" si="5"/>
        <v>W1</v>
      </c>
      <c r="D69" s="2" t="s">
        <v>739</v>
      </c>
      <c r="E69" s="2" t="s">
        <v>833</v>
      </c>
      <c r="F69" s="2" t="str" cm="1">
        <f t="array" ref="F69">INDEX(_xlfn.TEXTSPLIT(E69,"-"),2)</f>
        <v>男装</v>
      </c>
      <c r="G69" s="2" t="str" cm="1">
        <f t="array" ref="G69">INDEX(_xlfn.TEXTSPLIT(E69,"-"),3)</f>
        <v>背心</v>
      </c>
      <c r="H69" s="5">
        <v>52323</v>
      </c>
      <c r="I69" s="5">
        <v>3063238.63</v>
      </c>
      <c r="J69" s="6">
        <v>0.0032</v>
      </c>
      <c r="K69" s="6">
        <v>0.2177</v>
      </c>
    </row>
    <row r="70" ht="14.5" spans="1:11">
      <c r="A70" s="3" t="str">
        <f t="shared" si="3"/>
        <v>2026年</v>
      </c>
      <c r="B70" s="3" t="str">
        <f t="shared" si="4"/>
        <v>1月</v>
      </c>
      <c r="C70" s="4" t="str">
        <f t="shared" si="5"/>
        <v>W1</v>
      </c>
      <c r="D70" s="2" t="s">
        <v>739</v>
      </c>
      <c r="E70" s="2" t="s">
        <v>834</v>
      </c>
      <c r="F70" s="2" t="str" cm="1">
        <f t="array" ref="F70">INDEX(_xlfn.TEXTSPLIT(E70,"-"),2)</f>
        <v>男装</v>
      </c>
      <c r="G70" s="2" t="str" cm="1">
        <f t="array" ref="G70">INDEX(_xlfn.TEXTSPLIT(E70,"-"),3)</f>
        <v>衬衫</v>
      </c>
      <c r="H70" s="5">
        <v>82918</v>
      </c>
      <c r="I70" s="5">
        <v>9866347.24</v>
      </c>
      <c r="J70" s="6">
        <v>0.0103</v>
      </c>
      <c r="K70" s="6">
        <v>0.0414</v>
      </c>
    </row>
    <row r="71" ht="14.5" spans="1:11">
      <c r="A71" s="3" t="str">
        <f t="shared" si="3"/>
        <v>2026年</v>
      </c>
      <c r="B71" s="3" t="str">
        <f t="shared" si="4"/>
        <v>1月</v>
      </c>
      <c r="C71" s="4" t="str">
        <f t="shared" si="5"/>
        <v>W1</v>
      </c>
      <c r="D71" s="2" t="s">
        <v>739</v>
      </c>
      <c r="E71" s="2" t="s">
        <v>835</v>
      </c>
      <c r="F71" s="2" t="str" cm="1">
        <f t="array" ref="F71">INDEX(_xlfn.TEXTSPLIT(E71,"-"),2)</f>
        <v>男装</v>
      </c>
      <c r="G71" s="2" t="str" cm="1">
        <f t="array" ref="G71">INDEX(_xlfn.TEXTSPLIT(E71,"-"),3)</f>
        <v>西服</v>
      </c>
      <c r="H71" s="5">
        <v>74710</v>
      </c>
      <c r="I71" s="5">
        <v>15498417.99</v>
      </c>
      <c r="J71" s="6">
        <v>0.0162</v>
      </c>
      <c r="K71" s="6">
        <v>0.1585</v>
      </c>
    </row>
    <row r="72" ht="14.5" spans="1:11">
      <c r="A72" s="3" t="str">
        <f t="shared" si="3"/>
        <v>2026年</v>
      </c>
      <c r="B72" s="3" t="str">
        <f t="shared" si="4"/>
        <v>1月</v>
      </c>
      <c r="C72" s="4" t="str">
        <f t="shared" si="5"/>
        <v>W1</v>
      </c>
      <c r="D72" s="2" t="s">
        <v>739</v>
      </c>
      <c r="E72" s="2" t="s">
        <v>836</v>
      </c>
      <c r="F72" s="2" t="str" cm="1">
        <f t="array" ref="F72">INDEX(_xlfn.TEXTSPLIT(E72,"-"),2)</f>
        <v>男装</v>
      </c>
      <c r="G72" s="2" t="str" cm="1">
        <f t="array" ref="G72">INDEX(_xlfn.TEXTSPLIT(E72,"-"),3)</f>
        <v>连体衣/裤</v>
      </c>
      <c r="H72" s="5">
        <v>530</v>
      </c>
      <c r="I72" s="5">
        <v>18357.95</v>
      </c>
      <c r="J72" s="2" t="s">
        <v>713</v>
      </c>
      <c r="K72" s="6">
        <v>-0.4585</v>
      </c>
    </row>
    <row r="73" ht="14.5" spans="1:11">
      <c r="A73" s="3" t="str">
        <f t="shared" si="3"/>
        <v>2026年</v>
      </c>
      <c r="B73" s="3" t="str">
        <f t="shared" si="4"/>
        <v>1月</v>
      </c>
      <c r="C73" s="4" t="str">
        <f t="shared" si="5"/>
        <v>W1</v>
      </c>
      <c r="D73" s="2" t="s">
        <v>739</v>
      </c>
      <c r="E73" s="2" t="s">
        <v>837</v>
      </c>
      <c r="F73" s="2" t="str" cm="1">
        <f t="array" ref="F73">INDEX(_xlfn.TEXTSPLIT(E73,"-"),2)</f>
        <v>男装</v>
      </c>
      <c r="G73" s="2" t="str" cm="1">
        <f t="array" ref="G73">INDEX(_xlfn.TEXTSPLIT(E73,"-"),3)</f>
        <v>速干/三防T恤</v>
      </c>
      <c r="H73" s="5">
        <v>1563</v>
      </c>
      <c r="I73" s="5">
        <v>84374.13</v>
      </c>
      <c r="J73" s="6">
        <v>0.0001</v>
      </c>
      <c r="K73" s="6">
        <v>-0.2154</v>
      </c>
    </row>
    <row r="74" ht="14.5" spans="1:11">
      <c r="A74" s="3" t="str">
        <f t="shared" si="3"/>
        <v>2026年</v>
      </c>
      <c r="B74" s="3" t="str">
        <f t="shared" si="4"/>
        <v>1月</v>
      </c>
      <c r="C74" s="4" t="str">
        <f t="shared" si="5"/>
        <v>W1</v>
      </c>
      <c r="D74" s="2" t="s">
        <v>739</v>
      </c>
      <c r="E74" s="2" t="s">
        <v>838</v>
      </c>
      <c r="F74" s="2" t="str" cm="1">
        <f t="array" ref="F74">INDEX(_xlfn.TEXTSPLIT(E74,"-"),2)</f>
        <v>男装</v>
      </c>
      <c r="G74" s="2" t="str" cm="1">
        <f t="array" ref="G74">INDEX(_xlfn.TEXTSPLIT(E74,"-"),3)</f>
        <v>针织衫/毛衣</v>
      </c>
      <c r="H74" s="5">
        <v>465513</v>
      </c>
      <c r="I74" s="5">
        <v>57869623.11</v>
      </c>
      <c r="J74" s="6">
        <v>0.0605</v>
      </c>
      <c r="K74" s="6">
        <v>0.3331</v>
      </c>
    </row>
    <row r="75" ht="14.5" spans="1:11">
      <c r="A75" s="3" t="str">
        <f t="shared" si="3"/>
        <v>2026年</v>
      </c>
      <c r="B75" s="3" t="str">
        <f t="shared" si="4"/>
        <v>1月</v>
      </c>
      <c r="C75" s="4" t="str">
        <f t="shared" si="5"/>
        <v>W1</v>
      </c>
      <c r="D75" s="2" t="s">
        <v>739</v>
      </c>
      <c r="E75" s="2" t="s">
        <v>839</v>
      </c>
      <c r="F75" s="2" t="str" cm="1">
        <f t="array" ref="F75">INDEX(_xlfn.TEXTSPLIT(E75,"-"),2)</f>
        <v>男装</v>
      </c>
      <c r="G75" s="2" t="str" cm="1">
        <f t="array" ref="G75">INDEX(_xlfn.TEXTSPLIT(E75,"-"),3)</f>
        <v>防晒服</v>
      </c>
      <c r="H75" s="5">
        <v>166</v>
      </c>
      <c r="I75" s="5">
        <v>11983.96</v>
      </c>
      <c r="J75" s="2" t="s">
        <v>713</v>
      </c>
      <c r="K75" s="6">
        <v>0.0057</v>
      </c>
    </row>
    <row r="76" ht="14.5" spans="1:11">
      <c r="A76" s="3" t="str">
        <f t="shared" si="3"/>
        <v>2026年</v>
      </c>
      <c r="B76" s="3" t="str">
        <f t="shared" si="4"/>
        <v>1月</v>
      </c>
      <c r="C76" s="4" t="str">
        <f t="shared" si="5"/>
        <v>W1</v>
      </c>
      <c r="D76" s="2" t="s">
        <v>739</v>
      </c>
      <c r="E76" s="2" t="s">
        <v>840</v>
      </c>
      <c r="F76" s="2" t="str" cm="1">
        <f t="array" ref="F76">INDEX(_xlfn.TEXTSPLIT(E76,"-"),2)</f>
        <v>男装</v>
      </c>
      <c r="G76" s="2" t="str" cm="1">
        <f t="array" ref="G76">INDEX(_xlfn.TEXTSPLIT(E76,"-"),3)</f>
        <v>风衣</v>
      </c>
      <c r="H76" s="5">
        <v>4894</v>
      </c>
      <c r="I76" s="5">
        <v>1674134.22</v>
      </c>
      <c r="J76" s="6">
        <v>0.0017</v>
      </c>
      <c r="K76" s="6">
        <v>-0.0095</v>
      </c>
    </row>
    <row r="77" ht="14.5" spans="1:11">
      <c r="A77" s="3" t="str">
        <f t="shared" si="3"/>
        <v>2026年</v>
      </c>
      <c r="B77" s="3" t="str">
        <f t="shared" si="4"/>
        <v>1月</v>
      </c>
      <c r="C77" s="4" t="str">
        <f t="shared" si="5"/>
        <v>W1</v>
      </c>
      <c r="D77" s="2" t="s">
        <v>739</v>
      </c>
      <c r="E77" s="2" t="s">
        <v>841</v>
      </c>
      <c r="F77" s="2" t="str" cm="1">
        <f t="array" ref="F77">INDEX(_xlfn.TEXTSPLIT(E77,"-"),2)</f>
        <v>男装</v>
      </c>
      <c r="G77" s="2" t="str" cm="1">
        <f t="array" ref="G77">INDEX(_xlfn.TEXTSPLIT(E77,"-"),3)</f>
        <v>马甲</v>
      </c>
      <c r="H77" s="5">
        <v>72679</v>
      </c>
      <c r="I77" s="5">
        <v>5382275.54</v>
      </c>
      <c r="J77" s="6">
        <v>0.0056</v>
      </c>
      <c r="K77" s="6">
        <v>0.2474</v>
      </c>
    </row>
    <row r="78" ht="14.5" spans="1:11">
      <c r="A78" s="3" t="str">
        <f t="shared" ref="A78:A141" si="6">TEXT(YEAR(D78),"0")&amp;"年"</f>
        <v>2026年</v>
      </c>
      <c r="B78" s="3" t="str">
        <f t="shared" ref="B78:B141" si="7">TEXT(MONTH(D78),"0")&amp;"月"</f>
        <v>1月</v>
      </c>
      <c r="C78" s="4" t="str">
        <f t="shared" ref="C78:C141" si="8">"W"&amp;TEXT(WEEKNUM(D78,2),"0")</f>
        <v>W1</v>
      </c>
      <c r="D78" s="2" t="s">
        <v>740</v>
      </c>
      <c r="E78" s="2" t="s">
        <v>804</v>
      </c>
      <c r="F78" s="2" t="str" cm="1">
        <f t="array" ref="F78">INDEX(_xlfn.TEXTSPLIT(E78,"-"),2)</f>
        <v>男装</v>
      </c>
      <c r="G78" s="2" t="str" cm="1">
        <f t="array" ref="G78">INDEX(_xlfn.TEXTSPLIT(E78,"-"),3)</f>
        <v>Polo衫</v>
      </c>
      <c r="H78" s="5">
        <v>50247</v>
      </c>
      <c r="I78" s="5">
        <v>4932286.14</v>
      </c>
      <c r="J78" s="6">
        <v>0.0052</v>
      </c>
      <c r="K78" s="6">
        <v>0.0985</v>
      </c>
    </row>
    <row r="79" ht="14.5" spans="1:11">
      <c r="A79" s="3" t="str">
        <f t="shared" si="6"/>
        <v>2026年</v>
      </c>
      <c r="B79" s="3" t="str">
        <f t="shared" si="7"/>
        <v>1月</v>
      </c>
      <c r="C79" s="4" t="str">
        <f t="shared" si="8"/>
        <v>W1</v>
      </c>
      <c r="D79" s="2" t="s">
        <v>740</v>
      </c>
      <c r="E79" s="2" t="s">
        <v>805</v>
      </c>
      <c r="F79" s="2" t="str" cm="1">
        <f t="array" ref="F79">INDEX(_xlfn.TEXTSPLIT(E79,"-"),2)</f>
        <v>男装</v>
      </c>
      <c r="G79" s="2" t="str" cm="1">
        <f t="array" ref="G79">INDEX(_xlfn.TEXTSPLIT(E79,"-"),3)</f>
        <v>T恤</v>
      </c>
      <c r="H79" s="5">
        <v>421060</v>
      </c>
      <c r="I79" s="5">
        <v>31258529.45</v>
      </c>
      <c r="J79" s="6">
        <v>0.0328</v>
      </c>
      <c r="K79" s="6">
        <v>-0.0016</v>
      </c>
    </row>
    <row r="80" ht="14.5" spans="1:11">
      <c r="A80" s="3" t="str">
        <f t="shared" si="6"/>
        <v>2026年</v>
      </c>
      <c r="B80" s="3" t="str">
        <f t="shared" si="7"/>
        <v>1月</v>
      </c>
      <c r="C80" s="4" t="str">
        <f t="shared" si="8"/>
        <v>W1</v>
      </c>
      <c r="D80" s="2" t="s">
        <v>740</v>
      </c>
      <c r="E80" s="2" t="s">
        <v>806</v>
      </c>
      <c r="F80" s="2" t="str" cm="1">
        <f t="array" ref="F80">INDEX(_xlfn.TEXTSPLIT(E80,"-"),2)</f>
        <v>男装</v>
      </c>
      <c r="G80" s="2" t="str" cm="1">
        <f t="array" ref="G80">INDEX(_xlfn.TEXTSPLIT(E80,"-"),3)</f>
        <v>中老年男装</v>
      </c>
      <c r="H80" s="5">
        <v>132621</v>
      </c>
      <c r="I80" s="5">
        <v>16791350.97</v>
      </c>
      <c r="J80" s="6">
        <v>0.0176</v>
      </c>
      <c r="K80" s="6">
        <v>-0.5561</v>
      </c>
    </row>
    <row r="81" ht="14.5" spans="1:11">
      <c r="A81" s="3" t="str">
        <f t="shared" si="6"/>
        <v>2026年</v>
      </c>
      <c r="B81" s="3" t="str">
        <f t="shared" si="7"/>
        <v>1月</v>
      </c>
      <c r="C81" s="4" t="str">
        <f t="shared" si="8"/>
        <v>W1</v>
      </c>
      <c r="D81" s="2" t="s">
        <v>740</v>
      </c>
      <c r="E81" s="2" t="s">
        <v>807</v>
      </c>
      <c r="F81" s="2" t="str" cm="1">
        <f t="array" ref="F81">INDEX(_xlfn.TEXTSPLIT(E81,"-"),2)</f>
        <v>男装</v>
      </c>
      <c r="G81" s="2" t="str" cm="1">
        <f t="array" ref="G81">INDEX(_xlfn.TEXTSPLIT(E81,"-"),3)</f>
        <v>休闲裤</v>
      </c>
      <c r="H81" s="5">
        <v>1155558</v>
      </c>
      <c r="I81" s="5">
        <v>118498937.14</v>
      </c>
      <c r="J81" s="6">
        <v>0.1243</v>
      </c>
      <c r="K81" s="6">
        <v>0.0402</v>
      </c>
    </row>
    <row r="82" ht="14.5" spans="1:11">
      <c r="A82" s="3" t="str">
        <f t="shared" si="6"/>
        <v>2026年</v>
      </c>
      <c r="B82" s="3" t="str">
        <f t="shared" si="7"/>
        <v>1月</v>
      </c>
      <c r="C82" s="4" t="str">
        <f t="shared" si="8"/>
        <v>W1</v>
      </c>
      <c r="D82" s="2" t="s">
        <v>740</v>
      </c>
      <c r="E82" s="2" t="s">
        <v>808</v>
      </c>
      <c r="F82" s="2" t="str" cm="1">
        <f t="array" ref="F82">INDEX(_xlfn.TEXTSPLIT(E82,"-"),2)</f>
        <v>男装</v>
      </c>
      <c r="G82" s="2" t="str" cm="1">
        <f t="array" ref="G82">INDEX(_xlfn.TEXTSPLIT(E82,"-"),3)</f>
        <v>卫衣</v>
      </c>
      <c r="H82" s="5">
        <v>729329</v>
      </c>
      <c r="I82" s="5">
        <v>57156819.28</v>
      </c>
      <c r="J82" s="6">
        <v>0.0599</v>
      </c>
      <c r="K82" s="6">
        <v>0.0399</v>
      </c>
    </row>
    <row r="83" ht="14.5" spans="1:11">
      <c r="A83" s="3" t="str">
        <f t="shared" si="6"/>
        <v>2026年</v>
      </c>
      <c r="B83" s="3" t="str">
        <f t="shared" si="7"/>
        <v>1月</v>
      </c>
      <c r="C83" s="4" t="str">
        <f t="shared" si="8"/>
        <v>W1</v>
      </c>
      <c r="D83" s="2" t="s">
        <v>740</v>
      </c>
      <c r="E83" s="2" t="s">
        <v>809</v>
      </c>
      <c r="F83" s="2" t="str" cm="1">
        <f t="array" ref="F83">INDEX(_xlfn.TEXTSPLIT(E83,"-"),2)</f>
        <v>男装</v>
      </c>
      <c r="G83" s="2" t="str" cm="1">
        <f t="array" ref="G83">INDEX(_xlfn.TEXTSPLIT(E83,"-"),3)</f>
        <v>卫裤</v>
      </c>
      <c r="H83" s="5">
        <v>244173</v>
      </c>
      <c r="I83" s="5">
        <v>24033156.84</v>
      </c>
      <c r="J83" s="6">
        <v>0.0252</v>
      </c>
      <c r="K83" s="6">
        <v>-0.1253</v>
      </c>
    </row>
    <row r="84" ht="14.5" spans="1:11">
      <c r="A84" s="3" t="str">
        <f t="shared" si="6"/>
        <v>2026年</v>
      </c>
      <c r="B84" s="3" t="str">
        <f t="shared" si="7"/>
        <v>1月</v>
      </c>
      <c r="C84" s="4" t="str">
        <f t="shared" si="8"/>
        <v>W1</v>
      </c>
      <c r="D84" s="2" t="s">
        <v>740</v>
      </c>
      <c r="E84" s="2" t="s">
        <v>810</v>
      </c>
      <c r="F84" s="2" t="str" cm="1">
        <f t="array" ref="F84">INDEX(_xlfn.TEXTSPLIT(E84,"-"),2)</f>
        <v>男装</v>
      </c>
      <c r="G84" s="2" t="str" cm="1">
        <f t="array" ref="G84">INDEX(_xlfn.TEXTSPLIT(E84,"-"),3)</f>
        <v>大码男装</v>
      </c>
      <c r="H84" s="5">
        <v>44125</v>
      </c>
      <c r="I84" s="5">
        <v>4389622.94</v>
      </c>
      <c r="J84" s="6">
        <v>0.0046</v>
      </c>
      <c r="K84" s="6">
        <v>0.0139</v>
      </c>
    </row>
    <row r="85" ht="14.5" spans="1:11">
      <c r="A85" s="3" t="str">
        <f t="shared" si="6"/>
        <v>2026年</v>
      </c>
      <c r="B85" s="3" t="str">
        <f t="shared" si="7"/>
        <v>1月</v>
      </c>
      <c r="C85" s="4" t="str">
        <f t="shared" si="8"/>
        <v>W1</v>
      </c>
      <c r="D85" s="2" t="s">
        <v>740</v>
      </c>
      <c r="E85" s="2" t="s">
        <v>811</v>
      </c>
      <c r="F85" s="2" t="str" cm="1">
        <f t="array" ref="F85">INDEX(_xlfn.TEXTSPLIT(E85,"-"),2)</f>
        <v>男装</v>
      </c>
      <c r="G85" s="2" t="str" cm="1">
        <f t="array" ref="G85">INDEX(_xlfn.TEXTSPLIT(E85,"-"),3)</f>
        <v>夹克</v>
      </c>
      <c r="H85" s="5">
        <v>502692</v>
      </c>
      <c r="I85" s="5">
        <v>83523475.23</v>
      </c>
      <c r="J85" s="6">
        <v>0.0876</v>
      </c>
      <c r="K85" s="6">
        <v>0.0593</v>
      </c>
    </row>
    <row r="86" ht="14.5" spans="1:11">
      <c r="A86" s="3" t="str">
        <f t="shared" si="6"/>
        <v>2026年</v>
      </c>
      <c r="B86" s="3" t="str">
        <f t="shared" si="7"/>
        <v>1月</v>
      </c>
      <c r="C86" s="4" t="str">
        <f t="shared" si="8"/>
        <v>W1</v>
      </c>
      <c r="D86" s="2" t="s">
        <v>740</v>
      </c>
      <c r="E86" s="2" t="s">
        <v>812</v>
      </c>
      <c r="F86" s="2" t="str" cm="1">
        <f t="array" ref="F86">INDEX(_xlfn.TEXTSPLIT(E86,"-"),2)</f>
        <v>男装</v>
      </c>
      <c r="G86" s="2" t="str" cm="1">
        <f t="array" ref="G86">INDEX(_xlfn.TEXTSPLIT(E86,"-"),3)</f>
        <v>套装</v>
      </c>
      <c r="H86" s="5">
        <v>50582</v>
      </c>
      <c r="I86" s="5">
        <v>7218509.73</v>
      </c>
      <c r="J86" s="6">
        <v>0.0076</v>
      </c>
      <c r="K86" s="6">
        <v>-0.1293</v>
      </c>
    </row>
    <row r="87" ht="14.5" spans="1:11">
      <c r="A87" s="3" t="str">
        <f t="shared" si="6"/>
        <v>2026年</v>
      </c>
      <c r="B87" s="3" t="str">
        <f t="shared" si="7"/>
        <v>1月</v>
      </c>
      <c r="C87" s="4" t="str">
        <f t="shared" si="8"/>
        <v>W1</v>
      </c>
      <c r="D87" s="2" t="s">
        <v>740</v>
      </c>
      <c r="E87" s="2" t="s">
        <v>813</v>
      </c>
      <c r="F87" s="2" t="str" cm="1">
        <f t="array" ref="F87">INDEX(_xlfn.TEXTSPLIT(E87,"-"),2)</f>
        <v>男装</v>
      </c>
      <c r="G87" s="2" t="str" cm="1">
        <f t="array" ref="G87">INDEX(_xlfn.TEXTSPLIT(E87,"-"),3)</f>
        <v>学生校服</v>
      </c>
      <c r="H87" s="5">
        <v>213</v>
      </c>
      <c r="I87" s="5">
        <v>18460.39</v>
      </c>
      <c r="J87" s="2" t="s">
        <v>713</v>
      </c>
      <c r="K87" s="6">
        <v>0.8819</v>
      </c>
    </row>
    <row r="88" ht="14.5" spans="1:11">
      <c r="A88" s="3" t="str">
        <f t="shared" si="6"/>
        <v>2026年</v>
      </c>
      <c r="B88" s="3" t="str">
        <f t="shared" si="7"/>
        <v>1月</v>
      </c>
      <c r="C88" s="4" t="str">
        <f t="shared" si="8"/>
        <v>W1</v>
      </c>
      <c r="D88" s="2" t="s">
        <v>740</v>
      </c>
      <c r="E88" s="2" t="s">
        <v>814</v>
      </c>
      <c r="F88" s="2" t="str" cm="1">
        <f t="array" ref="F88">INDEX(_xlfn.TEXTSPLIT(E88,"-"),2)</f>
        <v>男装</v>
      </c>
      <c r="G88" s="2" t="str" cm="1">
        <f t="array" ref="G88">INDEX(_xlfn.TEXTSPLIT(E88,"-"),3)</f>
        <v>打底衫</v>
      </c>
      <c r="H88" s="5">
        <v>29590</v>
      </c>
      <c r="I88" s="5">
        <v>1291075.2</v>
      </c>
      <c r="J88" s="6">
        <v>0.0014</v>
      </c>
      <c r="K88" s="6">
        <v>0.1485</v>
      </c>
    </row>
    <row r="89" ht="14.5" spans="1:11">
      <c r="A89" s="3" t="str">
        <f t="shared" si="6"/>
        <v>2026年</v>
      </c>
      <c r="B89" s="3" t="str">
        <f t="shared" si="7"/>
        <v>1月</v>
      </c>
      <c r="C89" s="4" t="str">
        <f t="shared" si="8"/>
        <v>W1</v>
      </c>
      <c r="D89" s="2" t="s">
        <v>740</v>
      </c>
      <c r="E89" s="2" t="s">
        <v>815</v>
      </c>
      <c r="F89" s="2" t="str" cm="1">
        <f t="array" ref="F89">INDEX(_xlfn.TEXTSPLIT(E89,"-"),2)</f>
        <v>男装</v>
      </c>
      <c r="G89" s="2" t="str" cm="1">
        <f t="array" ref="G89">INDEX(_xlfn.TEXTSPLIT(E89,"-"),3)</f>
        <v>新中式男装</v>
      </c>
      <c r="H89" s="5">
        <v>425</v>
      </c>
      <c r="I89" s="5">
        <v>62522.89</v>
      </c>
      <c r="J89" s="6">
        <v>0.0001</v>
      </c>
      <c r="K89" s="6">
        <v>0.6818</v>
      </c>
    </row>
    <row r="90" ht="14.5" spans="1:11">
      <c r="A90" s="3" t="str">
        <f t="shared" si="6"/>
        <v>2026年</v>
      </c>
      <c r="B90" s="3" t="str">
        <f t="shared" si="7"/>
        <v>1月</v>
      </c>
      <c r="C90" s="4" t="str">
        <f t="shared" si="8"/>
        <v>W1</v>
      </c>
      <c r="D90" s="2" t="s">
        <v>740</v>
      </c>
      <c r="E90" s="2" t="s">
        <v>816</v>
      </c>
      <c r="F90" s="2" t="str" cm="1">
        <f t="array" ref="F90">INDEX(_xlfn.TEXTSPLIT(E90,"-"),2)</f>
        <v>男装</v>
      </c>
      <c r="G90" s="2" t="str" cm="1">
        <f t="array" ref="G90">INDEX(_xlfn.TEXTSPLIT(E90,"-"),3)</f>
        <v>棉衣</v>
      </c>
      <c r="H90" s="5">
        <v>526521</v>
      </c>
      <c r="I90" s="5">
        <v>65956480.38</v>
      </c>
      <c r="J90" s="6">
        <v>0.0692</v>
      </c>
      <c r="K90" s="6">
        <v>0.0383</v>
      </c>
    </row>
    <row r="91" ht="14.5" spans="1:11">
      <c r="A91" s="3" t="str">
        <f t="shared" si="6"/>
        <v>2026年</v>
      </c>
      <c r="B91" s="3" t="str">
        <f t="shared" si="7"/>
        <v>1月</v>
      </c>
      <c r="C91" s="4" t="str">
        <f t="shared" si="8"/>
        <v>W1</v>
      </c>
      <c r="D91" s="2" t="s">
        <v>740</v>
      </c>
      <c r="E91" s="2" t="s">
        <v>817</v>
      </c>
      <c r="F91" s="2" t="str" cm="1">
        <f t="array" ref="F91">INDEX(_xlfn.TEXTSPLIT(E91,"-"),2)</f>
        <v>男装</v>
      </c>
      <c r="G91" s="2" t="str" cm="1">
        <f t="array" ref="G91">INDEX(_xlfn.TEXTSPLIT(E91,"-"),3)</f>
        <v>棉裤</v>
      </c>
      <c r="H91" s="5">
        <v>51961</v>
      </c>
      <c r="I91" s="5">
        <v>3605559.39</v>
      </c>
      <c r="J91" s="6">
        <v>0.0038</v>
      </c>
      <c r="K91" s="6">
        <v>-0.048</v>
      </c>
    </row>
    <row r="92" ht="14.5" spans="1:11">
      <c r="A92" s="3" t="str">
        <f t="shared" si="6"/>
        <v>2026年</v>
      </c>
      <c r="B92" s="3" t="str">
        <f t="shared" si="7"/>
        <v>1月</v>
      </c>
      <c r="C92" s="4" t="str">
        <f t="shared" si="8"/>
        <v>W1</v>
      </c>
      <c r="D92" s="2" t="s">
        <v>740</v>
      </c>
      <c r="E92" s="2" t="s">
        <v>818</v>
      </c>
      <c r="F92" s="2" t="str" cm="1">
        <f t="array" ref="F92">INDEX(_xlfn.TEXTSPLIT(E92,"-"),2)</f>
        <v>男装</v>
      </c>
      <c r="G92" s="2" t="str" cm="1">
        <f t="array" ref="G92">INDEX(_xlfn.TEXTSPLIT(E92,"-"),3)</f>
        <v>毛呢大衣</v>
      </c>
      <c r="H92" s="5">
        <v>42374</v>
      </c>
      <c r="I92" s="5">
        <v>19053272.4</v>
      </c>
      <c r="J92" s="7">
        <v>0.02</v>
      </c>
      <c r="K92" s="6">
        <v>-0.0464</v>
      </c>
    </row>
    <row r="93" ht="14.5" spans="1:11">
      <c r="A93" s="3" t="str">
        <f t="shared" si="6"/>
        <v>2026年</v>
      </c>
      <c r="B93" s="3" t="str">
        <f t="shared" si="7"/>
        <v>1月</v>
      </c>
      <c r="C93" s="4" t="str">
        <f t="shared" si="8"/>
        <v>W1</v>
      </c>
      <c r="D93" s="2" t="s">
        <v>740</v>
      </c>
      <c r="E93" s="2" t="s">
        <v>819</v>
      </c>
      <c r="F93" s="2" t="str" cm="1">
        <f t="array" ref="F93">INDEX(_xlfn.TEXTSPLIT(E93,"-"),2)</f>
        <v>男装</v>
      </c>
      <c r="G93" s="2" t="str" cm="1">
        <f t="array" ref="G93">INDEX(_xlfn.TEXTSPLIT(E93,"-"),3)</f>
        <v>民族服装</v>
      </c>
      <c r="H93" s="5">
        <v>5946</v>
      </c>
      <c r="I93" s="5">
        <v>1584351.45</v>
      </c>
      <c r="J93" s="6">
        <v>0.0017</v>
      </c>
      <c r="K93" s="6">
        <v>-0.0358</v>
      </c>
    </row>
    <row r="94" ht="14.5" spans="1:11">
      <c r="A94" s="3" t="str">
        <f t="shared" si="6"/>
        <v>2026年</v>
      </c>
      <c r="B94" s="3" t="str">
        <f t="shared" si="7"/>
        <v>1月</v>
      </c>
      <c r="C94" s="4" t="str">
        <f t="shared" si="8"/>
        <v>W1</v>
      </c>
      <c r="D94" s="2" t="s">
        <v>740</v>
      </c>
      <c r="E94" s="2" t="s">
        <v>820</v>
      </c>
      <c r="F94" s="2" t="str" cm="1">
        <f t="array" ref="F94">INDEX(_xlfn.TEXTSPLIT(E94,"-"),2)</f>
        <v>男装</v>
      </c>
      <c r="G94" s="2" t="str" cm="1">
        <f t="array" ref="G94">INDEX(_xlfn.TEXTSPLIT(E94,"-"),3)</f>
        <v>派克服</v>
      </c>
      <c r="H94" s="5">
        <v>21818</v>
      </c>
      <c r="I94" s="5">
        <v>4151530.28</v>
      </c>
      <c r="J94" s="6">
        <v>0.0044</v>
      </c>
      <c r="K94" s="6">
        <v>-0.0179</v>
      </c>
    </row>
    <row r="95" ht="14.5" spans="1:11">
      <c r="A95" s="3" t="str">
        <f t="shared" si="6"/>
        <v>2026年</v>
      </c>
      <c r="B95" s="3" t="str">
        <f t="shared" si="7"/>
        <v>1月</v>
      </c>
      <c r="C95" s="4" t="str">
        <f t="shared" si="8"/>
        <v>W1</v>
      </c>
      <c r="D95" s="2" t="s">
        <v>740</v>
      </c>
      <c r="E95" s="2" t="s">
        <v>821</v>
      </c>
      <c r="F95" s="2" t="str" cm="1">
        <f t="array" ref="F95">INDEX(_xlfn.TEXTSPLIT(E95,"-"),2)</f>
        <v>男装</v>
      </c>
      <c r="G95" s="2" t="str" cm="1">
        <f t="array" ref="G95">INDEX(_xlfn.TEXTSPLIT(E95,"-"),3)</f>
        <v>牛仔裤</v>
      </c>
      <c r="H95" s="5">
        <v>642028</v>
      </c>
      <c r="I95" s="5">
        <v>69867576.09</v>
      </c>
      <c r="J95" s="6">
        <v>0.0733</v>
      </c>
      <c r="K95" s="6">
        <v>-0.0133</v>
      </c>
    </row>
    <row r="96" ht="14.5" spans="1:11">
      <c r="A96" s="3" t="str">
        <f t="shared" si="6"/>
        <v>2026年</v>
      </c>
      <c r="B96" s="3" t="str">
        <f t="shared" si="7"/>
        <v>1月</v>
      </c>
      <c r="C96" s="4" t="str">
        <f t="shared" si="8"/>
        <v>W1</v>
      </c>
      <c r="D96" s="2" t="s">
        <v>740</v>
      </c>
      <c r="E96" s="2" t="s">
        <v>822</v>
      </c>
      <c r="F96" s="2" t="str" cm="1">
        <f t="array" ref="F96">INDEX(_xlfn.TEXTSPLIT(E96,"-"),2)</f>
        <v>男装</v>
      </c>
      <c r="G96" s="2" t="str" cm="1">
        <f t="array" ref="G96">INDEX(_xlfn.TEXTSPLIT(E96,"-"),3)</f>
        <v>皮草</v>
      </c>
      <c r="H96" s="5">
        <v>6614</v>
      </c>
      <c r="I96" s="5">
        <v>9468013.76</v>
      </c>
      <c r="J96" s="6">
        <v>0.0099</v>
      </c>
      <c r="K96" s="6">
        <v>0.1091</v>
      </c>
    </row>
    <row r="97" ht="14.5" spans="1:11">
      <c r="A97" s="3" t="str">
        <f t="shared" si="6"/>
        <v>2026年</v>
      </c>
      <c r="B97" s="3" t="str">
        <f t="shared" si="7"/>
        <v>1月</v>
      </c>
      <c r="C97" s="4" t="str">
        <f t="shared" si="8"/>
        <v>W1</v>
      </c>
      <c r="D97" s="2" t="s">
        <v>740</v>
      </c>
      <c r="E97" s="2" t="s">
        <v>823</v>
      </c>
      <c r="F97" s="2" t="str" cm="1">
        <f t="array" ref="F97">INDEX(_xlfn.TEXTSPLIT(E97,"-"),2)</f>
        <v>男装</v>
      </c>
      <c r="G97" s="2" t="str" cm="1">
        <f t="array" ref="G97">INDEX(_xlfn.TEXTSPLIT(E97,"-"),3)</f>
        <v>皮衣</v>
      </c>
      <c r="H97" s="5">
        <v>64750</v>
      </c>
      <c r="I97" s="5">
        <v>28053924.78</v>
      </c>
      <c r="J97" s="6">
        <v>0.0294</v>
      </c>
      <c r="K97" s="6">
        <v>0.0561</v>
      </c>
    </row>
    <row r="98" ht="14.5" spans="1:11">
      <c r="A98" s="3" t="str">
        <f t="shared" si="6"/>
        <v>2026年</v>
      </c>
      <c r="B98" s="3" t="str">
        <f t="shared" si="7"/>
        <v>1月</v>
      </c>
      <c r="C98" s="4" t="str">
        <f t="shared" si="8"/>
        <v>W1</v>
      </c>
      <c r="D98" s="2" t="s">
        <v>740</v>
      </c>
      <c r="E98" s="2" t="s">
        <v>824</v>
      </c>
      <c r="F98" s="2" t="str" cm="1">
        <f t="array" ref="F98">INDEX(_xlfn.TEXTSPLIT(E98,"-"),2)</f>
        <v>男装</v>
      </c>
      <c r="G98" s="2" t="str" cm="1">
        <f t="array" ref="G98">INDEX(_xlfn.TEXTSPLIT(E98,"-"),3)</f>
        <v>皮裤</v>
      </c>
      <c r="H98" s="5">
        <v>4701</v>
      </c>
      <c r="I98" s="5">
        <v>604808.58</v>
      </c>
      <c r="J98" s="6">
        <v>0.0006</v>
      </c>
      <c r="K98" s="6">
        <v>-0.0332</v>
      </c>
    </row>
    <row r="99" ht="14.5" spans="1:11">
      <c r="A99" s="3" t="str">
        <f t="shared" si="6"/>
        <v>2026年</v>
      </c>
      <c r="B99" s="3" t="str">
        <f t="shared" si="7"/>
        <v>1月</v>
      </c>
      <c r="C99" s="4" t="str">
        <f t="shared" si="8"/>
        <v>W1</v>
      </c>
      <c r="D99" s="2" t="s">
        <v>740</v>
      </c>
      <c r="E99" s="2" t="s">
        <v>825</v>
      </c>
      <c r="F99" s="2" t="str" cm="1">
        <f t="array" ref="F99">INDEX(_xlfn.TEXTSPLIT(E99,"-"),2)</f>
        <v>男装</v>
      </c>
      <c r="G99" s="2" t="str" cm="1">
        <f t="array" ref="G99">INDEX(_xlfn.TEXTSPLIT(E99,"-"),3)</f>
        <v>短外套</v>
      </c>
      <c r="H99" s="5">
        <v>41212</v>
      </c>
      <c r="I99" s="5">
        <v>5514771.75</v>
      </c>
      <c r="J99" s="6">
        <v>0.0058</v>
      </c>
      <c r="K99" s="6">
        <v>0.4024</v>
      </c>
    </row>
    <row r="100" ht="14.5" spans="1:11">
      <c r="A100" s="3" t="str">
        <f t="shared" si="6"/>
        <v>2026年</v>
      </c>
      <c r="B100" s="3" t="str">
        <f t="shared" si="7"/>
        <v>1月</v>
      </c>
      <c r="C100" s="4" t="str">
        <f t="shared" si="8"/>
        <v>W1</v>
      </c>
      <c r="D100" s="2" t="s">
        <v>740</v>
      </c>
      <c r="E100" s="2" t="s">
        <v>826</v>
      </c>
      <c r="F100" s="2" t="str" cm="1">
        <f t="array" ref="F100">INDEX(_xlfn.TEXTSPLIT(E100,"-"),2)</f>
        <v>男装</v>
      </c>
      <c r="G100" s="2" t="str" cm="1">
        <f t="array" ref="G100">INDEX(_xlfn.TEXTSPLIT(E100,"-"),3)</f>
        <v>短裤</v>
      </c>
      <c r="H100" s="5">
        <v>47395</v>
      </c>
      <c r="I100" s="5">
        <v>1473407.01</v>
      </c>
      <c r="J100" s="6">
        <v>0.0015</v>
      </c>
      <c r="K100" s="6">
        <v>0.0071</v>
      </c>
    </row>
    <row r="101" ht="14.5" spans="1:11">
      <c r="A101" s="3" t="str">
        <f t="shared" si="6"/>
        <v>2026年</v>
      </c>
      <c r="B101" s="3" t="str">
        <f t="shared" si="7"/>
        <v>1月</v>
      </c>
      <c r="C101" s="4" t="str">
        <f t="shared" si="8"/>
        <v>W1</v>
      </c>
      <c r="D101" s="2" t="s">
        <v>740</v>
      </c>
      <c r="E101" s="2" t="s">
        <v>827</v>
      </c>
      <c r="F101" s="2" t="str" cm="1">
        <f t="array" ref="F101">INDEX(_xlfn.TEXTSPLIT(E101,"-"),2)</f>
        <v>男装</v>
      </c>
      <c r="G101" s="2" t="str" cm="1">
        <f t="array" ref="G101">INDEX(_xlfn.TEXTSPLIT(E101,"-"),3)</f>
        <v>紧身衣</v>
      </c>
      <c r="H101" s="5">
        <v>963</v>
      </c>
      <c r="I101" s="5">
        <v>39023.5</v>
      </c>
      <c r="J101" s="2" t="s">
        <v>713</v>
      </c>
      <c r="K101" s="6">
        <v>-0.0911</v>
      </c>
    </row>
    <row r="102" ht="14.5" spans="1:11">
      <c r="A102" s="3" t="str">
        <f t="shared" si="6"/>
        <v>2026年</v>
      </c>
      <c r="B102" s="3" t="str">
        <f t="shared" si="7"/>
        <v>1月</v>
      </c>
      <c r="C102" s="4" t="str">
        <f t="shared" si="8"/>
        <v>W1</v>
      </c>
      <c r="D102" s="2" t="s">
        <v>740</v>
      </c>
      <c r="E102" s="2" t="s">
        <v>828</v>
      </c>
      <c r="F102" s="2" t="str" cm="1">
        <f t="array" ref="F102">INDEX(_xlfn.TEXTSPLIT(E102,"-"),2)</f>
        <v>男装</v>
      </c>
      <c r="G102" s="2" t="str" cm="1">
        <f t="array" ref="G102">INDEX(_xlfn.TEXTSPLIT(E102,"-"),3)</f>
        <v>羊毛衫</v>
      </c>
      <c r="H102" s="5">
        <v>136346</v>
      </c>
      <c r="I102" s="5">
        <v>20191635.28</v>
      </c>
      <c r="J102" s="6">
        <v>0.0212</v>
      </c>
      <c r="K102" s="6">
        <v>0.0632</v>
      </c>
    </row>
    <row r="103" ht="14.5" spans="1:11">
      <c r="A103" s="3" t="str">
        <f t="shared" si="6"/>
        <v>2026年</v>
      </c>
      <c r="B103" s="3" t="str">
        <f t="shared" si="7"/>
        <v>1月</v>
      </c>
      <c r="C103" s="4" t="str">
        <f t="shared" si="8"/>
        <v>W1</v>
      </c>
      <c r="D103" s="2" t="s">
        <v>740</v>
      </c>
      <c r="E103" s="2" t="s">
        <v>829</v>
      </c>
      <c r="F103" s="2" t="str" cm="1">
        <f t="array" ref="F103">INDEX(_xlfn.TEXTSPLIT(E103,"-"),2)</f>
        <v>男装</v>
      </c>
      <c r="G103" s="2" t="str" cm="1">
        <f t="array" ref="G103">INDEX(_xlfn.TEXTSPLIT(E103,"-"),3)</f>
        <v>羊绒衫</v>
      </c>
      <c r="H103" s="5">
        <v>31055</v>
      </c>
      <c r="I103" s="5">
        <v>9509434.39</v>
      </c>
      <c r="J103" s="7">
        <v>0.01</v>
      </c>
      <c r="K103" s="6">
        <v>0.011</v>
      </c>
    </row>
    <row r="104" ht="14.5" spans="1:11">
      <c r="A104" s="3" t="str">
        <f t="shared" si="6"/>
        <v>2026年</v>
      </c>
      <c r="B104" s="3" t="str">
        <f t="shared" si="7"/>
        <v>1月</v>
      </c>
      <c r="C104" s="4" t="str">
        <f t="shared" si="8"/>
        <v>W1</v>
      </c>
      <c r="D104" s="2" t="s">
        <v>740</v>
      </c>
      <c r="E104" s="2" t="s">
        <v>830</v>
      </c>
      <c r="F104" s="2" t="str" cm="1">
        <f t="array" ref="F104">INDEX(_xlfn.TEXTSPLIT(E104,"-"),2)</f>
        <v>男装</v>
      </c>
      <c r="G104" s="2" t="str" cm="1">
        <f t="array" ref="G104">INDEX(_xlfn.TEXTSPLIT(E104,"-"),3)</f>
        <v>羽绒服</v>
      </c>
      <c r="H104" s="5">
        <v>699080</v>
      </c>
      <c r="I104" s="5">
        <v>269606650.27</v>
      </c>
      <c r="J104" s="6">
        <v>0.2828</v>
      </c>
      <c r="K104" s="6">
        <v>0.0356</v>
      </c>
    </row>
    <row r="105" ht="14.5" spans="1:11">
      <c r="A105" s="3" t="str">
        <f t="shared" si="6"/>
        <v>2026年</v>
      </c>
      <c r="B105" s="3" t="str">
        <f t="shared" si="7"/>
        <v>1月</v>
      </c>
      <c r="C105" s="4" t="str">
        <f t="shared" si="8"/>
        <v>W1</v>
      </c>
      <c r="D105" s="2" t="s">
        <v>740</v>
      </c>
      <c r="E105" s="2" t="s">
        <v>831</v>
      </c>
      <c r="F105" s="2" t="str" cm="1">
        <f t="array" ref="F105">INDEX(_xlfn.TEXTSPLIT(E105,"-"),2)</f>
        <v>男装</v>
      </c>
      <c r="G105" s="2" t="str" cm="1">
        <f t="array" ref="G105">INDEX(_xlfn.TEXTSPLIT(E105,"-"),3)</f>
        <v>羽绒裤</v>
      </c>
      <c r="H105" s="5">
        <v>25792</v>
      </c>
      <c r="I105" s="5">
        <v>3890484.63</v>
      </c>
      <c r="J105" s="6">
        <v>0.0041</v>
      </c>
      <c r="K105" s="6">
        <v>0.1273</v>
      </c>
    </row>
    <row r="106" ht="14.5" spans="1:11">
      <c r="A106" s="3" t="str">
        <f t="shared" si="6"/>
        <v>2026年</v>
      </c>
      <c r="B106" s="3" t="str">
        <f t="shared" si="7"/>
        <v>1月</v>
      </c>
      <c r="C106" s="4" t="str">
        <f t="shared" si="8"/>
        <v>W1</v>
      </c>
      <c r="D106" s="2" t="s">
        <v>740</v>
      </c>
      <c r="E106" s="2" t="s">
        <v>832</v>
      </c>
      <c r="F106" s="2" t="str" cm="1">
        <f t="array" ref="F106">INDEX(_xlfn.TEXTSPLIT(E106,"-"),2)</f>
        <v>男装</v>
      </c>
      <c r="G106" s="2" t="str" cm="1">
        <f t="array" ref="G106">INDEX(_xlfn.TEXTSPLIT(E106,"-"),3)</f>
        <v>羽绒马甲</v>
      </c>
      <c r="H106" s="5">
        <v>19197</v>
      </c>
      <c r="I106" s="5">
        <v>3866103.22</v>
      </c>
      <c r="J106" s="6">
        <v>0.0041</v>
      </c>
      <c r="K106" s="6">
        <v>0.0776</v>
      </c>
    </row>
    <row r="107" ht="14.5" spans="1:11">
      <c r="A107" s="3" t="str">
        <f t="shared" si="6"/>
        <v>2026年</v>
      </c>
      <c r="B107" s="3" t="str">
        <f t="shared" si="7"/>
        <v>1月</v>
      </c>
      <c r="C107" s="4" t="str">
        <f t="shared" si="8"/>
        <v>W1</v>
      </c>
      <c r="D107" s="2" t="s">
        <v>740</v>
      </c>
      <c r="E107" s="2" t="s">
        <v>833</v>
      </c>
      <c r="F107" s="2" t="str" cm="1">
        <f t="array" ref="F107">INDEX(_xlfn.TEXTSPLIT(E107,"-"),2)</f>
        <v>男装</v>
      </c>
      <c r="G107" s="2" t="str" cm="1">
        <f t="array" ref="G107">INDEX(_xlfn.TEXTSPLIT(E107,"-"),3)</f>
        <v>背心</v>
      </c>
      <c r="H107" s="5">
        <v>56848</v>
      </c>
      <c r="I107" s="5">
        <v>3415948.16</v>
      </c>
      <c r="J107" s="6">
        <v>0.0036</v>
      </c>
      <c r="K107" s="6">
        <v>0.1151</v>
      </c>
    </row>
    <row r="108" ht="14.5" spans="1:11">
      <c r="A108" s="3" t="str">
        <f t="shared" si="6"/>
        <v>2026年</v>
      </c>
      <c r="B108" s="3" t="str">
        <f t="shared" si="7"/>
        <v>1月</v>
      </c>
      <c r="C108" s="4" t="str">
        <f t="shared" si="8"/>
        <v>W1</v>
      </c>
      <c r="D108" s="2" t="s">
        <v>740</v>
      </c>
      <c r="E108" s="2" t="s">
        <v>834</v>
      </c>
      <c r="F108" s="2" t="str" cm="1">
        <f t="array" ref="F108">INDEX(_xlfn.TEXTSPLIT(E108,"-"),2)</f>
        <v>男装</v>
      </c>
      <c r="G108" s="2" t="str" cm="1">
        <f t="array" ref="G108">INDEX(_xlfn.TEXTSPLIT(E108,"-"),3)</f>
        <v>衬衫</v>
      </c>
      <c r="H108" s="5">
        <v>76579</v>
      </c>
      <c r="I108" s="5">
        <v>9291663.91</v>
      </c>
      <c r="J108" s="6">
        <v>0.0097</v>
      </c>
      <c r="K108" s="6">
        <v>-0.0582</v>
      </c>
    </row>
    <row r="109" ht="14.5" spans="1:11">
      <c r="A109" s="3" t="str">
        <f t="shared" si="6"/>
        <v>2026年</v>
      </c>
      <c r="B109" s="3" t="str">
        <f t="shared" si="7"/>
        <v>1月</v>
      </c>
      <c r="C109" s="4" t="str">
        <f t="shared" si="8"/>
        <v>W1</v>
      </c>
      <c r="D109" s="2" t="s">
        <v>740</v>
      </c>
      <c r="E109" s="2" t="s">
        <v>835</v>
      </c>
      <c r="F109" s="2" t="str" cm="1">
        <f t="array" ref="F109">INDEX(_xlfn.TEXTSPLIT(E109,"-"),2)</f>
        <v>男装</v>
      </c>
      <c r="G109" s="2" t="str" cm="1">
        <f t="array" ref="G109">INDEX(_xlfn.TEXTSPLIT(E109,"-"),3)</f>
        <v>西服</v>
      </c>
      <c r="H109" s="5">
        <v>82077</v>
      </c>
      <c r="I109" s="5">
        <v>16830020.05</v>
      </c>
      <c r="J109" s="6">
        <v>0.0177</v>
      </c>
      <c r="K109" s="6">
        <v>0.0859</v>
      </c>
    </row>
    <row r="110" ht="14.5" spans="1:11">
      <c r="A110" s="3" t="str">
        <f t="shared" si="6"/>
        <v>2026年</v>
      </c>
      <c r="B110" s="3" t="str">
        <f t="shared" si="7"/>
        <v>1月</v>
      </c>
      <c r="C110" s="4" t="str">
        <f t="shared" si="8"/>
        <v>W1</v>
      </c>
      <c r="D110" s="2" t="s">
        <v>740</v>
      </c>
      <c r="E110" s="2" t="s">
        <v>836</v>
      </c>
      <c r="F110" s="2" t="str" cm="1">
        <f t="array" ref="F110">INDEX(_xlfn.TEXTSPLIT(E110,"-"),2)</f>
        <v>男装</v>
      </c>
      <c r="G110" s="2" t="str" cm="1">
        <f t="array" ref="G110">INDEX(_xlfn.TEXTSPLIT(E110,"-"),3)</f>
        <v>连体衣/裤</v>
      </c>
      <c r="H110" s="5">
        <v>483</v>
      </c>
      <c r="I110" s="5">
        <v>20204.67</v>
      </c>
      <c r="J110" s="2" t="s">
        <v>713</v>
      </c>
      <c r="K110" s="6">
        <v>0.1006</v>
      </c>
    </row>
    <row r="111" ht="14.5" spans="1:11">
      <c r="A111" s="3" t="str">
        <f t="shared" si="6"/>
        <v>2026年</v>
      </c>
      <c r="B111" s="3" t="str">
        <f t="shared" si="7"/>
        <v>1月</v>
      </c>
      <c r="C111" s="4" t="str">
        <f t="shared" si="8"/>
        <v>W1</v>
      </c>
      <c r="D111" s="2" t="s">
        <v>740</v>
      </c>
      <c r="E111" s="2" t="s">
        <v>837</v>
      </c>
      <c r="F111" s="2" t="str" cm="1">
        <f t="array" ref="F111">INDEX(_xlfn.TEXTSPLIT(E111,"-"),2)</f>
        <v>男装</v>
      </c>
      <c r="G111" s="2" t="str" cm="1">
        <f t="array" ref="G111">INDEX(_xlfn.TEXTSPLIT(E111,"-"),3)</f>
        <v>速干/三防T恤</v>
      </c>
      <c r="H111" s="5">
        <v>1036</v>
      </c>
      <c r="I111" s="5">
        <v>69727.94</v>
      </c>
      <c r="J111" s="6">
        <v>0.0001</v>
      </c>
      <c r="K111" s="6">
        <v>-0.1736</v>
      </c>
    </row>
    <row r="112" ht="14.5" spans="1:11">
      <c r="A112" s="3" t="str">
        <f t="shared" si="6"/>
        <v>2026年</v>
      </c>
      <c r="B112" s="3" t="str">
        <f t="shared" si="7"/>
        <v>1月</v>
      </c>
      <c r="C112" s="4" t="str">
        <f t="shared" si="8"/>
        <v>W1</v>
      </c>
      <c r="D112" s="2" t="s">
        <v>740</v>
      </c>
      <c r="E112" s="2" t="s">
        <v>838</v>
      </c>
      <c r="F112" s="2" t="str" cm="1">
        <f t="array" ref="F112">INDEX(_xlfn.TEXTSPLIT(E112,"-"),2)</f>
        <v>男装</v>
      </c>
      <c r="G112" s="2" t="str" cm="1">
        <f t="array" ref="G112">INDEX(_xlfn.TEXTSPLIT(E112,"-"),3)</f>
        <v>针织衫/毛衣</v>
      </c>
      <c r="H112" s="5">
        <v>431867</v>
      </c>
      <c r="I112" s="5">
        <v>51004601.38</v>
      </c>
      <c r="J112" s="6">
        <v>0.0535</v>
      </c>
      <c r="K112" s="6">
        <v>-0.1186</v>
      </c>
    </row>
    <row r="113" ht="14.5" spans="1:11">
      <c r="A113" s="3" t="str">
        <f t="shared" si="6"/>
        <v>2026年</v>
      </c>
      <c r="B113" s="3" t="str">
        <f t="shared" si="7"/>
        <v>1月</v>
      </c>
      <c r="C113" s="4" t="str">
        <f t="shared" si="8"/>
        <v>W1</v>
      </c>
      <c r="D113" s="2" t="s">
        <v>740</v>
      </c>
      <c r="E113" s="2" t="s">
        <v>839</v>
      </c>
      <c r="F113" s="2" t="str" cm="1">
        <f t="array" ref="F113">INDEX(_xlfn.TEXTSPLIT(E113,"-"),2)</f>
        <v>男装</v>
      </c>
      <c r="G113" s="2" t="str" cm="1">
        <f t="array" ref="G113">INDEX(_xlfn.TEXTSPLIT(E113,"-"),3)</f>
        <v>防晒服</v>
      </c>
      <c r="H113" s="5">
        <v>173</v>
      </c>
      <c r="I113" s="5">
        <v>13803.57</v>
      </c>
      <c r="J113" s="2" t="s">
        <v>713</v>
      </c>
      <c r="K113" s="6">
        <v>0.1518</v>
      </c>
    </row>
    <row r="114" ht="14.5" spans="1:11">
      <c r="A114" s="3" t="str">
        <f t="shared" si="6"/>
        <v>2026年</v>
      </c>
      <c r="B114" s="3" t="str">
        <f t="shared" si="7"/>
        <v>1月</v>
      </c>
      <c r="C114" s="4" t="str">
        <f t="shared" si="8"/>
        <v>W1</v>
      </c>
      <c r="D114" s="2" t="s">
        <v>740</v>
      </c>
      <c r="E114" s="2" t="s">
        <v>840</v>
      </c>
      <c r="F114" s="2" t="str" cm="1">
        <f t="array" ref="F114">INDEX(_xlfn.TEXTSPLIT(E114,"-"),2)</f>
        <v>男装</v>
      </c>
      <c r="G114" s="2" t="str" cm="1">
        <f t="array" ref="G114">INDEX(_xlfn.TEXTSPLIT(E114,"-"),3)</f>
        <v>风衣</v>
      </c>
      <c r="H114" s="5">
        <v>5044</v>
      </c>
      <c r="I114" s="5">
        <v>1506486.3</v>
      </c>
      <c r="J114" s="6">
        <v>0.0016</v>
      </c>
      <c r="K114" s="6">
        <v>-0.1001</v>
      </c>
    </row>
    <row r="115" ht="14.5" spans="1:11">
      <c r="A115" s="3" t="str">
        <f t="shared" si="6"/>
        <v>2026年</v>
      </c>
      <c r="B115" s="3" t="str">
        <f t="shared" si="7"/>
        <v>1月</v>
      </c>
      <c r="C115" s="4" t="str">
        <f t="shared" si="8"/>
        <v>W1</v>
      </c>
      <c r="D115" s="2" t="s">
        <v>740</v>
      </c>
      <c r="E115" s="2" t="s">
        <v>841</v>
      </c>
      <c r="F115" s="2" t="str" cm="1">
        <f t="array" ref="F115">INDEX(_xlfn.TEXTSPLIT(E115,"-"),2)</f>
        <v>男装</v>
      </c>
      <c r="G115" s="2" t="str" cm="1">
        <f t="array" ref="G115">INDEX(_xlfn.TEXTSPLIT(E115,"-"),3)</f>
        <v>马甲</v>
      </c>
      <c r="H115" s="5">
        <v>75562</v>
      </c>
      <c r="I115" s="5">
        <v>5683460.58</v>
      </c>
      <c r="J115" s="6">
        <v>0.006</v>
      </c>
      <c r="K115" s="6">
        <v>0.056</v>
      </c>
    </row>
    <row r="116" ht="14.5" spans="1:11">
      <c r="A116" s="3" t="str">
        <f t="shared" si="6"/>
        <v>2026年</v>
      </c>
      <c r="B116" s="3" t="str">
        <f t="shared" si="7"/>
        <v>1月</v>
      </c>
      <c r="C116" s="4" t="str">
        <f t="shared" si="8"/>
        <v>W1</v>
      </c>
      <c r="D116" s="2" t="s">
        <v>741</v>
      </c>
      <c r="E116" s="2" t="s">
        <v>804</v>
      </c>
      <c r="F116" s="2" t="str" cm="1">
        <f t="array" ref="F116">INDEX(_xlfn.TEXTSPLIT(E116,"-"),2)</f>
        <v>男装</v>
      </c>
      <c r="G116" s="2" t="str" cm="1">
        <f t="array" ref="G116">INDEX(_xlfn.TEXTSPLIT(E116,"-"),3)</f>
        <v>Polo衫</v>
      </c>
      <c r="H116" s="5">
        <v>46354</v>
      </c>
      <c r="I116" s="5">
        <v>4114551.02</v>
      </c>
      <c r="J116" s="6">
        <v>0.0044</v>
      </c>
      <c r="K116" s="6">
        <v>-0.1658</v>
      </c>
    </row>
    <row r="117" ht="14.5" spans="1:11">
      <c r="A117" s="3" t="str">
        <f t="shared" si="6"/>
        <v>2026年</v>
      </c>
      <c r="B117" s="3" t="str">
        <f t="shared" si="7"/>
        <v>1月</v>
      </c>
      <c r="C117" s="4" t="str">
        <f t="shared" si="8"/>
        <v>W1</v>
      </c>
      <c r="D117" s="2" t="s">
        <v>741</v>
      </c>
      <c r="E117" s="2" t="s">
        <v>805</v>
      </c>
      <c r="F117" s="2" t="str" cm="1">
        <f t="array" ref="F117">INDEX(_xlfn.TEXTSPLIT(E117,"-"),2)</f>
        <v>男装</v>
      </c>
      <c r="G117" s="2" t="str" cm="1">
        <f t="array" ref="G117">INDEX(_xlfn.TEXTSPLIT(E117,"-"),3)</f>
        <v>T恤</v>
      </c>
      <c r="H117" s="5">
        <v>416622</v>
      </c>
      <c r="I117" s="5">
        <v>30278938.03</v>
      </c>
      <c r="J117" s="6">
        <v>0.032</v>
      </c>
      <c r="K117" s="6">
        <v>-0.0313</v>
      </c>
    </row>
    <row r="118" ht="14.5" spans="1:11">
      <c r="A118" s="3" t="str">
        <f t="shared" si="6"/>
        <v>2026年</v>
      </c>
      <c r="B118" s="3" t="str">
        <f t="shared" si="7"/>
        <v>1月</v>
      </c>
      <c r="C118" s="4" t="str">
        <f t="shared" si="8"/>
        <v>W1</v>
      </c>
      <c r="D118" s="2" t="s">
        <v>741</v>
      </c>
      <c r="E118" s="2" t="s">
        <v>806</v>
      </c>
      <c r="F118" s="2" t="str" cm="1">
        <f t="array" ref="F118">INDEX(_xlfn.TEXTSPLIT(E118,"-"),2)</f>
        <v>男装</v>
      </c>
      <c r="G118" s="2" t="str" cm="1">
        <f t="array" ref="G118">INDEX(_xlfn.TEXTSPLIT(E118,"-"),3)</f>
        <v>中老年男装</v>
      </c>
      <c r="H118" s="5">
        <v>145831</v>
      </c>
      <c r="I118" s="5">
        <v>18419757.29</v>
      </c>
      <c r="J118" s="6">
        <v>0.0195</v>
      </c>
      <c r="K118" s="6">
        <v>0.097</v>
      </c>
    </row>
    <row r="119" ht="14.5" spans="1:11">
      <c r="A119" s="3" t="str">
        <f t="shared" si="6"/>
        <v>2026年</v>
      </c>
      <c r="B119" s="3" t="str">
        <f t="shared" si="7"/>
        <v>1月</v>
      </c>
      <c r="C119" s="4" t="str">
        <f t="shared" si="8"/>
        <v>W1</v>
      </c>
      <c r="D119" s="2" t="s">
        <v>741</v>
      </c>
      <c r="E119" s="2" t="s">
        <v>807</v>
      </c>
      <c r="F119" s="2" t="str" cm="1">
        <f t="array" ref="F119">INDEX(_xlfn.TEXTSPLIT(E119,"-"),2)</f>
        <v>男装</v>
      </c>
      <c r="G119" s="2" t="str" cm="1">
        <f t="array" ref="G119">INDEX(_xlfn.TEXTSPLIT(E119,"-"),3)</f>
        <v>休闲裤</v>
      </c>
      <c r="H119" s="5">
        <v>1111068</v>
      </c>
      <c r="I119" s="5">
        <v>113115891.78</v>
      </c>
      <c r="J119" s="6">
        <v>0.1197</v>
      </c>
      <c r="K119" s="6">
        <v>-0.0454</v>
      </c>
    </row>
    <row r="120" ht="14.5" spans="1:11">
      <c r="A120" s="3" t="str">
        <f t="shared" si="6"/>
        <v>2026年</v>
      </c>
      <c r="B120" s="3" t="str">
        <f t="shared" si="7"/>
        <v>1月</v>
      </c>
      <c r="C120" s="4" t="str">
        <f t="shared" si="8"/>
        <v>W1</v>
      </c>
      <c r="D120" s="2" t="s">
        <v>741</v>
      </c>
      <c r="E120" s="2" t="s">
        <v>808</v>
      </c>
      <c r="F120" s="2" t="str" cm="1">
        <f t="array" ref="F120">INDEX(_xlfn.TEXTSPLIT(E120,"-"),2)</f>
        <v>男装</v>
      </c>
      <c r="G120" s="2" t="str" cm="1">
        <f t="array" ref="G120">INDEX(_xlfn.TEXTSPLIT(E120,"-"),3)</f>
        <v>卫衣</v>
      </c>
      <c r="H120" s="5">
        <v>684666</v>
      </c>
      <c r="I120" s="5">
        <v>54856440.51</v>
      </c>
      <c r="J120" s="6">
        <v>0.058</v>
      </c>
      <c r="K120" s="6">
        <v>-0.0402</v>
      </c>
    </row>
    <row r="121" ht="14.5" spans="1:11">
      <c r="A121" s="3" t="str">
        <f t="shared" si="6"/>
        <v>2026年</v>
      </c>
      <c r="B121" s="3" t="str">
        <f t="shared" si="7"/>
        <v>1月</v>
      </c>
      <c r="C121" s="4" t="str">
        <f t="shared" si="8"/>
        <v>W1</v>
      </c>
      <c r="D121" s="2" t="s">
        <v>741</v>
      </c>
      <c r="E121" s="2" t="s">
        <v>809</v>
      </c>
      <c r="F121" s="2" t="str" cm="1">
        <f t="array" ref="F121">INDEX(_xlfn.TEXTSPLIT(E121,"-"),2)</f>
        <v>男装</v>
      </c>
      <c r="G121" s="2" t="str" cm="1">
        <f t="array" ref="G121">INDEX(_xlfn.TEXTSPLIT(E121,"-"),3)</f>
        <v>卫裤</v>
      </c>
      <c r="H121" s="5">
        <v>237867</v>
      </c>
      <c r="I121" s="5">
        <v>23279411.39</v>
      </c>
      <c r="J121" s="6">
        <v>0.0246</v>
      </c>
      <c r="K121" s="6">
        <v>-0.0314</v>
      </c>
    </row>
    <row r="122" ht="14.5" spans="1:11">
      <c r="A122" s="3" t="str">
        <f t="shared" si="6"/>
        <v>2026年</v>
      </c>
      <c r="B122" s="3" t="str">
        <f t="shared" si="7"/>
        <v>1月</v>
      </c>
      <c r="C122" s="4" t="str">
        <f t="shared" si="8"/>
        <v>W1</v>
      </c>
      <c r="D122" s="2" t="s">
        <v>741</v>
      </c>
      <c r="E122" s="2" t="s">
        <v>810</v>
      </c>
      <c r="F122" s="2" t="str" cm="1">
        <f t="array" ref="F122">INDEX(_xlfn.TEXTSPLIT(E122,"-"),2)</f>
        <v>男装</v>
      </c>
      <c r="G122" s="2" t="str" cm="1">
        <f t="array" ref="G122">INDEX(_xlfn.TEXTSPLIT(E122,"-"),3)</f>
        <v>大码男装</v>
      </c>
      <c r="H122" s="5">
        <v>45582</v>
      </c>
      <c r="I122" s="5">
        <v>4454513.74</v>
      </c>
      <c r="J122" s="6">
        <v>0.0047</v>
      </c>
      <c r="K122" s="6">
        <v>0.0148</v>
      </c>
    </row>
    <row r="123" ht="14.5" spans="1:11">
      <c r="A123" s="3" t="str">
        <f t="shared" si="6"/>
        <v>2026年</v>
      </c>
      <c r="B123" s="3" t="str">
        <f t="shared" si="7"/>
        <v>1月</v>
      </c>
      <c r="C123" s="4" t="str">
        <f t="shared" si="8"/>
        <v>W1</v>
      </c>
      <c r="D123" s="2" t="s">
        <v>741</v>
      </c>
      <c r="E123" s="2" t="s">
        <v>811</v>
      </c>
      <c r="F123" s="2" t="str" cm="1">
        <f t="array" ref="F123">INDEX(_xlfn.TEXTSPLIT(E123,"-"),2)</f>
        <v>男装</v>
      </c>
      <c r="G123" s="2" t="str" cm="1">
        <f t="array" ref="G123">INDEX(_xlfn.TEXTSPLIT(E123,"-"),3)</f>
        <v>夹克</v>
      </c>
      <c r="H123" s="5">
        <v>491885</v>
      </c>
      <c r="I123" s="5">
        <v>83147001.25</v>
      </c>
      <c r="J123" s="6">
        <v>0.088</v>
      </c>
      <c r="K123" s="6">
        <v>-0.0045</v>
      </c>
    </row>
    <row r="124" ht="14.5" spans="1:11">
      <c r="A124" s="3" t="str">
        <f t="shared" si="6"/>
        <v>2026年</v>
      </c>
      <c r="B124" s="3" t="str">
        <f t="shared" si="7"/>
        <v>1月</v>
      </c>
      <c r="C124" s="4" t="str">
        <f t="shared" si="8"/>
        <v>W1</v>
      </c>
      <c r="D124" s="2" t="s">
        <v>741</v>
      </c>
      <c r="E124" s="2" t="s">
        <v>812</v>
      </c>
      <c r="F124" s="2" t="str" cm="1">
        <f t="array" ref="F124">INDEX(_xlfn.TEXTSPLIT(E124,"-"),2)</f>
        <v>男装</v>
      </c>
      <c r="G124" s="2" t="str" cm="1">
        <f t="array" ref="G124">INDEX(_xlfn.TEXTSPLIT(E124,"-"),3)</f>
        <v>套装</v>
      </c>
      <c r="H124" s="5">
        <v>57089</v>
      </c>
      <c r="I124" s="5">
        <v>8856891.57</v>
      </c>
      <c r="J124" s="6">
        <v>0.0094</v>
      </c>
      <c r="K124" s="6">
        <v>0.227</v>
      </c>
    </row>
    <row r="125" ht="14.5" spans="1:11">
      <c r="A125" s="3" t="str">
        <f t="shared" si="6"/>
        <v>2026年</v>
      </c>
      <c r="B125" s="3" t="str">
        <f t="shared" si="7"/>
        <v>1月</v>
      </c>
      <c r="C125" s="4" t="str">
        <f t="shared" si="8"/>
        <v>W1</v>
      </c>
      <c r="D125" s="2" t="s">
        <v>741</v>
      </c>
      <c r="E125" s="2" t="s">
        <v>813</v>
      </c>
      <c r="F125" s="2" t="str" cm="1">
        <f t="array" ref="F125">INDEX(_xlfn.TEXTSPLIT(E125,"-"),2)</f>
        <v>男装</v>
      </c>
      <c r="G125" s="2" t="str" cm="1">
        <f t="array" ref="G125">INDEX(_xlfn.TEXTSPLIT(E125,"-"),3)</f>
        <v>学生校服</v>
      </c>
      <c r="H125" s="5">
        <v>253</v>
      </c>
      <c r="I125" s="5">
        <v>19252.74</v>
      </c>
      <c r="J125" s="2" t="s">
        <v>713</v>
      </c>
      <c r="K125" s="6">
        <v>0.0429</v>
      </c>
    </row>
    <row r="126" ht="14.5" spans="1:11">
      <c r="A126" s="3" t="str">
        <f t="shared" si="6"/>
        <v>2026年</v>
      </c>
      <c r="B126" s="3" t="str">
        <f t="shared" si="7"/>
        <v>1月</v>
      </c>
      <c r="C126" s="4" t="str">
        <f t="shared" si="8"/>
        <v>W1</v>
      </c>
      <c r="D126" s="2" t="s">
        <v>741</v>
      </c>
      <c r="E126" s="2" t="s">
        <v>814</v>
      </c>
      <c r="F126" s="2" t="str" cm="1">
        <f t="array" ref="F126">INDEX(_xlfn.TEXTSPLIT(E126,"-"),2)</f>
        <v>男装</v>
      </c>
      <c r="G126" s="2" t="str" cm="1">
        <f t="array" ref="G126">INDEX(_xlfn.TEXTSPLIT(E126,"-"),3)</f>
        <v>打底衫</v>
      </c>
      <c r="H126" s="5">
        <v>28732</v>
      </c>
      <c r="I126" s="5">
        <v>1326872.58</v>
      </c>
      <c r="J126" s="6">
        <v>0.0014</v>
      </c>
      <c r="K126" s="6">
        <v>0.0277</v>
      </c>
    </row>
    <row r="127" ht="14.5" spans="1:11">
      <c r="A127" s="3" t="str">
        <f t="shared" si="6"/>
        <v>2026年</v>
      </c>
      <c r="B127" s="3" t="str">
        <f t="shared" si="7"/>
        <v>1月</v>
      </c>
      <c r="C127" s="4" t="str">
        <f t="shared" si="8"/>
        <v>W1</v>
      </c>
      <c r="D127" s="2" t="s">
        <v>741</v>
      </c>
      <c r="E127" s="2" t="s">
        <v>815</v>
      </c>
      <c r="F127" s="2" t="str" cm="1">
        <f t="array" ref="F127">INDEX(_xlfn.TEXTSPLIT(E127,"-"),2)</f>
        <v>男装</v>
      </c>
      <c r="G127" s="2" t="str" cm="1">
        <f t="array" ref="G127">INDEX(_xlfn.TEXTSPLIT(E127,"-"),3)</f>
        <v>新中式男装</v>
      </c>
      <c r="H127" s="5">
        <v>253</v>
      </c>
      <c r="I127" s="5">
        <v>34907.44</v>
      </c>
      <c r="J127" s="2" t="s">
        <v>713</v>
      </c>
      <c r="K127" s="6">
        <v>-0.4417</v>
      </c>
    </row>
    <row r="128" ht="14.5" spans="1:11">
      <c r="A128" s="3" t="str">
        <f t="shared" si="6"/>
        <v>2026年</v>
      </c>
      <c r="B128" s="3" t="str">
        <f t="shared" si="7"/>
        <v>1月</v>
      </c>
      <c r="C128" s="4" t="str">
        <f t="shared" si="8"/>
        <v>W1</v>
      </c>
      <c r="D128" s="2" t="s">
        <v>741</v>
      </c>
      <c r="E128" s="2" t="s">
        <v>816</v>
      </c>
      <c r="F128" s="2" t="str" cm="1">
        <f t="array" ref="F128">INDEX(_xlfn.TEXTSPLIT(E128,"-"),2)</f>
        <v>男装</v>
      </c>
      <c r="G128" s="2" t="str" cm="1">
        <f t="array" ref="G128">INDEX(_xlfn.TEXTSPLIT(E128,"-"),3)</f>
        <v>棉衣</v>
      </c>
      <c r="H128" s="5">
        <v>521054</v>
      </c>
      <c r="I128" s="5">
        <v>66515077.4</v>
      </c>
      <c r="J128" s="6">
        <v>0.0704</v>
      </c>
      <c r="K128" s="6">
        <v>0.0085</v>
      </c>
    </row>
    <row r="129" ht="14.5" spans="1:11">
      <c r="A129" s="3" t="str">
        <f t="shared" si="6"/>
        <v>2026年</v>
      </c>
      <c r="B129" s="3" t="str">
        <f t="shared" si="7"/>
        <v>1月</v>
      </c>
      <c r="C129" s="4" t="str">
        <f t="shared" si="8"/>
        <v>W1</v>
      </c>
      <c r="D129" s="2" t="s">
        <v>741</v>
      </c>
      <c r="E129" s="2" t="s">
        <v>817</v>
      </c>
      <c r="F129" s="2" t="str" cm="1">
        <f t="array" ref="F129">INDEX(_xlfn.TEXTSPLIT(E129,"-"),2)</f>
        <v>男装</v>
      </c>
      <c r="G129" s="2" t="str" cm="1">
        <f t="array" ref="G129">INDEX(_xlfn.TEXTSPLIT(E129,"-"),3)</f>
        <v>棉裤</v>
      </c>
      <c r="H129" s="5">
        <v>66228</v>
      </c>
      <c r="I129" s="5">
        <v>4453154.14</v>
      </c>
      <c r="J129" s="6">
        <v>0.0047</v>
      </c>
      <c r="K129" s="6">
        <v>0.2351</v>
      </c>
    </row>
    <row r="130" ht="14.5" spans="1:11">
      <c r="A130" s="3" t="str">
        <f t="shared" si="6"/>
        <v>2026年</v>
      </c>
      <c r="B130" s="3" t="str">
        <f t="shared" si="7"/>
        <v>1月</v>
      </c>
      <c r="C130" s="4" t="str">
        <f t="shared" si="8"/>
        <v>W1</v>
      </c>
      <c r="D130" s="2" t="s">
        <v>741</v>
      </c>
      <c r="E130" s="2" t="s">
        <v>818</v>
      </c>
      <c r="F130" s="2" t="str" cm="1">
        <f t="array" ref="F130">INDEX(_xlfn.TEXTSPLIT(E130,"-"),2)</f>
        <v>男装</v>
      </c>
      <c r="G130" s="2" t="str" cm="1">
        <f t="array" ref="G130">INDEX(_xlfn.TEXTSPLIT(E130,"-"),3)</f>
        <v>毛呢大衣</v>
      </c>
      <c r="H130" s="5">
        <v>38557</v>
      </c>
      <c r="I130" s="5">
        <v>17792717.85</v>
      </c>
      <c r="J130" s="6">
        <v>0.0188</v>
      </c>
      <c r="K130" s="6">
        <v>-0.0662</v>
      </c>
    </row>
    <row r="131" ht="14.5" spans="1:11">
      <c r="A131" s="3" t="str">
        <f t="shared" si="6"/>
        <v>2026年</v>
      </c>
      <c r="B131" s="3" t="str">
        <f t="shared" si="7"/>
        <v>1月</v>
      </c>
      <c r="C131" s="4" t="str">
        <f t="shared" si="8"/>
        <v>W1</v>
      </c>
      <c r="D131" s="2" t="s">
        <v>741</v>
      </c>
      <c r="E131" s="2" t="s">
        <v>819</v>
      </c>
      <c r="F131" s="2" t="str" cm="1">
        <f t="array" ref="F131">INDEX(_xlfn.TEXTSPLIT(E131,"-"),2)</f>
        <v>男装</v>
      </c>
      <c r="G131" s="2" t="str" cm="1">
        <f t="array" ref="G131">INDEX(_xlfn.TEXTSPLIT(E131,"-"),3)</f>
        <v>民族服装</v>
      </c>
      <c r="H131" s="5">
        <v>6020</v>
      </c>
      <c r="I131" s="5">
        <v>1450323.35</v>
      </c>
      <c r="J131" s="6">
        <v>0.0015</v>
      </c>
      <c r="K131" s="6">
        <v>-0.0846</v>
      </c>
    </row>
    <row r="132" ht="14.5" spans="1:11">
      <c r="A132" s="3" t="str">
        <f t="shared" si="6"/>
        <v>2026年</v>
      </c>
      <c r="B132" s="3" t="str">
        <f t="shared" si="7"/>
        <v>1月</v>
      </c>
      <c r="C132" s="4" t="str">
        <f t="shared" si="8"/>
        <v>W1</v>
      </c>
      <c r="D132" s="2" t="s">
        <v>741</v>
      </c>
      <c r="E132" s="2" t="s">
        <v>820</v>
      </c>
      <c r="F132" s="2" t="str" cm="1">
        <f t="array" ref="F132">INDEX(_xlfn.TEXTSPLIT(E132,"-"),2)</f>
        <v>男装</v>
      </c>
      <c r="G132" s="2" t="str" cm="1">
        <f t="array" ref="G132">INDEX(_xlfn.TEXTSPLIT(E132,"-"),3)</f>
        <v>派克服</v>
      </c>
      <c r="H132" s="5">
        <v>20647</v>
      </c>
      <c r="I132" s="5">
        <v>4147822.92</v>
      </c>
      <c r="J132" s="6">
        <v>0.0044</v>
      </c>
      <c r="K132" s="6">
        <v>-0.0009</v>
      </c>
    </row>
    <row r="133" ht="14.5" spans="1:11">
      <c r="A133" s="3" t="str">
        <f t="shared" si="6"/>
        <v>2026年</v>
      </c>
      <c r="B133" s="3" t="str">
        <f t="shared" si="7"/>
        <v>1月</v>
      </c>
      <c r="C133" s="4" t="str">
        <f t="shared" si="8"/>
        <v>W1</v>
      </c>
      <c r="D133" s="2" t="s">
        <v>741</v>
      </c>
      <c r="E133" s="2" t="s">
        <v>821</v>
      </c>
      <c r="F133" s="2" t="str" cm="1">
        <f t="array" ref="F133">INDEX(_xlfn.TEXTSPLIT(E133,"-"),2)</f>
        <v>男装</v>
      </c>
      <c r="G133" s="2" t="str" cm="1">
        <f t="array" ref="G133">INDEX(_xlfn.TEXTSPLIT(E133,"-"),3)</f>
        <v>牛仔裤</v>
      </c>
      <c r="H133" s="5">
        <v>617306</v>
      </c>
      <c r="I133" s="5">
        <v>68092082.99</v>
      </c>
      <c r="J133" s="6">
        <v>0.072</v>
      </c>
      <c r="K133" s="6">
        <v>-0.0254</v>
      </c>
    </row>
    <row r="134" ht="14.5" spans="1:11">
      <c r="A134" s="3" t="str">
        <f t="shared" si="6"/>
        <v>2026年</v>
      </c>
      <c r="B134" s="3" t="str">
        <f t="shared" si="7"/>
        <v>1月</v>
      </c>
      <c r="C134" s="4" t="str">
        <f t="shared" si="8"/>
        <v>W1</v>
      </c>
      <c r="D134" s="2" t="s">
        <v>741</v>
      </c>
      <c r="E134" s="2" t="s">
        <v>822</v>
      </c>
      <c r="F134" s="2" t="str" cm="1">
        <f t="array" ref="F134">INDEX(_xlfn.TEXTSPLIT(E134,"-"),2)</f>
        <v>男装</v>
      </c>
      <c r="G134" s="2" t="str" cm="1">
        <f t="array" ref="G134">INDEX(_xlfn.TEXTSPLIT(E134,"-"),3)</f>
        <v>皮草</v>
      </c>
      <c r="H134" s="5">
        <v>5132</v>
      </c>
      <c r="I134" s="5">
        <v>8033474.87</v>
      </c>
      <c r="J134" s="6">
        <v>0.0085</v>
      </c>
      <c r="K134" s="6">
        <v>-0.1515</v>
      </c>
    </row>
    <row r="135" ht="14.5" spans="1:11">
      <c r="A135" s="3" t="str">
        <f t="shared" si="6"/>
        <v>2026年</v>
      </c>
      <c r="B135" s="3" t="str">
        <f t="shared" si="7"/>
        <v>1月</v>
      </c>
      <c r="C135" s="4" t="str">
        <f t="shared" si="8"/>
        <v>W1</v>
      </c>
      <c r="D135" s="2" t="s">
        <v>741</v>
      </c>
      <c r="E135" s="2" t="s">
        <v>823</v>
      </c>
      <c r="F135" s="2" t="str" cm="1">
        <f t="array" ref="F135">INDEX(_xlfn.TEXTSPLIT(E135,"-"),2)</f>
        <v>男装</v>
      </c>
      <c r="G135" s="2" t="str" cm="1">
        <f t="array" ref="G135">INDEX(_xlfn.TEXTSPLIT(E135,"-"),3)</f>
        <v>皮衣</v>
      </c>
      <c r="H135" s="5">
        <v>64213</v>
      </c>
      <c r="I135" s="5">
        <v>26005068.45</v>
      </c>
      <c r="J135" s="6">
        <v>0.0275</v>
      </c>
      <c r="K135" s="6">
        <v>-0.073</v>
      </c>
    </row>
    <row r="136" ht="14.5" spans="1:11">
      <c r="A136" s="3" t="str">
        <f t="shared" si="6"/>
        <v>2026年</v>
      </c>
      <c r="B136" s="3" t="str">
        <f t="shared" si="7"/>
        <v>1月</v>
      </c>
      <c r="C136" s="4" t="str">
        <f t="shared" si="8"/>
        <v>W1</v>
      </c>
      <c r="D136" s="2" t="s">
        <v>741</v>
      </c>
      <c r="E136" s="2" t="s">
        <v>824</v>
      </c>
      <c r="F136" s="2" t="str" cm="1">
        <f t="array" ref="F136">INDEX(_xlfn.TEXTSPLIT(E136,"-"),2)</f>
        <v>男装</v>
      </c>
      <c r="G136" s="2" t="str" cm="1">
        <f t="array" ref="G136">INDEX(_xlfn.TEXTSPLIT(E136,"-"),3)</f>
        <v>皮裤</v>
      </c>
      <c r="H136" s="5">
        <v>4233</v>
      </c>
      <c r="I136" s="5">
        <v>533880.45</v>
      </c>
      <c r="J136" s="6">
        <v>0.0006</v>
      </c>
      <c r="K136" s="6">
        <v>-0.1173</v>
      </c>
    </row>
    <row r="137" ht="14.5" spans="1:11">
      <c r="A137" s="3" t="str">
        <f t="shared" si="6"/>
        <v>2026年</v>
      </c>
      <c r="B137" s="3" t="str">
        <f t="shared" si="7"/>
        <v>1月</v>
      </c>
      <c r="C137" s="4" t="str">
        <f t="shared" si="8"/>
        <v>W1</v>
      </c>
      <c r="D137" s="2" t="s">
        <v>741</v>
      </c>
      <c r="E137" s="2" t="s">
        <v>825</v>
      </c>
      <c r="F137" s="2" t="str" cm="1">
        <f t="array" ref="F137">INDEX(_xlfn.TEXTSPLIT(E137,"-"),2)</f>
        <v>男装</v>
      </c>
      <c r="G137" s="2" t="str" cm="1">
        <f t="array" ref="G137">INDEX(_xlfn.TEXTSPLIT(E137,"-"),3)</f>
        <v>短外套</v>
      </c>
      <c r="H137" s="5">
        <v>35119</v>
      </c>
      <c r="I137" s="5">
        <v>4054978.52</v>
      </c>
      <c r="J137" s="6">
        <v>0.0043</v>
      </c>
      <c r="K137" s="6">
        <v>-0.2647</v>
      </c>
    </row>
    <row r="138" ht="14.5" spans="1:11">
      <c r="A138" s="3" t="str">
        <f t="shared" si="6"/>
        <v>2026年</v>
      </c>
      <c r="B138" s="3" t="str">
        <f t="shared" si="7"/>
        <v>1月</v>
      </c>
      <c r="C138" s="4" t="str">
        <f t="shared" si="8"/>
        <v>W1</v>
      </c>
      <c r="D138" s="2" t="s">
        <v>741</v>
      </c>
      <c r="E138" s="2" t="s">
        <v>826</v>
      </c>
      <c r="F138" s="2" t="str" cm="1">
        <f t="array" ref="F138">INDEX(_xlfn.TEXTSPLIT(E138,"-"),2)</f>
        <v>男装</v>
      </c>
      <c r="G138" s="2" t="str" cm="1">
        <f t="array" ref="G138">INDEX(_xlfn.TEXTSPLIT(E138,"-"),3)</f>
        <v>短裤</v>
      </c>
      <c r="H138" s="5">
        <v>52236</v>
      </c>
      <c r="I138" s="5">
        <v>1543575.91</v>
      </c>
      <c r="J138" s="6">
        <v>0.0016</v>
      </c>
      <c r="K138" s="6">
        <v>0.0476</v>
      </c>
    </row>
    <row r="139" ht="14.5" spans="1:11">
      <c r="A139" s="3" t="str">
        <f t="shared" si="6"/>
        <v>2026年</v>
      </c>
      <c r="B139" s="3" t="str">
        <f t="shared" si="7"/>
        <v>1月</v>
      </c>
      <c r="C139" s="4" t="str">
        <f t="shared" si="8"/>
        <v>W1</v>
      </c>
      <c r="D139" s="2" t="s">
        <v>741</v>
      </c>
      <c r="E139" s="2" t="s">
        <v>827</v>
      </c>
      <c r="F139" s="2" t="str" cm="1">
        <f t="array" ref="F139">INDEX(_xlfn.TEXTSPLIT(E139,"-"),2)</f>
        <v>男装</v>
      </c>
      <c r="G139" s="2" t="str" cm="1">
        <f t="array" ref="G139">INDEX(_xlfn.TEXTSPLIT(E139,"-"),3)</f>
        <v>紧身衣</v>
      </c>
      <c r="H139" s="5">
        <v>729</v>
      </c>
      <c r="I139" s="5">
        <v>30479.3</v>
      </c>
      <c r="J139" s="2" t="s">
        <v>713</v>
      </c>
      <c r="K139" s="6">
        <v>-0.219</v>
      </c>
    </row>
    <row r="140" ht="14.5" spans="1:11">
      <c r="A140" s="3" t="str">
        <f t="shared" si="6"/>
        <v>2026年</v>
      </c>
      <c r="B140" s="3" t="str">
        <f t="shared" si="7"/>
        <v>1月</v>
      </c>
      <c r="C140" s="4" t="str">
        <f t="shared" si="8"/>
        <v>W1</v>
      </c>
      <c r="D140" s="2" t="s">
        <v>741</v>
      </c>
      <c r="E140" s="2" t="s">
        <v>828</v>
      </c>
      <c r="F140" s="2" t="str" cm="1">
        <f t="array" ref="F140">INDEX(_xlfn.TEXTSPLIT(E140,"-"),2)</f>
        <v>男装</v>
      </c>
      <c r="G140" s="2" t="str" cm="1">
        <f t="array" ref="G140">INDEX(_xlfn.TEXTSPLIT(E140,"-"),3)</f>
        <v>羊毛衫</v>
      </c>
      <c r="H140" s="5">
        <v>161215</v>
      </c>
      <c r="I140" s="5">
        <v>25004994.26</v>
      </c>
      <c r="J140" s="6">
        <v>0.0265</v>
      </c>
      <c r="K140" s="6">
        <v>0.2384</v>
      </c>
    </row>
    <row r="141" ht="14.5" spans="1:11">
      <c r="A141" s="3" t="str">
        <f t="shared" si="6"/>
        <v>2026年</v>
      </c>
      <c r="B141" s="3" t="str">
        <f t="shared" si="7"/>
        <v>1月</v>
      </c>
      <c r="C141" s="4" t="str">
        <f t="shared" si="8"/>
        <v>W1</v>
      </c>
      <c r="D141" s="2" t="s">
        <v>741</v>
      </c>
      <c r="E141" s="2" t="s">
        <v>829</v>
      </c>
      <c r="F141" s="2" t="str" cm="1">
        <f t="array" ref="F141">INDEX(_xlfn.TEXTSPLIT(E141,"-"),2)</f>
        <v>男装</v>
      </c>
      <c r="G141" s="2" t="str" cm="1">
        <f t="array" ref="G141">INDEX(_xlfn.TEXTSPLIT(E141,"-"),3)</f>
        <v>羊绒衫</v>
      </c>
      <c r="H141" s="5">
        <v>29344</v>
      </c>
      <c r="I141" s="5">
        <v>9472209.24</v>
      </c>
      <c r="J141" s="7">
        <v>0.01</v>
      </c>
      <c r="K141" s="6">
        <v>-0.0039</v>
      </c>
    </row>
    <row r="142" ht="14.5" spans="1:11">
      <c r="A142" s="3" t="str">
        <f t="shared" ref="A142:A205" si="9">TEXT(YEAR(D142),"0")&amp;"年"</f>
        <v>2026年</v>
      </c>
      <c r="B142" s="3" t="str">
        <f t="shared" ref="B142:B205" si="10">TEXT(MONTH(D142),"0")&amp;"月"</f>
        <v>1月</v>
      </c>
      <c r="C142" s="4" t="str">
        <f t="shared" ref="C142:C205" si="11">"W"&amp;TEXT(WEEKNUM(D142,2),"0")</f>
        <v>W1</v>
      </c>
      <c r="D142" s="2" t="s">
        <v>741</v>
      </c>
      <c r="E142" s="2" t="s">
        <v>830</v>
      </c>
      <c r="F142" s="2" t="str" cm="1">
        <f t="array" ref="F142">INDEX(_xlfn.TEXTSPLIT(E142,"-"),2)</f>
        <v>男装</v>
      </c>
      <c r="G142" s="2" t="str" cm="1">
        <f t="array" ref="G142">INDEX(_xlfn.TEXTSPLIT(E142,"-"),3)</f>
        <v>羽绒服</v>
      </c>
      <c r="H142" s="5">
        <v>712387</v>
      </c>
      <c r="I142" s="5">
        <v>272084911.79</v>
      </c>
      <c r="J142" s="6">
        <v>0.2879</v>
      </c>
      <c r="K142" s="6">
        <v>0.0092</v>
      </c>
    </row>
    <row r="143" ht="14.5" spans="1:11">
      <c r="A143" s="3" t="str">
        <f t="shared" si="9"/>
        <v>2026年</v>
      </c>
      <c r="B143" s="3" t="str">
        <f t="shared" si="10"/>
        <v>1月</v>
      </c>
      <c r="C143" s="4" t="str">
        <f t="shared" si="11"/>
        <v>W1</v>
      </c>
      <c r="D143" s="2" t="s">
        <v>741</v>
      </c>
      <c r="E143" s="2" t="s">
        <v>831</v>
      </c>
      <c r="F143" s="2" t="str" cm="1">
        <f t="array" ref="F143">INDEX(_xlfn.TEXTSPLIT(E143,"-"),2)</f>
        <v>男装</v>
      </c>
      <c r="G143" s="2" t="str" cm="1">
        <f t="array" ref="G143">INDEX(_xlfn.TEXTSPLIT(E143,"-"),3)</f>
        <v>羽绒裤</v>
      </c>
      <c r="H143" s="5">
        <v>25074</v>
      </c>
      <c r="I143" s="5">
        <v>3940818.35</v>
      </c>
      <c r="J143" s="6">
        <v>0.0042</v>
      </c>
      <c r="K143" s="6">
        <v>0.0129</v>
      </c>
    </row>
    <row r="144" ht="14.5" spans="1:11">
      <c r="A144" s="3" t="str">
        <f t="shared" si="9"/>
        <v>2026年</v>
      </c>
      <c r="B144" s="3" t="str">
        <f t="shared" si="10"/>
        <v>1月</v>
      </c>
      <c r="C144" s="4" t="str">
        <f t="shared" si="11"/>
        <v>W1</v>
      </c>
      <c r="D144" s="2" t="s">
        <v>741</v>
      </c>
      <c r="E144" s="2" t="s">
        <v>832</v>
      </c>
      <c r="F144" s="2" t="str" cm="1">
        <f t="array" ref="F144">INDEX(_xlfn.TEXTSPLIT(E144,"-"),2)</f>
        <v>男装</v>
      </c>
      <c r="G144" s="2" t="str" cm="1">
        <f t="array" ref="G144">INDEX(_xlfn.TEXTSPLIT(E144,"-"),3)</f>
        <v>羽绒马甲</v>
      </c>
      <c r="H144" s="5">
        <v>16739</v>
      </c>
      <c r="I144" s="5">
        <v>3165232.85</v>
      </c>
      <c r="J144" s="6">
        <v>0.0033</v>
      </c>
      <c r="K144" s="6">
        <v>-0.1813</v>
      </c>
    </row>
    <row r="145" ht="14.5" spans="1:11">
      <c r="A145" s="3" t="str">
        <f t="shared" si="9"/>
        <v>2026年</v>
      </c>
      <c r="B145" s="3" t="str">
        <f t="shared" si="10"/>
        <v>1月</v>
      </c>
      <c r="C145" s="4" t="str">
        <f t="shared" si="11"/>
        <v>W1</v>
      </c>
      <c r="D145" s="2" t="s">
        <v>741</v>
      </c>
      <c r="E145" s="2" t="s">
        <v>833</v>
      </c>
      <c r="F145" s="2" t="str" cm="1">
        <f t="array" ref="F145">INDEX(_xlfn.TEXTSPLIT(E145,"-"),2)</f>
        <v>男装</v>
      </c>
      <c r="G145" s="2" t="str" cm="1">
        <f t="array" ref="G145">INDEX(_xlfn.TEXTSPLIT(E145,"-"),3)</f>
        <v>背心</v>
      </c>
      <c r="H145" s="5">
        <v>96294</v>
      </c>
      <c r="I145" s="5">
        <v>5566888.87</v>
      </c>
      <c r="J145" s="6">
        <v>0.0059</v>
      </c>
      <c r="K145" s="6">
        <v>0.6297</v>
      </c>
    </row>
    <row r="146" ht="14.5" spans="1:11">
      <c r="A146" s="3" t="str">
        <f t="shared" si="9"/>
        <v>2026年</v>
      </c>
      <c r="B146" s="3" t="str">
        <f t="shared" si="10"/>
        <v>1月</v>
      </c>
      <c r="C146" s="4" t="str">
        <f t="shared" si="11"/>
        <v>W1</v>
      </c>
      <c r="D146" s="2" t="s">
        <v>741</v>
      </c>
      <c r="E146" s="2" t="s">
        <v>834</v>
      </c>
      <c r="F146" s="2" t="str" cm="1">
        <f t="array" ref="F146">INDEX(_xlfn.TEXTSPLIT(E146,"-"),2)</f>
        <v>男装</v>
      </c>
      <c r="G146" s="2" t="str" cm="1">
        <f t="array" ref="G146">INDEX(_xlfn.TEXTSPLIT(E146,"-"),3)</f>
        <v>衬衫</v>
      </c>
      <c r="H146" s="5">
        <v>75832</v>
      </c>
      <c r="I146" s="5">
        <v>9306433.12</v>
      </c>
      <c r="J146" s="6">
        <v>0.0098</v>
      </c>
      <c r="K146" s="6">
        <v>0.0016</v>
      </c>
    </row>
    <row r="147" ht="14.5" spans="1:11">
      <c r="A147" s="3" t="str">
        <f t="shared" si="9"/>
        <v>2026年</v>
      </c>
      <c r="B147" s="3" t="str">
        <f t="shared" si="10"/>
        <v>1月</v>
      </c>
      <c r="C147" s="4" t="str">
        <f t="shared" si="11"/>
        <v>W1</v>
      </c>
      <c r="D147" s="2" t="s">
        <v>741</v>
      </c>
      <c r="E147" s="2" t="s">
        <v>835</v>
      </c>
      <c r="F147" s="2" t="str" cm="1">
        <f t="array" ref="F147">INDEX(_xlfn.TEXTSPLIT(E147,"-"),2)</f>
        <v>男装</v>
      </c>
      <c r="G147" s="2" t="str" cm="1">
        <f t="array" ref="G147">INDEX(_xlfn.TEXTSPLIT(E147,"-"),3)</f>
        <v>西服</v>
      </c>
      <c r="H147" s="5">
        <v>75770</v>
      </c>
      <c r="I147" s="5">
        <v>15874043.29</v>
      </c>
      <c r="J147" s="6">
        <v>0.0168</v>
      </c>
      <c r="K147" s="6">
        <v>-0.0568</v>
      </c>
    </row>
    <row r="148" ht="14.5" spans="1:11">
      <c r="A148" s="3" t="str">
        <f t="shared" si="9"/>
        <v>2026年</v>
      </c>
      <c r="B148" s="3" t="str">
        <f t="shared" si="10"/>
        <v>1月</v>
      </c>
      <c r="C148" s="4" t="str">
        <f t="shared" si="11"/>
        <v>W1</v>
      </c>
      <c r="D148" s="2" t="s">
        <v>741</v>
      </c>
      <c r="E148" s="2" t="s">
        <v>836</v>
      </c>
      <c r="F148" s="2" t="str" cm="1">
        <f t="array" ref="F148">INDEX(_xlfn.TEXTSPLIT(E148,"-"),2)</f>
        <v>男装</v>
      </c>
      <c r="G148" s="2" t="str" cm="1">
        <f t="array" ref="G148">INDEX(_xlfn.TEXTSPLIT(E148,"-"),3)</f>
        <v>连体衣/裤</v>
      </c>
      <c r="H148" s="5">
        <v>606</v>
      </c>
      <c r="I148" s="5">
        <v>22670.6</v>
      </c>
      <c r="J148" s="2" t="s">
        <v>713</v>
      </c>
      <c r="K148" s="6">
        <v>0.122</v>
      </c>
    </row>
    <row r="149" ht="14.5" spans="1:11">
      <c r="A149" s="3" t="str">
        <f t="shared" si="9"/>
        <v>2026年</v>
      </c>
      <c r="B149" s="3" t="str">
        <f t="shared" si="10"/>
        <v>1月</v>
      </c>
      <c r="C149" s="4" t="str">
        <f t="shared" si="11"/>
        <v>W1</v>
      </c>
      <c r="D149" s="2" t="s">
        <v>741</v>
      </c>
      <c r="E149" s="2" t="s">
        <v>837</v>
      </c>
      <c r="F149" s="2" t="str" cm="1">
        <f t="array" ref="F149">INDEX(_xlfn.TEXTSPLIT(E149,"-"),2)</f>
        <v>男装</v>
      </c>
      <c r="G149" s="2" t="str" cm="1">
        <f t="array" ref="G149">INDEX(_xlfn.TEXTSPLIT(E149,"-"),3)</f>
        <v>速干/三防T恤</v>
      </c>
      <c r="H149" s="5">
        <v>1121</v>
      </c>
      <c r="I149" s="5">
        <v>57023.95</v>
      </c>
      <c r="J149" s="6">
        <v>0.0001</v>
      </c>
      <c r="K149" s="6">
        <v>-0.1822</v>
      </c>
    </row>
    <row r="150" ht="14.5" spans="1:11">
      <c r="A150" s="3" t="str">
        <f t="shared" si="9"/>
        <v>2026年</v>
      </c>
      <c r="B150" s="3" t="str">
        <f t="shared" si="10"/>
        <v>1月</v>
      </c>
      <c r="C150" s="4" t="str">
        <f t="shared" si="11"/>
        <v>W1</v>
      </c>
      <c r="D150" s="2" t="s">
        <v>741</v>
      </c>
      <c r="E150" s="2" t="s">
        <v>838</v>
      </c>
      <c r="F150" s="2" t="str" cm="1">
        <f t="array" ref="F150">INDEX(_xlfn.TEXTSPLIT(E150,"-"),2)</f>
        <v>男装</v>
      </c>
      <c r="G150" s="2" t="str" cm="1">
        <f t="array" ref="G150">INDEX(_xlfn.TEXTSPLIT(E150,"-"),3)</f>
        <v>针织衫/毛衣</v>
      </c>
      <c r="H150" s="5">
        <v>421796</v>
      </c>
      <c r="I150" s="5">
        <v>49312384.71</v>
      </c>
      <c r="J150" s="6">
        <v>0.0522</v>
      </c>
      <c r="K150" s="6">
        <v>-0.0332</v>
      </c>
    </row>
    <row r="151" ht="14.5" spans="1:11">
      <c r="A151" s="3" t="str">
        <f t="shared" si="9"/>
        <v>2026年</v>
      </c>
      <c r="B151" s="3" t="str">
        <f t="shared" si="10"/>
        <v>1月</v>
      </c>
      <c r="C151" s="4" t="str">
        <f t="shared" si="11"/>
        <v>W1</v>
      </c>
      <c r="D151" s="2" t="s">
        <v>741</v>
      </c>
      <c r="E151" s="2" t="s">
        <v>839</v>
      </c>
      <c r="F151" s="2" t="str" cm="1">
        <f t="array" ref="F151">INDEX(_xlfn.TEXTSPLIT(E151,"-"),2)</f>
        <v>男装</v>
      </c>
      <c r="G151" s="2" t="str" cm="1">
        <f t="array" ref="G151">INDEX(_xlfn.TEXTSPLIT(E151,"-"),3)</f>
        <v>防晒服</v>
      </c>
      <c r="H151" s="5">
        <v>226</v>
      </c>
      <c r="I151" s="5">
        <v>19825.11</v>
      </c>
      <c r="J151" s="2" t="s">
        <v>713</v>
      </c>
      <c r="K151" s="6">
        <v>0.4362</v>
      </c>
    </row>
    <row r="152" ht="14.5" spans="1:11">
      <c r="A152" s="3" t="str">
        <f t="shared" si="9"/>
        <v>2026年</v>
      </c>
      <c r="B152" s="3" t="str">
        <f t="shared" si="10"/>
        <v>1月</v>
      </c>
      <c r="C152" s="4" t="str">
        <f t="shared" si="11"/>
        <v>W1</v>
      </c>
      <c r="D152" s="2" t="s">
        <v>741</v>
      </c>
      <c r="E152" s="2" t="s">
        <v>840</v>
      </c>
      <c r="F152" s="2" t="str" cm="1">
        <f t="array" ref="F152">INDEX(_xlfn.TEXTSPLIT(E152,"-"),2)</f>
        <v>男装</v>
      </c>
      <c r="G152" s="2" t="str" cm="1">
        <f t="array" ref="G152">INDEX(_xlfn.TEXTSPLIT(E152,"-"),3)</f>
        <v>风衣</v>
      </c>
      <c r="H152" s="5">
        <v>4473</v>
      </c>
      <c r="I152" s="5">
        <v>1461611.41</v>
      </c>
      <c r="J152" s="6">
        <v>0.0015</v>
      </c>
      <c r="K152" s="6">
        <v>-0.0298</v>
      </c>
    </row>
    <row r="153" ht="14.5" spans="1:11">
      <c r="A153" s="3" t="str">
        <f t="shared" si="9"/>
        <v>2026年</v>
      </c>
      <c r="B153" s="3" t="str">
        <f t="shared" si="10"/>
        <v>1月</v>
      </c>
      <c r="C153" s="4" t="str">
        <f t="shared" si="11"/>
        <v>W1</v>
      </c>
      <c r="D153" s="2" t="s">
        <v>741</v>
      </c>
      <c r="E153" s="2" t="s">
        <v>841</v>
      </c>
      <c r="F153" s="2" t="str" cm="1">
        <f t="array" ref="F153">INDEX(_xlfn.TEXTSPLIT(E153,"-"),2)</f>
        <v>男装</v>
      </c>
      <c r="G153" s="2" t="str" cm="1">
        <f t="array" ref="G153">INDEX(_xlfn.TEXTSPLIT(E153,"-"),3)</f>
        <v>马甲</v>
      </c>
      <c r="H153" s="5">
        <v>71098</v>
      </c>
      <c r="I153" s="5">
        <v>5252957.57</v>
      </c>
      <c r="J153" s="6">
        <v>0.0056</v>
      </c>
      <c r="K153" s="6">
        <v>-0.0757</v>
      </c>
    </row>
    <row r="154" ht="14.5" spans="1:11">
      <c r="A154" s="3" t="str">
        <f t="shared" si="9"/>
        <v>2026年</v>
      </c>
      <c r="B154" s="3" t="str">
        <f t="shared" si="10"/>
        <v>1月</v>
      </c>
      <c r="C154" s="4" t="str">
        <f t="shared" si="11"/>
        <v>W2</v>
      </c>
      <c r="D154" s="2" t="s">
        <v>742</v>
      </c>
      <c r="E154" s="2" t="s">
        <v>804</v>
      </c>
      <c r="F154" s="2" t="str" cm="1">
        <f t="array" ref="F154">INDEX(_xlfn.TEXTSPLIT(E154,"-"),2)</f>
        <v>男装</v>
      </c>
      <c r="G154" s="2" t="str" cm="1">
        <f t="array" ref="G154">INDEX(_xlfn.TEXTSPLIT(E154,"-"),3)</f>
        <v>Polo衫</v>
      </c>
      <c r="H154" s="5">
        <v>47824</v>
      </c>
      <c r="I154" s="5">
        <v>4364908.61</v>
      </c>
      <c r="J154" s="6">
        <v>0.0046</v>
      </c>
      <c r="K154" s="6">
        <v>0.0608</v>
      </c>
    </row>
    <row r="155" ht="14.5" spans="1:11">
      <c r="A155" s="3" t="str">
        <f t="shared" si="9"/>
        <v>2026年</v>
      </c>
      <c r="B155" s="3" t="str">
        <f t="shared" si="10"/>
        <v>1月</v>
      </c>
      <c r="C155" s="4" t="str">
        <f t="shared" si="11"/>
        <v>W2</v>
      </c>
      <c r="D155" s="2" t="s">
        <v>742</v>
      </c>
      <c r="E155" s="2" t="s">
        <v>805</v>
      </c>
      <c r="F155" s="2" t="str" cm="1">
        <f t="array" ref="F155">INDEX(_xlfn.TEXTSPLIT(E155,"-"),2)</f>
        <v>男装</v>
      </c>
      <c r="G155" s="2" t="str" cm="1">
        <f t="array" ref="G155">INDEX(_xlfn.TEXTSPLIT(E155,"-"),3)</f>
        <v>T恤</v>
      </c>
      <c r="H155" s="5">
        <v>399624</v>
      </c>
      <c r="I155" s="5">
        <v>33161993.34</v>
      </c>
      <c r="J155" s="6">
        <v>0.035</v>
      </c>
      <c r="K155" s="6">
        <v>0.0952</v>
      </c>
    </row>
    <row r="156" ht="14.5" spans="1:11">
      <c r="A156" s="3" t="str">
        <f t="shared" si="9"/>
        <v>2026年</v>
      </c>
      <c r="B156" s="3" t="str">
        <f t="shared" si="10"/>
        <v>1月</v>
      </c>
      <c r="C156" s="4" t="str">
        <f t="shared" si="11"/>
        <v>W2</v>
      </c>
      <c r="D156" s="2" t="s">
        <v>742</v>
      </c>
      <c r="E156" s="2" t="s">
        <v>806</v>
      </c>
      <c r="F156" s="2" t="str" cm="1">
        <f t="array" ref="F156">INDEX(_xlfn.TEXTSPLIT(E156,"-"),2)</f>
        <v>男装</v>
      </c>
      <c r="G156" s="2" t="str" cm="1">
        <f t="array" ref="G156">INDEX(_xlfn.TEXTSPLIT(E156,"-"),3)</f>
        <v>中老年男装</v>
      </c>
      <c r="H156" s="5">
        <v>155994</v>
      </c>
      <c r="I156" s="5">
        <v>20085192.11</v>
      </c>
      <c r="J156" s="6">
        <v>0.0212</v>
      </c>
      <c r="K156" s="6">
        <v>0.0904</v>
      </c>
    </row>
    <row r="157" ht="14.5" spans="1:11">
      <c r="A157" s="3" t="str">
        <f t="shared" si="9"/>
        <v>2026年</v>
      </c>
      <c r="B157" s="3" t="str">
        <f t="shared" si="10"/>
        <v>1月</v>
      </c>
      <c r="C157" s="4" t="str">
        <f t="shared" si="11"/>
        <v>W2</v>
      </c>
      <c r="D157" s="2" t="s">
        <v>742</v>
      </c>
      <c r="E157" s="2" t="s">
        <v>807</v>
      </c>
      <c r="F157" s="2" t="str" cm="1">
        <f t="array" ref="F157">INDEX(_xlfn.TEXTSPLIT(E157,"-"),2)</f>
        <v>男装</v>
      </c>
      <c r="G157" s="2" t="str" cm="1">
        <f t="array" ref="G157">INDEX(_xlfn.TEXTSPLIT(E157,"-"),3)</f>
        <v>休闲裤</v>
      </c>
      <c r="H157" s="5">
        <v>1088218</v>
      </c>
      <c r="I157" s="5">
        <v>109770979.39</v>
      </c>
      <c r="J157" s="6">
        <v>0.1159</v>
      </c>
      <c r="K157" s="6">
        <v>-0.0296</v>
      </c>
    </row>
    <row r="158" ht="14.5" spans="1:11">
      <c r="A158" s="3" t="str">
        <f t="shared" si="9"/>
        <v>2026年</v>
      </c>
      <c r="B158" s="3" t="str">
        <f t="shared" si="10"/>
        <v>1月</v>
      </c>
      <c r="C158" s="4" t="str">
        <f t="shared" si="11"/>
        <v>W2</v>
      </c>
      <c r="D158" s="2" t="s">
        <v>742</v>
      </c>
      <c r="E158" s="2" t="s">
        <v>808</v>
      </c>
      <c r="F158" s="2" t="str" cm="1">
        <f t="array" ref="F158">INDEX(_xlfn.TEXTSPLIT(E158,"-"),2)</f>
        <v>男装</v>
      </c>
      <c r="G158" s="2" t="str" cm="1">
        <f t="array" ref="G158">INDEX(_xlfn.TEXTSPLIT(E158,"-"),3)</f>
        <v>卫衣</v>
      </c>
      <c r="H158" s="5">
        <v>642361</v>
      </c>
      <c r="I158" s="5">
        <v>52453053.86</v>
      </c>
      <c r="J158" s="6">
        <v>0.0554</v>
      </c>
      <c r="K158" s="6">
        <v>-0.0438</v>
      </c>
    </row>
    <row r="159" ht="14.5" spans="1:11">
      <c r="A159" s="3" t="str">
        <f t="shared" si="9"/>
        <v>2026年</v>
      </c>
      <c r="B159" s="3" t="str">
        <f t="shared" si="10"/>
        <v>1月</v>
      </c>
      <c r="C159" s="4" t="str">
        <f t="shared" si="11"/>
        <v>W2</v>
      </c>
      <c r="D159" s="2" t="s">
        <v>742</v>
      </c>
      <c r="E159" s="2" t="s">
        <v>809</v>
      </c>
      <c r="F159" s="2" t="str" cm="1">
        <f t="array" ref="F159">INDEX(_xlfn.TEXTSPLIT(E159,"-"),2)</f>
        <v>男装</v>
      </c>
      <c r="G159" s="2" t="str" cm="1">
        <f t="array" ref="G159">INDEX(_xlfn.TEXTSPLIT(E159,"-"),3)</f>
        <v>卫裤</v>
      </c>
      <c r="H159" s="5">
        <v>216497</v>
      </c>
      <c r="I159" s="5">
        <v>20853170.43</v>
      </c>
      <c r="J159" s="6">
        <v>0.022</v>
      </c>
      <c r="K159" s="6">
        <v>-0.1042</v>
      </c>
    </row>
    <row r="160" ht="14.5" spans="1:11">
      <c r="A160" s="3" t="str">
        <f t="shared" si="9"/>
        <v>2026年</v>
      </c>
      <c r="B160" s="3" t="str">
        <f t="shared" si="10"/>
        <v>1月</v>
      </c>
      <c r="C160" s="4" t="str">
        <f t="shared" si="11"/>
        <v>W2</v>
      </c>
      <c r="D160" s="2" t="s">
        <v>742</v>
      </c>
      <c r="E160" s="2" t="s">
        <v>810</v>
      </c>
      <c r="F160" s="2" t="str" cm="1">
        <f t="array" ref="F160">INDEX(_xlfn.TEXTSPLIT(E160,"-"),2)</f>
        <v>男装</v>
      </c>
      <c r="G160" s="2" t="str" cm="1">
        <f t="array" ref="G160">INDEX(_xlfn.TEXTSPLIT(E160,"-"),3)</f>
        <v>大码男装</v>
      </c>
      <c r="H160" s="5">
        <v>38230</v>
      </c>
      <c r="I160" s="5">
        <v>3801106.13</v>
      </c>
      <c r="J160" s="6">
        <v>0.004</v>
      </c>
      <c r="K160" s="6">
        <v>-0.1467</v>
      </c>
    </row>
    <row r="161" ht="14.5" spans="1:11">
      <c r="A161" s="3" t="str">
        <f t="shared" si="9"/>
        <v>2026年</v>
      </c>
      <c r="B161" s="3" t="str">
        <f t="shared" si="10"/>
        <v>1月</v>
      </c>
      <c r="C161" s="4" t="str">
        <f t="shared" si="11"/>
        <v>W2</v>
      </c>
      <c r="D161" s="2" t="s">
        <v>742</v>
      </c>
      <c r="E161" s="2" t="s">
        <v>811</v>
      </c>
      <c r="F161" s="2" t="str" cm="1">
        <f t="array" ref="F161">INDEX(_xlfn.TEXTSPLIT(E161,"-"),2)</f>
        <v>男装</v>
      </c>
      <c r="G161" s="2" t="str" cm="1">
        <f t="array" ref="G161">INDEX(_xlfn.TEXTSPLIT(E161,"-"),3)</f>
        <v>夹克</v>
      </c>
      <c r="H161" s="5">
        <v>465929</v>
      </c>
      <c r="I161" s="5">
        <v>78975551.31</v>
      </c>
      <c r="J161" s="6">
        <v>0.0834</v>
      </c>
      <c r="K161" s="6">
        <v>-0.0502</v>
      </c>
    </row>
    <row r="162" ht="14.5" spans="1:11">
      <c r="A162" s="3" t="str">
        <f t="shared" si="9"/>
        <v>2026年</v>
      </c>
      <c r="B162" s="3" t="str">
        <f t="shared" si="10"/>
        <v>1月</v>
      </c>
      <c r="C162" s="4" t="str">
        <f t="shared" si="11"/>
        <v>W2</v>
      </c>
      <c r="D162" s="2" t="s">
        <v>742</v>
      </c>
      <c r="E162" s="2" t="s">
        <v>812</v>
      </c>
      <c r="F162" s="2" t="str" cm="1">
        <f t="array" ref="F162">INDEX(_xlfn.TEXTSPLIT(E162,"-"),2)</f>
        <v>男装</v>
      </c>
      <c r="G162" s="2" t="str" cm="1">
        <f t="array" ref="G162">INDEX(_xlfn.TEXTSPLIT(E162,"-"),3)</f>
        <v>套装</v>
      </c>
      <c r="H162" s="5">
        <v>46821</v>
      </c>
      <c r="I162" s="5">
        <v>6710868.21</v>
      </c>
      <c r="J162" s="6">
        <v>0.0071</v>
      </c>
      <c r="K162" s="6">
        <v>-0.2423</v>
      </c>
    </row>
    <row r="163" ht="14.5" spans="1:11">
      <c r="A163" s="3" t="str">
        <f t="shared" si="9"/>
        <v>2026年</v>
      </c>
      <c r="B163" s="3" t="str">
        <f t="shared" si="10"/>
        <v>1月</v>
      </c>
      <c r="C163" s="4" t="str">
        <f t="shared" si="11"/>
        <v>W2</v>
      </c>
      <c r="D163" s="2" t="s">
        <v>742</v>
      </c>
      <c r="E163" s="2" t="s">
        <v>813</v>
      </c>
      <c r="F163" s="2" t="str" cm="1">
        <f t="array" ref="F163">INDEX(_xlfn.TEXTSPLIT(E163,"-"),2)</f>
        <v>男装</v>
      </c>
      <c r="G163" s="2" t="str" cm="1">
        <f t="array" ref="G163">INDEX(_xlfn.TEXTSPLIT(E163,"-"),3)</f>
        <v>学生校服</v>
      </c>
      <c r="H163" s="5">
        <v>184</v>
      </c>
      <c r="I163" s="5">
        <v>12795.03</v>
      </c>
      <c r="J163" s="2" t="s">
        <v>713</v>
      </c>
      <c r="K163" s="6">
        <v>-0.3354</v>
      </c>
    </row>
    <row r="164" ht="14.5" spans="1:11">
      <c r="A164" s="3" t="str">
        <f t="shared" si="9"/>
        <v>2026年</v>
      </c>
      <c r="B164" s="3" t="str">
        <f t="shared" si="10"/>
        <v>1月</v>
      </c>
      <c r="C164" s="4" t="str">
        <f t="shared" si="11"/>
        <v>W2</v>
      </c>
      <c r="D164" s="2" t="s">
        <v>742</v>
      </c>
      <c r="E164" s="2" t="s">
        <v>814</v>
      </c>
      <c r="F164" s="2" t="str" cm="1">
        <f t="array" ref="F164">INDEX(_xlfn.TEXTSPLIT(E164,"-"),2)</f>
        <v>男装</v>
      </c>
      <c r="G164" s="2" t="str" cm="1">
        <f t="array" ref="G164">INDEX(_xlfn.TEXTSPLIT(E164,"-"),3)</f>
        <v>打底衫</v>
      </c>
      <c r="H164" s="5">
        <v>24236</v>
      </c>
      <c r="I164" s="5">
        <v>1387857.58</v>
      </c>
      <c r="J164" s="6">
        <v>0.0015</v>
      </c>
      <c r="K164" s="6">
        <v>0.046</v>
      </c>
    </row>
    <row r="165" ht="14.5" spans="1:11">
      <c r="A165" s="3" t="str">
        <f t="shared" si="9"/>
        <v>2026年</v>
      </c>
      <c r="B165" s="3" t="str">
        <f t="shared" si="10"/>
        <v>1月</v>
      </c>
      <c r="C165" s="4" t="str">
        <f t="shared" si="11"/>
        <v>W2</v>
      </c>
      <c r="D165" s="2" t="s">
        <v>742</v>
      </c>
      <c r="E165" s="2" t="s">
        <v>815</v>
      </c>
      <c r="F165" s="2" t="str" cm="1">
        <f t="array" ref="F165">INDEX(_xlfn.TEXTSPLIT(E165,"-"),2)</f>
        <v>男装</v>
      </c>
      <c r="G165" s="2" t="str" cm="1">
        <f t="array" ref="G165">INDEX(_xlfn.TEXTSPLIT(E165,"-"),3)</f>
        <v>新中式男装</v>
      </c>
      <c r="H165" s="5">
        <v>221</v>
      </c>
      <c r="I165" s="5">
        <v>37769.06</v>
      </c>
      <c r="J165" s="2" t="s">
        <v>713</v>
      </c>
      <c r="K165" s="6">
        <v>0.082</v>
      </c>
    </row>
    <row r="166" ht="14.5" spans="1:11">
      <c r="A166" s="3" t="str">
        <f t="shared" si="9"/>
        <v>2026年</v>
      </c>
      <c r="B166" s="3" t="str">
        <f t="shared" si="10"/>
        <v>1月</v>
      </c>
      <c r="C166" s="4" t="str">
        <f t="shared" si="11"/>
        <v>W2</v>
      </c>
      <c r="D166" s="2" t="s">
        <v>742</v>
      </c>
      <c r="E166" s="2" t="s">
        <v>816</v>
      </c>
      <c r="F166" s="2" t="str" cm="1">
        <f t="array" ref="F166">INDEX(_xlfn.TEXTSPLIT(E166,"-"),2)</f>
        <v>男装</v>
      </c>
      <c r="G166" s="2" t="str" cm="1">
        <f t="array" ref="G166">INDEX(_xlfn.TEXTSPLIT(E166,"-"),3)</f>
        <v>棉衣</v>
      </c>
      <c r="H166" s="5">
        <v>445579</v>
      </c>
      <c r="I166" s="5">
        <v>58898670.97</v>
      </c>
      <c r="J166" s="6">
        <v>0.0622</v>
      </c>
      <c r="K166" s="6">
        <v>-0.1145</v>
      </c>
    </row>
    <row r="167" ht="14.5" spans="1:11">
      <c r="A167" s="3" t="str">
        <f t="shared" si="9"/>
        <v>2026年</v>
      </c>
      <c r="B167" s="3" t="str">
        <f t="shared" si="10"/>
        <v>1月</v>
      </c>
      <c r="C167" s="4" t="str">
        <f t="shared" si="11"/>
        <v>W2</v>
      </c>
      <c r="D167" s="2" t="s">
        <v>742</v>
      </c>
      <c r="E167" s="2" t="s">
        <v>817</v>
      </c>
      <c r="F167" s="2" t="str" cm="1">
        <f t="array" ref="F167">INDEX(_xlfn.TEXTSPLIT(E167,"-"),2)</f>
        <v>男装</v>
      </c>
      <c r="G167" s="2" t="str" cm="1">
        <f t="array" ref="G167">INDEX(_xlfn.TEXTSPLIT(E167,"-"),3)</f>
        <v>棉裤</v>
      </c>
      <c r="H167" s="5">
        <v>48407</v>
      </c>
      <c r="I167" s="5">
        <v>3497492.25</v>
      </c>
      <c r="J167" s="6">
        <v>0.0037</v>
      </c>
      <c r="K167" s="6">
        <v>-0.2146</v>
      </c>
    </row>
    <row r="168" ht="14.5" spans="1:11">
      <c r="A168" s="3" t="str">
        <f t="shared" si="9"/>
        <v>2026年</v>
      </c>
      <c r="B168" s="3" t="str">
        <f t="shared" si="10"/>
        <v>1月</v>
      </c>
      <c r="C168" s="4" t="str">
        <f t="shared" si="11"/>
        <v>W2</v>
      </c>
      <c r="D168" s="2" t="s">
        <v>742</v>
      </c>
      <c r="E168" s="2" t="s">
        <v>818</v>
      </c>
      <c r="F168" s="2" t="str" cm="1">
        <f t="array" ref="F168">INDEX(_xlfn.TEXTSPLIT(E168,"-"),2)</f>
        <v>男装</v>
      </c>
      <c r="G168" s="2" t="str" cm="1">
        <f t="array" ref="G168">INDEX(_xlfn.TEXTSPLIT(E168,"-"),3)</f>
        <v>毛呢大衣</v>
      </c>
      <c r="H168" s="5">
        <v>42659</v>
      </c>
      <c r="I168" s="5">
        <v>18969896.58</v>
      </c>
      <c r="J168" s="7">
        <v>0.02</v>
      </c>
      <c r="K168" s="6">
        <v>0.0662</v>
      </c>
    </row>
    <row r="169" ht="14.5" spans="1:11">
      <c r="A169" s="3" t="str">
        <f t="shared" si="9"/>
        <v>2026年</v>
      </c>
      <c r="B169" s="3" t="str">
        <f t="shared" si="10"/>
        <v>1月</v>
      </c>
      <c r="C169" s="4" t="str">
        <f t="shared" si="11"/>
        <v>W2</v>
      </c>
      <c r="D169" s="2" t="s">
        <v>742</v>
      </c>
      <c r="E169" s="2" t="s">
        <v>819</v>
      </c>
      <c r="F169" s="2" t="str" cm="1">
        <f t="array" ref="F169">INDEX(_xlfn.TEXTSPLIT(E169,"-"),2)</f>
        <v>男装</v>
      </c>
      <c r="G169" s="2" t="str" cm="1">
        <f t="array" ref="G169">INDEX(_xlfn.TEXTSPLIT(E169,"-"),3)</f>
        <v>民族服装</v>
      </c>
      <c r="H169" s="5">
        <v>5904</v>
      </c>
      <c r="I169" s="5">
        <v>1410109.25</v>
      </c>
      <c r="J169" s="6">
        <v>0.0015</v>
      </c>
      <c r="K169" s="6">
        <v>-0.0277</v>
      </c>
    </row>
    <row r="170" ht="14.5" spans="1:11">
      <c r="A170" s="3" t="str">
        <f t="shared" si="9"/>
        <v>2026年</v>
      </c>
      <c r="B170" s="3" t="str">
        <f t="shared" si="10"/>
        <v>1月</v>
      </c>
      <c r="C170" s="4" t="str">
        <f t="shared" si="11"/>
        <v>W2</v>
      </c>
      <c r="D170" s="2" t="s">
        <v>742</v>
      </c>
      <c r="E170" s="2" t="s">
        <v>820</v>
      </c>
      <c r="F170" s="2" t="str" cm="1">
        <f t="array" ref="F170">INDEX(_xlfn.TEXTSPLIT(E170,"-"),2)</f>
        <v>男装</v>
      </c>
      <c r="G170" s="2" t="str" cm="1">
        <f t="array" ref="G170">INDEX(_xlfn.TEXTSPLIT(E170,"-"),3)</f>
        <v>派克服</v>
      </c>
      <c r="H170" s="5">
        <v>18121</v>
      </c>
      <c r="I170" s="5">
        <v>3588217.48</v>
      </c>
      <c r="J170" s="6">
        <v>0.0038</v>
      </c>
      <c r="K170" s="6">
        <v>-0.1349</v>
      </c>
    </row>
    <row r="171" ht="14.5" spans="1:11">
      <c r="A171" s="3" t="str">
        <f t="shared" si="9"/>
        <v>2026年</v>
      </c>
      <c r="B171" s="3" t="str">
        <f t="shared" si="10"/>
        <v>1月</v>
      </c>
      <c r="C171" s="4" t="str">
        <f t="shared" si="11"/>
        <v>W2</v>
      </c>
      <c r="D171" s="2" t="s">
        <v>742</v>
      </c>
      <c r="E171" s="2" t="s">
        <v>821</v>
      </c>
      <c r="F171" s="2" t="str" cm="1">
        <f t="array" ref="F171">INDEX(_xlfn.TEXTSPLIT(E171,"-"),2)</f>
        <v>男装</v>
      </c>
      <c r="G171" s="2" t="str" cm="1">
        <f t="array" ref="G171">INDEX(_xlfn.TEXTSPLIT(E171,"-"),3)</f>
        <v>牛仔裤</v>
      </c>
      <c r="H171" s="5">
        <v>597970</v>
      </c>
      <c r="I171" s="5">
        <v>67520538.78</v>
      </c>
      <c r="J171" s="6">
        <v>0.0713</v>
      </c>
      <c r="K171" s="6">
        <v>-0.0084</v>
      </c>
    </row>
    <row r="172" ht="14.5" spans="1:11">
      <c r="A172" s="3" t="str">
        <f t="shared" si="9"/>
        <v>2026年</v>
      </c>
      <c r="B172" s="3" t="str">
        <f t="shared" si="10"/>
        <v>1月</v>
      </c>
      <c r="C172" s="4" t="str">
        <f t="shared" si="11"/>
        <v>W2</v>
      </c>
      <c r="D172" s="2" t="s">
        <v>742</v>
      </c>
      <c r="E172" s="2" t="s">
        <v>822</v>
      </c>
      <c r="F172" s="2" t="str" cm="1">
        <f t="array" ref="F172">INDEX(_xlfn.TEXTSPLIT(E172,"-"),2)</f>
        <v>男装</v>
      </c>
      <c r="G172" s="2" t="str" cm="1">
        <f t="array" ref="G172">INDEX(_xlfn.TEXTSPLIT(E172,"-"),3)</f>
        <v>皮草</v>
      </c>
      <c r="H172" s="5">
        <v>8153</v>
      </c>
      <c r="I172" s="5">
        <v>10009254.59</v>
      </c>
      <c r="J172" s="6">
        <v>0.0106</v>
      </c>
      <c r="K172" s="6">
        <v>0.2459</v>
      </c>
    </row>
    <row r="173" ht="14.5" spans="1:11">
      <c r="A173" s="3" t="str">
        <f t="shared" si="9"/>
        <v>2026年</v>
      </c>
      <c r="B173" s="3" t="str">
        <f t="shared" si="10"/>
        <v>1月</v>
      </c>
      <c r="C173" s="4" t="str">
        <f t="shared" si="11"/>
        <v>W2</v>
      </c>
      <c r="D173" s="2" t="s">
        <v>742</v>
      </c>
      <c r="E173" s="2" t="s">
        <v>823</v>
      </c>
      <c r="F173" s="2" t="str" cm="1">
        <f t="array" ref="F173">INDEX(_xlfn.TEXTSPLIT(E173,"-"),2)</f>
        <v>男装</v>
      </c>
      <c r="G173" s="2" t="str" cm="1">
        <f t="array" ref="G173">INDEX(_xlfn.TEXTSPLIT(E173,"-"),3)</f>
        <v>皮衣</v>
      </c>
      <c r="H173" s="5">
        <v>61447</v>
      </c>
      <c r="I173" s="5">
        <v>26191903.54</v>
      </c>
      <c r="J173" s="6">
        <v>0.0277</v>
      </c>
      <c r="K173" s="6">
        <v>0.0072</v>
      </c>
    </row>
    <row r="174" ht="14.5" spans="1:11">
      <c r="A174" s="3" t="str">
        <f t="shared" si="9"/>
        <v>2026年</v>
      </c>
      <c r="B174" s="3" t="str">
        <f t="shared" si="10"/>
        <v>1月</v>
      </c>
      <c r="C174" s="4" t="str">
        <f t="shared" si="11"/>
        <v>W2</v>
      </c>
      <c r="D174" s="2" t="s">
        <v>742</v>
      </c>
      <c r="E174" s="2" t="s">
        <v>824</v>
      </c>
      <c r="F174" s="2" t="str" cm="1">
        <f t="array" ref="F174">INDEX(_xlfn.TEXTSPLIT(E174,"-"),2)</f>
        <v>男装</v>
      </c>
      <c r="G174" s="2" t="str" cm="1">
        <f t="array" ref="G174">INDEX(_xlfn.TEXTSPLIT(E174,"-"),3)</f>
        <v>皮裤</v>
      </c>
      <c r="H174" s="5">
        <v>4699</v>
      </c>
      <c r="I174" s="5">
        <v>526333.75</v>
      </c>
      <c r="J174" s="6">
        <v>0.0006</v>
      </c>
      <c r="K174" s="6">
        <v>-0.0141</v>
      </c>
    </row>
    <row r="175" ht="14.5" spans="1:11">
      <c r="A175" s="3" t="str">
        <f t="shared" si="9"/>
        <v>2026年</v>
      </c>
      <c r="B175" s="3" t="str">
        <f t="shared" si="10"/>
        <v>1月</v>
      </c>
      <c r="C175" s="4" t="str">
        <f t="shared" si="11"/>
        <v>W2</v>
      </c>
      <c r="D175" s="2" t="s">
        <v>742</v>
      </c>
      <c r="E175" s="2" t="s">
        <v>825</v>
      </c>
      <c r="F175" s="2" t="str" cm="1">
        <f t="array" ref="F175">INDEX(_xlfn.TEXTSPLIT(E175,"-"),2)</f>
        <v>男装</v>
      </c>
      <c r="G175" s="2" t="str" cm="1">
        <f t="array" ref="G175">INDEX(_xlfn.TEXTSPLIT(E175,"-"),3)</f>
        <v>短外套</v>
      </c>
      <c r="H175" s="5">
        <v>34073</v>
      </c>
      <c r="I175" s="5">
        <v>3395211.95</v>
      </c>
      <c r="J175" s="6">
        <v>0.0036</v>
      </c>
      <c r="K175" s="6">
        <v>-0.1627</v>
      </c>
    </row>
    <row r="176" ht="14.5" spans="1:11">
      <c r="A176" s="3" t="str">
        <f t="shared" si="9"/>
        <v>2026年</v>
      </c>
      <c r="B176" s="3" t="str">
        <f t="shared" si="10"/>
        <v>1月</v>
      </c>
      <c r="C176" s="4" t="str">
        <f t="shared" si="11"/>
        <v>W2</v>
      </c>
      <c r="D176" s="2" t="s">
        <v>742</v>
      </c>
      <c r="E176" s="2" t="s">
        <v>826</v>
      </c>
      <c r="F176" s="2" t="str" cm="1">
        <f t="array" ref="F176">INDEX(_xlfn.TEXTSPLIT(E176,"-"),2)</f>
        <v>男装</v>
      </c>
      <c r="G176" s="2" t="str" cm="1">
        <f t="array" ref="G176">INDEX(_xlfn.TEXTSPLIT(E176,"-"),3)</f>
        <v>短裤</v>
      </c>
      <c r="H176" s="5">
        <v>49654</v>
      </c>
      <c r="I176" s="5">
        <v>1576907.08</v>
      </c>
      <c r="J176" s="6">
        <v>0.0017</v>
      </c>
      <c r="K176" s="6">
        <v>0.0216</v>
      </c>
    </row>
    <row r="177" ht="14.5" spans="1:11">
      <c r="A177" s="3" t="str">
        <f t="shared" si="9"/>
        <v>2026年</v>
      </c>
      <c r="B177" s="3" t="str">
        <f t="shared" si="10"/>
        <v>1月</v>
      </c>
      <c r="C177" s="4" t="str">
        <f t="shared" si="11"/>
        <v>W2</v>
      </c>
      <c r="D177" s="2" t="s">
        <v>742</v>
      </c>
      <c r="E177" s="2" t="s">
        <v>827</v>
      </c>
      <c r="F177" s="2" t="str" cm="1">
        <f t="array" ref="F177">INDEX(_xlfn.TEXTSPLIT(E177,"-"),2)</f>
        <v>男装</v>
      </c>
      <c r="G177" s="2" t="str" cm="1">
        <f t="array" ref="G177">INDEX(_xlfn.TEXTSPLIT(E177,"-"),3)</f>
        <v>紧身衣</v>
      </c>
      <c r="H177" s="5">
        <v>437</v>
      </c>
      <c r="I177" s="5">
        <v>18193</v>
      </c>
      <c r="J177" s="2" t="s">
        <v>713</v>
      </c>
      <c r="K177" s="6">
        <v>-0.4031</v>
      </c>
    </row>
    <row r="178" ht="14.5" spans="1:11">
      <c r="A178" s="3" t="str">
        <f t="shared" si="9"/>
        <v>2026年</v>
      </c>
      <c r="B178" s="3" t="str">
        <f t="shared" si="10"/>
        <v>1月</v>
      </c>
      <c r="C178" s="4" t="str">
        <f t="shared" si="11"/>
        <v>W2</v>
      </c>
      <c r="D178" s="2" t="s">
        <v>742</v>
      </c>
      <c r="E178" s="2" t="s">
        <v>828</v>
      </c>
      <c r="F178" s="2" t="str" cm="1">
        <f t="array" ref="F178">INDEX(_xlfn.TEXTSPLIT(E178,"-"),2)</f>
        <v>男装</v>
      </c>
      <c r="G178" s="2" t="str" cm="1">
        <f t="array" ref="G178">INDEX(_xlfn.TEXTSPLIT(E178,"-"),3)</f>
        <v>羊毛衫</v>
      </c>
      <c r="H178" s="5">
        <v>174784</v>
      </c>
      <c r="I178" s="5">
        <v>25210854.46</v>
      </c>
      <c r="J178" s="6">
        <v>0.0266</v>
      </c>
      <c r="K178" s="6">
        <v>0.0082</v>
      </c>
    </row>
    <row r="179" ht="14.5" spans="1:11">
      <c r="A179" s="3" t="str">
        <f t="shared" si="9"/>
        <v>2026年</v>
      </c>
      <c r="B179" s="3" t="str">
        <f t="shared" si="10"/>
        <v>1月</v>
      </c>
      <c r="C179" s="4" t="str">
        <f t="shared" si="11"/>
        <v>W2</v>
      </c>
      <c r="D179" s="2" t="s">
        <v>742</v>
      </c>
      <c r="E179" s="2" t="s">
        <v>829</v>
      </c>
      <c r="F179" s="2" t="str" cm="1">
        <f t="array" ref="F179">INDEX(_xlfn.TEXTSPLIT(E179,"-"),2)</f>
        <v>男装</v>
      </c>
      <c r="G179" s="2" t="str" cm="1">
        <f t="array" ref="G179">INDEX(_xlfn.TEXTSPLIT(E179,"-"),3)</f>
        <v>羊绒衫</v>
      </c>
      <c r="H179" s="5">
        <v>27739</v>
      </c>
      <c r="I179" s="5">
        <v>8810155.78</v>
      </c>
      <c r="J179" s="6">
        <v>0.0093</v>
      </c>
      <c r="K179" s="6">
        <v>-0.0699</v>
      </c>
    </row>
    <row r="180" ht="14.5" spans="1:11">
      <c r="A180" s="3" t="str">
        <f t="shared" si="9"/>
        <v>2026年</v>
      </c>
      <c r="B180" s="3" t="str">
        <f t="shared" si="10"/>
        <v>1月</v>
      </c>
      <c r="C180" s="4" t="str">
        <f t="shared" si="11"/>
        <v>W2</v>
      </c>
      <c r="D180" s="2" t="s">
        <v>742</v>
      </c>
      <c r="E180" s="2" t="s">
        <v>830</v>
      </c>
      <c r="F180" s="2" t="str" cm="1">
        <f t="array" ref="F180">INDEX(_xlfn.TEXTSPLIT(E180,"-"),2)</f>
        <v>男装</v>
      </c>
      <c r="G180" s="2" t="str" cm="1">
        <f t="array" ref="G180">INDEX(_xlfn.TEXTSPLIT(E180,"-"),3)</f>
        <v>羽绒服</v>
      </c>
      <c r="H180" s="5">
        <v>698739</v>
      </c>
      <c r="I180" s="5">
        <v>290965667.27</v>
      </c>
      <c r="J180" s="6">
        <v>0.3073</v>
      </c>
      <c r="K180" s="6">
        <v>0.0694</v>
      </c>
    </row>
    <row r="181" ht="14.5" spans="1:11">
      <c r="A181" s="3" t="str">
        <f t="shared" si="9"/>
        <v>2026年</v>
      </c>
      <c r="B181" s="3" t="str">
        <f t="shared" si="10"/>
        <v>1月</v>
      </c>
      <c r="C181" s="4" t="str">
        <f t="shared" si="11"/>
        <v>W2</v>
      </c>
      <c r="D181" s="2" t="s">
        <v>742</v>
      </c>
      <c r="E181" s="2" t="s">
        <v>831</v>
      </c>
      <c r="F181" s="2" t="str" cm="1">
        <f t="array" ref="F181">INDEX(_xlfn.TEXTSPLIT(E181,"-"),2)</f>
        <v>男装</v>
      </c>
      <c r="G181" s="2" t="str" cm="1">
        <f t="array" ref="G181">INDEX(_xlfn.TEXTSPLIT(E181,"-"),3)</f>
        <v>羽绒裤</v>
      </c>
      <c r="H181" s="5">
        <v>27454</v>
      </c>
      <c r="I181" s="5">
        <v>3829117.78</v>
      </c>
      <c r="J181" s="6">
        <v>0.004</v>
      </c>
      <c r="K181" s="6">
        <v>-0.0283</v>
      </c>
    </row>
    <row r="182" ht="14.5" spans="1:11">
      <c r="A182" s="3" t="str">
        <f t="shared" si="9"/>
        <v>2026年</v>
      </c>
      <c r="B182" s="3" t="str">
        <f t="shared" si="10"/>
        <v>1月</v>
      </c>
      <c r="C182" s="4" t="str">
        <f t="shared" si="11"/>
        <v>W2</v>
      </c>
      <c r="D182" s="2" t="s">
        <v>742</v>
      </c>
      <c r="E182" s="2" t="s">
        <v>832</v>
      </c>
      <c r="F182" s="2" t="str" cm="1">
        <f t="array" ref="F182">INDEX(_xlfn.TEXTSPLIT(E182,"-"),2)</f>
        <v>男装</v>
      </c>
      <c r="G182" s="2" t="str" cm="1">
        <f t="array" ref="G182">INDEX(_xlfn.TEXTSPLIT(E182,"-"),3)</f>
        <v>羽绒马甲</v>
      </c>
      <c r="H182" s="5">
        <v>19097</v>
      </c>
      <c r="I182" s="5">
        <v>3743479.34</v>
      </c>
      <c r="J182" s="6">
        <v>0.004</v>
      </c>
      <c r="K182" s="6">
        <v>0.1827</v>
      </c>
    </row>
    <row r="183" ht="14.5" spans="1:11">
      <c r="A183" s="3" t="str">
        <f t="shared" si="9"/>
        <v>2026年</v>
      </c>
      <c r="B183" s="3" t="str">
        <f t="shared" si="10"/>
        <v>1月</v>
      </c>
      <c r="C183" s="4" t="str">
        <f t="shared" si="11"/>
        <v>W2</v>
      </c>
      <c r="D183" s="2" t="s">
        <v>742</v>
      </c>
      <c r="E183" s="2" t="s">
        <v>833</v>
      </c>
      <c r="F183" s="2" t="str" cm="1">
        <f t="array" ref="F183">INDEX(_xlfn.TEXTSPLIT(E183,"-"),2)</f>
        <v>男装</v>
      </c>
      <c r="G183" s="2" t="str" cm="1">
        <f t="array" ref="G183">INDEX(_xlfn.TEXTSPLIT(E183,"-"),3)</f>
        <v>背心</v>
      </c>
      <c r="H183" s="5">
        <v>51263</v>
      </c>
      <c r="I183" s="5">
        <v>2798372.84</v>
      </c>
      <c r="J183" s="6">
        <v>0.003</v>
      </c>
      <c r="K183" s="6">
        <v>-0.4973</v>
      </c>
    </row>
    <row r="184" ht="14.5" spans="1:11">
      <c r="A184" s="3" t="str">
        <f t="shared" si="9"/>
        <v>2026年</v>
      </c>
      <c r="B184" s="3" t="str">
        <f t="shared" si="10"/>
        <v>1月</v>
      </c>
      <c r="C184" s="4" t="str">
        <f t="shared" si="11"/>
        <v>W2</v>
      </c>
      <c r="D184" s="2" t="s">
        <v>742</v>
      </c>
      <c r="E184" s="2" t="s">
        <v>834</v>
      </c>
      <c r="F184" s="2" t="str" cm="1">
        <f t="array" ref="F184">INDEX(_xlfn.TEXTSPLIT(E184,"-"),2)</f>
        <v>男装</v>
      </c>
      <c r="G184" s="2" t="str" cm="1">
        <f t="array" ref="G184">INDEX(_xlfn.TEXTSPLIT(E184,"-"),3)</f>
        <v>衬衫</v>
      </c>
      <c r="H184" s="5">
        <v>76336</v>
      </c>
      <c r="I184" s="5">
        <v>9467420.41</v>
      </c>
      <c r="J184" s="7">
        <v>0.01</v>
      </c>
      <c r="K184" s="6">
        <v>0.0173</v>
      </c>
    </row>
    <row r="185" ht="14.5" spans="1:11">
      <c r="A185" s="3" t="str">
        <f t="shared" si="9"/>
        <v>2026年</v>
      </c>
      <c r="B185" s="3" t="str">
        <f t="shared" si="10"/>
        <v>1月</v>
      </c>
      <c r="C185" s="4" t="str">
        <f t="shared" si="11"/>
        <v>W2</v>
      </c>
      <c r="D185" s="2" t="s">
        <v>742</v>
      </c>
      <c r="E185" s="2" t="s">
        <v>835</v>
      </c>
      <c r="F185" s="2" t="str" cm="1">
        <f t="array" ref="F185">INDEX(_xlfn.TEXTSPLIT(E185,"-"),2)</f>
        <v>男装</v>
      </c>
      <c r="G185" s="2" t="str" cm="1">
        <f t="array" ref="G185">INDEX(_xlfn.TEXTSPLIT(E185,"-"),3)</f>
        <v>西服</v>
      </c>
      <c r="H185" s="5">
        <v>78348</v>
      </c>
      <c r="I185" s="5">
        <v>16370713.54</v>
      </c>
      <c r="J185" s="6">
        <v>0.0173</v>
      </c>
      <c r="K185" s="6">
        <v>0.0313</v>
      </c>
    </row>
    <row r="186" ht="14.5" spans="1:11">
      <c r="A186" s="3" t="str">
        <f t="shared" si="9"/>
        <v>2026年</v>
      </c>
      <c r="B186" s="3" t="str">
        <f t="shared" si="10"/>
        <v>1月</v>
      </c>
      <c r="C186" s="4" t="str">
        <f t="shared" si="11"/>
        <v>W2</v>
      </c>
      <c r="D186" s="2" t="s">
        <v>742</v>
      </c>
      <c r="E186" s="2" t="s">
        <v>836</v>
      </c>
      <c r="F186" s="2" t="str" cm="1">
        <f t="array" ref="F186">INDEX(_xlfn.TEXTSPLIT(E186,"-"),2)</f>
        <v>男装</v>
      </c>
      <c r="G186" s="2" t="str" cm="1">
        <f t="array" ref="G186">INDEX(_xlfn.TEXTSPLIT(E186,"-"),3)</f>
        <v>连体衣/裤</v>
      </c>
      <c r="H186" s="5">
        <v>408</v>
      </c>
      <c r="I186" s="5">
        <v>13859.78</v>
      </c>
      <c r="J186" s="2" t="s">
        <v>713</v>
      </c>
      <c r="K186" s="6">
        <v>-0.3886</v>
      </c>
    </row>
    <row r="187" ht="14.5" spans="1:11">
      <c r="A187" s="3" t="str">
        <f t="shared" si="9"/>
        <v>2026年</v>
      </c>
      <c r="B187" s="3" t="str">
        <f t="shared" si="10"/>
        <v>1月</v>
      </c>
      <c r="C187" s="4" t="str">
        <f t="shared" si="11"/>
        <v>W2</v>
      </c>
      <c r="D187" s="2" t="s">
        <v>742</v>
      </c>
      <c r="E187" s="2" t="s">
        <v>837</v>
      </c>
      <c r="F187" s="2" t="str" cm="1">
        <f t="array" ref="F187">INDEX(_xlfn.TEXTSPLIT(E187,"-"),2)</f>
        <v>男装</v>
      </c>
      <c r="G187" s="2" t="str" cm="1">
        <f t="array" ref="G187">INDEX(_xlfn.TEXTSPLIT(E187,"-"),3)</f>
        <v>速干/三防T恤</v>
      </c>
      <c r="H187" s="5">
        <v>1004</v>
      </c>
      <c r="I187" s="5">
        <v>64577.5</v>
      </c>
      <c r="J187" s="6">
        <v>0.0001</v>
      </c>
      <c r="K187" s="6">
        <v>0.1325</v>
      </c>
    </row>
    <row r="188" ht="14.5" spans="1:11">
      <c r="A188" s="3" t="str">
        <f t="shared" si="9"/>
        <v>2026年</v>
      </c>
      <c r="B188" s="3" t="str">
        <f t="shared" si="10"/>
        <v>1月</v>
      </c>
      <c r="C188" s="4" t="str">
        <f t="shared" si="11"/>
        <v>W2</v>
      </c>
      <c r="D188" s="2" t="s">
        <v>742</v>
      </c>
      <c r="E188" s="2" t="s">
        <v>838</v>
      </c>
      <c r="F188" s="2" t="str" cm="1">
        <f t="array" ref="F188">INDEX(_xlfn.TEXTSPLIT(E188,"-"),2)</f>
        <v>男装</v>
      </c>
      <c r="G188" s="2" t="str" cm="1">
        <f t="array" ref="G188">INDEX(_xlfn.TEXTSPLIT(E188,"-"),3)</f>
        <v>针织衫/毛衣</v>
      </c>
      <c r="H188" s="5">
        <v>423734</v>
      </c>
      <c r="I188" s="5">
        <v>51054945.23</v>
      </c>
      <c r="J188" s="6">
        <v>0.0539</v>
      </c>
      <c r="K188" s="6">
        <v>0.0353</v>
      </c>
    </row>
    <row r="189" ht="14.5" spans="1:11">
      <c r="A189" s="3" t="str">
        <f t="shared" si="9"/>
        <v>2026年</v>
      </c>
      <c r="B189" s="3" t="str">
        <f t="shared" si="10"/>
        <v>1月</v>
      </c>
      <c r="C189" s="4" t="str">
        <f t="shared" si="11"/>
        <v>W2</v>
      </c>
      <c r="D189" s="2" t="s">
        <v>742</v>
      </c>
      <c r="E189" s="2" t="s">
        <v>839</v>
      </c>
      <c r="F189" s="2" t="str" cm="1">
        <f t="array" ref="F189">INDEX(_xlfn.TEXTSPLIT(E189,"-"),2)</f>
        <v>男装</v>
      </c>
      <c r="G189" s="2" t="str" cm="1">
        <f t="array" ref="G189">INDEX(_xlfn.TEXTSPLIT(E189,"-"),3)</f>
        <v>防晒服</v>
      </c>
      <c r="H189" s="5">
        <v>159</v>
      </c>
      <c r="I189" s="5">
        <v>14474.46</v>
      </c>
      <c r="J189" s="2" t="s">
        <v>713</v>
      </c>
      <c r="K189" s="6">
        <v>-0.2699</v>
      </c>
    </row>
    <row r="190" ht="14.5" spans="1:11">
      <c r="A190" s="3" t="str">
        <f t="shared" si="9"/>
        <v>2026年</v>
      </c>
      <c r="B190" s="3" t="str">
        <f t="shared" si="10"/>
        <v>1月</v>
      </c>
      <c r="C190" s="4" t="str">
        <f t="shared" si="11"/>
        <v>W2</v>
      </c>
      <c r="D190" s="2" t="s">
        <v>742</v>
      </c>
      <c r="E190" s="2" t="s">
        <v>840</v>
      </c>
      <c r="F190" s="2" t="str" cm="1">
        <f t="array" ref="F190">INDEX(_xlfn.TEXTSPLIT(E190,"-"),2)</f>
        <v>男装</v>
      </c>
      <c r="G190" s="2" t="str" cm="1">
        <f t="array" ref="G190">INDEX(_xlfn.TEXTSPLIT(E190,"-"),3)</f>
        <v>风衣</v>
      </c>
      <c r="H190" s="5">
        <v>5250</v>
      </c>
      <c r="I190" s="5">
        <v>1605477.48</v>
      </c>
      <c r="J190" s="6">
        <v>0.0017</v>
      </c>
      <c r="K190" s="6">
        <v>0.0984</v>
      </c>
    </row>
    <row r="191" ht="14.5" spans="1:11">
      <c r="A191" s="3" t="str">
        <f t="shared" si="9"/>
        <v>2026年</v>
      </c>
      <c r="B191" s="3" t="str">
        <f t="shared" si="10"/>
        <v>1月</v>
      </c>
      <c r="C191" s="4" t="str">
        <f t="shared" si="11"/>
        <v>W2</v>
      </c>
      <c r="D191" s="2" t="s">
        <v>742</v>
      </c>
      <c r="E191" s="2" t="s">
        <v>841</v>
      </c>
      <c r="F191" s="2" t="str" cm="1">
        <f t="array" ref="F191">INDEX(_xlfn.TEXTSPLIT(E191,"-"),2)</f>
        <v>男装</v>
      </c>
      <c r="G191" s="2" t="str" cm="1">
        <f t="array" ref="G191">INDEX(_xlfn.TEXTSPLIT(E191,"-"),3)</f>
        <v>马甲</v>
      </c>
      <c r="H191" s="5">
        <v>71280</v>
      </c>
      <c r="I191" s="5">
        <v>5643949.64</v>
      </c>
      <c r="J191" s="6">
        <v>0.006</v>
      </c>
      <c r="K191" s="6">
        <v>0.0744</v>
      </c>
    </row>
    <row r="192" ht="14.5" spans="1:11">
      <c r="A192" s="3" t="str">
        <f t="shared" si="9"/>
        <v>2026年</v>
      </c>
      <c r="B192" s="3" t="str">
        <f t="shared" si="10"/>
        <v>1月</v>
      </c>
      <c r="C192" s="4" t="str">
        <f t="shared" si="11"/>
        <v>W2</v>
      </c>
      <c r="D192" s="2" t="s">
        <v>743</v>
      </c>
      <c r="E192" s="2" t="s">
        <v>804</v>
      </c>
      <c r="F192" s="2" t="str" cm="1">
        <f t="array" ref="F192">INDEX(_xlfn.TEXTSPLIT(E192,"-"),2)</f>
        <v>男装</v>
      </c>
      <c r="G192" s="2" t="str" cm="1">
        <f t="array" ref="G192">INDEX(_xlfn.TEXTSPLIT(E192,"-"),3)</f>
        <v>Polo衫</v>
      </c>
      <c r="H192" s="5">
        <v>53977</v>
      </c>
      <c r="I192" s="5">
        <v>4268394.39</v>
      </c>
      <c r="J192" s="6">
        <v>0.0044</v>
      </c>
      <c r="K192" s="6">
        <v>-0.0221</v>
      </c>
    </row>
    <row r="193" ht="14.5" spans="1:11">
      <c r="A193" s="3" t="str">
        <f t="shared" si="9"/>
        <v>2026年</v>
      </c>
      <c r="B193" s="3" t="str">
        <f t="shared" si="10"/>
        <v>1月</v>
      </c>
      <c r="C193" s="4" t="str">
        <f t="shared" si="11"/>
        <v>W2</v>
      </c>
      <c r="D193" s="2" t="s">
        <v>743</v>
      </c>
      <c r="E193" s="2" t="s">
        <v>805</v>
      </c>
      <c r="F193" s="2" t="str" cm="1">
        <f t="array" ref="F193">INDEX(_xlfn.TEXTSPLIT(E193,"-"),2)</f>
        <v>男装</v>
      </c>
      <c r="G193" s="2" t="str" cm="1">
        <f t="array" ref="G193">INDEX(_xlfn.TEXTSPLIT(E193,"-"),3)</f>
        <v>T恤</v>
      </c>
      <c r="H193" s="5">
        <v>388318</v>
      </c>
      <c r="I193" s="5">
        <v>31354735.51</v>
      </c>
      <c r="J193" s="6">
        <v>0.0325</v>
      </c>
      <c r="K193" s="6">
        <v>-0.0545</v>
      </c>
    </row>
    <row r="194" ht="14.5" spans="1:11">
      <c r="A194" s="3" t="str">
        <f t="shared" si="9"/>
        <v>2026年</v>
      </c>
      <c r="B194" s="3" t="str">
        <f t="shared" si="10"/>
        <v>1月</v>
      </c>
      <c r="C194" s="4" t="str">
        <f t="shared" si="11"/>
        <v>W2</v>
      </c>
      <c r="D194" s="2" t="s">
        <v>743</v>
      </c>
      <c r="E194" s="2" t="s">
        <v>806</v>
      </c>
      <c r="F194" s="2" t="str" cm="1">
        <f t="array" ref="F194">INDEX(_xlfn.TEXTSPLIT(E194,"-"),2)</f>
        <v>男装</v>
      </c>
      <c r="G194" s="2" t="str" cm="1">
        <f t="array" ref="G194">INDEX(_xlfn.TEXTSPLIT(E194,"-"),3)</f>
        <v>中老年男装</v>
      </c>
      <c r="H194" s="5">
        <v>143604</v>
      </c>
      <c r="I194" s="5">
        <v>18122449.28</v>
      </c>
      <c r="J194" s="6">
        <v>0.0188</v>
      </c>
      <c r="K194" s="6">
        <v>-0.0977</v>
      </c>
    </row>
    <row r="195" ht="14.5" spans="1:11">
      <c r="A195" s="3" t="str">
        <f t="shared" si="9"/>
        <v>2026年</v>
      </c>
      <c r="B195" s="3" t="str">
        <f t="shared" si="10"/>
        <v>1月</v>
      </c>
      <c r="C195" s="4" t="str">
        <f t="shared" si="11"/>
        <v>W2</v>
      </c>
      <c r="D195" s="2" t="s">
        <v>743</v>
      </c>
      <c r="E195" s="2" t="s">
        <v>807</v>
      </c>
      <c r="F195" s="2" t="str" cm="1">
        <f t="array" ref="F195">INDEX(_xlfn.TEXTSPLIT(E195,"-"),2)</f>
        <v>男装</v>
      </c>
      <c r="G195" s="2" t="str" cm="1">
        <f t="array" ref="G195">INDEX(_xlfn.TEXTSPLIT(E195,"-"),3)</f>
        <v>休闲裤</v>
      </c>
      <c r="H195" s="5">
        <v>1181685</v>
      </c>
      <c r="I195" s="5">
        <v>116447966.08</v>
      </c>
      <c r="J195" s="6">
        <v>0.1207</v>
      </c>
      <c r="K195" s="6">
        <v>0.0608</v>
      </c>
    </row>
    <row r="196" ht="14.5" spans="1:11">
      <c r="A196" s="3" t="str">
        <f t="shared" si="9"/>
        <v>2026年</v>
      </c>
      <c r="B196" s="3" t="str">
        <f t="shared" si="10"/>
        <v>1月</v>
      </c>
      <c r="C196" s="4" t="str">
        <f t="shared" si="11"/>
        <v>W2</v>
      </c>
      <c r="D196" s="2" t="s">
        <v>743</v>
      </c>
      <c r="E196" s="2" t="s">
        <v>808</v>
      </c>
      <c r="F196" s="2" t="str" cm="1">
        <f t="array" ref="F196">INDEX(_xlfn.TEXTSPLIT(E196,"-"),2)</f>
        <v>男装</v>
      </c>
      <c r="G196" s="2" t="str" cm="1">
        <f t="array" ref="G196">INDEX(_xlfn.TEXTSPLIT(E196,"-"),3)</f>
        <v>卫衣</v>
      </c>
      <c r="H196" s="5">
        <v>695697</v>
      </c>
      <c r="I196" s="5">
        <v>55187823.98</v>
      </c>
      <c r="J196" s="6">
        <v>0.0572</v>
      </c>
      <c r="K196" s="6">
        <v>0.0521</v>
      </c>
    </row>
    <row r="197" ht="14.5" spans="1:11">
      <c r="A197" s="3" t="str">
        <f t="shared" si="9"/>
        <v>2026年</v>
      </c>
      <c r="B197" s="3" t="str">
        <f t="shared" si="10"/>
        <v>1月</v>
      </c>
      <c r="C197" s="4" t="str">
        <f t="shared" si="11"/>
        <v>W2</v>
      </c>
      <c r="D197" s="2" t="s">
        <v>743</v>
      </c>
      <c r="E197" s="2" t="s">
        <v>809</v>
      </c>
      <c r="F197" s="2" t="str" cm="1">
        <f t="array" ref="F197">INDEX(_xlfn.TEXTSPLIT(E197,"-"),2)</f>
        <v>男装</v>
      </c>
      <c r="G197" s="2" t="str" cm="1">
        <f t="array" ref="G197">INDEX(_xlfn.TEXTSPLIT(E197,"-"),3)</f>
        <v>卫裤</v>
      </c>
      <c r="H197" s="5">
        <v>249889</v>
      </c>
      <c r="I197" s="5">
        <v>23316656.23</v>
      </c>
      <c r="J197" s="6">
        <v>0.0242</v>
      </c>
      <c r="K197" s="6">
        <v>0.1181</v>
      </c>
    </row>
    <row r="198" ht="14.5" spans="1:11">
      <c r="A198" s="3" t="str">
        <f t="shared" si="9"/>
        <v>2026年</v>
      </c>
      <c r="B198" s="3" t="str">
        <f t="shared" si="10"/>
        <v>1月</v>
      </c>
      <c r="C198" s="4" t="str">
        <f t="shared" si="11"/>
        <v>W2</v>
      </c>
      <c r="D198" s="2" t="s">
        <v>743</v>
      </c>
      <c r="E198" s="2" t="s">
        <v>810</v>
      </c>
      <c r="F198" s="2" t="str" cm="1">
        <f t="array" ref="F198">INDEX(_xlfn.TEXTSPLIT(E198,"-"),2)</f>
        <v>男装</v>
      </c>
      <c r="G198" s="2" t="str" cm="1">
        <f t="array" ref="G198">INDEX(_xlfn.TEXTSPLIT(E198,"-"),3)</f>
        <v>大码男装</v>
      </c>
      <c r="H198" s="5">
        <v>38873</v>
      </c>
      <c r="I198" s="5">
        <v>4548231.29</v>
      </c>
      <c r="J198" s="6">
        <v>0.0047</v>
      </c>
      <c r="K198" s="6">
        <v>0.1966</v>
      </c>
    </row>
    <row r="199" ht="14.5" spans="1:11">
      <c r="A199" s="3" t="str">
        <f t="shared" si="9"/>
        <v>2026年</v>
      </c>
      <c r="B199" s="3" t="str">
        <f t="shared" si="10"/>
        <v>1月</v>
      </c>
      <c r="C199" s="4" t="str">
        <f t="shared" si="11"/>
        <v>W2</v>
      </c>
      <c r="D199" s="2" t="s">
        <v>743</v>
      </c>
      <c r="E199" s="2" t="s">
        <v>811</v>
      </c>
      <c r="F199" s="2" t="str" cm="1">
        <f t="array" ref="F199">INDEX(_xlfn.TEXTSPLIT(E199,"-"),2)</f>
        <v>男装</v>
      </c>
      <c r="G199" s="2" t="str" cm="1">
        <f t="array" ref="G199">INDEX(_xlfn.TEXTSPLIT(E199,"-"),3)</f>
        <v>夹克</v>
      </c>
      <c r="H199" s="5">
        <v>525106</v>
      </c>
      <c r="I199" s="5">
        <v>85765452.45</v>
      </c>
      <c r="J199" s="6">
        <v>0.0889</v>
      </c>
      <c r="K199" s="6">
        <v>0.086</v>
      </c>
    </row>
    <row r="200" ht="14.5" spans="1:11">
      <c r="A200" s="3" t="str">
        <f t="shared" si="9"/>
        <v>2026年</v>
      </c>
      <c r="B200" s="3" t="str">
        <f t="shared" si="10"/>
        <v>1月</v>
      </c>
      <c r="C200" s="4" t="str">
        <f t="shared" si="11"/>
        <v>W2</v>
      </c>
      <c r="D200" s="2" t="s">
        <v>743</v>
      </c>
      <c r="E200" s="2" t="s">
        <v>812</v>
      </c>
      <c r="F200" s="2" t="str" cm="1">
        <f t="array" ref="F200">INDEX(_xlfn.TEXTSPLIT(E200,"-"),2)</f>
        <v>男装</v>
      </c>
      <c r="G200" s="2" t="str" cm="1">
        <f t="array" ref="G200">INDEX(_xlfn.TEXTSPLIT(E200,"-"),3)</f>
        <v>套装</v>
      </c>
      <c r="H200" s="5">
        <v>51673</v>
      </c>
      <c r="I200" s="5">
        <v>7891125.92</v>
      </c>
      <c r="J200" s="6">
        <v>0.0082</v>
      </c>
      <c r="K200" s="6">
        <v>0.1759</v>
      </c>
    </row>
    <row r="201" ht="14.5" spans="1:11">
      <c r="A201" s="3" t="str">
        <f t="shared" si="9"/>
        <v>2026年</v>
      </c>
      <c r="B201" s="3" t="str">
        <f t="shared" si="10"/>
        <v>1月</v>
      </c>
      <c r="C201" s="4" t="str">
        <f t="shared" si="11"/>
        <v>W2</v>
      </c>
      <c r="D201" s="2" t="s">
        <v>743</v>
      </c>
      <c r="E201" s="2" t="s">
        <v>813</v>
      </c>
      <c r="F201" s="2" t="str" cm="1">
        <f t="array" ref="F201">INDEX(_xlfn.TEXTSPLIT(E201,"-"),2)</f>
        <v>男装</v>
      </c>
      <c r="G201" s="2" t="str" cm="1">
        <f t="array" ref="G201">INDEX(_xlfn.TEXTSPLIT(E201,"-"),3)</f>
        <v>学生校服</v>
      </c>
      <c r="H201" s="5">
        <v>151</v>
      </c>
      <c r="I201" s="5">
        <v>11584.04</v>
      </c>
      <c r="J201" s="2" t="s">
        <v>713</v>
      </c>
      <c r="K201" s="6">
        <v>-0.0946</v>
      </c>
    </row>
    <row r="202" ht="14.5" spans="1:11">
      <c r="A202" s="3" t="str">
        <f t="shared" si="9"/>
        <v>2026年</v>
      </c>
      <c r="B202" s="3" t="str">
        <f t="shared" si="10"/>
        <v>1月</v>
      </c>
      <c r="C202" s="4" t="str">
        <f t="shared" si="11"/>
        <v>W2</v>
      </c>
      <c r="D202" s="2" t="s">
        <v>743</v>
      </c>
      <c r="E202" s="2" t="s">
        <v>814</v>
      </c>
      <c r="F202" s="2" t="str" cm="1">
        <f t="array" ref="F202">INDEX(_xlfn.TEXTSPLIT(E202,"-"),2)</f>
        <v>男装</v>
      </c>
      <c r="G202" s="2" t="str" cm="1">
        <f t="array" ref="G202">INDEX(_xlfn.TEXTSPLIT(E202,"-"),3)</f>
        <v>打底衫</v>
      </c>
      <c r="H202" s="5">
        <v>37708</v>
      </c>
      <c r="I202" s="5">
        <v>1497132.69</v>
      </c>
      <c r="J202" s="6">
        <v>0.0016</v>
      </c>
      <c r="K202" s="6">
        <v>0.0787</v>
      </c>
    </row>
    <row r="203" ht="14.5" spans="1:11">
      <c r="A203" s="3" t="str">
        <f t="shared" si="9"/>
        <v>2026年</v>
      </c>
      <c r="B203" s="3" t="str">
        <f t="shared" si="10"/>
        <v>1月</v>
      </c>
      <c r="C203" s="4" t="str">
        <f t="shared" si="11"/>
        <v>W2</v>
      </c>
      <c r="D203" s="2" t="s">
        <v>743</v>
      </c>
      <c r="E203" s="2" t="s">
        <v>815</v>
      </c>
      <c r="F203" s="2" t="str" cm="1">
        <f t="array" ref="F203">INDEX(_xlfn.TEXTSPLIT(E203,"-"),2)</f>
        <v>男装</v>
      </c>
      <c r="G203" s="2" t="str" cm="1">
        <f t="array" ref="G203">INDEX(_xlfn.TEXTSPLIT(E203,"-"),3)</f>
        <v>新中式男装</v>
      </c>
      <c r="H203" s="5">
        <v>165</v>
      </c>
      <c r="I203" s="5">
        <v>24191.8</v>
      </c>
      <c r="J203" s="2" t="s">
        <v>713</v>
      </c>
      <c r="K203" s="6">
        <v>-0.3595</v>
      </c>
    </row>
    <row r="204" ht="14.5" spans="1:11">
      <c r="A204" s="3" t="str">
        <f t="shared" si="9"/>
        <v>2026年</v>
      </c>
      <c r="B204" s="3" t="str">
        <f t="shared" si="10"/>
        <v>1月</v>
      </c>
      <c r="C204" s="4" t="str">
        <f t="shared" si="11"/>
        <v>W2</v>
      </c>
      <c r="D204" s="2" t="s">
        <v>743</v>
      </c>
      <c r="E204" s="2" t="s">
        <v>816</v>
      </c>
      <c r="F204" s="2" t="str" cm="1">
        <f t="array" ref="F204">INDEX(_xlfn.TEXTSPLIT(E204,"-"),2)</f>
        <v>男装</v>
      </c>
      <c r="G204" s="2" t="str" cm="1">
        <f t="array" ref="G204">INDEX(_xlfn.TEXTSPLIT(E204,"-"),3)</f>
        <v>棉衣</v>
      </c>
      <c r="H204" s="5">
        <v>580550</v>
      </c>
      <c r="I204" s="5">
        <v>73059129.97</v>
      </c>
      <c r="J204" s="6">
        <v>0.0758</v>
      </c>
      <c r="K204" s="6">
        <v>0.2404</v>
      </c>
    </row>
    <row r="205" ht="14.5" spans="1:11">
      <c r="A205" s="3" t="str">
        <f t="shared" si="9"/>
        <v>2026年</v>
      </c>
      <c r="B205" s="3" t="str">
        <f t="shared" si="10"/>
        <v>1月</v>
      </c>
      <c r="C205" s="4" t="str">
        <f t="shared" si="11"/>
        <v>W2</v>
      </c>
      <c r="D205" s="2" t="s">
        <v>743</v>
      </c>
      <c r="E205" s="2" t="s">
        <v>817</v>
      </c>
      <c r="F205" s="2" t="str" cm="1">
        <f t="array" ref="F205">INDEX(_xlfn.TEXTSPLIT(E205,"-"),2)</f>
        <v>男装</v>
      </c>
      <c r="G205" s="2" t="str" cm="1">
        <f t="array" ref="G205">INDEX(_xlfn.TEXTSPLIT(E205,"-"),3)</f>
        <v>棉裤</v>
      </c>
      <c r="H205" s="5">
        <v>49942</v>
      </c>
      <c r="I205" s="5">
        <v>3544783.11</v>
      </c>
      <c r="J205" s="6">
        <v>0.0037</v>
      </c>
      <c r="K205" s="6">
        <v>0.0135</v>
      </c>
    </row>
    <row r="206" ht="14.5" spans="1:11">
      <c r="A206" s="3" t="str">
        <f t="shared" ref="A206:A269" si="12">TEXT(YEAR(D206),"0")&amp;"年"</f>
        <v>2026年</v>
      </c>
      <c r="B206" s="3" t="str">
        <f t="shared" ref="B206:B269" si="13">TEXT(MONTH(D206),"0")&amp;"月"</f>
        <v>1月</v>
      </c>
      <c r="C206" s="4" t="str">
        <f t="shared" ref="C206:C269" si="14">"W"&amp;TEXT(WEEKNUM(D206,2),"0")</f>
        <v>W2</v>
      </c>
      <c r="D206" s="2" t="s">
        <v>743</v>
      </c>
      <c r="E206" s="2" t="s">
        <v>818</v>
      </c>
      <c r="F206" s="2" t="str" cm="1">
        <f t="array" ref="F206">INDEX(_xlfn.TEXTSPLIT(E206,"-"),2)</f>
        <v>男装</v>
      </c>
      <c r="G206" s="2" t="str" cm="1">
        <f t="array" ref="G206">INDEX(_xlfn.TEXTSPLIT(E206,"-"),3)</f>
        <v>毛呢大衣</v>
      </c>
      <c r="H206" s="5">
        <v>45350</v>
      </c>
      <c r="I206" s="5">
        <v>20085157.23</v>
      </c>
      <c r="J206" s="6">
        <v>0.0208</v>
      </c>
      <c r="K206" s="6">
        <v>0.0588</v>
      </c>
    </row>
    <row r="207" ht="14.5" spans="1:11">
      <c r="A207" s="3" t="str">
        <f t="shared" si="12"/>
        <v>2026年</v>
      </c>
      <c r="B207" s="3" t="str">
        <f t="shared" si="13"/>
        <v>1月</v>
      </c>
      <c r="C207" s="4" t="str">
        <f t="shared" si="14"/>
        <v>W2</v>
      </c>
      <c r="D207" s="2" t="s">
        <v>743</v>
      </c>
      <c r="E207" s="2" t="s">
        <v>819</v>
      </c>
      <c r="F207" s="2" t="str" cm="1">
        <f t="array" ref="F207">INDEX(_xlfn.TEXTSPLIT(E207,"-"),2)</f>
        <v>男装</v>
      </c>
      <c r="G207" s="2" t="str" cm="1">
        <f t="array" ref="G207">INDEX(_xlfn.TEXTSPLIT(E207,"-"),3)</f>
        <v>民族服装</v>
      </c>
      <c r="H207" s="5">
        <v>6408</v>
      </c>
      <c r="I207" s="5">
        <v>1601843.7</v>
      </c>
      <c r="J207" s="6">
        <v>0.0017</v>
      </c>
      <c r="K207" s="6">
        <v>0.136</v>
      </c>
    </row>
    <row r="208" ht="14.5" spans="1:11">
      <c r="A208" s="3" t="str">
        <f t="shared" si="12"/>
        <v>2026年</v>
      </c>
      <c r="B208" s="3" t="str">
        <f t="shared" si="13"/>
        <v>1月</v>
      </c>
      <c r="C208" s="4" t="str">
        <f t="shared" si="14"/>
        <v>W2</v>
      </c>
      <c r="D208" s="2" t="s">
        <v>743</v>
      </c>
      <c r="E208" s="2" t="s">
        <v>820</v>
      </c>
      <c r="F208" s="2" t="str" cm="1">
        <f t="array" ref="F208">INDEX(_xlfn.TEXTSPLIT(E208,"-"),2)</f>
        <v>男装</v>
      </c>
      <c r="G208" s="2" t="str" cm="1">
        <f t="array" ref="G208">INDEX(_xlfn.TEXTSPLIT(E208,"-"),3)</f>
        <v>派克服</v>
      </c>
      <c r="H208" s="5">
        <v>19838</v>
      </c>
      <c r="I208" s="5">
        <v>3782889.9</v>
      </c>
      <c r="J208" s="6">
        <v>0.0039</v>
      </c>
      <c r="K208" s="6">
        <v>0.0543</v>
      </c>
    </row>
    <row r="209" ht="14.5" spans="1:11">
      <c r="A209" s="3" t="str">
        <f t="shared" si="12"/>
        <v>2026年</v>
      </c>
      <c r="B209" s="3" t="str">
        <f t="shared" si="13"/>
        <v>1月</v>
      </c>
      <c r="C209" s="4" t="str">
        <f t="shared" si="14"/>
        <v>W2</v>
      </c>
      <c r="D209" s="2" t="s">
        <v>743</v>
      </c>
      <c r="E209" s="2" t="s">
        <v>821</v>
      </c>
      <c r="F209" s="2" t="str" cm="1">
        <f t="array" ref="F209">INDEX(_xlfn.TEXTSPLIT(E209,"-"),2)</f>
        <v>男装</v>
      </c>
      <c r="G209" s="2" t="str" cm="1">
        <f t="array" ref="G209">INDEX(_xlfn.TEXTSPLIT(E209,"-"),3)</f>
        <v>牛仔裤</v>
      </c>
      <c r="H209" s="5">
        <v>636323</v>
      </c>
      <c r="I209" s="5">
        <v>70933209.78</v>
      </c>
      <c r="J209" s="6">
        <v>0.0736</v>
      </c>
      <c r="K209" s="6">
        <v>0.0505</v>
      </c>
    </row>
    <row r="210" ht="14.5" spans="1:11">
      <c r="A210" s="3" t="str">
        <f t="shared" si="12"/>
        <v>2026年</v>
      </c>
      <c r="B210" s="3" t="str">
        <f t="shared" si="13"/>
        <v>1月</v>
      </c>
      <c r="C210" s="4" t="str">
        <f t="shared" si="14"/>
        <v>W2</v>
      </c>
      <c r="D210" s="2" t="s">
        <v>743</v>
      </c>
      <c r="E210" s="2" t="s">
        <v>822</v>
      </c>
      <c r="F210" s="2" t="str" cm="1">
        <f t="array" ref="F210">INDEX(_xlfn.TEXTSPLIT(E210,"-"),2)</f>
        <v>男装</v>
      </c>
      <c r="G210" s="2" t="str" cm="1">
        <f t="array" ref="G210">INDEX(_xlfn.TEXTSPLIT(E210,"-"),3)</f>
        <v>皮草</v>
      </c>
      <c r="H210" s="5">
        <v>6559</v>
      </c>
      <c r="I210" s="5">
        <v>9186756.73</v>
      </c>
      <c r="J210" s="6">
        <v>0.0095</v>
      </c>
      <c r="K210" s="6">
        <v>-0.0822</v>
      </c>
    </row>
    <row r="211" ht="14.5" spans="1:11">
      <c r="A211" s="3" t="str">
        <f t="shared" si="12"/>
        <v>2026年</v>
      </c>
      <c r="B211" s="3" t="str">
        <f t="shared" si="13"/>
        <v>1月</v>
      </c>
      <c r="C211" s="4" t="str">
        <f t="shared" si="14"/>
        <v>W2</v>
      </c>
      <c r="D211" s="2" t="s">
        <v>743</v>
      </c>
      <c r="E211" s="2" t="s">
        <v>823</v>
      </c>
      <c r="F211" s="2" t="str" cm="1">
        <f t="array" ref="F211">INDEX(_xlfn.TEXTSPLIT(E211,"-"),2)</f>
        <v>男装</v>
      </c>
      <c r="G211" s="2" t="str" cm="1">
        <f t="array" ref="G211">INDEX(_xlfn.TEXTSPLIT(E211,"-"),3)</f>
        <v>皮衣</v>
      </c>
      <c r="H211" s="5">
        <v>81051</v>
      </c>
      <c r="I211" s="5">
        <v>28121484.55</v>
      </c>
      <c r="J211" s="6">
        <v>0.0292</v>
      </c>
      <c r="K211" s="6">
        <v>0.0737</v>
      </c>
    </row>
    <row r="212" ht="14.5" spans="1:11">
      <c r="A212" s="3" t="str">
        <f t="shared" si="12"/>
        <v>2026年</v>
      </c>
      <c r="B212" s="3" t="str">
        <f t="shared" si="13"/>
        <v>1月</v>
      </c>
      <c r="C212" s="4" t="str">
        <f t="shared" si="14"/>
        <v>W2</v>
      </c>
      <c r="D212" s="2" t="s">
        <v>743</v>
      </c>
      <c r="E212" s="2" t="s">
        <v>824</v>
      </c>
      <c r="F212" s="2" t="str" cm="1">
        <f t="array" ref="F212">INDEX(_xlfn.TEXTSPLIT(E212,"-"),2)</f>
        <v>男装</v>
      </c>
      <c r="G212" s="2" t="str" cm="1">
        <f t="array" ref="G212">INDEX(_xlfn.TEXTSPLIT(E212,"-"),3)</f>
        <v>皮裤</v>
      </c>
      <c r="H212" s="5">
        <v>4450</v>
      </c>
      <c r="I212" s="5">
        <v>510081.67</v>
      </c>
      <c r="J212" s="6">
        <v>0.0005</v>
      </c>
      <c r="K212" s="6">
        <v>-0.0309</v>
      </c>
    </row>
    <row r="213" ht="14.5" spans="1:11">
      <c r="A213" s="3" t="str">
        <f t="shared" si="12"/>
        <v>2026年</v>
      </c>
      <c r="B213" s="3" t="str">
        <f t="shared" si="13"/>
        <v>1月</v>
      </c>
      <c r="C213" s="4" t="str">
        <f t="shared" si="14"/>
        <v>W2</v>
      </c>
      <c r="D213" s="2" t="s">
        <v>743</v>
      </c>
      <c r="E213" s="2" t="s">
        <v>825</v>
      </c>
      <c r="F213" s="2" t="str" cm="1">
        <f t="array" ref="F213">INDEX(_xlfn.TEXTSPLIT(E213,"-"),2)</f>
        <v>男装</v>
      </c>
      <c r="G213" s="2" t="str" cm="1">
        <f t="array" ref="G213">INDEX(_xlfn.TEXTSPLIT(E213,"-"),3)</f>
        <v>短外套</v>
      </c>
      <c r="H213" s="5">
        <v>39256</v>
      </c>
      <c r="I213" s="5">
        <v>4271300.25</v>
      </c>
      <c r="J213" s="6">
        <v>0.0044</v>
      </c>
      <c r="K213" s="6">
        <v>0.258</v>
      </c>
    </row>
    <row r="214" ht="14.5" spans="1:11">
      <c r="A214" s="3" t="str">
        <f t="shared" si="12"/>
        <v>2026年</v>
      </c>
      <c r="B214" s="3" t="str">
        <f t="shared" si="13"/>
        <v>1月</v>
      </c>
      <c r="C214" s="4" t="str">
        <f t="shared" si="14"/>
        <v>W2</v>
      </c>
      <c r="D214" s="2" t="s">
        <v>743</v>
      </c>
      <c r="E214" s="2" t="s">
        <v>826</v>
      </c>
      <c r="F214" s="2" t="str" cm="1">
        <f t="array" ref="F214">INDEX(_xlfn.TEXTSPLIT(E214,"-"),2)</f>
        <v>男装</v>
      </c>
      <c r="G214" s="2" t="str" cm="1">
        <f t="array" ref="G214">INDEX(_xlfn.TEXTSPLIT(E214,"-"),3)</f>
        <v>短裤</v>
      </c>
      <c r="H214" s="5">
        <v>46830</v>
      </c>
      <c r="I214" s="5">
        <v>1531885.88</v>
      </c>
      <c r="J214" s="6">
        <v>0.0016</v>
      </c>
      <c r="K214" s="6">
        <v>-0.0286</v>
      </c>
    </row>
    <row r="215" ht="14.5" spans="1:11">
      <c r="A215" s="3" t="str">
        <f t="shared" si="12"/>
        <v>2026年</v>
      </c>
      <c r="B215" s="3" t="str">
        <f t="shared" si="13"/>
        <v>1月</v>
      </c>
      <c r="C215" s="4" t="str">
        <f t="shared" si="14"/>
        <v>W2</v>
      </c>
      <c r="D215" s="2" t="s">
        <v>743</v>
      </c>
      <c r="E215" s="2" t="s">
        <v>827</v>
      </c>
      <c r="F215" s="2" t="str" cm="1">
        <f t="array" ref="F215">INDEX(_xlfn.TEXTSPLIT(E215,"-"),2)</f>
        <v>男装</v>
      </c>
      <c r="G215" s="2" t="str" cm="1">
        <f t="array" ref="G215">INDEX(_xlfn.TEXTSPLIT(E215,"-"),3)</f>
        <v>紧身衣</v>
      </c>
      <c r="H215" s="5">
        <v>280</v>
      </c>
      <c r="I215" s="5">
        <v>12201.8</v>
      </c>
      <c r="J215" s="2" t="s">
        <v>713</v>
      </c>
      <c r="K215" s="6">
        <v>-0.3293</v>
      </c>
    </row>
    <row r="216" ht="14.5" spans="1:11">
      <c r="A216" s="3" t="str">
        <f t="shared" si="12"/>
        <v>2026年</v>
      </c>
      <c r="B216" s="3" t="str">
        <f t="shared" si="13"/>
        <v>1月</v>
      </c>
      <c r="C216" s="4" t="str">
        <f t="shared" si="14"/>
        <v>W2</v>
      </c>
      <c r="D216" s="2" t="s">
        <v>743</v>
      </c>
      <c r="E216" s="2" t="s">
        <v>828</v>
      </c>
      <c r="F216" s="2" t="str" cm="1">
        <f t="array" ref="F216">INDEX(_xlfn.TEXTSPLIT(E216,"-"),2)</f>
        <v>男装</v>
      </c>
      <c r="G216" s="2" t="str" cm="1">
        <f t="array" ref="G216">INDEX(_xlfn.TEXTSPLIT(E216,"-"),3)</f>
        <v>羊毛衫</v>
      </c>
      <c r="H216" s="5">
        <v>133592</v>
      </c>
      <c r="I216" s="5">
        <v>20903739.48</v>
      </c>
      <c r="J216" s="6">
        <v>0.0217</v>
      </c>
      <c r="K216" s="6">
        <v>-0.1708</v>
      </c>
    </row>
    <row r="217" ht="14.5" spans="1:11">
      <c r="A217" s="3" t="str">
        <f t="shared" si="12"/>
        <v>2026年</v>
      </c>
      <c r="B217" s="3" t="str">
        <f t="shared" si="13"/>
        <v>1月</v>
      </c>
      <c r="C217" s="4" t="str">
        <f t="shared" si="14"/>
        <v>W2</v>
      </c>
      <c r="D217" s="2" t="s">
        <v>743</v>
      </c>
      <c r="E217" s="2" t="s">
        <v>829</v>
      </c>
      <c r="F217" s="2" t="str" cm="1">
        <f t="array" ref="F217">INDEX(_xlfn.TEXTSPLIT(E217,"-"),2)</f>
        <v>男装</v>
      </c>
      <c r="G217" s="2" t="str" cm="1">
        <f t="array" ref="G217">INDEX(_xlfn.TEXTSPLIT(E217,"-"),3)</f>
        <v>羊绒衫</v>
      </c>
      <c r="H217" s="5">
        <v>27744</v>
      </c>
      <c r="I217" s="5">
        <v>8418215.8</v>
      </c>
      <c r="J217" s="6">
        <v>0.0087</v>
      </c>
      <c r="K217" s="6">
        <v>-0.0445</v>
      </c>
    </row>
    <row r="218" ht="14.5" spans="1:11">
      <c r="A218" s="3" t="str">
        <f t="shared" si="12"/>
        <v>2026年</v>
      </c>
      <c r="B218" s="3" t="str">
        <f t="shared" si="13"/>
        <v>1月</v>
      </c>
      <c r="C218" s="4" t="str">
        <f t="shared" si="14"/>
        <v>W2</v>
      </c>
      <c r="D218" s="2" t="s">
        <v>743</v>
      </c>
      <c r="E218" s="2" t="s">
        <v>830</v>
      </c>
      <c r="F218" s="2" t="str" cm="1">
        <f t="array" ref="F218">INDEX(_xlfn.TEXTSPLIT(E218,"-"),2)</f>
        <v>男装</v>
      </c>
      <c r="G218" s="2" t="str" cm="1">
        <f t="array" ref="G218">INDEX(_xlfn.TEXTSPLIT(E218,"-"),3)</f>
        <v>羽绒服</v>
      </c>
      <c r="H218" s="5">
        <v>712695</v>
      </c>
      <c r="I218" s="5">
        <v>272844951.59</v>
      </c>
      <c r="J218" s="6">
        <v>0.2829</v>
      </c>
      <c r="K218" s="6">
        <v>-0.0623</v>
      </c>
    </row>
    <row r="219" ht="14.5" spans="1:11">
      <c r="A219" s="3" t="str">
        <f t="shared" si="12"/>
        <v>2026年</v>
      </c>
      <c r="B219" s="3" t="str">
        <f t="shared" si="13"/>
        <v>1月</v>
      </c>
      <c r="C219" s="4" t="str">
        <f t="shared" si="14"/>
        <v>W2</v>
      </c>
      <c r="D219" s="2" t="s">
        <v>743</v>
      </c>
      <c r="E219" s="2" t="s">
        <v>831</v>
      </c>
      <c r="F219" s="2" t="str" cm="1">
        <f t="array" ref="F219">INDEX(_xlfn.TEXTSPLIT(E219,"-"),2)</f>
        <v>男装</v>
      </c>
      <c r="G219" s="2" t="str" cm="1">
        <f t="array" ref="G219">INDEX(_xlfn.TEXTSPLIT(E219,"-"),3)</f>
        <v>羽绒裤</v>
      </c>
      <c r="H219" s="5">
        <v>25624</v>
      </c>
      <c r="I219" s="5">
        <v>3764119.37</v>
      </c>
      <c r="J219" s="6">
        <v>0.0039</v>
      </c>
      <c r="K219" s="6">
        <v>-0.017</v>
      </c>
    </row>
    <row r="220" ht="14.5" spans="1:11">
      <c r="A220" s="3" t="str">
        <f t="shared" si="12"/>
        <v>2026年</v>
      </c>
      <c r="B220" s="3" t="str">
        <f t="shared" si="13"/>
        <v>1月</v>
      </c>
      <c r="C220" s="4" t="str">
        <f t="shared" si="14"/>
        <v>W2</v>
      </c>
      <c r="D220" s="2" t="s">
        <v>743</v>
      </c>
      <c r="E220" s="2" t="s">
        <v>832</v>
      </c>
      <c r="F220" s="2" t="str" cm="1">
        <f t="array" ref="F220">INDEX(_xlfn.TEXTSPLIT(E220,"-"),2)</f>
        <v>男装</v>
      </c>
      <c r="G220" s="2" t="str" cm="1">
        <f t="array" ref="G220">INDEX(_xlfn.TEXTSPLIT(E220,"-"),3)</f>
        <v>羽绒马甲</v>
      </c>
      <c r="H220" s="5">
        <v>18982</v>
      </c>
      <c r="I220" s="5">
        <v>3626919.43</v>
      </c>
      <c r="J220" s="6">
        <v>0.0038</v>
      </c>
      <c r="K220" s="6">
        <v>-0.0311</v>
      </c>
    </row>
    <row r="221" ht="14.5" spans="1:11">
      <c r="A221" s="3" t="str">
        <f t="shared" si="12"/>
        <v>2026年</v>
      </c>
      <c r="B221" s="3" t="str">
        <f t="shared" si="13"/>
        <v>1月</v>
      </c>
      <c r="C221" s="4" t="str">
        <f t="shared" si="14"/>
        <v>W2</v>
      </c>
      <c r="D221" s="2" t="s">
        <v>743</v>
      </c>
      <c r="E221" s="2" t="s">
        <v>833</v>
      </c>
      <c r="F221" s="2" t="str" cm="1">
        <f t="array" ref="F221">INDEX(_xlfn.TEXTSPLIT(E221,"-"),2)</f>
        <v>男装</v>
      </c>
      <c r="G221" s="2" t="str" cm="1">
        <f t="array" ref="G221">INDEX(_xlfn.TEXTSPLIT(E221,"-"),3)</f>
        <v>背心</v>
      </c>
      <c r="H221" s="5">
        <v>51265</v>
      </c>
      <c r="I221" s="5">
        <v>3090500.41</v>
      </c>
      <c r="J221" s="6">
        <v>0.0032</v>
      </c>
      <c r="K221" s="6">
        <v>0.1044</v>
      </c>
    </row>
    <row r="222" ht="14.5" spans="1:11">
      <c r="A222" s="3" t="str">
        <f t="shared" si="12"/>
        <v>2026年</v>
      </c>
      <c r="B222" s="3" t="str">
        <f t="shared" si="13"/>
        <v>1月</v>
      </c>
      <c r="C222" s="4" t="str">
        <f t="shared" si="14"/>
        <v>W2</v>
      </c>
      <c r="D222" s="2" t="s">
        <v>743</v>
      </c>
      <c r="E222" s="2" t="s">
        <v>834</v>
      </c>
      <c r="F222" s="2" t="str" cm="1">
        <f t="array" ref="F222">INDEX(_xlfn.TEXTSPLIT(E222,"-"),2)</f>
        <v>男装</v>
      </c>
      <c r="G222" s="2" t="str" cm="1">
        <f t="array" ref="G222">INDEX(_xlfn.TEXTSPLIT(E222,"-"),3)</f>
        <v>衬衫</v>
      </c>
      <c r="H222" s="5">
        <v>78127</v>
      </c>
      <c r="I222" s="5">
        <v>9835346.44</v>
      </c>
      <c r="J222" s="6">
        <v>0.0102</v>
      </c>
      <c r="K222" s="6">
        <v>0.0389</v>
      </c>
    </row>
    <row r="223" ht="14.5" spans="1:11">
      <c r="A223" s="3" t="str">
        <f t="shared" si="12"/>
        <v>2026年</v>
      </c>
      <c r="B223" s="3" t="str">
        <f t="shared" si="13"/>
        <v>1月</v>
      </c>
      <c r="C223" s="4" t="str">
        <f t="shared" si="14"/>
        <v>W2</v>
      </c>
      <c r="D223" s="2" t="s">
        <v>743</v>
      </c>
      <c r="E223" s="2" t="s">
        <v>835</v>
      </c>
      <c r="F223" s="2" t="str" cm="1">
        <f t="array" ref="F223">INDEX(_xlfn.TEXTSPLIT(E223,"-"),2)</f>
        <v>男装</v>
      </c>
      <c r="G223" s="2" t="str" cm="1">
        <f t="array" ref="G223">INDEX(_xlfn.TEXTSPLIT(E223,"-"),3)</f>
        <v>西服</v>
      </c>
      <c r="H223" s="5">
        <v>76185</v>
      </c>
      <c r="I223" s="5">
        <v>16106322.58</v>
      </c>
      <c r="J223" s="6">
        <v>0.0167</v>
      </c>
      <c r="K223" s="6">
        <v>-0.0162</v>
      </c>
    </row>
    <row r="224" ht="14.5" spans="1:11">
      <c r="A224" s="3" t="str">
        <f t="shared" si="12"/>
        <v>2026年</v>
      </c>
      <c r="B224" s="3" t="str">
        <f t="shared" si="13"/>
        <v>1月</v>
      </c>
      <c r="C224" s="4" t="str">
        <f t="shared" si="14"/>
        <v>W2</v>
      </c>
      <c r="D224" s="2" t="s">
        <v>743</v>
      </c>
      <c r="E224" s="2" t="s">
        <v>836</v>
      </c>
      <c r="F224" s="2" t="str" cm="1">
        <f t="array" ref="F224">INDEX(_xlfn.TEXTSPLIT(E224,"-"),2)</f>
        <v>男装</v>
      </c>
      <c r="G224" s="2" t="str" cm="1">
        <f t="array" ref="G224">INDEX(_xlfn.TEXTSPLIT(E224,"-"),3)</f>
        <v>连体衣/裤</v>
      </c>
      <c r="H224" s="5">
        <v>448</v>
      </c>
      <c r="I224" s="5">
        <v>14846.56</v>
      </c>
      <c r="J224" s="2" t="s">
        <v>713</v>
      </c>
      <c r="K224" s="6">
        <v>0.0712</v>
      </c>
    </row>
    <row r="225" ht="14.5" spans="1:11">
      <c r="A225" s="3" t="str">
        <f t="shared" si="12"/>
        <v>2026年</v>
      </c>
      <c r="B225" s="3" t="str">
        <f t="shared" si="13"/>
        <v>1月</v>
      </c>
      <c r="C225" s="4" t="str">
        <f t="shared" si="14"/>
        <v>W2</v>
      </c>
      <c r="D225" s="2" t="s">
        <v>743</v>
      </c>
      <c r="E225" s="2" t="s">
        <v>837</v>
      </c>
      <c r="F225" s="2" t="str" cm="1">
        <f t="array" ref="F225">INDEX(_xlfn.TEXTSPLIT(E225,"-"),2)</f>
        <v>男装</v>
      </c>
      <c r="G225" s="2" t="str" cm="1">
        <f t="array" ref="G225">INDEX(_xlfn.TEXTSPLIT(E225,"-"),3)</f>
        <v>速干/三防T恤</v>
      </c>
      <c r="H225" s="5">
        <v>800</v>
      </c>
      <c r="I225" s="5">
        <v>98381.03</v>
      </c>
      <c r="J225" s="6">
        <v>0.0001</v>
      </c>
      <c r="K225" s="6">
        <v>0.5235</v>
      </c>
    </row>
    <row r="226" ht="14.5" spans="1:11">
      <c r="A226" s="3" t="str">
        <f t="shared" si="12"/>
        <v>2026年</v>
      </c>
      <c r="B226" s="3" t="str">
        <f t="shared" si="13"/>
        <v>1月</v>
      </c>
      <c r="C226" s="4" t="str">
        <f t="shared" si="14"/>
        <v>W2</v>
      </c>
      <c r="D226" s="2" t="s">
        <v>743</v>
      </c>
      <c r="E226" s="2" t="s">
        <v>838</v>
      </c>
      <c r="F226" s="2" t="str" cm="1">
        <f t="array" ref="F226">INDEX(_xlfn.TEXTSPLIT(E226,"-"),2)</f>
        <v>男装</v>
      </c>
      <c r="G226" s="2" t="str" cm="1">
        <f t="array" ref="G226">INDEX(_xlfn.TEXTSPLIT(E226,"-"),3)</f>
        <v>针织衫/毛衣</v>
      </c>
      <c r="H226" s="5">
        <v>431971</v>
      </c>
      <c r="I226" s="5">
        <v>52531444.98</v>
      </c>
      <c r="J226" s="6">
        <v>0.0545</v>
      </c>
      <c r="K226" s="6">
        <v>0.0289</v>
      </c>
    </row>
    <row r="227" ht="14.5" spans="1:11">
      <c r="A227" s="3" t="str">
        <f t="shared" si="12"/>
        <v>2026年</v>
      </c>
      <c r="B227" s="3" t="str">
        <f t="shared" si="13"/>
        <v>1月</v>
      </c>
      <c r="C227" s="4" t="str">
        <f t="shared" si="14"/>
        <v>W2</v>
      </c>
      <c r="D227" s="2" t="s">
        <v>743</v>
      </c>
      <c r="E227" s="2" t="s">
        <v>839</v>
      </c>
      <c r="F227" s="2" t="str" cm="1">
        <f t="array" ref="F227">INDEX(_xlfn.TEXTSPLIT(E227,"-"),2)</f>
        <v>男装</v>
      </c>
      <c r="G227" s="2" t="str" cm="1">
        <f t="array" ref="G227">INDEX(_xlfn.TEXTSPLIT(E227,"-"),3)</f>
        <v>防晒服</v>
      </c>
      <c r="H227" s="5">
        <v>152</v>
      </c>
      <c r="I227" s="5">
        <v>10527.72</v>
      </c>
      <c r="J227" s="2" t="s">
        <v>713</v>
      </c>
      <c r="K227" s="6">
        <v>-0.2727</v>
      </c>
    </row>
    <row r="228" ht="14.5" spans="1:11">
      <c r="A228" s="3" t="str">
        <f t="shared" si="12"/>
        <v>2026年</v>
      </c>
      <c r="B228" s="3" t="str">
        <f t="shared" si="13"/>
        <v>1月</v>
      </c>
      <c r="C228" s="4" t="str">
        <f t="shared" si="14"/>
        <v>W2</v>
      </c>
      <c r="D228" s="2" t="s">
        <v>743</v>
      </c>
      <c r="E228" s="2" t="s">
        <v>840</v>
      </c>
      <c r="F228" s="2" t="str" cm="1">
        <f t="array" ref="F228">INDEX(_xlfn.TEXTSPLIT(E228,"-"),2)</f>
        <v>男装</v>
      </c>
      <c r="G228" s="2" t="str" cm="1">
        <f t="array" ref="G228">INDEX(_xlfn.TEXTSPLIT(E228,"-"),3)</f>
        <v>风衣</v>
      </c>
      <c r="H228" s="5">
        <v>5569</v>
      </c>
      <c r="I228" s="5">
        <v>1828390.2</v>
      </c>
      <c r="J228" s="6">
        <v>0.0019</v>
      </c>
      <c r="K228" s="6">
        <v>0.1388</v>
      </c>
    </row>
    <row r="229" ht="14.5" spans="1:11">
      <c r="A229" s="3" t="str">
        <f t="shared" si="12"/>
        <v>2026年</v>
      </c>
      <c r="B229" s="3" t="str">
        <f t="shared" si="13"/>
        <v>1月</v>
      </c>
      <c r="C229" s="4" t="str">
        <f t="shared" si="14"/>
        <v>W2</v>
      </c>
      <c r="D229" s="2" t="s">
        <v>743</v>
      </c>
      <c r="E229" s="2" t="s">
        <v>841</v>
      </c>
      <c r="F229" s="2" t="str" cm="1">
        <f t="array" ref="F229">INDEX(_xlfn.TEXTSPLIT(E229,"-"),2)</f>
        <v>男装</v>
      </c>
      <c r="G229" s="2" t="str" cm="1">
        <f t="array" ref="G229">INDEX(_xlfn.TEXTSPLIT(E229,"-"),3)</f>
        <v>马甲</v>
      </c>
      <c r="H229" s="5">
        <v>78146</v>
      </c>
      <c r="I229" s="5">
        <v>6270834.27</v>
      </c>
      <c r="J229" s="6">
        <v>0.0065</v>
      </c>
      <c r="K229" s="6">
        <v>0.1111</v>
      </c>
    </row>
    <row r="230" ht="14.5" spans="1:11">
      <c r="A230" s="3" t="str">
        <f t="shared" si="12"/>
        <v>2026年</v>
      </c>
      <c r="B230" s="3" t="str">
        <f t="shared" si="13"/>
        <v>1月</v>
      </c>
      <c r="C230" s="4" t="str">
        <f t="shared" si="14"/>
        <v>W2</v>
      </c>
      <c r="D230" s="2" t="s">
        <v>744</v>
      </c>
      <c r="E230" s="2" t="s">
        <v>804</v>
      </c>
      <c r="F230" s="2" t="str" cm="1">
        <f t="array" ref="F230">INDEX(_xlfn.TEXTSPLIT(E230,"-"),2)</f>
        <v>男装</v>
      </c>
      <c r="G230" s="2" t="str" cm="1">
        <f t="array" ref="G230">INDEX(_xlfn.TEXTSPLIT(E230,"-"),3)</f>
        <v>Polo衫</v>
      </c>
      <c r="H230" s="5">
        <v>46757</v>
      </c>
      <c r="I230" s="5">
        <v>4401533.39</v>
      </c>
      <c r="J230" s="6">
        <v>0.0046</v>
      </c>
      <c r="K230" s="6">
        <v>0.0312</v>
      </c>
    </row>
    <row r="231" ht="14.5" spans="1:11">
      <c r="A231" s="3" t="str">
        <f t="shared" si="12"/>
        <v>2026年</v>
      </c>
      <c r="B231" s="3" t="str">
        <f t="shared" si="13"/>
        <v>1月</v>
      </c>
      <c r="C231" s="4" t="str">
        <f t="shared" si="14"/>
        <v>W2</v>
      </c>
      <c r="D231" s="2" t="s">
        <v>744</v>
      </c>
      <c r="E231" s="2" t="s">
        <v>805</v>
      </c>
      <c r="F231" s="2" t="str" cm="1">
        <f t="array" ref="F231">INDEX(_xlfn.TEXTSPLIT(E231,"-"),2)</f>
        <v>男装</v>
      </c>
      <c r="G231" s="2" t="str" cm="1">
        <f t="array" ref="G231">INDEX(_xlfn.TEXTSPLIT(E231,"-"),3)</f>
        <v>T恤</v>
      </c>
      <c r="H231" s="5">
        <v>384851</v>
      </c>
      <c r="I231" s="5">
        <v>32274144.5</v>
      </c>
      <c r="J231" s="6">
        <v>0.0341</v>
      </c>
      <c r="K231" s="6">
        <v>0.0293</v>
      </c>
    </row>
    <row r="232" ht="14.5" spans="1:11">
      <c r="A232" s="3" t="str">
        <f t="shared" si="12"/>
        <v>2026年</v>
      </c>
      <c r="B232" s="3" t="str">
        <f t="shared" si="13"/>
        <v>1月</v>
      </c>
      <c r="C232" s="4" t="str">
        <f t="shared" si="14"/>
        <v>W2</v>
      </c>
      <c r="D232" s="2" t="s">
        <v>744</v>
      </c>
      <c r="E232" s="2" t="s">
        <v>806</v>
      </c>
      <c r="F232" s="2" t="str" cm="1">
        <f t="array" ref="F232">INDEX(_xlfn.TEXTSPLIT(E232,"-"),2)</f>
        <v>男装</v>
      </c>
      <c r="G232" s="2" t="str" cm="1">
        <f t="array" ref="G232">INDEX(_xlfn.TEXTSPLIT(E232,"-"),3)</f>
        <v>中老年男装</v>
      </c>
      <c r="H232" s="5">
        <v>142849</v>
      </c>
      <c r="I232" s="5">
        <v>22270234.14</v>
      </c>
      <c r="J232" s="6">
        <v>0.0235</v>
      </c>
      <c r="K232" s="6">
        <v>0.2289</v>
      </c>
    </row>
    <row r="233" ht="14.5" spans="1:11">
      <c r="A233" s="3" t="str">
        <f t="shared" si="12"/>
        <v>2026年</v>
      </c>
      <c r="B233" s="3" t="str">
        <f t="shared" si="13"/>
        <v>1月</v>
      </c>
      <c r="C233" s="4" t="str">
        <f t="shared" si="14"/>
        <v>W2</v>
      </c>
      <c r="D233" s="2" t="s">
        <v>744</v>
      </c>
      <c r="E233" s="2" t="s">
        <v>807</v>
      </c>
      <c r="F233" s="2" t="str" cm="1">
        <f t="array" ref="F233">INDEX(_xlfn.TEXTSPLIT(E233,"-"),2)</f>
        <v>男装</v>
      </c>
      <c r="G233" s="2" t="str" cm="1">
        <f t="array" ref="G233">INDEX(_xlfn.TEXTSPLIT(E233,"-"),3)</f>
        <v>休闲裤</v>
      </c>
      <c r="H233" s="5">
        <v>1174407</v>
      </c>
      <c r="I233" s="5">
        <v>116958557.66</v>
      </c>
      <c r="J233" s="6">
        <v>0.1234</v>
      </c>
      <c r="K233" s="6">
        <v>0.0044</v>
      </c>
    </row>
    <row r="234" ht="14.5" spans="1:11">
      <c r="A234" s="3" t="str">
        <f t="shared" si="12"/>
        <v>2026年</v>
      </c>
      <c r="B234" s="3" t="str">
        <f t="shared" si="13"/>
        <v>1月</v>
      </c>
      <c r="C234" s="4" t="str">
        <f t="shared" si="14"/>
        <v>W2</v>
      </c>
      <c r="D234" s="2" t="s">
        <v>744</v>
      </c>
      <c r="E234" s="2" t="s">
        <v>808</v>
      </c>
      <c r="F234" s="2" t="str" cm="1">
        <f t="array" ref="F234">INDEX(_xlfn.TEXTSPLIT(E234,"-"),2)</f>
        <v>男装</v>
      </c>
      <c r="G234" s="2" t="str" cm="1">
        <f t="array" ref="G234">INDEX(_xlfn.TEXTSPLIT(E234,"-"),3)</f>
        <v>卫衣</v>
      </c>
      <c r="H234" s="5">
        <v>744879</v>
      </c>
      <c r="I234" s="5">
        <v>57341444.27</v>
      </c>
      <c r="J234" s="6">
        <v>0.0605</v>
      </c>
      <c r="K234" s="6">
        <v>0.039</v>
      </c>
    </row>
    <row r="235" ht="14.5" spans="1:11">
      <c r="A235" s="3" t="str">
        <f t="shared" si="12"/>
        <v>2026年</v>
      </c>
      <c r="B235" s="3" t="str">
        <f t="shared" si="13"/>
        <v>1月</v>
      </c>
      <c r="C235" s="4" t="str">
        <f t="shared" si="14"/>
        <v>W2</v>
      </c>
      <c r="D235" s="2" t="s">
        <v>744</v>
      </c>
      <c r="E235" s="2" t="s">
        <v>809</v>
      </c>
      <c r="F235" s="2" t="str" cm="1">
        <f t="array" ref="F235">INDEX(_xlfn.TEXTSPLIT(E235,"-"),2)</f>
        <v>男装</v>
      </c>
      <c r="G235" s="2" t="str" cm="1">
        <f t="array" ref="G235">INDEX(_xlfn.TEXTSPLIT(E235,"-"),3)</f>
        <v>卫裤</v>
      </c>
      <c r="H235" s="5">
        <v>219813</v>
      </c>
      <c r="I235" s="5">
        <v>21997908.18</v>
      </c>
      <c r="J235" s="6">
        <v>0.0232</v>
      </c>
      <c r="K235" s="6">
        <v>-0.0566</v>
      </c>
    </row>
    <row r="236" ht="14.5" spans="1:11">
      <c r="A236" s="3" t="str">
        <f t="shared" si="12"/>
        <v>2026年</v>
      </c>
      <c r="B236" s="3" t="str">
        <f t="shared" si="13"/>
        <v>1月</v>
      </c>
      <c r="C236" s="4" t="str">
        <f t="shared" si="14"/>
        <v>W2</v>
      </c>
      <c r="D236" s="2" t="s">
        <v>744</v>
      </c>
      <c r="E236" s="2" t="s">
        <v>810</v>
      </c>
      <c r="F236" s="2" t="str" cm="1">
        <f t="array" ref="F236">INDEX(_xlfn.TEXTSPLIT(E236,"-"),2)</f>
        <v>男装</v>
      </c>
      <c r="G236" s="2" t="str" cm="1">
        <f t="array" ref="G236">INDEX(_xlfn.TEXTSPLIT(E236,"-"),3)</f>
        <v>大码男装</v>
      </c>
      <c r="H236" s="5">
        <v>39783</v>
      </c>
      <c r="I236" s="5">
        <v>4141657.63</v>
      </c>
      <c r="J236" s="6">
        <v>0.0044</v>
      </c>
      <c r="K236" s="6">
        <v>-0.0894</v>
      </c>
    </row>
    <row r="237" ht="14.5" spans="1:11">
      <c r="A237" s="3" t="str">
        <f t="shared" si="12"/>
        <v>2026年</v>
      </c>
      <c r="B237" s="3" t="str">
        <f t="shared" si="13"/>
        <v>1月</v>
      </c>
      <c r="C237" s="4" t="str">
        <f t="shared" si="14"/>
        <v>W2</v>
      </c>
      <c r="D237" s="2" t="s">
        <v>744</v>
      </c>
      <c r="E237" s="2" t="s">
        <v>811</v>
      </c>
      <c r="F237" s="2" t="str" cm="1">
        <f t="array" ref="F237">INDEX(_xlfn.TEXTSPLIT(E237,"-"),2)</f>
        <v>男装</v>
      </c>
      <c r="G237" s="2" t="str" cm="1">
        <f t="array" ref="G237">INDEX(_xlfn.TEXTSPLIT(E237,"-"),3)</f>
        <v>夹克</v>
      </c>
      <c r="H237" s="5">
        <v>496526</v>
      </c>
      <c r="I237" s="5">
        <v>85914770.26</v>
      </c>
      <c r="J237" s="6">
        <v>0.0907</v>
      </c>
      <c r="K237" s="6">
        <v>0.0017</v>
      </c>
    </row>
    <row r="238" ht="14.5" spans="1:11">
      <c r="A238" s="3" t="str">
        <f t="shared" si="12"/>
        <v>2026年</v>
      </c>
      <c r="B238" s="3" t="str">
        <f t="shared" si="13"/>
        <v>1月</v>
      </c>
      <c r="C238" s="4" t="str">
        <f t="shared" si="14"/>
        <v>W2</v>
      </c>
      <c r="D238" s="2" t="s">
        <v>744</v>
      </c>
      <c r="E238" s="2" t="s">
        <v>812</v>
      </c>
      <c r="F238" s="2" t="str" cm="1">
        <f t="array" ref="F238">INDEX(_xlfn.TEXTSPLIT(E238,"-"),2)</f>
        <v>男装</v>
      </c>
      <c r="G238" s="2" t="str" cm="1">
        <f t="array" ref="G238">INDEX(_xlfn.TEXTSPLIT(E238,"-"),3)</f>
        <v>套装</v>
      </c>
      <c r="H238" s="5">
        <v>52734</v>
      </c>
      <c r="I238" s="5">
        <v>8108031.59</v>
      </c>
      <c r="J238" s="6">
        <v>0.0086</v>
      </c>
      <c r="K238" s="6">
        <v>0.0275</v>
      </c>
    </row>
    <row r="239" ht="14.5" spans="1:11">
      <c r="A239" s="3" t="str">
        <f t="shared" si="12"/>
        <v>2026年</v>
      </c>
      <c r="B239" s="3" t="str">
        <f t="shared" si="13"/>
        <v>1月</v>
      </c>
      <c r="C239" s="4" t="str">
        <f t="shared" si="14"/>
        <v>W2</v>
      </c>
      <c r="D239" s="2" t="s">
        <v>744</v>
      </c>
      <c r="E239" s="2" t="s">
        <v>813</v>
      </c>
      <c r="F239" s="2" t="str" cm="1">
        <f t="array" ref="F239">INDEX(_xlfn.TEXTSPLIT(E239,"-"),2)</f>
        <v>男装</v>
      </c>
      <c r="G239" s="2" t="str" cm="1">
        <f t="array" ref="G239">INDEX(_xlfn.TEXTSPLIT(E239,"-"),3)</f>
        <v>学生校服</v>
      </c>
      <c r="H239" s="5">
        <v>133</v>
      </c>
      <c r="I239" s="5">
        <v>9623.4</v>
      </c>
      <c r="J239" s="2" t="s">
        <v>713</v>
      </c>
      <c r="K239" s="6">
        <v>-0.1693</v>
      </c>
    </row>
    <row r="240" ht="14.5" spans="1:11">
      <c r="A240" s="3" t="str">
        <f t="shared" si="12"/>
        <v>2026年</v>
      </c>
      <c r="B240" s="3" t="str">
        <f t="shared" si="13"/>
        <v>1月</v>
      </c>
      <c r="C240" s="4" t="str">
        <f t="shared" si="14"/>
        <v>W2</v>
      </c>
      <c r="D240" s="2" t="s">
        <v>744</v>
      </c>
      <c r="E240" s="2" t="s">
        <v>814</v>
      </c>
      <c r="F240" s="2" t="str" cm="1">
        <f t="array" ref="F240">INDEX(_xlfn.TEXTSPLIT(E240,"-"),2)</f>
        <v>男装</v>
      </c>
      <c r="G240" s="2" t="str" cm="1">
        <f t="array" ref="G240">INDEX(_xlfn.TEXTSPLIT(E240,"-"),3)</f>
        <v>打底衫</v>
      </c>
      <c r="H240" s="5">
        <v>34021</v>
      </c>
      <c r="I240" s="5">
        <v>1343246.91</v>
      </c>
      <c r="J240" s="6">
        <v>0.0014</v>
      </c>
      <c r="K240" s="6">
        <v>-0.1028</v>
      </c>
    </row>
    <row r="241" ht="14.5" spans="1:11">
      <c r="A241" s="3" t="str">
        <f t="shared" si="12"/>
        <v>2026年</v>
      </c>
      <c r="B241" s="3" t="str">
        <f t="shared" si="13"/>
        <v>1月</v>
      </c>
      <c r="C241" s="4" t="str">
        <f t="shared" si="14"/>
        <v>W2</v>
      </c>
      <c r="D241" s="2" t="s">
        <v>744</v>
      </c>
      <c r="E241" s="2" t="s">
        <v>815</v>
      </c>
      <c r="F241" s="2" t="str" cm="1">
        <f t="array" ref="F241">INDEX(_xlfn.TEXTSPLIT(E241,"-"),2)</f>
        <v>男装</v>
      </c>
      <c r="G241" s="2" t="str" cm="1">
        <f t="array" ref="G241">INDEX(_xlfn.TEXTSPLIT(E241,"-"),3)</f>
        <v>新中式男装</v>
      </c>
      <c r="H241" s="5">
        <v>992</v>
      </c>
      <c r="I241" s="5">
        <v>204533.19</v>
      </c>
      <c r="J241" s="6">
        <v>0.0002</v>
      </c>
      <c r="K241" s="6">
        <v>7.4546</v>
      </c>
    </row>
    <row r="242" ht="14.5" spans="1:11">
      <c r="A242" s="3" t="str">
        <f t="shared" si="12"/>
        <v>2026年</v>
      </c>
      <c r="B242" s="3" t="str">
        <f t="shared" si="13"/>
        <v>1月</v>
      </c>
      <c r="C242" s="4" t="str">
        <f t="shared" si="14"/>
        <v>W2</v>
      </c>
      <c r="D242" s="2" t="s">
        <v>744</v>
      </c>
      <c r="E242" s="2" t="s">
        <v>816</v>
      </c>
      <c r="F242" s="2" t="str" cm="1">
        <f t="array" ref="F242">INDEX(_xlfn.TEXTSPLIT(E242,"-"),2)</f>
        <v>男装</v>
      </c>
      <c r="G242" s="2" t="str" cm="1">
        <f t="array" ref="G242">INDEX(_xlfn.TEXTSPLIT(E242,"-"),3)</f>
        <v>棉衣</v>
      </c>
      <c r="H242" s="5">
        <v>531992</v>
      </c>
      <c r="I242" s="5">
        <v>66095863.08</v>
      </c>
      <c r="J242" s="6">
        <v>0.0697</v>
      </c>
      <c r="K242" s="6">
        <v>-0.0953</v>
      </c>
    </row>
    <row r="243" ht="14.5" spans="1:11">
      <c r="A243" s="3" t="str">
        <f t="shared" si="12"/>
        <v>2026年</v>
      </c>
      <c r="B243" s="3" t="str">
        <f t="shared" si="13"/>
        <v>1月</v>
      </c>
      <c r="C243" s="4" t="str">
        <f t="shared" si="14"/>
        <v>W2</v>
      </c>
      <c r="D243" s="2" t="s">
        <v>744</v>
      </c>
      <c r="E243" s="2" t="s">
        <v>817</v>
      </c>
      <c r="F243" s="2" t="str" cm="1">
        <f t="array" ref="F243">INDEX(_xlfn.TEXTSPLIT(E243,"-"),2)</f>
        <v>男装</v>
      </c>
      <c r="G243" s="2" t="str" cm="1">
        <f t="array" ref="G243">INDEX(_xlfn.TEXTSPLIT(E243,"-"),3)</f>
        <v>棉裤</v>
      </c>
      <c r="H243" s="5">
        <v>42552</v>
      </c>
      <c r="I243" s="5">
        <v>3234900.16</v>
      </c>
      <c r="J243" s="6">
        <v>0.0034</v>
      </c>
      <c r="K243" s="6">
        <v>-0.0874</v>
      </c>
    </row>
    <row r="244" ht="14.5" spans="1:11">
      <c r="A244" s="3" t="str">
        <f t="shared" si="12"/>
        <v>2026年</v>
      </c>
      <c r="B244" s="3" t="str">
        <f t="shared" si="13"/>
        <v>1月</v>
      </c>
      <c r="C244" s="4" t="str">
        <f t="shared" si="14"/>
        <v>W2</v>
      </c>
      <c r="D244" s="2" t="s">
        <v>744</v>
      </c>
      <c r="E244" s="2" t="s">
        <v>818</v>
      </c>
      <c r="F244" s="2" t="str" cm="1">
        <f t="array" ref="F244">INDEX(_xlfn.TEXTSPLIT(E244,"-"),2)</f>
        <v>男装</v>
      </c>
      <c r="G244" s="2" t="str" cm="1">
        <f t="array" ref="G244">INDEX(_xlfn.TEXTSPLIT(E244,"-"),3)</f>
        <v>毛呢大衣</v>
      </c>
      <c r="H244" s="5">
        <v>43137</v>
      </c>
      <c r="I244" s="5">
        <v>19413854.32</v>
      </c>
      <c r="J244" s="6">
        <v>0.0205</v>
      </c>
      <c r="K244" s="6">
        <v>-0.0334</v>
      </c>
    </row>
    <row r="245" ht="14.5" spans="1:11">
      <c r="A245" s="3" t="str">
        <f t="shared" si="12"/>
        <v>2026年</v>
      </c>
      <c r="B245" s="3" t="str">
        <f t="shared" si="13"/>
        <v>1月</v>
      </c>
      <c r="C245" s="4" t="str">
        <f t="shared" si="14"/>
        <v>W2</v>
      </c>
      <c r="D245" s="2" t="s">
        <v>744</v>
      </c>
      <c r="E245" s="2" t="s">
        <v>819</v>
      </c>
      <c r="F245" s="2" t="str" cm="1">
        <f t="array" ref="F245">INDEX(_xlfn.TEXTSPLIT(E245,"-"),2)</f>
        <v>男装</v>
      </c>
      <c r="G245" s="2" t="str" cm="1">
        <f t="array" ref="G245">INDEX(_xlfn.TEXTSPLIT(E245,"-"),3)</f>
        <v>民族服装</v>
      </c>
      <c r="H245" s="5">
        <v>5897</v>
      </c>
      <c r="I245" s="5">
        <v>1481586.59</v>
      </c>
      <c r="J245" s="6">
        <v>0.0016</v>
      </c>
      <c r="K245" s="6">
        <v>-0.0751</v>
      </c>
    </row>
    <row r="246" ht="14.5" spans="1:11">
      <c r="A246" s="3" t="str">
        <f t="shared" si="12"/>
        <v>2026年</v>
      </c>
      <c r="B246" s="3" t="str">
        <f t="shared" si="13"/>
        <v>1月</v>
      </c>
      <c r="C246" s="4" t="str">
        <f t="shared" si="14"/>
        <v>W2</v>
      </c>
      <c r="D246" s="2" t="s">
        <v>744</v>
      </c>
      <c r="E246" s="2" t="s">
        <v>820</v>
      </c>
      <c r="F246" s="2" t="str" cm="1">
        <f t="array" ref="F246">INDEX(_xlfn.TEXTSPLIT(E246,"-"),2)</f>
        <v>男装</v>
      </c>
      <c r="G246" s="2" t="str" cm="1">
        <f t="array" ref="G246">INDEX(_xlfn.TEXTSPLIT(E246,"-"),3)</f>
        <v>派克服</v>
      </c>
      <c r="H246" s="5">
        <v>18865</v>
      </c>
      <c r="I246" s="5">
        <v>3544538.87</v>
      </c>
      <c r="J246" s="6">
        <v>0.0037</v>
      </c>
      <c r="K246" s="6">
        <v>-0.063</v>
      </c>
    </row>
    <row r="247" ht="14.5" spans="1:11">
      <c r="A247" s="3" t="str">
        <f t="shared" si="12"/>
        <v>2026年</v>
      </c>
      <c r="B247" s="3" t="str">
        <f t="shared" si="13"/>
        <v>1月</v>
      </c>
      <c r="C247" s="4" t="str">
        <f t="shared" si="14"/>
        <v>W2</v>
      </c>
      <c r="D247" s="2" t="s">
        <v>744</v>
      </c>
      <c r="E247" s="2" t="s">
        <v>821</v>
      </c>
      <c r="F247" s="2" t="str" cm="1">
        <f t="array" ref="F247">INDEX(_xlfn.TEXTSPLIT(E247,"-"),2)</f>
        <v>男装</v>
      </c>
      <c r="G247" s="2" t="str" cm="1">
        <f t="array" ref="G247">INDEX(_xlfn.TEXTSPLIT(E247,"-"),3)</f>
        <v>牛仔裤</v>
      </c>
      <c r="H247" s="5">
        <v>618079</v>
      </c>
      <c r="I247" s="5">
        <v>69325156.84</v>
      </c>
      <c r="J247" s="6">
        <v>0.0732</v>
      </c>
      <c r="K247" s="6">
        <v>-0.0227</v>
      </c>
    </row>
    <row r="248" ht="14.5" spans="1:11">
      <c r="A248" s="3" t="str">
        <f t="shared" si="12"/>
        <v>2026年</v>
      </c>
      <c r="B248" s="3" t="str">
        <f t="shared" si="13"/>
        <v>1月</v>
      </c>
      <c r="C248" s="4" t="str">
        <f t="shared" si="14"/>
        <v>W2</v>
      </c>
      <c r="D248" s="2" t="s">
        <v>744</v>
      </c>
      <c r="E248" s="2" t="s">
        <v>822</v>
      </c>
      <c r="F248" s="2" t="str" cm="1">
        <f t="array" ref="F248">INDEX(_xlfn.TEXTSPLIT(E248,"-"),2)</f>
        <v>男装</v>
      </c>
      <c r="G248" s="2" t="str" cm="1">
        <f t="array" ref="G248">INDEX(_xlfn.TEXTSPLIT(E248,"-"),3)</f>
        <v>皮草</v>
      </c>
      <c r="H248" s="5">
        <v>6641</v>
      </c>
      <c r="I248" s="5">
        <v>8900175.47</v>
      </c>
      <c r="J248" s="6">
        <v>0.0094</v>
      </c>
      <c r="K248" s="6">
        <v>-0.0312</v>
      </c>
    </row>
    <row r="249" ht="14.5" spans="1:11">
      <c r="A249" s="3" t="str">
        <f t="shared" si="12"/>
        <v>2026年</v>
      </c>
      <c r="B249" s="3" t="str">
        <f t="shared" si="13"/>
        <v>1月</v>
      </c>
      <c r="C249" s="4" t="str">
        <f t="shared" si="14"/>
        <v>W2</v>
      </c>
      <c r="D249" s="2" t="s">
        <v>744</v>
      </c>
      <c r="E249" s="2" t="s">
        <v>823</v>
      </c>
      <c r="F249" s="2" t="str" cm="1">
        <f t="array" ref="F249">INDEX(_xlfn.TEXTSPLIT(E249,"-"),2)</f>
        <v>男装</v>
      </c>
      <c r="G249" s="2" t="str" cm="1">
        <f t="array" ref="G249">INDEX(_xlfn.TEXTSPLIT(E249,"-"),3)</f>
        <v>皮衣</v>
      </c>
      <c r="H249" s="5">
        <v>73282</v>
      </c>
      <c r="I249" s="5">
        <v>28789304.04</v>
      </c>
      <c r="J249" s="6">
        <v>0.0304</v>
      </c>
      <c r="K249" s="6">
        <v>0.0237</v>
      </c>
    </row>
    <row r="250" ht="14.5" spans="1:11">
      <c r="A250" s="3" t="str">
        <f t="shared" si="12"/>
        <v>2026年</v>
      </c>
      <c r="B250" s="3" t="str">
        <f t="shared" si="13"/>
        <v>1月</v>
      </c>
      <c r="C250" s="4" t="str">
        <f t="shared" si="14"/>
        <v>W2</v>
      </c>
      <c r="D250" s="2" t="s">
        <v>744</v>
      </c>
      <c r="E250" s="2" t="s">
        <v>824</v>
      </c>
      <c r="F250" s="2" t="str" cm="1">
        <f t="array" ref="F250">INDEX(_xlfn.TEXTSPLIT(E250,"-"),2)</f>
        <v>男装</v>
      </c>
      <c r="G250" s="2" t="str" cm="1">
        <f t="array" ref="G250">INDEX(_xlfn.TEXTSPLIT(E250,"-"),3)</f>
        <v>皮裤</v>
      </c>
      <c r="H250" s="5">
        <v>3382</v>
      </c>
      <c r="I250" s="5">
        <v>531012.59</v>
      </c>
      <c r="J250" s="6">
        <v>0.0006</v>
      </c>
      <c r="K250" s="6">
        <v>0.041</v>
      </c>
    </row>
    <row r="251" ht="14.5" spans="1:11">
      <c r="A251" s="3" t="str">
        <f t="shared" si="12"/>
        <v>2026年</v>
      </c>
      <c r="B251" s="3" t="str">
        <f t="shared" si="13"/>
        <v>1月</v>
      </c>
      <c r="C251" s="4" t="str">
        <f t="shared" si="14"/>
        <v>W2</v>
      </c>
      <c r="D251" s="2" t="s">
        <v>744</v>
      </c>
      <c r="E251" s="2" t="s">
        <v>825</v>
      </c>
      <c r="F251" s="2" t="str" cm="1">
        <f t="array" ref="F251">INDEX(_xlfn.TEXTSPLIT(E251,"-"),2)</f>
        <v>男装</v>
      </c>
      <c r="G251" s="2" t="str" cm="1">
        <f t="array" ref="G251">INDEX(_xlfn.TEXTSPLIT(E251,"-"),3)</f>
        <v>短外套</v>
      </c>
      <c r="H251" s="5">
        <v>48169</v>
      </c>
      <c r="I251" s="5">
        <v>4703948.18</v>
      </c>
      <c r="J251" s="6">
        <v>0.005</v>
      </c>
      <c r="K251" s="6">
        <v>0.1013</v>
      </c>
    </row>
    <row r="252" ht="14.5" spans="1:11">
      <c r="A252" s="3" t="str">
        <f t="shared" si="12"/>
        <v>2026年</v>
      </c>
      <c r="B252" s="3" t="str">
        <f t="shared" si="13"/>
        <v>1月</v>
      </c>
      <c r="C252" s="4" t="str">
        <f t="shared" si="14"/>
        <v>W2</v>
      </c>
      <c r="D252" s="2" t="s">
        <v>744</v>
      </c>
      <c r="E252" s="2" t="s">
        <v>826</v>
      </c>
      <c r="F252" s="2" t="str" cm="1">
        <f t="array" ref="F252">INDEX(_xlfn.TEXTSPLIT(E252,"-"),2)</f>
        <v>男装</v>
      </c>
      <c r="G252" s="2" t="str" cm="1">
        <f t="array" ref="G252">INDEX(_xlfn.TEXTSPLIT(E252,"-"),3)</f>
        <v>短裤</v>
      </c>
      <c r="H252" s="5">
        <v>49041</v>
      </c>
      <c r="I252" s="5">
        <v>1508679.46</v>
      </c>
      <c r="J252" s="6">
        <v>0.0016</v>
      </c>
      <c r="K252" s="6">
        <v>-0.0151</v>
      </c>
    </row>
    <row r="253" ht="14.5" spans="1:11">
      <c r="A253" s="3" t="str">
        <f t="shared" si="12"/>
        <v>2026年</v>
      </c>
      <c r="B253" s="3" t="str">
        <f t="shared" si="13"/>
        <v>1月</v>
      </c>
      <c r="C253" s="4" t="str">
        <f t="shared" si="14"/>
        <v>W2</v>
      </c>
      <c r="D253" s="2" t="s">
        <v>744</v>
      </c>
      <c r="E253" s="2" t="s">
        <v>827</v>
      </c>
      <c r="F253" s="2" t="str" cm="1">
        <f t="array" ref="F253">INDEX(_xlfn.TEXTSPLIT(E253,"-"),2)</f>
        <v>男装</v>
      </c>
      <c r="G253" s="2" t="str" cm="1">
        <f t="array" ref="G253">INDEX(_xlfn.TEXTSPLIT(E253,"-"),3)</f>
        <v>紧身衣</v>
      </c>
      <c r="H253" s="5">
        <v>71</v>
      </c>
      <c r="I253" s="5">
        <v>3476.4</v>
      </c>
      <c r="J253" s="2" t="s">
        <v>713</v>
      </c>
      <c r="K253" s="6">
        <v>-0.7151</v>
      </c>
    </row>
    <row r="254" ht="14.5" spans="1:11">
      <c r="A254" s="3" t="str">
        <f t="shared" si="12"/>
        <v>2026年</v>
      </c>
      <c r="B254" s="3" t="str">
        <f t="shared" si="13"/>
        <v>1月</v>
      </c>
      <c r="C254" s="4" t="str">
        <f t="shared" si="14"/>
        <v>W2</v>
      </c>
      <c r="D254" s="2" t="s">
        <v>744</v>
      </c>
      <c r="E254" s="2" t="s">
        <v>828</v>
      </c>
      <c r="F254" s="2" t="str" cm="1">
        <f t="array" ref="F254">INDEX(_xlfn.TEXTSPLIT(E254,"-"),2)</f>
        <v>男装</v>
      </c>
      <c r="G254" s="2" t="str" cm="1">
        <f t="array" ref="G254">INDEX(_xlfn.TEXTSPLIT(E254,"-"),3)</f>
        <v>羊毛衫</v>
      </c>
      <c r="H254" s="5">
        <v>134951</v>
      </c>
      <c r="I254" s="5">
        <v>20765053.19</v>
      </c>
      <c r="J254" s="6">
        <v>0.0219</v>
      </c>
      <c r="K254" s="6">
        <v>-0.0066</v>
      </c>
    </row>
    <row r="255" ht="14.5" spans="1:11">
      <c r="A255" s="3" t="str">
        <f t="shared" si="12"/>
        <v>2026年</v>
      </c>
      <c r="B255" s="3" t="str">
        <f t="shared" si="13"/>
        <v>1月</v>
      </c>
      <c r="C255" s="4" t="str">
        <f t="shared" si="14"/>
        <v>W2</v>
      </c>
      <c r="D255" s="2" t="s">
        <v>744</v>
      </c>
      <c r="E255" s="2" t="s">
        <v>829</v>
      </c>
      <c r="F255" s="2" t="str" cm="1">
        <f t="array" ref="F255">INDEX(_xlfn.TEXTSPLIT(E255,"-"),2)</f>
        <v>男装</v>
      </c>
      <c r="G255" s="2" t="str" cm="1">
        <f t="array" ref="G255">INDEX(_xlfn.TEXTSPLIT(E255,"-"),3)</f>
        <v>羊绒衫</v>
      </c>
      <c r="H255" s="5">
        <v>26647</v>
      </c>
      <c r="I255" s="5">
        <v>8174694.08</v>
      </c>
      <c r="J255" s="6">
        <v>0.0086</v>
      </c>
      <c r="K255" s="6">
        <v>-0.0289</v>
      </c>
    </row>
    <row r="256" ht="14.5" spans="1:11">
      <c r="A256" s="3" t="str">
        <f t="shared" si="12"/>
        <v>2026年</v>
      </c>
      <c r="B256" s="3" t="str">
        <f t="shared" si="13"/>
        <v>1月</v>
      </c>
      <c r="C256" s="4" t="str">
        <f t="shared" si="14"/>
        <v>W2</v>
      </c>
      <c r="D256" s="2" t="s">
        <v>744</v>
      </c>
      <c r="E256" s="2" t="s">
        <v>830</v>
      </c>
      <c r="F256" s="2" t="str" cm="1">
        <f t="array" ref="F256">INDEX(_xlfn.TEXTSPLIT(E256,"-"),2)</f>
        <v>男装</v>
      </c>
      <c r="G256" s="2" t="str" cm="1">
        <f t="array" ref="G256">INDEX(_xlfn.TEXTSPLIT(E256,"-"),3)</f>
        <v>羽绒服</v>
      </c>
      <c r="H256" s="5">
        <v>698393</v>
      </c>
      <c r="I256" s="5">
        <v>261587196.81</v>
      </c>
      <c r="J256" s="6">
        <v>0.276</v>
      </c>
      <c r="K256" s="6">
        <v>-0.0413</v>
      </c>
    </row>
    <row r="257" ht="14.5" spans="1:11">
      <c r="A257" s="3" t="str">
        <f t="shared" si="12"/>
        <v>2026年</v>
      </c>
      <c r="B257" s="3" t="str">
        <f t="shared" si="13"/>
        <v>1月</v>
      </c>
      <c r="C257" s="4" t="str">
        <f t="shared" si="14"/>
        <v>W2</v>
      </c>
      <c r="D257" s="2" t="s">
        <v>744</v>
      </c>
      <c r="E257" s="2" t="s">
        <v>831</v>
      </c>
      <c r="F257" s="2" t="str" cm="1">
        <f t="array" ref="F257">INDEX(_xlfn.TEXTSPLIT(E257,"-"),2)</f>
        <v>男装</v>
      </c>
      <c r="G257" s="2" t="str" cm="1">
        <f t="array" ref="G257">INDEX(_xlfn.TEXTSPLIT(E257,"-"),3)</f>
        <v>羽绒裤</v>
      </c>
      <c r="H257" s="5">
        <v>20047</v>
      </c>
      <c r="I257" s="5">
        <v>2934852.16</v>
      </c>
      <c r="J257" s="6">
        <v>0.0031</v>
      </c>
      <c r="K257" s="6">
        <v>-0.2203</v>
      </c>
    </row>
    <row r="258" ht="14.5" spans="1:11">
      <c r="A258" s="3" t="str">
        <f t="shared" si="12"/>
        <v>2026年</v>
      </c>
      <c r="B258" s="3" t="str">
        <f t="shared" si="13"/>
        <v>1月</v>
      </c>
      <c r="C258" s="4" t="str">
        <f t="shared" si="14"/>
        <v>W2</v>
      </c>
      <c r="D258" s="2" t="s">
        <v>744</v>
      </c>
      <c r="E258" s="2" t="s">
        <v>832</v>
      </c>
      <c r="F258" s="2" t="str" cm="1">
        <f t="array" ref="F258">INDEX(_xlfn.TEXTSPLIT(E258,"-"),2)</f>
        <v>男装</v>
      </c>
      <c r="G258" s="2" t="str" cm="1">
        <f t="array" ref="G258">INDEX(_xlfn.TEXTSPLIT(E258,"-"),3)</f>
        <v>羽绒马甲</v>
      </c>
      <c r="H258" s="5">
        <v>16927</v>
      </c>
      <c r="I258" s="5">
        <v>3415398.55</v>
      </c>
      <c r="J258" s="6">
        <v>0.0036</v>
      </c>
      <c r="K258" s="6">
        <v>-0.0583</v>
      </c>
    </row>
    <row r="259" ht="14.5" spans="1:11">
      <c r="A259" s="3" t="str">
        <f t="shared" si="12"/>
        <v>2026年</v>
      </c>
      <c r="B259" s="3" t="str">
        <f t="shared" si="13"/>
        <v>1月</v>
      </c>
      <c r="C259" s="4" t="str">
        <f t="shared" si="14"/>
        <v>W2</v>
      </c>
      <c r="D259" s="2" t="s">
        <v>744</v>
      </c>
      <c r="E259" s="2" t="s">
        <v>833</v>
      </c>
      <c r="F259" s="2" t="str" cm="1">
        <f t="array" ref="F259">INDEX(_xlfn.TEXTSPLIT(E259,"-"),2)</f>
        <v>男装</v>
      </c>
      <c r="G259" s="2" t="str" cm="1">
        <f t="array" ref="G259">INDEX(_xlfn.TEXTSPLIT(E259,"-"),3)</f>
        <v>背心</v>
      </c>
      <c r="H259" s="5">
        <v>51017</v>
      </c>
      <c r="I259" s="5">
        <v>3080307.42</v>
      </c>
      <c r="J259" s="6">
        <v>0.0033</v>
      </c>
      <c r="K259" s="6">
        <v>-0.0033</v>
      </c>
    </row>
    <row r="260" ht="14.5" spans="1:11">
      <c r="A260" s="3" t="str">
        <f t="shared" si="12"/>
        <v>2026年</v>
      </c>
      <c r="B260" s="3" t="str">
        <f t="shared" si="13"/>
        <v>1月</v>
      </c>
      <c r="C260" s="4" t="str">
        <f t="shared" si="14"/>
        <v>W2</v>
      </c>
      <c r="D260" s="2" t="s">
        <v>744</v>
      </c>
      <c r="E260" s="2" t="s">
        <v>834</v>
      </c>
      <c r="F260" s="2" t="str" cm="1">
        <f t="array" ref="F260">INDEX(_xlfn.TEXTSPLIT(E260,"-"),2)</f>
        <v>男装</v>
      </c>
      <c r="G260" s="2" t="str" cm="1">
        <f t="array" ref="G260">INDEX(_xlfn.TEXTSPLIT(E260,"-"),3)</f>
        <v>衬衫</v>
      </c>
      <c r="H260" s="5">
        <v>78814</v>
      </c>
      <c r="I260" s="5">
        <v>10005966.79</v>
      </c>
      <c r="J260" s="6">
        <v>0.0106</v>
      </c>
      <c r="K260" s="6">
        <v>0.0173</v>
      </c>
    </row>
    <row r="261" ht="14.5" spans="1:11">
      <c r="A261" s="3" t="str">
        <f t="shared" si="12"/>
        <v>2026年</v>
      </c>
      <c r="B261" s="3" t="str">
        <f t="shared" si="13"/>
        <v>1月</v>
      </c>
      <c r="C261" s="4" t="str">
        <f t="shared" si="14"/>
        <v>W2</v>
      </c>
      <c r="D261" s="2" t="s">
        <v>744</v>
      </c>
      <c r="E261" s="2" t="s">
        <v>835</v>
      </c>
      <c r="F261" s="2" t="str" cm="1">
        <f t="array" ref="F261">INDEX(_xlfn.TEXTSPLIT(E261,"-"),2)</f>
        <v>男装</v>
      </c>
      <c r="G261" s="2" t="str" cm="1">
        <f t="array" ref="G261">INDEX(_xlfn.TEXTSPLIT(E261,"-"),3)</f>
        <v>西服</v>
      </c>
      <c r="H261" s="5">
        <v>77650</v>
      </c>
      <c r="I261" s="5">
        <v>15913011.51</v>
      </c>
      <c r="J261" s="6">
        <v>0.0168</v>
      </c>
      <c r="K261" s="6">
        <v>-0.012</v>
      </c>
    </row>
    <row r="262" ht="14.5" spans="1:11">
      <c r="A262" s="3" t="str">
        <f t="shared" si="12"/>
        <v>2026年</v>
      </c>
      <c r="B262" s="3" t="str">
        <f t="shared" si="13"/>
        <v>1月</v>
      </c>
      <c r="C262" s="4" t="str">
        <f t="shared" si="14"/>
        <v>W2</v>
      </c>
      <c r="D262" s="2" t="s">
        <v>744</v>
      </c>
      <c r="E262" s="2" t="s">
        <v>836</v>
      </c>
      <c r="F262" s="2" t="str" cm="1">
        <f t="array" ref="F262">INDEX(_xlfn.TEXTSPLIT(E262,"-"),2)</f>
        <v>男装</v>
      </c>
      <c r="G262" s="2" t="str" cm="1">
        <f t="array" ref="G262">INDEX(_xlfn.TEXTSPLIT(E262,"-"),3)</f>
        <v>连体衣/裤</v>
      </c>
      <c r="H262" s="5">
        <v>566</v>
      </c>
      <c r="I262" s="5">
        <v>18498.91</v>
      </c>
      <c r="J262" s="2" t="s">
        <v>713</v>
      </c>
      <c r="K262" s="6">
        <v>0.246</v>
      </c>
    </row>
    <row r="263" ht="14.5" spans="1:11">
      <c r="A263" s="3" t="str">
        <f t="shared" si="12"/>
        <v>2026年</v>
      </c>
      <c r="B263" s="3" t="str">
        <f t="shared" si="13"/>
        <v>1月</v>
      </c>
      <c r="C263" s="4" t="str">
        <f t="shared" si="14"/>
        <v>W2</v>
      </c>
      <c r="D263" s="2" t="s">
        <v>744</v>
      </c>
      <c r="E263" s="2" t="s">
        <v>837</v>
      </c>
      <c r="F263" s="2" t="str" cm="1">
        <f t="array" ref="F263">INDEX(_xlfn.TEXTSPLIT(E263,"-"),2)</f>
        <v>男装</v>
      </c>
      <c r="G263" s="2" t="str" cm="1">
        <f t="array" ref="G263">INDEX(_xlfn.TEXTSPLIT(E263,"-"),3)</f>
        <v>速干/三防T恤</v>
      </c>
      <c r="H263" s="5">
        <v>790</v>
      </c>
      <c r="I263" s="5">
        <v>100096.72</v>
      </c>
      <c r="J263" s="6">
        <v>0.0001</v>
      </c>
      <c r="K263" s="6">
        <v>0.0174</v>
      </c>
    </row>
    <row r="264" ht="14.5" spans="1:11">
      <c r="A264" s="3" t="str">
        <f t="shared" si="12"/>
        <v>2026年</v>
      </c>
      <c r="B264" s="3" t="str">
        <f t="shared" si="13"/>
        <v>1月</v>
      </c>
      <c r="C264" s="4" t="str">
        <f t="shared" si="14"/>
        <v>W2</v>
      </c>
      <c r="D264" s="2" t="s">
        <v>744</v>
      </c>
      <c r="E264" s="2" t="s">
        <v>838</v>
      </c>
      <c r="F264" s="2" t="str" cm="1">
        <f t="array" ref="F264">INDEX(_xlfn.TEXTSPLIT(E264,"-"),2)</f>
        <v>男装</v>
      </c>
      <c r="G264" s="2" t="str" cm="1">
        <f t="array" ref="G264">INDEX(_xlfn.TEXTSPLIT(E264,"-"),3)</f>
        <v>针织衫/毛衣</v>
      </c>
      <c r="H264" s="5">
        <v>433969</v>
      </c>
      <c r="I264" s="5">
        <v>50400378.5</v>
      </c>
      <c r="J264" s="6">
        <v>0.0532</v>
      </c>
      <c r="K264" s="6">
        <v>-0.0406</v>
      </c>
    </row>
    <row r="265" ht="14.5" spans="1:11">
      <c r="A265" s="3" t="str">
        <f t="shared" si="12"/>
        <v>2026年</v>
      </c>
      <c r="B265" s="3" t="str">
        <f t="shared" si="13"/>
        <v>1月</v>
      </c>
      <c r="C265" s="4" t="str">
        <f t="shared" si="14"/>
        <v>W2</v>
      </c>
      <c r="D265" s="2" t="s">
        <v>744</v>
      </c>
      <c r="E265" s="2" t="s">
        <v>839</v>
      </c>
      <c r="F265" s="2" t="str" cm="1">
        <f t="array" ref="F265">INDEX(_xlfn.TEXTSPLIT(E265,"-"),2)</f>
        <v>男装</v>
      </c>
      <c r="G265" s="2" t="str" cm="1">
        <f t="array" ref="G265">INDEX(_xlfn.TEXTSPLIT(E265,"-"),3)</f>
        <v>防晒服</v>
      </c>
      <c r="H265" s="5">
        <v>141</v>
      </c>
      <c r="I265" s="5">
        <v>12343.98</v>
      </c>
      <c r="J265" s="2" t="s">
        <v>713</v>
      </c>
      <c r="K265" s="6">
        <v>0.1725</v>
      </c>
    </row>
    <row r="266" ht="14.5" spans="1:11">
      <c r="A266" s="3" t="str">
        <f t="shared" si="12"/>
        <v>2026年</v>
      </c>
      <c r="B266" s="3" t="str">
        <f t="shared" si="13"/>
        <v>1月</v>
      </c>
      <c r="C266" s="4" t="str">
        <f t="shared" si="14"/>
        <v>W2</v>
      </c>
      <c r="D266" s="2" t="s">
        <v>744</v>
      </c>
      <c r="E266" s="2" t="s">
        <v>840</v>
      </c>
      <c r="F266" s="2" t="str" cm="1">
        <f t="array" ref="F266">INDEX(_xlfn.TEXTSPLIT(E266,"-"),2)</f>
        <v>男装</v>
      </c>
      <c r="G266" s="2" t="str" cm="1">
        <f t="array" ref="G266">INDEX(_xlfn.TEXTSPLIT(E266,"-"),3)</f>
        <v>风衣</v>
      </c>
      <c r="H266" s="5">
        <v>5652</v>
      </c>
      <c r="I266" s="5">
        <v>1861897.74</v>
      </c>
      <c r="J266" s="6">
        <v>0.002</v>
      </c>
      <c r="K266" s="6">
        <v>0.0183</v>
      </c>
    </row>
    <row r="267" ht="14.5" spans="1:11">
      <c r="A267" s="3" t="str">
        <f t="shared" si="12"/>
        <v>2026年</v>
      </c>
      <c r="B267" s="3" t="str">
        <f t="shared" si="13"/>
        <v>1月</v>
      </c>
      <c r="C267" s="4" t="str">
        <f t="shared" si="14"/>
        <v>W2</v>
      </c>
      <c r="D267" s="2" t="s">
        <v>744</v>
      </c>
      <c r="E267" s="2" t="s">
        <v>841</v>
      </c>
      <c r="F267" s="2" t="str" cm="1">
        <f t="array" ref="F267">INDEX(_xlfn.TEXTSPLIT(E267,"-"),2)</f>
        <v>男装</v>
      </c>
      <c r="G267" s="2" t="str" cm="1">
        <f t="array" ref="G267">INDEX(_xlfn.TEXTSPLIT(E267,"-"),3)</f>
        <v>马甲</v>
      </c>
      <c r="H267" s="5">
        <v>70358</v>
      </c>
      <c r="I267" s="5">
        <v>6910887.64</v>
      </c>
      <c r="J267" s="6">
        <v>0.0073</v>
      </c>
      <c r="K267" s="6">
        <v>0.1021</v>
      </c>
    </row>
    <row r="268" ht="14.5" spans="1:11">
      <c r="A268" s="3" t="str">
        <f t="shared" si="12"/>
        <v>2026年</v>
      </c>
      <c r="B268" s="3" t="str">
        <f t="shared" si="13"/>
        <v>1月</v>
      </c>
      <c r="C268" s="4" t="str">
        <f t="shared" si="14"/>
        <v>W2</v>
      </c>
      <c r="D268" s="2" t="s">
        <v>745</v>
      </c>
      <c r="E268" s="2" t="s">
        <v>804</v>
      </c>
      <c r="F268" s="2" t="str" cm="1">
        <f t="array" ref="F268">INDEX(_xlfn.TEXTSPLIT(E268,"-"),2)</f>
        <v>男装</v>
      </c>
      <c r="G268" s="2" t="str" cm="1">
        <f t="array" ref="G268">INDEX(_xlfn.TEXTSPLIT(E268,"-"),3)</f>
        <v>Polo衫</v>
      </c>
      <c r="H268" s="5">
        <v>44989</v>
      </c>
      <c r="I268" s="5">
        <v>3878510.79</v>
      </c>
      <c r="J268" s="6">
        <v>0.0042</v>
      </c>
      <c r="K268" s="6">
        <v>-0.1188</v>
      </c>
    </row>
    <row r="269" ht="14.5" spans="1:11">
      <c r="A269" s="3" t="str">
        <f t="shared" si="12"/>
        <v>2026年</v>
      </c>
      <c r="B269" s="3" t="str">
        <f t="shared" si="13"/>
        <v>1月</v>
      </c>
      <c r="C269" s="4" t="str">
        <f t="shared" si="14"/>
        <v>W2</v>
      </c>
      <c r="D269" s="2" t="s">
        <v>745</v>
      </c>
      <c r="E269" s="2" t="s">
        <v>805</v>
      </c>
      <c r="F269" s="2" t="str" cm="1">
        <f t="array" ref="F269">INDEX(_xlfn.TEXTSPLIT(E269,"-"),2)</f>
        <v>男装</v>
      </c>
      <c r="G269" s="2" t="str" cm="1">
        <f t="array" ref="G269">INDEX(_xlfn.TEXTSPLIT(E269,"-"),3)</f>
        <v>T恤</v>
      </c>
      <c r="H269" s="5">
        <v>389701</v>
      </c>
      <c r="I269" s="5">
        <v>31771262.75</v>
      </c>
      <c r="J269" s="6">
        <v>0.0345</v>
      </c>
      <c r="K269" s="6">
        <v>-0.0156</v>
      </c>
    </row>
    <row r="270" ht="14.5" spans="1:11">
      <c r="A270" s="3" t="str">
        <f t="shared" ref="A270:A333" si="15">TEXT(YEAR(D270),"0")&amp;"年"</f>
        <v>2026年</v>
      </c>
      <c r="B270" s="3" t="str">
        <f t="shared" ref="B270:B333" si="16">TEXT(MONTH(D270),"0")&amp;"月"</f>
        <v>1月</v>
      </c>
      <c r="C270" s="4" t="str">
        <f t="shared" ref="C270:C333" si="17">"W"&amp;TEXT(WEEKNUM(D270,2),"0")</f>
        <v>W2</v>
      </c>
      <c r="D270" s="2" t="s">
        <v>745</v>
      </c>
      <c r="E270" s="2" t="s">
        <v>806</v>
      </c>
      <c r="F270" s="2" t="str" cm="1">
        <f t="array" ref="F270">INDEX(_xlfn.TEXTSPLIT(E270,"-"),2)</f>
        <v>男装</v>
      </c>
      <c r="G270" s="2" t="str" cm="1">
        <f t="array" ref="G270">INDEX(_xlfn.TEXTSPLIT(E270,"-"),3)</f>
        <v>中老年男装</v>
      </c>
      <c r="H270" s="5">
        <v>133322</v>
      </c>
      <c r="I270" s="5">
        <v>17555632.88</v>
      </c>
      <c r="J270" s="6">
        <v>0.019</v>
      </c>
      <c r="K270" s="6">
        <v>-0.2117</v>
      </c>
    </row>
    <row r="271" ht="14.5" spans="1:11">
      <c r="A271" s="3" t="str">
        <f t="shared" si="15"/>
        <v>2026年</v>
      </c>
      <c r="B271" s="3" t="str">
        <f t="shared" si="16"/>
        <v>1月</v>
      </c>
      <c r="C271" s="4" t="str">
        <f t="shared" si="17"/>
        <v>W2</v>
      </c>
      <c r="D271" s="2" t="s">
        <v>745</v>
      </c>
      <c r="E271" s="2" t="s">
        <v>807</v>
      </c>
      <c r="F271" s="2" t="str" cm="1">
        <f t="array" ref="F271">INDEX(_xlfn.TEXTSPLIT(E271,"-"),2)</f>
        <v>男装</v>
      </c>
      <c r="G271" s="2" t="str" cm="1">
        <f t="array" ref="G271">INDEX(_xlfn.TEXTSPLIT(E271,"-"),3)</f>
        <v>休闲裤</v>
      </c>
      <c r="H271" s="5">
        <v>1032630</v>
      </c>
      <c r="I271" s="5">
        <v>105783113.75</v>
      </c>
      <c r="J271" s="6">
        <v>0.1148</v>
      </c>
      <c r="K271" s="6">
        <v>-0.0956</v>
      </c>
    </row>
    <row r="272" ht="14.5" spans="1:11">
      <c r="A272" s="3" t="str">
        <f t="shared" si="15"/>
        <v>2026年</v>
      </c>
      <c r="B272" s="3" t="str">
        <f t="shared" si="16"/>
        <v>1月</v>
      </c>
      <c r="C272" s="4" t="str">
        <f t="shared" si="17"/>
        <v>W2</v>
      </c>
      <c r="D272" s="2" t="s">
        <v>745</v>
      </c>
      <c r="E272" s="2" t="s">
        <v>808</v>
      </c>
      <c r="F272" s="2" t="str" cm="1">
        <f t="array" ref="F272">INDEX(_xlfn.TEXTSPLIT(E272,"-"),2)</f>
        <v>男装</v>
      </c>
      <c r="G272" s="2" t="str" cm="1">
        <f t="array" ref="G272">INDEX(_xlfn.TEXTSPLIT(E272,"-"),3)</f>
        <v>卫衣</v>
      </c>
      <c r="H272" s="5">
        <v>698962</v>
      </c>
      <c r="I272" s="5">
        <v>57393387.03</v>
      </c>
      <c r="J272" s="6">
        <v>0.0623</v>
      </c>
      <c r="K272" s="6">
        <v>0.0009</v>
      </c>
    </row>
    <row r="273" ht="14.5" spans="1:11">
      <c r="A273" s="3" t="str">
        <f t="shared" si="15"/>
        <v>2026年</v>
      </c>
      <c r="B273" s="3" t="str">
        <f t="shared" si="16"/>
        <v>1月</v>
      </c>
      <c r="C273" s="4" t="str">
        <f t="shared" si="17"/>
        <v>W2</v>
      </c>
      <c r="D273" s="2" t="s">
        <v>745</v>
      </c>
      <c r="E273" s="2" t="s">
        <v>809</v>
      </c>
      <c r="F273" s="2" t="str" cm="1">
        <f t="array" ref="F273">INDEX(_xlfn.TEXTSPLIT(E273,"-"),2)</f>
        <v>男装</v>
      </c>
      <c r="G273" s="2" t="str" cm="1">
        <f t="array" ref="G273">INDEX(_xlfn.TEXTSPLIT(E273,"-"),3)</f>
        <v>卫裤</v>
      </c>
      <c r="H273" s="5">
        <v>214354</v>
      </c>
      <c r="I273" s="5">
        <v>21148740.61</v>
      </c>
      <c r="J273" s="6">
        <v>0.0229</v>
      </c>
      <c r="K273" s="6">
        <v>-0.0386</v>
      </c>
    </row>
    <row r="274" ht="14.5" spans="1:11">
      <c r="A274" s="3" t="str">
        <f t="shared" si="15"/>
        <v>2026年</v>
      </c>
      <c r="B274" s="3" t="str">
        <f t="shared" si="16"/>
        <v>1月</v>
      </c>
      <c r="C274" s="4" t="str">
        <f t="shared" si="17"/>
        <v>W2</v>
      </c>
      <c r="D274" s="2" t="s">
        <v>745</v>
      </c>
      <c r="E274" s="2" t="s">
        <v>810</v>
      </c>
      <c r="F274" s="2" t="str" cm="1">
        <f t="array" ref="F274">INDEX(_xlfn.TEXTSPLIT(E274,"-"),2)</f>
        <v>男装</v>
      </c>
      <c r="G274" s="2" t="str" cm="1">
        <f t="array" ref="G274">INDEX(_xlfn.TEXTSPLIT(E274,"-"),3)</f>
        <v>大码男装</v>
      </c>
      <c r="H274" s="5">
        <v>38457</v>
      </c>
      <c r="I274" s="5">
        <v>4430325.7</v>
      </c>
      <c r="J274" s="6">
        <v>0.0048</v>
      </c>
      <c r="K274" s="6">
        <v>0.0697</v>
      </c>
    </row>
    <row r="275" ht="14.5" spans="1:11">
      <c r="A275" s="3" t="str">
        <f t="shared" si="15"/>
        <v>2026年</v>
      </c>
      <c r="B275" s="3" t="str">
        <f t="shared" si="16"/>
        <v>1月</v>
      </c>
      <c r="C275" s="4" t="str">
        <f t="shared" si="17"/>
        <v>W2</v>
      </c>
      <c r="D275" s="2" t="s">
        <v>745</v>
      </c>
      <c r="E275" s="2" t="s">
        <v>811</v>
      </c>
      <c r="F275" s="2" t="str" cm="1">
        <f t="array" ref="F275">INDEX(_xlfn.TEXTSPLIT(E275,"-"),2)</f>
        <v>男装</v>
      </c>
      <c r="G275" s="2" t="str" cm="1">
        <f t="array" ref="G275">INDEX(_xlfn.TEXTSPLIT(E275,"-"),3)</f>
        <v>夹克</v>
      </c>
      <c r="H275" s="5">
        <v>491454</v>
      </c>
      <c r="I275" s="5">
        <v>84135793.04</v>
      </c>
      <c r="J275" s="6">
        <v>0.0913</v>
      </c>
      <c r="K275" s="6">
        <v>-0.0207</v>
      </c>
    </row>
    <row r="276" ht="14.5" spans="1:11">
      <c r="A276" s="3" t="str">
        <f t="shared" si="15"/>
        <v>2026年</v>
      </c>
      <c r="B276" s="3" t="str">
        <f t="shared" si="16"/>
        <v>1月</v>
      </c>
      <c r="C276" s="4" t="str">
        <f t="shared" si="17"/>
        <v>W2</v>
      </c>
      <c r="D276" s="2" t="s">
        <v>745</v>
      </c>
      <c r="E276" s="2" t="s">
        <v>812</v>
      </c>
      <c r="F276" s="2" t="str" cm="1">
        <f t="array" ref="F276">INDEX(_xlfn.TEXTSPLIT(E276,"-"),2)</f>
        <v>男装</v>
      </c>
      <c r="G276" s="2" t="str" cm="1">
        <f t="array" ref="G276">INDEX(_xlfn.TEXTSPLIT(E276,"-"),3)</f>
        <v>套装</v>
      </c>
      <c r="H276" s="5">
        <v>47720</v>
      </c>
      <c r="I276" s="5">
        <v>7026282.31</v>
      </c>
      <c r="J276" s="6">
        <v>0.0076</v>
      </c>
      <c r="K276" s="6">
        <v>-0.1334</v>
      </c>
    </row>
    <row r="277" ht="14.5" spans="1:11">
      <c r="A277" s="3" t="str">
        <f t="shared" si="15"/>
        <v>2026年</v>
      </c>
      <c r="B277" s="3" t="str">
        <f t="shared" si="16"/>
        <v>1月</v>
      </c>
      <c r="C277" s="4" t="str">
        <f t="shared" si="17"/>
        <v>W2</v>
      </c>
      <c r="D277" s="2" t="s">
        <v>745</v>
      </c>
      <c r="E277" s="2" t="s">
        <v>813</v>
      </c>
      <c r="F277" s="2" t="str" cm="1">
        <f t="array" ref="F277">INDEX(_xlfn.TEXTSPLIT(E277,"-"),2)</f>
        <v>男装</v>
      </c>
      <c r="G277" s="2" t="str" cm="1">
        <f t="array" ref="G277">INDEX(_xlfn.TEXTSPLIT(E277,"-"),3)</f>
        <v>学生校服</v>
      </c>
      <c r="H277" s="5">
        <v>114</v>
      </c>
      <c r="I277" s="5">
        <v>9287.84</v>
      </c>
      <c r="J277" s="2" t="s">
        <v>713</v>
      </c>
      <c r="K277" s="6">
        <v>-0.0349</v>
      </c>
    </row>
    <row r="278" ht="14.5" spans="1:11">
      <c r="A278" s="3" t="str">
        <f t="shared" si="15"/>
        <v>2026年</v>
      </c>
      <c r="B278" s="3" t="str">
        <f t="shared" si="16"/>
        <v>1月</v>
      </c>
      <c r="C278" s="4" t="str">
        <f t="shared" si="17"/>
        <v>W2</v>
      </c>
      <c r="D278" s="2" t="s">
        <v>745</v>
      </c>
      <c r="E278" s="2" t="s">
        <v>814</v>
      </c>
      <c r="F278" s="2" t="str" cm="1">
        <f t="array" ref="F278">INDEX(_xlfn.TEXTSPLIT(E278,"-"),2)</f>
        <v>男装</v>
      </c>
      <c r="G278" s="2" t="str" cm="1">
        <f t="array" ref="G278">INDEX(_xlfn.TEXTSPLIT(E278,"-"),3)</f>
        <v>打底衫</v>
      </c>
      <c r="H278" s="5">
        <v>37504</v>
      </c>
      <c r="I278" s="5">
        <v>1463228.37</v>
      </c>
      <c r="J278" s="6">
        <v>0.0016</v>
      </c>
      <c r="K278" s="6">
        <v>0.0893</v>
      </c>
    </row>
    <row r="279" ht="14.5" spans="1:11">
      <c r="A279" s="3" t="str">
        <f t="shared" si="15"/>
        <v>2026年</v>
      </c>
      <c r="B279" s="3" t="str">
        <f t="shared" si="16"/>
        <v>1月</v>
      </c>
      <c r="C279" s="4" t="str">
        <f t="shared" si="17"/>
        <v>W2</v>
      </c>
      <c r="D279" s="2" t="s">
        <v>745</v>
      </c>
      <c r="E279" s="2" t="s">
        <v>815</v>
      </c>
      <c r="F279" s="2" t="str" cm="1">
        <f t="array" ref="F279">INDEX(_xlfn.TEXTSPLIT(E279,"-"),2)</f>
        <v>男装</v>
      </c>
      <c r="G279" s="2" t="str" cm="1">
        <f t="array" ref="G279">INDEX(_xlfn.TEXTSPLIT(E279,"-"),3)</f>
        <v>新中式男装</v>
      </c>
      <c r="H279" s="5">
        <v>408</v>
      </c>
      <c r="I279" s="5">
        <v>77594.59</v>
      </c>
      <c r="J279" s="6">
        <v>0.0001</v>
      </c>
      <c r="K279" s="6">
        <v>-0.6206</v>
      </c>
    </row>
    <row r="280" ht="14.5" spans="1:11">
      <c r="A280" s="3" t="str">
        <f t="shared" si="15"/>
        <v>2026年</v>
      </c>
      <c r="B280" s="3" t="str">
        <f t="shared" si="16"/>
        <v>1月</v>
      </c>
      <c r="C280" s="4" t="str">
        <f t="shared" si="17"/>
        <v>W2</v>
      </c>
      <c r="D280" s="2" t="s">
        <v>745</v>
      </c>
      <c r="E280" s="2" t="s">
        <v>816</v>
      </c>
      <c r="F280" s="2" t="str" cm="1">
        <f t="array" ref="F280">INDEX(_xlfn.TEXTSPLIT(E280,"-"),2)</f>
        <v>男装</v>
      </c>
      <c r="G280" s="2" t="str" cm="1">
        <f t="array" ref="G280">INDEX(_xlfn.TEXTSPLIT(E280,"-"),3)</f>
        <v>棉衣</v>
      </c>
      <c r="H280" s="5">
        <v>507692</v>
      </c>
      <c r="I280" s="5">
        <v>61988147.47</v>
      </c>
      <c r="J280" s="6">
        <v>0.0673</v>
      </c>
      <c r="K280" s="6">
        <v>-0.0621</v>
      </c>
    </row>
    <row r="281" ht="14.5" spans="1:11">
      <c r="A281" s="3" t="str">
        <f t="shared" si="15"/>
        <v>2026年</v>
      </c>
      <c r="B281" s="3" t="str">
        <f t="shared" si="16"/>
        <v>1月</v>
      </c>
      <c r="C281" s="4" t="str">
        <f t="shared" si="17"/>
        <v>W2</v>
      </c>
      <c r="D281" s="2" t="s">
        <v>745</v>
      </c>
      <c r="E281" s="2" t="s">
        <v>817</v>
      </c>
      <c r="F281" s="2" t="str" cm="1">
        <f t="array" ref="F281">INDEX(_xlfn.TEXTSPLIT(E281,"-"),2)</f>
        <v>男装</v>
      </c>
      <c r="G281" s="2" t="str" cm="1">
        <f t="array" ref="G281">INDEX(_xlfn.TEXTSPLIT(E281,"-"),3)</f>
        <v>棉裤</v>
      </c>
      <c r="H281" s="5">
        <v>35302</v>
      </c>
      <c r="I281" s="5">
        <v>2519339.78</v>
      </c>
      <c r="J281" s="6">
        <v>0.0027</v>
      </c>
      <c r="K281" s="6">
        <v>-0.2212</v>
      </c>
    </row>
    <row r="282" ht="14.5" spans="1:11">
      <c r="A282" s="3" t="str">
        <f t="shared" si="15"/>
        <v>2026年</v>
      </c>
      <c r="B282" s="3" t="str">
        <f t="shared" si="16"/>
        <v>1月</v>
      </c>
      <c r="C282" s="4" t="str">
        <f t="shared" si="17"/>
        <v>W2</v>
      </c>
      <c r="D282" s="2" t="s">
        <v>745</v>
      </c>
      <c r="E282" s="2" t="s">
        <v>818</v>
      </c>
      <c r="F282" s="2" t="str" cm="1">
        <f t="array" ref="F282">INDEX(_xlfn.TEXTSPLIT(E282,"-"),2)</f>
        <v>男装</v>
      </c>
      <c r="G282" s="2" t="str" cm="1">
        <f t="array" ref="G282">INDEX(_xlfn.TEXTSPLIT(E282,"-"),3)</f>
        <v>毛呢大衣</v>
      </c>
      <c r="H282" s="5">
        <v>44623</v>
      </c>
      <c r="I282" s="5">
        <v>20937529.65</v>
      </c>
      <c r="J282" s="6">
        <v>0.0227</v>
      </c>
      <c r="K282" s="6">
        <v>0.0785</v>
      </c>
    </row>
    <row r="283" ht="14.5" spans="1:11">
      <c r="A283" s="3" t="str">
        <f t="shared" si="15"/>
        <v>2026年</v>
      </c>
      <c r="B283" s="3" t="str">
        <f t="shared" si="16"/>
        <v>1月</v>
      </c>
      <c r="C283" s="4" t="str">
        <f t="shared" si="17"/>
        <v>W2</v>
      </c>
      <c r="D283" s="2" t="s">
        <v>745</v>
      </c>
      <c r="E283" s="2" t="s">
        <v>819</v>
      </c>
      <c r="F283" s="2" t="str" cm="1">
        <f t="array" ref="F283">INDEX(_xlfn.TEXTSPLIT(E283,"-"),2)</f>
        <v>男装</v>
      </c>
      <c r="G283" s="2" t="str" cm="1">
        <f t="array" ref="G283">INDEX(_xlfn.TEXTSPLIT(E283,"-"),3)</f>
        <v>民族服装</v>
      </c>
      <c r="H283" s="5">
        <v>5992</v>
      </c>
      <c r="I283" s="5">
        <v>1561202.34</v>
      </c>
      <c r="J283" s="6">
        <v>0.0017</v>
      </c>
      <c r="K283" s="6">
        <v>0.0537</v>
      </c>
    </row>
    <row r="284" ht="14.5" spans="1:11">
      <c r="A284" s="3" t="str">
        <f t="shared" si="15"/>
        <v>2026年</v>
      </c>
      <c r="B284" s="3" t="str">
        <f t="shared" si="16"/>
        <v>1月</v>
      </c>
      <c r="C284" s="4" t="str">
        <f t="shared" si="17"/>
        <v>W2</v>
      </c>
      <c r="D284" s="2" t="s">
        <v>745</v>
      </c>
      <c r="E284" s="2" t="s">
        <v>820</v>
      </c>
      <c r="F284" s="2" t="str" cm="1">
        <f t="array" ref="F284">INDEX(_xlfn.TEXTSPLIT(E284,"-"),2)</f>
        <v>男装</v>
      </c>
      <c r="G284" s="2" t="str" cm="1">
        <f t="array" ref="G284">INDEX(_xlfn.TEXTSPLIT(E284,"-"),3)</f>
        <v>派克服</v>
      </c>
      <c r="H284" s="5">
        <v>16730</v>
      </c>
      <c r="I284" s="5">
        <v>3370954.31</v>
      </c>
      <c r="J284" s="6">
        <v>0.0037</v>
      </c>
      <c r="K284" s="6">
        <v>-0.049</v>
      </c>
    </row>
    <row r="285" ht="14.5" spans="1:11">
      <c r="A285" s="3" t="str">
        <f t="shared" si="15"/>
        <v>2026年</v>
      </c>
      <c r="B285" s="3" t="str">
        <f t="shared" si="16"/>
        <v>1月</v>
      </c>
      <c r="C285" s="4" t="str">
        <f t="shared" si="17"/>
        <v>W2</v>
      </c>
      <c r="D285" s="2" t="s">
        <v>745</v>
      </c>
      <c r="E285" s="2" t="s">
        <v>821</v>
      </c>
      <c r="F285" s="2" t="str" cm="1">
        <f t="array" ref="F285">INDEX(_xlfn.TEXTSPLIT(E285,"-"),2)</f>
        <v>男装</v>
      </c>
      <c r="G285" s="2" t="str" cm="1">
        <f t="array" ref="G285">INDEX(_xlfn.TEXTSPLIT(E285,"-"),3)</f>
        <v>牛仔裤</v>
      </c>
      <c r="H285" s="5">
        <v>605717</v>
      </c>
      <c r="I285" s="5">
        <v>68654098.94</v>
      </c>
      <c r="J285" s="6">
        <v>0.0745</v>
      </c>
      <c r="K285" s="6">
        <v>-0.0097</v>
      </c>
    </row>
    <row r="286" ht="14.5" spans="1:11">
      <c r="A286" s="3" t="str">
        <f t="shared" si="15"/>
        <v>2026年</v>
      </c>
      <c r="B286" s="3" t="str">
        <f t="shared" si="16"/>
        <v>1月</v>
      </c>
      <c r="C286" s="4" t="str">
        <f t="shared" si="17"/>
        <v>W2</v>
      </c>
      <c r="D286" s="2" t="s">
        <v>745</v>
      </c>
      <c r="E286" s="2" t="s">
        <v>822</v>
      </c>
      <c r="F286" s="2" t="str" cm="1">
        <f t="array" ref="F286">INDEX(_xlfn.TEXTSPLIT(E286,"-"),2)</f>
        <v>男装</v>
      </c>
      <c r="G286" s="2" t="str" cm="1">
        <f t="array" ref="G286">INDEX(_xlfn.TEXTSPLIT(E286,"-"),3)</f>
        <v>皮草</v>
      </c>
      <c r="H286" s="5">
        <v>6761</v>
      </c>
      <c r="I286" s="5">
        <v>9274903.49</v>
      </c>
      <c r="J286" s="6">
        <v>0.0101</v>
      </c>
      <c r="K286" s="6">
        <v>0.0421</v>
      </c>
    </row>
    <row r="287" ht="14.5" spans="1:11">
      <c r="A287" s="3" t="str">
        <f t="shared" si="15"/>
        <v>2026年</v>
      </c>
      <c r="B287" s="3" t="str">
        <f t="shared" si="16"/>
        <v>1月</v>
      </c>
      <c r="C287" s="4" t="str">
        <f t="shared" si="17"/>
        <v>W2</v>
      </c>
      <c r="D287" s="2" t="s">
        <v>745</v>
      </c>
      <c r="E287" s="2" t="s">
        <v>823</v>
      </c>
      <c r="F287" s="2" t="str" cm="1">
        <f t="array" ref="F287">INDEX(_xlfn.TEXTSPLIT(E287,"-"),2)</f>
        <v>男装</v>
      </c>
      <c r="G287" s="2" t="str" cm="1">
        <f t="array" ref="G287">INDEX(_xlfn.TEXTSPLIT(E287,"-"),3)</f>
        <v>皮衣</v>
      </c>
      <c r="H287" s="5">
        <v>63610</v>
      </c>
      <c r="I287" s="5">
        <v>27399049.43</v>
      </c>
      <c r="J287" s="6">
        <v>0.0297</v>
      </c>
      <c r="K287" s="6">
        <v>-0.0483</v>
      </c>
    </row>
    <row r="288" ht="14.5" spans="1:11">
      <c r="A288" s="3" t="str">
        <f t="shared" si="15"/>
        <v>2026年</v>
      </c>
      <c r="B288" s="3" t="str">
        <f t="shared" si="16"/>
        <v>1月</v>
      </c>
      <c r="C288" s="4" t="str">
        <f t="shared" si="17"/>
        <v>W2</v>
      </c>
      <c r="D288" s="2" t="s">
        <v>745</v>
      </c>
      <c r="E288" s="2" t="s">
        <v>824</v>
      </c>
      <c r="F288" s="2" t="str" cm="1">
        <f t="array" ref="F288">INDEX(_xlfn.TEXTSPLIT(E288,"-"),2)</f>
        <v>男装</v>
      </c>
      <c r="G288" s="2" t="str" cm="1">
        <f t="array" ref="G288">INDEX(_xlfn.TEXTSPLIT(E288,"-"),3)</f>
        <v>皮裤</v>
      </c>
      <c r="H288" s="5">
        <v>3555</v>
      </c>
      <c r="I288" s="5">
        <v>460088.58</v>
      </c>
      <c r="J288" s="6">
        <v>0.0005</v>
      </c>
      <c r="K288" s="6">
        <v>-0.1336</v>
      </c>
    </row>
    <row r="289" ht="14.5" spans="1:11">
      <c r="A289" s="3" t="str">
        <f t="shared" si="15"/>
        <v>2026年</v>
      </c>
      <c r="B289" s="3" t="str">
        <f t="shared" si="16"/>
        <v>1月</v>
      </c>
      <c r="C289" s="4" t="str">
        <f t="shared" si="17"/>
        <v>W2</v>
      </c>
      <c r="D289" s="2" t="s">
        <v>745</v>
      </c>
      <c r="E289" s="2" t="s">
        <v>825</v>
      </c>
      <c r="F289" s="2" t="str" cm="1">
        <f t="array" ref="F289">INDEX(_xlfn.TEXTSPLIT(E289,"-"),2)</f>
        <v>男装</v>
      </c>
      <c r="G289" s="2" t="str" cm="1">
        <f t="array" ref="G289">INDEX(_xlfn.TEXTSPLIT(E289,"-"),3)</f>
        <v>短外套</v>
      </c>
      <c r="H289" s="5">
        <v>44336</v>
      </c>
      <c r="I289" s="5">
        <v>4324303.72</v>
      </c>
      <c r="J289" s="6">
        <v>0.0047</v>
      </c>
      <c r="K289" s="6">
        <v>-0.0807</v>
      </c>
    </row>
    <row r="290" ht="14.5" spans="1:11">
      <c r="A290" s="3" t="str">
        <f t="shared" si="15"/>
        <v>2026年</v>
      </c>
      <c r="B290" s="3" t="str">
        <f t="shared" si="16"/>
        <v>1月</v>
      </c>
      <c r="C290" s="4" t="str">
        <f t="shared" si="17"/>
        <v>W2</v>
      </c>
      <c r="D290" s="2" t="s">
        <v>745</v>
      </c>
      <c r="E290" s="2" t="s">
        <v>826</v>
      </c>
      <c r="F290" s="2" t="str" cm="1">
        <f t="array" ref="F290">INDEX(_xlfn.TEXTSPLIT(E290,"-"),2)</f>
        <v>男装</v>
      </c>
      <c r="G290" s="2" t="str" cm="1">
        <f t="array" ref="G290">INDEX(_xlfn.TEXTSPLIT(E290,"-"),3)</f>
        <v>短裤</v>
      </c>
      <c r="H290" s="5">
        <v>50061</v>
      </c>
      <c r="I290" s="5">
        <v>1525537.95</v>
      </c>
      <c r="J290" s="6">
        <v>0.0017</v>
      </c>
      <c r="K290" s="6">
        <v>0.0112</v>
      </c>
    </row>
    <row r="291" ht="14.5" spans="1:11">
      <c r="A291" s="3" t="str">
        <f t="shared" si="15"/>
        <v>2026年</v>
      </c>
      <c r="B291" s="3" t="str">
        <f t="shared" si="16"/>
        <v>1月</v>
      </c>
      <c r="C291" s="4" t="str">
        <f t="shared" si="17"/>
        <v>W2</v>
      </c>
      <c r="D291" s="2" t="s">
        <v>745</v>
      </c>
      <c r="E291" s="2" t="s">
        <v>827</v>
      </c>
      <c r="F291" s="2" t="str" cm="1">
        <f t="array" ref="F291">INDEX(_xlfn.TEXTSPLIT(E291,"-"),2)</f>
        <v>男装</v>
      </c>
      <c r="G291" s="2" t="str" cm="1">
        <f t="array" ref="G291">INDEX(_xlfn.TEXTSPLIT(E291,"-"),3)</f>
        <v>紧身衣</v>
      </c>
      <c r="H291" s="5">
        <v>84</v>
      </c>
      <c r="I291" s="5">
        <v>4173.8</v>
      </c>
      <c r="J291" s="2" t="s">
        <v>713</v>
      </c>
      <c r="K291" s="6">
        <v>0.2006</v>
      </c>
    </row>
    <row r="292" ht="14.5" spans="1:11">
      <c r="A292" s="3" t="str">
        <f t="shared" si="15"/>
        <v>2026年</v>
      </c>
      <c r="B292" s="3" t="str">
        <f t="shared" si="16"/>
        <v>1月</v>
      </c>
      <c r="C292" s="4" t="str">
        <f t="shared" si="17"/>
        <v>W2</v>
      </c>
      <c r="D292" s="2" t="s">
        <v>745</v>
      </c>
      <c r="E292" s="2" t="s">
        <v>828</v>
      </c>
      <c r="F292" s="2" t="str" cm="1">
        <f t="array" ref="F292">INDEX(_xlfn.TEXTSPLIT(E292,"-"),2)</f>
        <v>男装</v>
      </c>
      <c r="G292" s="2" t="str" cm="1">
        <f t="array" ref="G292">INDEX(_xlfn.TEXTSPLIT(E292,"-"),3)</f>
        <v>羊毛衫</v>
      </c>
      <c r="H292" s="5">
        <v>152585</v>
      </c>
      <c r="I292" s="5">
        <v>23457034.23</v>
      </c>
      <c r="J292" s="6">
        <v>0.0254</v>
      </c>
      <c r="K292" s="6">
        <v>0.1296</v>
      </c>
    </row>
    <row r="293" ht="14.5" spans="1:11">
      <c r="A293" s="3" t="str">
        <f t="shared" si="15"/>
        <v>2026年</v>
      </c>
      <c r="B293" s="3" t="str">
        <f t="shared" si="16"/>
        <v>1月</v>
      </c>
      <c r="C293" s="4" t="str">
        <f t="shared" si="17"/>
        <v>W2</v>
      </c>
      <c r="D293" s="2" t="s">
        <v>745</v>
      </c>
      <c r="E293" s="2" t="s">
        <v>829</v>
      </c>
      <c r="F293" s="2" t="str" cm="1">
        <f t="array" ref="F293">INDEX(_xlfn.TEXTSPLIT(E293,"-"),2)</f>
        <v>男装</v>
      </c>
      <c r="G293" s="2" t="str" cm="1">
        <f t="array" ref="G293">INDEX(_xlfn.TEXTSPLIT(E293,"-"),3)</f>
        <v>羊绒衫</v>
      </c>
      <c r="H293" s="5">
        <v>25550</v>
      </c>
      <c r="I293" s="5">
        <v>7176838.17</v>
      </c>
      <c r="J293" s="6">
        <v>0.0078</v>
      </c>
      <c r="K293" s="6">
        <v>-0.1221</v>
      </c>
    </row>
    <row r="294" ht="14.5" spans="1:11">
      <c r="A294" s="3" t="str">
        <f t="shared" si="15"/>
        <v>2026年</v>
      </c>
      <c r="B294" s="3" t="str">
        <f t="shared" si="16"/>
        <v>1月</v>
      </c>
      <c r="C294" s="4" t="str">
        <f t="shared" si="17"/>
        <v>W2</v>
      </c>
      <c r="D294" s="2" t="s">
        <v>745</v>
      </c>
      <c r="E294" s="2" t="s">
        <v>830</v>
      </c>
      <c r="F294" s="2" t="str" cm="1">
        <f t="array" ref="F294">INDEX(_xlfn.TEXTSPLIT(E294,"-"),2)</f>
        <v>男装</v>
      </c>
      <c r="G294" s="2" t="str" cm="1">
        <f t="array" ref="G294">INDEX(_xlfn.TEXTSPLIT(E294,"-"),3)</f>
        <v>羽绒服</v>
      </c>
      <c r="H294" s="5">
        <v>696743</v>
      </c>
      <c r="I294" s="5">
        <v>262740995.72</v>
      </c>
      <c r="J294" s="6">
        <v>0.2851</v>
      </c>
      <c r="K294" s="6">
        <v>0.0044</v>
      </c>
    </row>
    <row r="295" ht="14.5" spans="1:11">
      <c r="A295" s="3" t="str">
        <f t="shared" si="15"/>
        <v>2026年</v>
      </c>
      <c r="B295" s="3" t="str">
        <f t="shared" si="16"/>
        <v>1月</v>
      </c>
      <c r="C295" s="4" t="str">
        <f t="shared" si="17"/>
        <v>W2</v>
      </c>
      <c r="D295" s="2" t="s">
        <v>745</v>
      </c>
      <c r="E295" s="2" t="s">
        <v>831</v>
      </c>
      <c r="F295" s="2" t="str" cm="1">
        <f t="array" ref="F295">INDEX(_xlfn.TEXTSPLIT(E295,"-"),2)</f>
        <v>男装</v>
      </c>
      <c r="G295" s="2" t="str" cm="1">
        <f t="array" ref="G295">INDEX(_xlfn.TEXTSPLIT(E295,"-"),3)</f>
        <v>羽绒裤</v>
      </c>
      <c r="H295" s="5">
        <v>17790</v>
      </c>
      <c r="I295" s="5">
        <v>2692432.96</v>
      </c>
      <c r="J295" s="6">
        <v>0.0029</v>
      </c>
      <c r="K295" s="6">
        <v>-0.0826</v>
      </c>
    </row>
    <row r="296" ht="14.5" spans="1:11">
      <c r="A296" s="3" t="str">
        <f t="shared" si="15"/>
        <v>2026年</v>
      </c>
      <c r="B296" s="3" t="str">
        <f t="shared" si="16"/>
        <v>1月</v>
      </c>
      <c r="C296" s="4" t="str">
        <f t="shared" si="17"/>
        <v>W2</v>
      </c>
      <c r="D296" s="2" t="s">
        <v>745</v>
      </c>
      <c r="E296" s="2" t="s">
        <v>832</v>
      </c>
      <c r="F296" s="2" t="str" cm="1">
        <f t="array" ref="F296">INDEX(_xlfn.TEXTSPLIT(E296,"-"),2)</f>
        <v>男装</v>
      </c>
      <c r="G296" s="2" t="str" cm="1">
        <f t="array" ref="G296">INDEX(_xlfn.TEXTSPLIT(E296,"-"),3)</f>
        <v>羽绒马甲</v>
      </c>
      <c r="H296" s="5">
        <v>15545</v>
      </c>
      <c r="I296" s="5">
        <v>3023133.27</v>
      </c>
      <c r="J296" s="6">
        <v>0.0033</v>
      </c>
      <c r="K296" s="6">
        <v>-0.1149</v>
      </c>
    </row>
    <row r="297" ht="14.5" spans="1:11">
      <c r="A297" s="3" t="str">
        <f t="shared" si="15"/>
        <v>2026年</v>
      </c>
      <c r="B297" s="3" t="str">
        <f t="shared" si="16"/>
        <v>1月</v>
      </c>
      <c r="C297" s="4" t="str">
        <f t="shared" si="17"/>
        <v>W2</v>
      </c>
      <c r="D297" s="2" t="s">
        <v>745</v>
      </c>
      <c r="E297" s="2" t="s">
        <v>833</v>
      </c>
      <c r="F297" s="2" t="str" cm="1">
        <f t="array" ref="F297">INDEX(_xlfn.TEXTSPLIT(E297,"-"),2)</f>
        <v>男装</v>
      </c>
      <c r="G297" s="2" t="str" cm="1">
        <f t="array" ref="G297">INDEX(_xlfn.TEXTSPLIT(E297,"-"),3)</f>
        <v>背心</v>
      </c>
      <c r="H297" s="5">
        <v>42757</v>
      </c>
      <c r="I297" s="5">
        <v>2612650.83</v>
      </c>
      <c r="J297" s="6">
        <v>0.0028</v>
      </c>
      <c r="K297" s="6">
        <v>-0.1518</v>
      </c>
    </row>
    <row r="298" ht="14.5" spans="1:11">
      <c r="A298" s="3" t="str">
        <f t="shared" si="15"/>
        <v>2026年</v>
      </c>
      <c r="B298" s="3" t="str">
        <f t="shared" si="16"/>
        <v>1月</v>
      </c>
      <c r="C298" s="4" t="str">
        <f t="shared" si="17"/>
        <v>W2</v>
      </c>
      <c r="D298" s="2" t="s">
        <v>745</v>
      </c>
      <c r="E298" s="2" t="s">
        <v>834</v>
      </c>
      <c r="F298" s="2" t="str" cm="1">
        <f t="array" ref="F298">INDEX(_xlfn.TEXTSPLIT(E298,"-"),2)</f>
        <v>男装</v>
      </c>
      <c r="G298" s="2" t="str" cm="1">
        <f t="array" ref="G298">INDEX(_xlfn.TEXTSPLIT(E298,"-"),3)</f>
        <v>衬衫</v>
      </c>
      <c r="H298" s="5">
        <v>78879</v>
      </c>
      <c r="I298" s="5">
        <v>10246965.42</v>
      </c>
      <c r="J298" s="6">
        <v>0.0111</v>
      </c>
      <c r="K298" s="6">
        <v>0.0241</v>
      </c>
    </row>
    <row r="299" ht="14.5" spans="1:11">
      <c r="A299" s="3" t="str">
        <f t="shared" si="15"/>
        <v>2026年</v>
      </c>
      <c r="B299" s="3" t="str">
        <f t="shared" si="16"/>
        <v>1月</v>
      </c>
      <c r="C299" s="4" t="str">
        <f t="shared" si="17"/>
        <v>W2</v>
      </c>
      <c r="D299" s="2" t="s">
        <v>745</v>
      </c>
      <c r="E299" s="2" t="s">
        <v>835</v>
      </c>
      <c r="F299" s="2" t="str" cm="1">
        <f t="array" ref="F299">INDEX(_xlfn.TEXTSPLIT(E299,"-"),2)</f>
        <v>男装</v>
      </c>
      <c r="G299" s="2" t="str" cm="1">
        <f t="array" ref="G299">INDEX(_xlfn.TEXTSPLIT(E299,"-"),3)</f>
        <v>西服</v>
      </c>
      <c r="H299" s="5">
        <v>78660</v>
      </c>
      <c r="I299" s="5">
        <v>16197442.32</v>
      </c>
      <c r="J299" s="6">
        <v>0.0176</v>
      </c>
      <c r="K299" s="6">
        <v>0.0179</v>
      </c>
    </row>
    <row r="300" ht="14.5" spans="1:11">
      <c r="A300" s="3" t="str">
        <f t="shared" si="15"/>
        <v>2026年</v>
      </c>
      <c r="B300" s="3" t="str">
        <f t="shared" si="16"/>
        <v>1月</v>
      </c>
      <c r="C300" s="4" t="str">
        <f t="shared" si="17"/>
        <v>W2</v>
      </c>
      <c r="D300" s="2" t="s">
        <v>745</v>
      </c>
      <c r="E300" s="2" t="s">
        <v>836</v>
      </c>
      <c r="F300" s="2" t="str" cm="1">
        <f t="array" ref="F300">INDEX(_xlfn.TEXTSPLIT(E300,"-"),2)</f>
        <v>男装</v>
      </c>
      <c r="G300" s="2" t="str" cm="1">
        <f t="array" ref="G300">INDEX(_xlfn.TEXTSPLIT(E300,"-"),3)</f>
        <v>连体衣/裤</v>
      </c>
      <c r="H300" s="5">
        <v>586</v>
      </c>
      <c r="I300" s="5">
        <v>20094.02</v>
      </c>
      <c r="J300" s="2" t="s">
        <v>713</v>
      </c>
      <c r="K300" s="6">
        <v>0.0862</v>
      </c>
    </row>
    <row r="301" ht="14.5" spans="1:11">
      <c r="A301" s="3" t="str">
        <f t="shared" si="15"/>
        <v>2026年</v>
      </c>
      <c r="B301" s="3" t="str">
        <f t="shared" si="16"/>
        <v>1月</v>
      </c>
      <c r="C301" s="4" t="str">
        <f t="shared" si="17"/>
        <v>W2</v>
      </c>
      <c r="D301" s="2" t="s">
        <v>745</v>
      </c>
      <c r="E301" s="2" t="s">
        <v>837</v>
      </c>
      <c r="F301" s="2" t="str" cm="1">
        <f t="array" ref="F301">INDEX(_xlfn.TEXTSPLIT(E301,"-"),2)</f>
        <v>男装</v>
      </c>
      <c r="G301" s="2" t="str" cm="1">
        <f t="array" ref="G301">INDEX(_xlfn.TEXTSPLIT(E301,"-"),3)</f>
        <v>速干/三防T恤</v>
      </c>
      <c r="H301" s="5">
        <v>647</v>
      </c>
      <c r="I301" s="5">
        <v>45714.5</v>
      </c>
      <c r="J301" s="2" t="s">
        <v>713</v>
      </c>
      <c r="K301" s="6">
        <v>-0.5433</v>
      </c>
    </row>
    <row r="302" ht="14.5" spans="1:11">
      <c r="A302" s="3" t="str">
        <f t="shared" si="15"/>
        <v>2026年</v>
      </c>
      <c r="B302" s="3" t="str">
        <f t="shared" si="16"/>
        <v>1月</v>
      </c>
      <c r="C302" s="4" t="str">
        <f t="shared" si="17"/>
        <v>W2</v>
      </c>
      <c r="D302" s="2" t="s">
        <v>745</v>
      </c>
      <c r="E302" s="2" t="s">
        <v>838</v>
      </c>
      <c r="F302" s="2" t="str" cm="1">
        <f t="array" ref="F302">INDEX(_xlfn.TEXTSPLIT(E302,"-"),2)</f>
        <v>男装</v>
      </c>
      <c r="G302" s="2" t="str" cm="1">
        <f t="array" ref="G302">INDEX(_xlfn.TEXTSPLIT(E302,"-"),3)</f>
        <v>针织衫/毛衣</v>
      </c>
      <c r="H302" s="5">
        <v>407838</v>
      </c>
      <c r="I302" s="5">
        <v>48627742.51</v>
      </c>
      <c r="J302" s="6">
        <v>0.0528</v>
      </c>
      <c r="K302" s="6">
        <v>-0.0352</v>
      </c>
    </row>
    <row r="303" ht="14.5" spans="1:11">
      <c r="A303" s="3" t="str">
        <f t="shared" si="15"/>
        <v>2026年</v>
      </c>
      <c r="B303" s="3" t="str">
        <f t="shared" si="16"/>
        <v>1月</v>
      </c>
      <c r="C303" s="4" t="str">
        <f t="shared" si="17"/>
        <v>W2</v>
      </c>
      <c r="D303" s="2" t="s">
        <v>745</v>
      </c>
      <c r="E303" s="2" t="s">
        <v>839</v>
      </c>
      <c r="F303" s="2" t="str" cm="1">
        <f t="array" ref="F303">INDEX(_xlfn.TEXTSPLIT(E303,"-"),2)</f>
        <v>男装</v>
      </c>
      <c r="G303" s="2" t="str" cm="1">
        <f t="array" ref="G303">INDEX(_xlfn.TEXTSPLIT(E303,"-"),3)</f>
        <v>防晒服</v>
      </c>
      <c r="H303" s="5">
        <v>112</v>
      </c>
      <c r="I303" s="5">
        <v>8642.66</v>
      </c>
      <c r="J303" s="2" t="s">
        <v>713</v>
      </c>
      <c r="K303" s="6">
        <v>-0.2998</v>
      </c>
    </row>
    <row r="304" ht="14.5" spans="1:11">
      <c r="A304" s="3" t="str">
        <f t="shared" si="15"/>
        <v>2026年</v>
      </c>
      <c r="B304" s="3" t="str">
        <f t="shared" si="16"/>
        <v>1月</v>
      </c>
      <c r="C304" s="4" t="str">
        <f t="shared" si="17"/>
        <v>W2</v>
      </c>
      <c r="D304" s="2" t="s">
        <v>745</v>
      </c>
      <c r="E304" s="2" t="s">
        <v>840</v>
      </c>
      <c r="F304" s="2" t="str" cm="1">
        <f t="array" ref="F304">INDEX(_xlfn.TEXTSPLIT(E304,"-"),2)</f>
        <v>男装</v>
      </c>
      <c r="G304" s="2" t="str" cm="1">
        <f t="array" ref="G304">INDEX(_xlfn.TEXTSPLIT(E304,"-"),3)</f>
        <v>风衣</v>
      </c>
      <c r="H304" s="5">
        <v>5008</v>
      </c>
      <c r="I304" s="5">
        <v>1523772.44</v>
      </c>
      <c r="J304" s="6">
        <v>0.0017</v>
      </c>
      <c r="K304" s="6">
        <v>-0.1816</v>
      </c>
    </row>
    <row r="305" ht="14.5" spans="1:11">
      <c r="A305" s="3" t="str">
        <f t="shared" si="15"/>
        <v>2026年</v>
      </c>
      <c r="B305" s="3" t="str">
        <f t="shared" si="16"/>
        <v>1月</v>
      </c>
      <c r="C305" s="4" t="str">
        <f t="shared" si="17"/>
        <v>W2</v>
      </c>
      <c r="D305" s="2" t="s">
        <v>745</v>
      </c>
      <c r="E305" s="2" t="s">
        <v>841</v>
      </c>
      <c r="F305" s="2" t="str" cm="1">
        <f t="array" ref="F305">INDEX(_xlfn.TEXTSPLIT(E305,"-"),2)</f>
        <v>男装</v>
      </c>
      <c r="G305" s="2" t="str" cm="1">
        <f t="array" ref="G305">INDEX(_xlfn.TEXTSPLIT(E305,"-"),3)</f>
        <v>马甲</v>
      </c>
      <c r="H305" s="5">
        <v>79508</v>
      </c>
      <c r="I305" s="5">
        <v>6653822.12</v>
      </c>
      <c r="J305" s="6">
        <v>0.0072</v>
      </c>
      <c r="K305" s="6">
        <v>-0.0372</v>
      </c>
    </row>
    <row r="306" ht="14.5" spans="1:11">
      <c r="A306" s="3" t="str">
        <f t="shared" si="15"/>
        <v>2026年</v>
      </c>
      <c r="B306" s="3" t="str">
        <f t="shared" si="16"/>
        <v>1月</v>
      </c>
      <c r="C306" s="4" t="str">
        <f t="shared" si="17"/>
        <v>W2</v>
      </c>
      <c r="D306" s="2" t="s">
        <v>746</v>
      </c>
      <c r="E306" s="2" t="s">
        <v>804</v>
      </c>
      <c r="F306" s="2" t="str" cm="1">
        <f t="array" ref="F306">INDEX(_xlfn.TEXTSPLIT(E306,"-"),2)</f>
        <v>男装</v>
      </c>
      <c r="G306" s="2" t="str" cm="1">
        <f t="array" ref="G306">INDEX(_xlfn.TEXTSPLIT(E306,"-"),3)</f>
        <v>Polo衫</v>
      </c>
      <c r="H306" s="5">
        <v>41821</v>
      </c>
      <c r="I306" s="5">
        <v>3903415.03</v>
      </c>
      <c r="J306" s="6">
        <v>0.0046</v>
      </c>
      <c r="K306" s="6">
        <v>0.0064</v>
      </c>
    </row>
    <row r="307" ht="14.5" spans="1:11">
      <c r="A307" s="3" t="str">
        <f t="shared" si="15"/>
        <v>2026年</v>
      </c>
      <c r="B307" s="3" t="str">
        <f t="shared" si="16"/>
        <v>1月</v>
      </c>
      <c r="C307" s="4" t="str">
        <f t="shared" si="17"/>
        <v>W2</v>
      </c>
      <c r="D307" s="2" t="s">
        <v>746</v>
      </c>
      <c r="E307" s="2" t="s">
        <v>805</v>
      </c>
      <c r="F307" s="2" t="str" cm="1">
        <f t="array" ref="F307">INDEX(_xlfn.TEXTSPLIT(E307,"-"),2)</f>
        <v>男装</v>
      </c>
      <c r="G307" s="2" t="str" cm="1">
        <f t="array" ref="G307">INDEX(_xlfn.TEXTSPLIT(E307,"-"),3)</f>
        <v>T恤</v>
      </c>
      <c r="H307" s="5">
        <v>400756</v>
      </c>
      <c r="I307" s="5">
        <v>29290968.11</v>
      </c>
      <c r="J307" s="6">
        <v>0.0343</v>
      </c>
      <c r="K307" s="6">
        <v>-0.0781</v>
      </c>
    </row>
    <row r="308" ht="14.5" spans="1:11">
      <c r="A308" s="3" t="str">
        <f t="shared" si="15"/>
        <v>2026年</v>
      </c>
      <c r="B308" s="3" t="str">
        <f t="shared" si="16"/>
        <v>1月</v>
      </c>
      <c r="C308" s="4" t="str">
        <f t="shared" si="17"/>
        <v>W2</v>
      </c>
      <c r="D308" s="2" t="s">
        <v>746</v>
      </c>
      <c r="E308" s="2" t="s">
        <v>806</v>
      </c>
      <c r="F308" s="2" t="str" cm="1">
        <f t="array" ref="F308">INDEX(_xlfn.TEXTSPLIT(E308,"-"),2)</f>
        <v>男装</v>
      </c>
      <c r="G308" s="2" t="str" cm="1">
        <f t="array" ref="G308">INDEX(_xlfn.TEXTSPLIT(E308,"-"),3)</f>
        <v>中老年男装</v>
      </c>
      <c r="H308" s="5">
        <v>203738</v>
      </c>
      <c r="I308" s="5">
        <v>26923800.99</v>
      </c>
      <c r="J308" s="6">
        <v>0.0315</v>
      </c>
      <c r="K308" s="6">
        <v>0.5336</v>
      </c>
    </row>
    <row r="309" ht="14.5" spans="1:11">
      <c r="A309" s="3" t="str">
        <f t="shared" si="15"/>
        <v>2026年</v>
      </c>
      <c r="B309" s="3" t="str">
        <f t="shared" si="16"/>
        <v>1月</v>
      </c>
      <c r="C309" s="4" t="str">
        <f t="shared" si="17"/>
        <v>W2</v>
      </c>
      <c r="D309" s="2" t="s">
        <v>746</v>
      </c>
      <c r="E309" s="2" t="s">
        <v>807</v>
      </c>
      <c r="F309" s="2" t="str" cm="1">
        <f t="array" ref="F309">INDEX(_xlfn.TEXTSPLIT(E309,"-"),2)</f>
        <v>男装</v>
      </c>
      <c r="G309" s="2" t="str" cm="1">
        <f t="array" ref="G309">INDEX(_xlfn.TEXTSPLIT(E309,"-"),3)</f>
        <v>休闲裤</v>
      </c>
      <c r="H309" s="5">
        <v>933248</v>
      </c>
      <c r="I309" s="5">
        <v>96392984.72</v>
      </c>
      <c r="J309" s="6">
        <v>0.1128</v>
      </c>
      <c r="K309" s="6">
        <v>-0.0888</v>
      </c>
    </row>
    <row r="310" ht="14.5" spans="1:11">
      <c r="A310" s="3" t="str">
        <f t="shared" si="15"/>
        <v>2026年</v>
      </c>
      <c r="B310" s="3" t="str">
        <f t="shared" si="16"/>
        <v>1月</v>
      </c>
      <c r="C310" s="4" t="str">
        <f t="shared" si="17"/>
        <v>W2</v>
      </c>
      <c r="D310" s="2" t="s">
        <v>746</v>
      </c>
      <c r="E310" s="2" t="s">
        <v>808</v>
      </c>
      <c r="F310" s="2" t="str" cm="1">
        <f t="array" ref="F310">INDEX(_xlfn.TEXTSPLIT(E310,"-"),2)</f>
        <v>男装</v>
      </c>
      <c r="G310" s="2" t="str" cm="1">
        <f t="array" ref="G310">INDEX(_xlfn.TEXTSPLIT(E310,"-"),3)</f>
        <v>卫衣</v>
      </c>
      <c r="H310" s="5">
        <v>603879</v>
      </c>
      <c r="I310" s="5">
        <v>49215444.73</v>
      </c>
      <c r="J310" s="6">
        <v>0.0576</v>
      </c>
      <c r="K310" s="6">
        <v>-0.1425</v>
      </c>
    </row>
    <row r="311" ht="14.5" spans="1:11">
      <c r="A311" s="3" t="str">
        <f t="shared" si="15"/>
        <v>2026年</v>
      </c>
      <c r="B311" s="3" t="str">
        <f t="shared" si="16"/>
        <v>1月</v>
      </c>
      <c r="C311" s="4" t="str">
        <f t="shared" si="17"/>
        <v>W2</v>
      </c>
      <c r="D311" s="2" t="s">
        <v>746</v>
      </c>
      <c r="E311" s="2" t="s">
        <v>809</v>
      </c>
      <c r="F311" s="2" t="str" cm="1">
        <f t="array" ref="F311">INDEX(_xlfn.TEXTSPLIT(E311,"-"),2)</f>
        <v>男装</v>
      </c>
      <c r="G311" s="2" t="str" cm="1">
        <f t="array" ref="G311">INDEX(_xlfn.TEXTSPLIT(E311,"-"),3)</f>
        <v>卫裤</v>
      </c>
      <c r="H311" s="5">
        <v>195253</v>
      </c>
      <c r="I311" s="5">
        <v>19620382.49</v>
      </c>
      <c r="J311" s="6">
        <v>0.023</v>
      </c>
      <c r="K311" s="6">
        <v>-0.0723</v>
      </c>
    </row>
    <row r="312" ht="14.5" spans="1:11">
      <c r="A312" s="3" t="str">
        <f t="shared" si="15"/>
        <v>2026年</v>
      </c>
      <c r="B312" s="3" t="str">
        <f t="shared" si="16"/>
        <v>1月</v>
      </c>
      <c r="C312" s="4" t="str">
        <f t="shared" si="17"/>
        <v>W2</v>
      </c>
      <c r="D312" s="2" t="s">
        <v>746</v>
      </c>
      <c r="E312" s="2" t="s">
        <v>810</v>
      </c>
      <c r="F312" s="2" t="str" cm="1">
        <f t="array" ref="F312">INDEX(_xlfn.TEXTSPLIT(E312,"-"),2)</f>
        <v>男装</v>
      </c>
      <c r="G312" s="2" t="str" cm="1">
        <f t="array" ref="G312">INDEX(_xlfn.TEXTSPLIT(E312,"-"),3)</f>
        <v>大码男装</v>
      </c>
      <c r="H312" s="5">
        <v>32056</v>
      </c>
      <c r="I312" s="5">
        <v>3297631.22</v>
      </c>
      <c r="J312" s="6">
        <v>0.0039</v>
      </c>
      <c r="K312" s="6">
        <v>-0.2557</v>
      </c>
    </row>
    <row r="313" ht="14.5" spans="1:11">
      <c r="A313" s="3" t="str">
        <f t="shared" si="15"/>
        <v>2026年</v>
      </c>
      <c r="B313" s="3" t="str">
        <f t="shared" si="16"/>
        <v>1月</v>
      </c>
      <c r="C313" s="4" t="str">
        <f t="shared" si="17"/>
        <v>W2</v>
      </c>
      <c r="D313" s="2" t="s">
        <v>746</v>
      </c>
      <c r="E313" s="2" t="s">
        <v>811</v>
      </c>
      <c r="F313" s="2" t="str" cm="1">
        <f t="array" ref="F313">INDEX(_xlfn.TEXTSPLIT(E313,"-"),2)</f>
        <v>男装</v>
      </c>
      <c r="G313" s="2" t="str" cm="1">
        <f t="array" ref="G313">INDEX(_xlfn.TEXTSPLIT(E313,"-"),3)</f>
        <v>夹克</v>
      </c>
      <c r="H313" s="5">
        <v>443212</v>
      </c>
      <c r="I313" s="5">
        <v>76103644.62</v>
      </c>
      <c r="J313" s="6">
        <v>0.089</v>
      </c>
      <c r="K313" s="6">
        <v>-0.0955</v>
      </c>
    </row>
    <row r="314" ht="14.5" spans="1:11">
      <c r="A314" s="3" t="str">
        <f t="shared" si="15"/>
        <v>2026年</v>
      </c>
      <c r="B314" s="3" t="str">
        <f t="shared" si="16"/>
        <v>1月</v>
      </c>
      <c r="C314" s="4" t="str">
        <f t="shared" si="17"/>
        <v>W2</v>
      </c>
      <c r="D314" s="2" t="s">
        <v>746</v>
      </c>
      <c r="E314" s="2" t="s">
        <v>812</v>
      </c>
      <c r="F314" s="2" t="str" cm="1">
        <f t="array" ref="F314">INDEX(_xlfn.TEXTSPLIT(E314,"-"),2)</f>
        <v>男装</v>
      </c>
      <c r="G314" s="2" t="str" cm="1">
        <f t="array" ref="G314">INDEX(_xlfn.TEXTSPLIT(E314,"-"),3)</f>
        <v>套装</v>
      </c>
      <c r="H314" s="5">
        <v>52558</v>
      </c>
      <c r="I314" s="5">
        <v>8050239.89</v>
      </c>
      <c r="J314" s="6">
        <v>0.0094</v>
      </c>
      <c r="K314" s="6">
        <v>0.1457</v>
      </c>
    </row>
    <row r="315" ht="14.5" spans="1:11">
      <c r="A315" s="3" t="str">
        <f t="shared" si="15"/>
        <v>2026年</v>
      </c>
      <c r="B315" s="3" t="str">
        <f t="shared" si="16"/>
        <v>1月</v>
      </c>
      <c r="C315" s="4" t="str">
        <f t="shared" si="17"/>
        <v>W2</v>
      </c>
      <c r="D315" s="2" t="s">
        <v>746</v>
      </c>
      <c r="E315" s="2" t="s">
        <v>813</v>
      </c>
      <c r="F315" s="2" t="str" cm="1">
        <f t="array" ref="F315">INDEX(_xlfn.TEXTSPLIT(E315,"-"),2)</f>
        <v>男装</v>
      </c>
      <c r="G315" s="2" t="str" cm="1">
        <f t="array" ref="G315">INDEX(_xlfn.TEXTSPLIT(E315,"-"),3)</f>
        <v>学生校服</v>
      </c>
      <c r="H315" s="5">
        <v>82</v>
      </c>
      <c r="I315" s="5">
        <v>5933.28</v>
      </c>
      <c r="J315" s="2" t="s">
        <v>713</v>
      </c>
      <c r="K315" s="6">
        <v>-0.3612</v>
      </c>
    </row>
    <row r="316" ht="14.5" spans="1:11">
      <c r="A316" s="3" t="str">
        <f t="shared" si="15"/>
        <v>2026年</v>
      </c>
      <c r="B316" s="3" t="str">
        <f t="shared" si="16"/>
        <v>1月</v>
      </c>
      <c r="C316" s="4" t="str">
        <f t="shared" si="17"/>
        <v>W2</v>
      </c>
      <c r="D316" s="2" t="s">
        <v>746</v>
      </c>
      <c r="E316" s="2" t="s">
        <v>814</v>
      </c>
      <c r="F316" s="2" t="str" cm="1">
        <f t="array" ref="F316">INDEX(_xlfn.TEXTSPLIT(E316,"-"),2)</f>
        <v>男装</v>
      </c>
      <c r="G316" s="2" t="str" cm="1">
        <f t="array" ref="G316">INDEX(_xlfn.TEXTSPLIT(E316,"-"),3)</f>
        <v>打底衫</v>
      </c>
      <c r="H316" s="5">
        <v>46600</v>
      </c>
      <c r="I316" s="5">
        <v>1649680.14</v>
      </c>
      <c r="J316" s="6">
        <v>0.0019</v>
      </c>
      <c r="K316" s="6">
        <v>0.1274</v>
      </c>
    </row>
    <row r="317" ht="14.5" spans="1:11">
      <c r="A317" s="3" t="str">
        <f t="shared" si="15"/>
        <v>2026年</v>
      </c>
      <c r="B317" s="3" t="str">
        <f t="shared" si="16"/>
        <v>1月</v>
      </c>
      <c r="C317" s="4" t="str">
        <f t="shared" si="17"/>
        <v>W2</v>
      </c>
      <c r="D317" s="2" t="s">
        <v>746</v>
      </c>
      <c r="E317" s="2" t="s">
        <v>815</v>
      </c>
      <c r="F317" s="2" t="str" cm="1">
        <f t="array" ref="F317">INDEX(_xlfn.TEXTSPLIT(E317,"-"),2)</f>
        <v>男装</v>
      </c>
      <c r="G317" s="2" t="str" cm="1">
        <f t="array" ref="G317">INDEX(_xlfn.TEXTSPLIT(E317,"-"),3)</f>
        <v>新中式男装</v>
      </c>
      <c r="H317" s="5">
        <v>319</v>
      </c>
      <c r="I317" s="5">
        <v>50709.77</v>
      </c>
      <c r="J317" s="6">
        <v>0.0001</v>
      </c>
      <c r="K317" s="6">
        <v>-0.3465</v>
      </c>
    </row>
    <row r="318" ht="14.5" spans="1:11">
      <c r="A318" s="3" t="str">
        <f t="shared" si="15"/>
        <v>2026年</v>
      </c>
      <c r="B318" s="3" t="str">
        <f t="shared" si="16"/>
        <v>1月</v>
      </c>
      <c r="C318" s="4" t="str">
        <f t="shared" si="17"/>
        <v>W2</v>
      </c>
      <c r="D318" s="2" t="s">
        <v>746</v>
      </c>
      <c r="E318" s="2" t="s">
        <v>816</v>
      </c>
      <c r="F318" s="2" t="str" cm="1">
        <f t="array" ref="F318">INDEX(_xlfn.TEXTSPLIT(E318,"-"),2)</f>
        <v>男装</v>
      </c>
      <c r="G318" s="2" t="str" cm="1">
        <f t="array" ref="G318">INDEX(_xlfn.TEXTSPLIT(E318,"-"),3)</f>
        <v>棉衣</v>
      </c>
      <c r="H318" s="5">
        <v>470669</v>
      </c>
      <c r="I318" s="5">
        <v>57731922.06</v>
      </c>
      <c r="J318" s="6">
        <v>0.0675</v>
      </c>
      <c r="K318" s="6">
        <v>-0.0687</v>
      </c>
    </row>
    <row r="319" ht="14.5" spans="1:11">
      <c r="A319" s="3" t="str">
        <f t="shared" si="15"/>
        <v>2026年</v>
      </c>
      <c r="B319" s="3" t="str">
        <f t="shared" si="16"/>
        <v>1月</v>
      </c>
      <c r="C319" s="4" t="str">
        <f t="shared" si="17"/>
        <v>W2</v>
      </c>
      <c r="D319" s="2" t="s">
        <v>746</v>
      </c>
      <c r="E319" s="2" t="s">
        <v>817</v>
      </c>
      <c r="F319" s="2" t="str" cm="1">
        <f t="array" ref="F319">INDEX(_xlfn.TEXTSPLIT(E319,"-"),2)</f>
        <v>男装</v>
      </c>
      <c r="G319" s="2" t="str" cm="1">
        <f t="array" ref="G319">INDEX(_xlfn.TEXTSPLIT(E319,"-"),3)</f>
        <v>棉裤</v>
      </c>
      <c r="H319" s="5">
        <v>32387</v>
      </c>
      <c r="I319" s="5">
        <v>2174921.2</v>
      </c>
      <c r="J319" s="6">
        <v>0.0025</v>
      </c>
      <c r="K319" s="6">
        <v>-0.1367</v>
      </c>
    </row>
    <row r="320" ht="14.5" spans="1:11">
      <c r="A320" s="3" t="str">
        <f t="shared" si="15"/>
        <v>2026年</v>
      </c>
      <c r="B320" s="3" t="str">
        <f t="shared" si="16"/>
        <v>1月</v>
      </c>
      <c r="C320" s="4" t="str">
        <f t="shared" si="17"/>
        <v>W2</v>
      </c>
      <c r="D320" s="2" t="s">
        <v>746</v>
      </c>
      <c r="E320" s="2" t="s">
        <v>818</v>
      </c>
      <c r="F320" s="2" t="str" cm="1">
        <f t="array" ref="F320">INDEX(_xlfn.TEXTSPLIT(E320,"-"),2)</f>
        <v>男装</v>
      </c>
      <c r="G320" s="2" t="str" cm="1">
        <f t="array" ref="G320">INDEX(_xlfn.TEXTSPLIT(E320,"-"),3)</f>
        <v>毛呢大衣</v>
      </c>
      <c r="H320" s="5">
        <v>42790</v>
      </c>
      <c r="I320" s="5">
        <v>19515262.32</v>
      </c>
      <c r="J320" s="6">
        <v>0.0228</v>
      </c>
      <c r="K320" s="6">
        <v>-0.0679</v>
      </c>
    </row>
    <row r="321" ht="14.5" spans="1:11">
      <c r="A321" s="3" t="str">
        <f t="shared" si="15"/>
        <v>2026年</v>
      </c>
      <c r="B321" s="3" t="str">
        <f t="shared" si="16"/>
        <v>1月</v>
      </c>
      <c r="C321" s="4" t="str">
        <f t="shared" si="17"/>
        <v>W2</v>
      </c>
      <c r="D321" s="2" t="s">
        <v>746</v>
      </c>
      <c r="E321" s="2" t="s">
        <v>819</v>
      </c>
      <c r="F321" s="2" t="str" cm="1">
        <f t="array" ref="F321">INDEX(_xlfn.TEXTSPLIT(E321,"-"),2)</f>
        <v>男装</v>
      </c>
      <c r="G321" s="2" t="str" cm="1">
        <f t="array" ref="G321">INDEX(_xlfn.TEXTSPLIT(E321,"-"),3)</f>
        <v>民族服装</v>
      </c>
      <c r="H321" s="5">
        <v>6122</v>
      </c>
      <c r="I321" s="5">
        <v>1457371.38</v>
      </c>
      <c r="J321" s="6">
        <v>0.0017</v>
      </c>
      <c r="K321" s="6">
        <v>-0.0665</v>
      </c>
    </row>
    <row r="322" ht="14.5" spans="1:11">
      <c r="A322" s="3" t="str">
        <f t="shared" si="15"/>
        <v>2026年</v>
      </c>
      <c r="B322" s="3" t="str">
        <f t="shared" si="16"/>
        <v>1月</v>
      </c>
      <c r="C322" s="4" t="str">
        <f t="shared" si="17"/>
        <v>W2</v>
      </c>
      <c r="D322" s="2" t="s">
        <v>746</v>
      </c>
      <c r="E322" s="2" t="s">
        <v>820</v>
      </c>
      <c r="F322" s="2" t="str" cm="1">
        <f t="array" ref="F322">INDEX(_xlfn.TEXTSPLIT(E322,"-"),2)</f>
        <v>男装</v>
      </c>
      <c r="G322" s="2" t="str" cm="1">
        <f t="array" ref="G322">INDEX(_xlfn.TEXTSPLIT(E322,"-"),3)</f>
        <v>派克服</v>
      </c>
      <c r="H322" s="5">
        <v>16166</v>
      </c>
      <c r="I322" s="5">
        <v>3022889.99</v>
      </c>
      <c r="J322" s="6">
        <v>0.0035</v>
      </c>
      <c r="K322" s="6">
        <v>-0.1033</v>
      </c>
    </row>
    <row r="323" ht="14.5" spans="1:11">
      <c r="A323" s="3" t="str">
        <f t="shared" si="15"/>
        <v>2026年</v>
      </c>
      <c r="B323" s="3" t="str">
        <f t="shared" si="16"/>
        <v>1月</v>
      </c>
      <c r="C323" s="4" t="str">
        <f t="shared" si="17"/>
        <v>W2</v>
      </c>
      <c r="D323" s="2" t="s">
        <v>746</v>
      </c>
      <c r="E323" s="2" t="s">
        <v>821</v>
      </c>
      <c r="F323" s="2" t="str" cm="1">
        <f t="array" ref="F323">INDEX(_xlfn.TEXTSPLIT(E323,"-"),2)</f>
        <v>男装</v>
      </c>
      <c r="G323" s="2" t="str" cm="1">
        <f t="array" ref="G323">INDEX(_xlfn.TEXTSPLIT(E323,"-"),3)</f>
        <v>牛仔裤</v>
      </c>
      <c r="H323" s="5">
        <v>570559</v>
      </c>
      <c r="I323" s="5">
        <v>64774898.16</v>
      </c>
      <c r="J323" s="6">
        <v>0.0758</v>
      </c>
      <c r="K323" s="6">
        <v>-0.0565</v>
      </c>
    </row>
    <row r="324" ht="14.5" spans="1:11">
      <c r="A324" s="3" t="str">
        <f t="shared" si="15"/>
        <v>2026年</v>
      </c>
      <c r="B324" s="3" t="str">
        <f t="shared" si="16"/>
        <v>1月</v>
      </c>
      <c r="C324" s="4" t="str">
        <f t="shared" si="17"/>
        <v>W2</v>
      </c>
      <c r="D324" s="2" t="s">
        <v>746</v>
      </c>
      <c r="E324" s="2" t="s">
        <v>822</v>
      </c>
      <c r="F324" s="2" t="str" cm="1">
        <f t="array" ref="F324">INDEX(_xlfn.TEXTSPLIT(E324,"-"),2)</f>
        <v>男装</v>
      </c>
      <c r="G324" s="2" t="str" cm="1">
        <f t="array" ref="G324">INDEX(_xlfn.TEXTSPLIT(E324,"-"),3)</f>
        <v>皮草</v>
      </c>
      <c r="H324" s="5">
        <v>6752</v>
      </c>
      <c r="I324" s="5">
        <v>8708145.38</v>
      </c>
      <c r="J324" s="6">
        <v>0.0102</v>
      </c>
      <c r="K324" s="6">
        <v>-0.0611</v>
      </c>
    </row>
    <row r="325" ht="14.5" spans="1:11">
      <c r="A325" s="3" t="str">
        <f t="shared" si="15"/>
        <v>2026年</v>
      </c>
      <c r="B325" s="3" t="str">
        <f t="shared" si="16"/>
        <v>1月</v>
      </c>
      <c r="C325" s="4" t="str">
        <f t="shared" si="17"/>
        <v>W2</v>
      </c>
      <c r="D325" s="2" t="s">
        <v>746</v>
      </c>
      <c r="E325" s="2" t="s">
        <v>823</v>
      </c>
      <c r="F325" s="2" t="str" cm="1">
        <f t="array" ref="F325">INDEX(_xlfn.TEXTSPLIT(E325,"-"),2)</f>
        <v>男装</v>
      </c>
      <c r="G325" s="2" t="str" cm="1">
        <f t="array" ref="G325">INDEX(_xlfn.TEXTSPLIT(E325,"-"),3)</f>
        <v>皮衣</v>
      </c>
      <c r="H325" s="5">
        <v>60178</v>
      </c>
      <c r="I325" s="5">
        <v>27361630.14</v>
      </c>
      <c r="J325" s="6">
        <v>0.032</v>
      </c>
      <c r="K325" s="6">
        <v>-0.0014</v>
      </c>
    </row>
    <row r="326" ht="14.5" spans="1:11">
      <c r="A326" s="3" t="str">
        <f t="shared" si="15"/>
        <v>2026年</v>
      </c>
      <c r="B326" s="3" t="str">
        <f t="shared" si="16"/>
        <v>1月</v>
      </c>
      <c r="C326" s="4" t="str">
        <f t="shared" si="17"/>
        <v>W2</v>
      </c>
      <c r="D326" s="2" t="s">
        <v>746</v>
      </c>
      <c r="E326" s="2" t="s">
        <v>824</v>
      </c>
      <c r="F326" s="2" t="str" cm="1">
        <f t="array" ref="F326">INDEX(_xlfn.TEXTSPLIT(E326,"-"),2)</f>
        <v>男装</v>
      </c>
      <c r="G326" s="2" t="str" cm="1">
        <f t="array" ref="G326">INDEX(_xlfn.TEXTSPLIT(E326,"-"),3)</f>
        <v>皮裤</v>
      </c>
      <c r="H326" s="5">
        <v>2787</v>
      </c>
      <c r="I326" s="5">
        <v>374093.65</v>
      </c>
      <c r="J326" s="6">
        <v>0.0004</v>
      </c>
      <c r="K326" s="6">
        <v>-0.1869</v>
      </c>
    </row>
    <row r="327" ht="14.5" spans="1:11">
      <c r="A327" s="3" t="str">
        <f t="shared" si="15"/>
        <v>2026年</v>
      </c>
      <c r="B327" s="3" t="str">
        <f t="shared" si="16"/>
        <v>1月</v>
      </c>
      <c r="C327" s="4" t="str">
        <f t="shared" si="17"/>
        <v>W2</v>
      </c>
      <c r="D327" s="2" t="s">
        <v>746</v>
      </c>
      <c r="E327" s="2" t="s">
        <v>825</v>
      </c>
      <c r="F327" s="2" t="str" cm="1">
        <f t="array" ref="F327">INDEX(_xlfn.TEXTSPLIT(E327,"-"),2)</f>
        <v>男装</v>
      </c>
      <c r="G327" s="2" t="str" cm="1">
        <f t="array" ref="G327">INDEX(_xlfn.TEXTSPLIT(E327,"-"),3)</f>
        <v>短外套</v>
      </c>
      <c r="H327" s="5">
        <v>41354</v>
      </c>
      <c r="I327" s="5">
        <v>4152308.91</v>
      </c>
      <c r="J327" s="6">
        <v>0.0049</v>
      </c>
      <c r="K327" s="6">
        <v>-0.0398</v>
      </c>
    </row>
    <row r="328" ht="14.5" spans="1:11">
      <c r="A328" s="3" t="str">
        <f t="shared" si="15"/>
        <v>2026年</v>
      </c>
      <c r="B328" s="3" t="str">
        <f t="shared" si="16"/>
        <v>1月</v>
      </c>
      <c r="C328" s="4" t="str">
        <f t="shared" si="17"/>
        <v>W2</v>
      </c>
      <c r="D328" s="2" t="s">
        <v>746</v>
      </c>
      <c r="E328" s="2" t="s">
        <v>826</v>
      </c>
      <c r="F328" s="2" t="str" cm="1">
        <f t="array" ref="F328">INDEX(_xlfn.TEXTSPLIT(E328,"-"),2)</f>
        <v>男装</v>
      </c>
      <c r="G328" s="2" t="str" cm="1">
        <f t="array" ref="G328">INDEX(_xlfn.TEXTSPLIT(E328,"-"),3)</f>
        <v>短裤</v>
      </c>
      <c r="H328" s="5">
        <v>48308</v>
      </c>
      <c r="I328" s="5">
        <v>1455618.62</v>
      </c>
      <c r="J328" s="6">
        <v>0.0017</v>
      </c>
      <c r="K328" s="6">
        <v>-0.0458</v>
      </c>
    </row>
    <row r="329" ht="14.5" spans="1:11">
      <c r="A329" s="3" t="str">
        <f t="shared" si="15"/>
        <v>2026年</v>
      </c>
      <c r="B329" s="3" t="str">
        <f t="shared" si="16"/>
        <v>1月</v>
      </c>
      <c r="C329" s="4" t="str">
        <f t="shared" si="17"/>
        <v>W2</v>
      </c>
      <c r="D329" s="2" t="s">
        <v>746</v>
      </c>
      <c r="E329" s="2" t="s">
        <v>827</v>
      </c>
      <c r="F329" s="2" t="str" cm="1">
        <f t="array" ref="F329">INDEX(_xlfn.TEXTSPLIT(E329,"-"),2)</f>
        <v>男装</v>
      </c>
      <c r="G329" s="2" t="str" cm="1">
        <f t="array" ref="G329">INDEX(_xlfn.TEXTSPLIT(E329,"-"),3)</f>
        <v>紧身衣</v>
      </c>
      <c r="H329" s="5">
        <v>254</v>
      </c>
      <c r="I329" s="5">
        <v>10779.6</v>
      </c>
      <c r="J329" s="2" t="s">
        <v>713</v>
      </c>
      <c r="K329" s="6">
        <v>1.5827</v>
      </c>
    </row>
    <row r="330" ht="14.5" spans="1:11">
      <c r="A330" s="3" t="str">
        <f t="shared" si="15"/>
        <v>2026年</v>
      </c>
      <c r="B330" s="3" t="str">
        <f t="shared" si="16"/>
        <v>1月</v>
      </c>
      <c r="C330" s="4" t="str">
        <f t="shared" si="17"/>
        <v>W2</v>
      </c>
      <c r="D330" s="2" t="s">
        <v>746</v>
      </c>
      <c r="E330" s="2" t="s">
        <v>828</v>
      </c>
      <c r="F330" s="2" t="str" cm="1">
        <f t="array" ref="F330">INDEX(_xlfn.TEXTSPLIT(E330,"-"),2)</f>
        <v>男装</v>
      </c>
      <c r="G330" s="2" t="str" cm="1">
        <f t="array" ref="G330">INDEX(_xlfn.TEXTSPLIT(E330,"-"),3)</f>
        <v>羊毛衫</v>
      </c>
      <c r="H330" s="5">
        <v>124154</v>
      </c>
      <c r="I330" s="5">
        <v>18150680.2</v>
      </c>
      <c r="J330" s="6">
        <v>0.0212</v>
      </c>
      <c r="K330" s="6">
        <v>-0.2262</v>
      </c>
    </row>
    <row r="331" ht="14.5" spans="1:11">
      <c r="A331" s="3" t="str">
        <f t="shared" si="15"/>
        <v>2026年</v>
      </c>
      <c r="B331" s="3" t="str">
        <f t="shared" si="16"/>
        <v>1月</v>
      </c>
      <c r="C331" s="4" t="str">
        <f t="shared" si="17"/>
        <v>W2</v>
      </c>
      <c r="D331" s="2" t="s">
        <v>746</v>
      </c>
      <c r="E331" s="2" t="s">
        <v>829</v>
      </c>
      <c r="F331" s="2" t="str" cm="1">
        <f t="array" ref="F331">INDEX(_xlfn.TEXTSPLIT(E331,"-"),2)</f>
        <v>男装</v>
      </c>
      <c r="G331" s="2" t="str" cm="1">
        <f t="array" ref="G331">INDEX(_xlfn.TEXTSPLIT(E331,"-"),3)</f>
        <v>羊绒衫</v>
      </c>
      <c r="H331" s="5">
        <v>25635</v>
      </c>
      <c r="I331" s="5">
        <v>7287555.33</v>
      </c>
      <c r="J331" s="6">
        <v>0.0085</v>
      </c>
      <c r="K331" s="6">
        <v>0.0154</v>
      </c>
    </row>
    <row r="332" ht="14.5" spans="1:11">
      <c r="A332" s="3" t="str">
        <f t="shared" si="15"/>
        <v>2026年</v>
      </c>
      <c r="B332" s="3" t="str">
        <f t="shared" si="16"/>
        <v>1月</v>
      </c>
      <c r="C332" s="4" t="str">
        <f t="shared" si="17"/>
        <v>W2</v>
      </c>
      <c r="D332" s="2" t="s">
        <v>746</v>
      </c>
      <c r="E332" s="2" t="s">
        <v>830</v>
      </c>
      <c r="F332" s="2" t="str" cm="1">
        <f t="array" ref="F332">INDEX(_xlfn.TEXTSPLIT(E332,"-"),2)</f>
        <v>男装</v>
      </c>
      <c r="G332" s="2" t="str" cm="1">
        <f t="array" ref="G332">INDEX(_xlfn.TEXTSPLIT(E332,"-"),3)</f>
        <v>羽绒服</v>
      </c>
      <c r="H332" s="5">
        <v>622573</v>
      </c>
      <c r="I332" s="5">
        <v>238854093.81</v>
      </c>
      <c r="J332" s="6">
        <v>0.2794</v>
      </c>
      <c r="K332" s="6">
        <v>-0.0909</v>
      </c>
    </row>
    <row r="333" ht="14.5" spans="1:11">
      <c r="A333" s="3" t="str">
        <f t="shared" si="15"/>
        <v>2026年</v>
      </c>
      <c r="B333" s="3" t="str">
        <f t="shared" si="16"/>
        <v>1月</v>
      </c>
      <c r="C333" s="4" t="str">
        <f t="shared" si="17"/>
        <v>W2</v>
      </c>
      <c r="D333" s="2" t="s">
        <v>746</v>
      </c>
      <c r="E333" s="2" t="s">
        <v>831</v>
      </c>
      <c r="F333" s="2" t="str" cm="1">
        <f t="array" ref="F333">INDEX(_xlfn.TEXTSPLIT(E333,"-"),2)</f>
        <v>男装</v>
      </c>
      <c r="G333" s="2" t="str" cm="1">
        <f t="array" ref="G333">INDEX(_xlfn.TEXTSPLIT(E333,"-"),3)</f>
        <v>羽绒裤</v>
      </c>
      <c r="H333" s="5">
        <v>21027</v>
      </c>
      <c r="I333" s="5">
        <v>2871646.8</v>
      </c>
      <c r="J333" s="6">
        <v>0.0034</v>
      </c>
      <c r="K333" s="6">
        <v>0.0666</v>
      </c>
    </row>
    <row r="334" ht="14.5" spans="1:11">
      <c r="A334" s="3" t="str">
        <f t="shared" ref="A334:A397" si="18">TEXT(YEAR(D334),"0")&amp;"年"</f>
        <v>2026年</v>
      </c>
      <c r="B334" s="3" t="str">
        <f t="shared" ref="B334:B397" si="19">TEXT(MONTH(D334),"0")&amp;"月"</f>
        <v>1月</v>
      </c>
      <c r="C334" s="4" t="str">
        <f t="shared" ref="C334:C397" si="20">"W"&amp;TEXT(WEEKNUM(D334,2),"0")</f>
        <v>W2</v>
      </c>
      <c r="D334" s="2" t="s">
        <v>746</v>
      </c>
      <c r="E334" s="2" t="s">
        <v>832</v>
      </c>
      <c r="F334" s="2" t="str" cm="1">
        <f t="array" ref="F334">INDEX(_xlfn.TEXTSPLIT(E334,"-"),2)</f>
        <v>男装</v>
      </c>
      <c r="G334" s="2" t="str" cm="1">
        <f t="array" ref="G334">INDEX(_xlfn.TEXTSPLIT(E334,"-"),3)</f>
        <v>羽绒马甲</v>
      </c>
      <c r="H334" s="5">
        <v>14131</v>
      </c>
      <c r="I334" s="5">
        <v>2663088.82</v>
      </c>
      <c r="J334" s="6">
        <v>0.0031</v>
      </c>
      <c r="K334" s="6">
        <v>-0.1191</v>
      </c>
    </row>
    <row r="335" ht="14.5" spans="1:11">
      <c r="A335" s="3" t="str">
        <f t="shared" si="18"/>
        <v>2026年</v>
      </c>
      <c r="B335" s="3" t="str">
        <f t="shared" si="19"/>
        <v>1月</v>
      </c>
      <c r="C335" s="4" t="str">
        <f t="shared" si="20"/>
        <v>W2</v>
      </c>
      <c r="D335" s="2" t="s">
        <v>746</v>
      </c>
      <c r="E335" s="2" t="s">
        <v>833</v>
      </c>
      <c r="F335" s="2" t="str" cm="1">
        <f t="array" ref="F335">INDEX(_xlfn.TEXTSPLIT(E335,"-"),2)</f>
        <v>男装</v>
      </c>
      <c r="G335" s="2" t="str" cm="1">
        <f t="array" ref="G335">INDEX(_xlfn.TEXTSPLIT(E335,"-"),3)</f>
        <v>背心</v>
      </c>
      <c r="H335" s="5">
        <v>42528</v>
      </c>
      <c r="I335" s="5">
        <v>2498227.45</v>
      </c>
      <c r="J335" s="6">
        <v>0.0029</v>
      </c>
      <c r="K335" s="6">
        <v>-0.0438</v>
      </c>
    </row>
    <row r="336" ht="14.5" spans="1:11">
      <c r="A336" s="3" t="str">
        <f t="shared" si="18"/>
        <v>2026年</v>
      </c>
      <c r="B336" s="3" t="str">
        <f t="shared" si="19"/>
        <v>1月</v>
      </c>
      <c r="C336" s="4" t="str">
        <f t="shared" si="20"/>
        <v>W2</v>
      </c>
      <c r="D336" s="2" t="s">
        <v>746</v>
      </c>
      <c r="E336" s="2" t="s">
        <v>834</v>
      </c>
      <c r="F336" s="2" t="str" cm="1">
        <f t="array" ref="F336">INDEX(_xlfn.TEXTSPLIT(E336,"-"),2)</f>
        <v>男装</v>
      </c>
      <c r="G336" s="2" t="str" cm="1">
        <f t="array" ref="G336">INDEX(_xlfn.TEXTSPLIT(E336,"-"),3)</f>
        <v>衬衫</v>
      </c>
      <c r="H336" s="5">
        <v>76854</v>
      </c>
      <c r="I336" s="5">
        <v>9782003.3</v>
      </c>
      <c r="J336" s="6">
        <v>0.0114</v>
      </c>
      <c r="K336" s="6">
        <v>-0.0454</v>
      </c>
    </row>
    <row r="337" ht="14.5" spans="1:11">
      <c r="A337" s="3" t="str">
        <f t="shared" si="18"/>
        <v>2026年</v>
      </c>
      <c r="B337" s="3" t="str">
        <f t="shared" si="19"/>
        <v>1月</v>
      </c>
      <c r="C337" s="4" t="str">
        <f t="shared" si="20"/>
        <v>W2</v>
      </c>
      <c r="D337" s="2" t="s">
        <v>746</v>
      </c>
      <c r="E337" s="2" t="s">
        <v>835</v>
      </c>
      <c r="F337" s="2" t="str" cm="1">
        <f t="array" ref="F337">INDEX(_xlfn.TEXTSPLIT(E337,"-"),2)</f>
        <v>男装</v>
      </c>
      <c r="G337" s="2" t="str" cm="1">
        <f t="array" ref="G337">INDEX(_xlfn.TEXTSPLIT(E337,"-"),3)</f>
        <v>西服</v>
      </c>
      <c r="H337" s="5">
        <v>78565</v>
      </c>
      <c r="I337" s="5">
        <v>16308546.72</v>
      </c>
      <c r="J337" s="6">
        <v>0.0191</v>
      </c>
      <c r="K337" s="6">
        <v>0.0069</v>
      </c>
    </row>
    <row r="338" ht="14.5" spans="1:11">
      <c r="A338" s="3" t="str">
        <f t="shared" si="18"/>
        <v>2026年</v>
      </c>
      <c r="B338" s="3" t="str">
        <f t="shared" si="19"/>
        <v>1月</v>
      </c>
      <c r="C338" s="4" t="str">
        <f t="shared" si="20"/>
        <v>W2</v>
      </c>
      <c r="D338" s="2" t="s">
        <v>746</v>
      </c>
      <c r="E338" s="2" t="s">
        <v>836</v>
      </c>
      <c r="F338" s="2" t="str" cm="1">
        <f t="array" ref="F338">INDEX(_xlfn.TEXTSPLIT(E338,"-"),2)</f>
        <v>男装</v>
      </c>
      <c r="G338" s="2" t="str" cm="1">
        <f t="array" ref="G338">INDEX(_xlfn.TEXTSPLIT(E338,"-"),3)</f>
        <v>连体衣/裤</v>
      </c>
      <c r="H338" s="5">
        <v>398</v>
      </c>
      <c r="I338" s="5">
        <v>14827.4</v>
      </c>
      <c r="J338" s="2" t="s">
        <v>713</v>
      </c>
      <c r="K338" s="6">
        <v>-0.2621</v>
      </c>
    </row>
    <row r="339" ht="14.5" spans="1:11">
      <c r="A339" s="3" t="str">
        <f t="shared" si="18"/>
        <v>2026年</v>
      </c>
      <c r="B339" s="3" t="str">
        <f t="shared" si="19"/>
        <v>1月</v>
      </c>
      <c r="C339" s="4" t="str">
        <f t="shared" si="20"/>
        <v>W2</v>
      </c>
      <c r="D339" s="2" t="s">
        <v>746</v>
      </c>
      <c r="E339" s="2" t="s">
        <v>837</v>
      </c>
      <c r="F339" s="2" t="str" cm="1">
        <f t="array" ref="F339">INDEX(_xlfn.TEXTSPLIT(E339,"-"),2)</f>
        <v>男装</v>
      </c>
      <c r="G339" s="2" t="str" cm="1">
        <f t="array" ref="G339">INDEX(_xlfn.TEXTSPLIT(E339,"-"),3)</f>
        <v>速干/三防T恤</v>
      </c>
      <c r="H339" s="5">
        <v>582</v>
      </c>
      <c r="I339" s="5">
        <v>52140.55</v>
      </c>
      <c r="J339" s="6">
        <v>0.0001</v>
      </c>
      <c r="K339" s="6">
        <v>0.1406</v>
      </c>
    </row>
    <row r="340" ht="14.5" spans="1:11">
      <c r="A340" s="3" t="str">
        <f t="shared" si="18"/>
        <v>2026年</v>
      </c>
      <c r="B340" s="3" t="str">
        <f t="shared" si="19"/>
        <v>1月</v>
      </c>
      <c r="C340" s="4" t="str">
        <f t="shared" si="20"/>
        <v>W2</v>
      </c>
      <c r="D340" s="2" t="s">
        <v>746</v>
      </c>
      <c r="E340" s="2" t="s">
        <v>838</v>
      </c>
      <c r="F340" s="2" t="str" cm="1">
        <f t="array" ref="F340">INDEX(_xlfn.TEXTSPLIT(E340,"-"),2)</f>
        <v>男装</v>
      </c>
      <c r="G340" s="2" t="str" cm="1">
        <f t="array" ref="G340">INDEX(_xlfn.TEXTSPLIT(E340,"-"),3)</f>
        <v>针织衫/毛衣</v>
      </c>
      <c r="H340" s="5">
        <v>368763</v>
      </c>
      <c r="I340" s="5">
        <v>43253630.99</v>
      </c>
      <c r="J340" s="6">
        <v>0.0506</v>
      </c>
      <c r="K340" s="6">
        <v>-0.1105</v>
      </c>
    </row>
    <row r="341" ht="14.5" spans="1:11">
      <c r="A341" s="3" t="str">
        <f t="shared" si="18"/>
        <v>2026年</v>
      </c>
      <c r="B341" s="3" t="str">
        <f t="shared" si="19"/>
        <v>1月</v>
      </c>
      <c r="C341" s="4" t="str">
        <f t="shared" si="20"/>
        <v>W2</v>
      </c>
      <c r="D341" s="2" t="s">
        <v>746</v>
      </c>
      <c r="E341" s="2" t="s">
        <v>839</v>
      </c>
      <c r="F341" s="2" t="str" cm="1">
        <f t="array" ref="F341">INDEX(_xlfn.TEXTSPLIT(E341,"-"),2)</f>
        <v>男装</v>
      </c>
      <c r="G341" s="2" t="str" cm="1">
        <f t="array" ref="G341">INDEX(_xlfn.TEXTSPLIT(E341,"-"),3)</f>
        <v>防晒服</v>
      </c>
      <c r="H341" s="5">
        <v>130</v>
      </c>
      <c r="I341" s="5">
        <v>10968.06</v>
      </c>
      <c r="J341" s="2" t="s">
        <v>713</v>
      </c>
      <c r="K341" s="6">
        <v>0.2691</v>
      </c>
    </row>
    <row r="342" ht="14.5" spans="1:11">
      <c r="A342" s="3" t="str">
        <f t="shared" si="18"/>
        <v>2026年</v>
      </c>
      <c r="B342" s="3" t="str">
        <f t="shared" si="19"/>
        <v>1月</v>
      </c>
      <c r="C342" s="4" t="str">
        <f t="shared" si="20"/>
        <v>W2</v>
      </c>
      <c r="D342" s="2" t="s">
        <v>746</v>
      </c>
      <c r="E342" s="2" t="s">
        <v>840</v>
      </c>
      <c r="F342" s="2" t="str" cm="1">
        <f t="array" ref="F342">INDEX(_xlfn.TEXTSPLIT(E342,"-"),2)</f>
        <v>男装</v>
      </c>
      <c r="G342" s="2" t="str" cm="1">
        <f t="array" ref="G342">INDEX(_xlfn.TEXTSPLIT(E342,"-"),3)</f>
        <v>风衣</v>
      </c>
      <c r="H342" s="5">
        <v>6228</v>
      </c>
      <c r="I342" s="5">
        <v>1659880.73</v>
      </c>
      <c r="J342" s="6">
        <v>0.0019</v>
      </c>
      <c r="K342" s="6">
        <v>0.0893</v>
      </c>
    </row>
    <row r="343" ht="14.5" spans="1:11">
      <c r="A343" s="3" t="str">
        <f t="shared" si="18"/>
        <v>2026年</v>
      </c>
      <c r="B343" s="3" t="str">
        <f t="shared" si="19"/>
        <v>1月</v>
      </c>
      <c r="C343" s="4" t="str">
        <f t="shared" si="20"/>
        <v>W2</v>
      </c>
      <c r="D343" s="2" t="s">
        <v>746</v>
      </c>
      <c r="E343" s="2" t="s">
        <v>841</v>
      </c>
      <c r="F343" s="2" t="str" cm="1">
        <f t="array" ref="F343">INDEX(_xlfn.TEXTSPLIT(E343,"-"),2)</f>
        <v>男装</v>
      </c>
      <c r="G343" s="2" t="str" cm="1">
        <f t="array" ref="G343">INDEX(_xlfn.TEXTSPLIT(E343,"-"),3)</f>
        <v>马甲</v>
      </c>
      <c r="H343" s="5">
        <v>70512</v>
      </c>
      <c r="I343" s="5">
        <v>6184689.56</v>
      </c>
      <c r="J343" s="6">
        <v>0.0072</v>
      </c>
      <c r="K343" s="6">
        <v>-0.0705</v>
      </c>
    </row>
    <row r="344" ht="14.5" spans="1:11">
      <c r="A344" s="3" t="str">
        <f t="shared" si="18"/>
        <v>2026年</v>
      </c>
      <c r="B344" s="3" t="str">
        <f t="shared" si="19"/>
        <v>1月</v>
      </c>
      <c r="C344" s="4" t="str">
        <f t="shared" si="20"/>
        <v>W2</v>
      </c>
      <c r="D344" s="2" t="s">
        <v>747</v>
      </c>
      <c r="E344" s="2" t="s">
        <v>804</v>
      </c>
      <c r="F344" s="2" t="str" cm="1">
        <f t="array" ref="F344">INDEX(_xlfn.TEXTSPLIT(E344,"-"),2)</f>
        <v>男装</v>
      </c>
      <c r="G344" s="2" t="str" cm="1">
        <f t="array" ref="G344">INDEX(_xlfn.TEXTSPLIT(E344,"-"),3)</f>
        <v>Polo衫</v>
      </c>
      <c r="H344" s="5">
        <v>44362</v>
      </c>
      <c r="I344" s="5">
        <v>4227727.55</v>
      </c>
      <c r="J344" s="6">
        <v>0.0047</v>
      </c>
      <c r="K344" s="6">
        <v>0.0831</v>
      </c>
    </row>
    <row r="345" ht="14.5" spans="1:11">
      <c r="A345" s="3" t="str">
        <f t="shared" si="18"/>
        <v>2026年</v>
      </c>
      <c r="B345" s="3" t="str">
        <f t="shared" si="19"/>
        <v>1月</v>
      </c>
      <c r="C345" s="4" t="str">
        <f t="shared" si="20"/>
        <v>W2</v>
      </c>
      <c r="D345" s="2" t="s">
        <v>747</v>
      </c>
      <c r="E345" s="2" t="s">
        <v>805</v>
      </c>
      <c r="F345" s="2" t="str" cm="1">
        <f t="array" ref="F345">INDEX(_xlfn.TEXTSPLIT(E345,"-"),2)</f>
        <v>男装</v>
      </c>
      <c r="G345" s="2" t="str" cm="1">
        <f t="array" ref="G345">INDEX(_xlfn.TEXTSPLIT(E345,"-"),3)</f>
        <v>T恤</v>
      </c>
      <c r="H345" s="5">
        <v>384392</v>
      </c>
      <c r="I345" s="5">
        <v>29635853.71</v>
      </c>
      <c r="J345" s="6">
        <v>0.0331</v>
      </c>
      <c r="K345" s="6">
        <v>0.0118</v>
      </c>
    </row>
    <row r="346" ht="14.5" spans="1:11">
      <c r="A346" s="3" t="str">
        <f t="shared" si="18"/>
        <v>2026年</v>
      </c>
      <c r="B346" s="3" t="str">
        <f t="shared" si="19"/>
        <v>1月</v>
      </c>
      <c r="C346" s="4" t="str">
        <f t="shared" si="20"/>
        <v>W2</v>
      </c>
      <c r="D346" s="2" t="s">
        <v>747</v>
      </c>
      <c r="E346" s="2" t="s">
        <v>806</v>
      </c>
      <c r="F346" s="2" t="str" cm="1">
        <f t="array" ref="F346">INDEX(_xlfn.TEXTSPLIT(E346,"-"),2)</f>
        <v>男装</v>
      </c>
      <c r="G346" s="2" t="str" cm="1">
        <f t="array" ref="G346">INDEX(_xlfn.TEXTSPLIT(E346,"-"),3)</f>
        <v>中老年男装</v>
      </c>
      <c r="H346" s="5">
        <v>115415</v>
      </c>
      <c r="I346" s="5">
        <v>16087825.56</v>
      </c>
      <c r="J346" s="6">
        <v>0.018</v>
      </c>
      <c r="K346" s="6">
        <v>-0.4025</v>
      </c>
    </row>
    <row r="347" ht="14.5" spans="1:11">
      <c r="A347" s="3" t="str">
        <f t="shared" si="18"/>
        <v>2026年</v>
      </c>
      <c r="B347" s="3" t="str">
        <f t="shared" si="19"/>
        <v>1月</v>
      </c>
      <c r="C347" s="4" t="str">
        <f t="shared" si="20"/>
        <v>W2</v>
      </c>
      <c r="D347" s="2" t="s">
        <v>747</v>
      </c>
      <c r="E347" s="2" t="s">
        <v>807</v>
      </c>
      <c r="F347" s="2" t="str" cm="1">
        <f t="array" ref="F347">INDEX(_xlfn.TEXTSPLIT(E347,"-"),2)</f>
        <v>男装</v>
      </c>
      <c r="G347" s="2" t="str" cm="1">
        <f t="array" ref="G347">INDEX(_xlfn.TEXTSPLIT(E347,"-"),3)</f>
        <v>休闲裤</v>
      </c>
      <c r="H347" s="5">
        <v>953609</v>
      </c>
      <c r="I347" s="5">
        <v>100092310.67</v>
      </c>
      <c r="J347" s="6">
        <v>0.1118</v>
      </c>
      <c r="K347" s="6">
        <v>0.0384</v>
      </c>
    </row>
    <row r="348" ht="14.5" spans="1:11">
      <c r="A348" s="3" t="str">
        <f t="shared" si="18"/>
        <v>2026年</v>
      </c>
      <c r="B348" s="3" t="str">
        <f t="shared" si="19"/>
        <v>1月</v>
      </c>
      <c r="C348" s="4" t="str">
        <f t="shared" si="20"/>
        <v>W2</v>
      </c>
      <c r="D348" s="2" t="s">
        <v>747</v>
      </c>
      <c r="E348" s="2" t="s">
        <v>808</v>
      </c>
      <c r="F348" s="2" t="str" cm="1">
        <f t="array" ref="F348">INDEX(_xlfn.TEXTSPLIT(E348,"-"),2)</f>
        <v>男装</v>
      </c>
      <c r="G348" s="2" t="str" cm="1">
        <f t="array" ref="G348">INDEX(_xlfn.TEXTSPLIT(E348,"-"),3)</f>
        <v>卫衣</v>
      </c>
      <c r="H348" s="5">
        <v>656343</v>
      </c>
      <c r="I348" s="5">
        <v>55930213.44</v>
      </c>
      <c r="J348" s="6">
        <v>0.0624</v>
      </c>
      <c r="K348" s="6">
        <v>0.1364</v>
      </c>
    </row>
    <row r="349" ht="14.5" spans="1:11">
      <c r="A349" s="3" t="str">
        <f t="shared" si="18"/>
        <v>2026年</v>
      </c>
      <c r="B349" s="3" t="str">
        <f t="shared" si="19"/>
        <v>1月</v>
      </c>
      <c r="C349" s="4" t="str">
        <f t="shared" si="20"/>
        <v>W2</v>
      </c>
      <c r="D349" s="2" t="s">
        <v>747</v>
      </c>
      <c r="E349" s="2" t="s">
        <v>809</v>
      </c>
      <c r="F349" s="2" t="str" cm="1">
        <f t="array" ref="F349">INDEX(_xlfn.TEXTSPLIT(E349,"-"),2)</f>
        <v>男装</v>
      </c>
      <c r="G349" s="2" t="str" cm="1">
        <f t="array" ref="G349">INDEX(_xlfn.TEXTSPLIT(E349,"-"),3)</f>
        <v>卫裤</v>
      </c>
      <c r="H349" s="5">
        <v>206086</v>
      </c>
      <c r="I349" s="5">
        <v>20947537.38</v>
      </c>
      <c r="J349" s="6">
        <v>0.0234</v>
      </c>
      <c r="K349" s="6">
        <v>0.0676</v>
      </c>
    </row>
    <row r="350" ht="14.5" spans="1:11">
      <c r="A350" s="3" t="str">
        <f t="shared" si="18"/>
        <v>2026年</v>
      </c>
      <c r="B350" s="3" t="str">
        <f t="shared" si="19"/>
        <v>1月</v>
      </c>
      <c r="C350" s="4" t="str">
        <f t="shared" si="20"/>
        <v>W2</v>
      </c>
      <c r="D350" s="2" t="s">
        <v>747</v>
      </c>
      <c r="E350" s="2" t="s">
        <v>810</v>
      </c>
      <c r="F350" s="2" t="str" cm="1">
        <f t="array" ref="F350">INDEX(_xlfn.TEXTSPLIT(E350,"-"),2)</f>
        <v>男装</v>
      </c>
      <c r="G350" s="2" t="str" cm="1">
        <f t="array" ref="G350">INDEX(_xlfn.TEXTSPLIT(E350,"-"),3)</f>
        <v>大码男装</v>
      </c>
      <c r="H350" s="5">
        <v>33257</v>
      </c>
      <c r="I350" s="5">
        <v>3304485.47</v>
      </c>
      <c r="J350" s="6">
        <v>0.0037</v>
      </c>
      <c r="K350" s="6">
        <v>0.0021</v>
      </c>
    </row>
    <row r="351" ht="14.5" spans="1:11">
      <c r="A351" s="3" t="str">
        <f t="shared" si="18"/>
        <v>2026年</v>
      </c>
      <c r="B351" s="3" t="str">
        <f t="shared" si="19"/>
        <v>1月</v>
      </c>
      <c r="C351" s="4" t="str">
        <f t="shared" si="20"/>
        <v>W2</v>
      </c>
      <c r="D351" s="2" t="s">
        <v>747</v>
      </c>
      <c r="E351" s="2" t="s">
        <v>811</v>
      </c>
      <c r="F351" s="2" t="str" cm="1">
        <f t="array" ref="F351">INDEX(_xlfn.TEXTSPLIT(E351,"-"),2)</f>
        <v>男装</v>
      </c>
      <c r="G351" s="2" t="str" cm="1">
        <f t="array" ref="G351">INDEX(_xlfn.TEXTSPLIT(E351,"-"),3)</f>
        <v>夹克</v>
      </c>
      <c r="H351" s="5">
        <v>466786</v>
      </c>
      <c r="I351" s="5">
        <v>87297081.65</v>
      </c>
      <c r="J351" s="6">
        <v>0.0975</v>
      </c>
      <c r="K351" s="6">
        <v>0.1471</v>
      </c>
    </row>
    <row r="352" ht="14.5" spans="1:11">
      <c r="A352" s="3" t="str">
        <f t="shared" si="18"/>
        <v>2026年</v>
      </c>
      <c r="B352" s="3" t="str">
        <f t="shared" si="19"/>
        <v>1月</v>
      </c>
      <c r="C352" s="4" t="str">
        <f t="shared" si="20"/>
        <v>W2</v>
      </c>
      <c r="D352" s="2" t="s">
        <v>747</v>
      </c>
      <c r="E352" s="2" t="s">
        <v>812</v>
      </c>
      <c r="F352" s="2" t="str" cm="1">
        <f t="array" ref="F352">INDEX(_xlfn.TEXTSPLIT(E352,"-"),2)</f>
        <v>男装</v>
      </c>
      <c r="G352" s="2" t="str" cm="1">
        <f t="array" ref="G352">INDEX(_xlfn.TEXTSPLIT(E352,"-"),3)</f>
        <v>套装</v>
      </c>
      <c r="H352" s="5">
        <v>49987</v>
      </c>
      <c r="I352" s="5">
        <v>8105669.03</v>
      </c>
      <c r="J352" s="6">
        <v>0.0091</v>
      </c>
      <c r="K352" s="6">
        <v>0.0069</v>
      </c>
    </row>
    <row r="353" ht="14.5" spans="1:11">
      <c r="A353" s="3" t="str">
        <f t="shared" si="18"/>
        <v>2026年</v>
      </c>
      <c r="B353" s="3" t="str">
        <f t="shared" si="19"/>
        <v>1月</v>
      </c>
      <c r="C353" s="4" t="str">
        <f t="shared" si="20"/>
        <v>W2</v>
      </c>
      <c r="D353" s="2" t="s">
        <v>747</v>
      </c>
      <c r="E353" s="2" t="s">
        <v>813</v>
      </c>
      <c r="F353" s="2" t="str" cm="1">
        <f t="array" ref="F353">INDEX(_xlfn.TEXTSPLIT(E353,"-"),2)</f>
        <v>男装</v>
      </c>
      <c r="G353" s="2" t="str" cm="1">
        <f t="array" ref="G353">INDEX(_xlfn.TEXTSPLIT(E353,"-"),3)</f>
        <v>学生校服</v>
      </c>
      <c r="H353" s="5">
        <v>48</v>
      </c>
      <c r="I353" s="5">
        <v>4147.12</v>
      </c>
      <c r="J353" s="2" t="s">
        <v>713</v>
      </c>
      <c r="K353" s="6">
        <v>-0.301</v>
      </c>
    </row>
    <row r="354" ht="14.5" spans="1:11">
      <c r="A354" s="3" t="str">
        <f t="shared" si="18"/>
        <v>2026年</v>
      </c>
      <c r="B354" s="3" t="str">
        <f t="shared" si="19"/>
        <v>1月</v>
      </c>
      <c r="C354" s="4" t="str">
        <f t="shared" si="20"/>
        <v>W2</v>
      </c>
      <c r="D354" s="2" t="s">
        <v>747</v>
      </c>
      <c r="E354" s="2" t="s">
        <v>814</v>
      </c>
      <c r="F354" s="2" t="str" cm="1">
        <f t="array" ref="F354">INDEX(_xlfn.TEXTSPLIT(E354,"-"),2)</f>
        <v>男装</v>
      </c>
      <c r="G354" s="2" t="str" cm="1">
        <f t="array" ref="G354">INDEX(_xlfn.TEXTSPLIT(E354,"-"),3)</f>
        <v>打底衫</v>
      </c>
      <c r="H354" s="5">
        <v>75149</v>
      </c>
      <c r="I354" s="5">
        <v>1807984.08</v>
      </c>
      <c r="J354" s="6">
        <v>0.002</v>
      </c>
      <c r="K354" s="6">
        <v>0.096</v>
      </c>
    </row>
    <row r="355" ht="14.5" spans="1:11">
      <c r="A355" s="3" t="str">
        <f t="shared" si="18"/>
        <v>2026年</v>
      </c>
      <c r="B355" s="3" t="str">
        <f t="shared" si="19"/>
        <v>1月</v>
      </c>
      <c r="C355" s="4" t="str">
        <f t="shared" si="20"/>
        <v>W2</v>
      </c>
      <c r="D355" s="2" t="s">
        <v>747</v>
      </c>
      <c r="E355" s="2" t="s">
        <v>815</v>
      </c>
      <c r="F355" s="2" t="str" cm="1">
        <f t="array" ref="F355">INDEX(_xlfn.TEXTSPLIT(E355,"-"),2)</f>
        <v>男装</v>
      </c>
      <c r="G355" s="2" t="str" cm="1">
        <f t="array" ref="G355">INDEX(_xlfn.TEXTSPLIT(E355,"-"),3)</f>
        <v>新中式男装</v>
      </c>
      <c r="H355" s="5">
        <v>341</v>
      </c>
      <c r="I355" s="5">
        <v>70894.68</v>
      </c>
      <c r="J355" s="6">
        <v>0.0001</v>
      </c>
      <c r="K355" s="6">
        <v>0.398</v>
      </c>
    </row>
    <row r="356" ht="14.5" spans="1:11">
      <c r="A356" s="3" t="str">
        <f t="shared" si="18"/>
        <v>2026年</v>
      </c>
      <c r="B356" s="3" t="str">
        <f t="shared" si="19"/>
        <v>1月</v>
      </c>
      <c r="C356" s="4" t="str">
        <f t="shared" si="20"/>
        <v>W2</v>
      </c>
      <c r="D356" s="2" t="s">
        <v>747</v>
      </c>
      <c r="E356" s="2" t="s">
        <v>816</v>
      </c>
      <c r="F356" s="2" t="str" cm="1">
        <f t="array" ref="F356">INDEX(_xlfn.TEXTSPLIT(E356,"-"),2)</f>
        <v>男装</v>
      </c>
      <c r="G356" s="2" t="str" cm="1">
        <f t="array" ref="G356">INDEX(_xlfn.TEXTSPLIT(E356,"-"),3)</f>
        <v>棉衣</v>
      </c>
      <c r="H356" s="5">
        <v>500870</v>
      </c>
      <c r="I356" s="5">
        <v>63312663.03</v>
      </c>
      <c r="J356" s="6">
        <v>0.0707</v>
      </c>
      <c r="K356" s="6">
        <v>0.0967</v>
      </c>
    </row>
    <row r="357" ht="14.5" spans="1:11">
      <c r="A357" s="3" t="str">
        <f t="shared" si="18"/>
        <v>2026年</v>
      </c>
      <c r="B357" s="3" t="str">
        <f t="shared" si="19"/>
        <v>1月</v>
      </c>
      <c r="C357" s="4" t="str">
        <f t="shared" si="20"/>
        <v>W2</v>
      </c>
      <c r="D357" s="2" t="s">
        <v>747</v>
      </c>
      <c r="E357" s="2" t="s">
        <v>817</v>
      </c>
      <c r="F357" s="2" t="str" cm="1">
        <f t="array" ref="F357">INDEX(_xlfn.TEXTSPLIT(E357,"-"),2)</f>
        <v>男装</v>
      </c>
      <c r="G357" s="2" t="str" cm="1">
        <f t="array" ref="G357">INDEX(_xlfn.TEXTSPLIT(E357,"-"),3)</f>
        <v>棉裤</v>
      </c>
      <c r="H357" s="5">
        <v>27837</v>
      </c>
      <c r="I357" s="5">
        <v>2079900.02</v>
      </c>
      <c r="J357" s="6">
        <v>0.0023</v>
      </c>
      <c r="K357" s="6">
        <v>-0.0437</v>
      </c>
    </row>
    <row r="358" ht="14.5" spans="1:11">
      <c r="A358" s="3" t="str">
        <f t="shared" si="18"/>
        <v>2026年</v>
      </c>
      <c r="B358" s="3" t="str">
        <f t="shared" si="19"/>
        <v>1月</v>
      </c>
      <c r="C358" s="4" t="str">
        <f t="shared" si="20"/>
        <v>W2</v>
      </c>
      <c r="D358" s="2" t="s">
        <v>747</v>
      </c>
      <c r="E358" s="2" t="s">
        <v>818</v>
      </c>
      <c r="F358" s="2" t="str" cm="1">
        <f t="array" ref="F358">INDEX(_xlfn.TEXTSPLIT(E358,"-"),2)</f>
        <v>男装</v>
      </c>
      <c r="G358" s="2" t="str" cm="1">
        <f t="array" ref="G358">INDEX(_xlfn.TEXTSPLIT(E358,"-"),3)</f>
        <v>毛呢大衣</v>
      </c>
      <c r="H358" s="5">
        <v>45499</v>
      </c>
      <c r="I358" s="5">
        <v>21374234.21</v>
      </c>
      <c r="J358" s="6">
        <v>0.0239</v>
      </c>
      <c r="K358" s="6">
        <v>0.0953</v>
      </c>
    </row>
    <row r="359" ht="14.5" spans="1:11">
      <c r="A359" s="3" t="str">
        <f t="shared" si="18"/>
        <v>2026年</v>
      </c>
      <c r="B359" s="3" t="str">
        <f t="shared" si="19"/>
        <v>1月</v>
      </c>
      <c r="C359" s="4" t="str">
        <f t="shared" si="20"/>
        <v>W2</v>
      </c>
      <c r="D359" s="2" t="s">
        <v>747</v>
      </c>
      <c r="E359" s="2" t="s">
        <v>819</v>
      </c>
      <c r="F359" s="2" t="str" cm="1">
        <f t="array" ref="F359">INDEX(_xlfn.TEXTSPLIT(E359,"-"),2)</f>
        <v>男装</v>
      </c>
      <c r="G359" s="2" t="str" cm="1">
        <f t="array" ref="G359">INDEX(_xlfn.TEXTSPLIT(E359,"-"),3)</f>
        <v>民族服装</v>
      </c>
      <c r="H359" s="5">
        <v>6100</v>
      </c>
      <c r="I359" s="5">
        <v>1456334.41</v>
      </c>
      <c r="J359" s="6">
        <v>0.0016</v>
      </c>
      <c r="K359" s="6">
        <v>-0.0007</v>
      </c>
    </row>
    <row r="360" ht="14.5" spans="1:11">
      <c r="A360" s="3" t="str">
        <f t="shared" si="18"/>
        <v>2026年</v>
      </c>
      <c r="B360" s="3" t="str">
        <f t="shared" si="19"/>
        <v>1月</v>
      </c>
      <c r="C360" s="4" t="str">
        <f t="shared" si="20"/>
        <v>W2</v>
      </c>
      <c r="D360" s="2" t="s">
        <v>747</v>
      </c>
      <c r="E360" s="2" t="s">
        <v>820</v>
      </c>
      <c r="F360" s="2" t="str" cm="1">
        <f t="array" ref="F360">INDEX(_xlfn.TEXTSPLIT(E360,"-"),2)</f>
        <v>男装</v>
      </c>
      <c r="G360" s="2" t="str" cm="1">
        <f t="array" ref="G360">INDEX(_xlfn.TEXTSPLIT(E360,"-"),3)</f>
        <v>派克服</v>
      </c>
      <c r="H360" s="5">
        <v>13674</v>
      </c>
      <c r="I360" s="5">
        <v>2806091.02</v>
      </c>
      <c r="J360" s="6">
        <v>0.0031</v>
      </c>
      <c r="K360" s="6">
        <v>-0.0717</v>
      </c>
    </row>
    <row r="361" ht="14.5" spans="1:11">
      <c r="A361" s="3" t="str">
        <f t="shared" si="18"/>
        <v>2026年</v>
      </c>
      <c r="B361" s="3" t="str">
        <f t="shared" si="19"/>
        <v>1月</v>
      </c>
      <c r="C361" s="4" t="str">
        <f t="shared" si="20"/>
        <v>W2</v>
      </c>
      <c r="D361" s="2" t="s">
        <v>747</v>
      </c>
      <c r="E361" s="2" t="s">
        <v>821</v>
      </c>
      <c r="F361" s="2" t="str" cm="1">
        <f t="array" ref="F361">INDEX(_xlfn.TEXTSPLIT(E361,"-"),2)</f>
        <v>男装</v>
      </c>
      <c r="G361" s="2" t="str" cm="1">
        <f t="array" ref="G361">INDEX(_xlfn.TEXTSPLIT(E361,"-"),3)</f>
        <v>牛仔裤</v>
      </c>
      <c r="H361" s="5">
        <v>571827</v>
      </c>
      <c r="I361" s="5">
        <v>65801246.99</v>
      </c>
      <c r="J361" s="6">
        <v>0.0735</v>
      </c>
      <c r="K361" s="6">
        <v>0.0158</v>
      </c>
    </row>
    <row r="362" ht="14.5" spans="1:11">
      <c r="A362" s="3" t="str">
        <f t="shared" si="18"/>
        <v>2026年</v>
      </c>
      <c r="B362" s="3" t="str">
        <f t="shared" si="19"/>
        <v>1月</v>
      </c>
      <c r="C362" s="4" t="str">
        <f t="shared" si="20"/>
        <v>W2</v>
      </c>
      <c r="D362" s="2" t="s">
        <v>747</v>
      </c>
      <c r="E362" s="2" t="s">
        <v>822</v>
      </c>
      <c r="F362" s="2" t="str" cm="1">
        <f t="array" ref="F362">INDEX(_xlfn.TEXTSPLIT(E362,"-"),2)</f>
        <v>男装</v>
      </c>
      <c r="G362" s="2" t="str" cm="1">
        <f t="array" ref="G362">INDEX(_xlfn.TEXTSPLIT(E362,"-"),3)</f>
        <v>皮草</v>
      </c>
      <c r="H362" s="5">
        <v>7159</v>
      </c>
      <c r="I362" s="5">
        <v>9257326.4</v>
      </c>
      <c r="J362" s="6">
        <v>0.0103</v>
      </c>
      <c r="K362" s="6">
        <v>0.0631</v>
      </c>
    </row>
    <row r="363" ht="14.5" spans="1:11">
      <c r="A363" s="3" t="str">
        <f t="shared" si="18"/>
        <v>2026年</v>
      </c>
      <c r="B363" s="3" t="str">
        <f t="shared" si="19"/>
        <v>1月</v>
      </c>
      <c r="C363" s="4" t="str">
        <f t="shared" si="20"/>
        <v>W2</v>
      </c>
      <c r="D363" s="2" t="s">
        <v>747</v>
      </c>
      <c r="E363" s="2" t="s">
        <v>823</v>
      </c>
      <c r="F363" s="2" t="str" cm="1">
        <f t="array" ref="F363">INDEX(_xlfn.TEXTSPLIT(E363,"-"),2)</f>
        <v>男装</v>
      </c>
      <c r="G363" s="2" t="str" cm="1">
        <f t="array" ref="G363">INDEX(_xlfn.TEXTSPLIT(E363,"-"),3)</f>
        <v>皮衣</v>
      </c>
      <c r="H363" s="5">
        <v>63482</v>
      </c>
      <c r="I363" s="5">
        <v>30428535.97</v>
      </c>
      <c r="J363" s="6">
        <v>0.034</v>
      </c>
      <c r="K363" s="6">
        <v>0.1121</v>
      </c>
    </row>
    <row r="364" ht="14.5" spans="1:11">
      <c r="A364" s="3" t="str">
        <f t="shared" si="18"/>
        <v>2026年</v>
      </c>
      <c r="B364" s="3" t="str">
        <f t="shared" si="19"/>
        <v>1月</v>
      </c>
      <c r="C364" s="4" t="str">
        <f t="shared" si="20"/>
        <v>W2</v>
      </c>
      <c r="D364" s="2" t="s">
        <v>747</v>
      </c>
      <c r="E364" s="2" t="s">
        <v>824</v>
      </c>
      <c r="F364" s="2" t="str" cm="1">
        <f t="array" ref="F364">INDEX(_xlfn.TEXTSPLIT(E364,"-"),2)</f>
        <v>男装</v>
      </c>
      <c r="G364" s="2" t="str" cm="1">
        <f t="array" ref="G364">INDEX(_xlfn.TEXTSPLIT(E364,"-"),3)</f>
        <v>皮裤</v>
      </c>
      <c r="H364" s="5">
        <v>3506</v>
      </c>
      <c r="I364" s="5">
        <v>496507.49</v>
      </c>
      <c r="J364" s="6">
        <v>0.0006</v>
      </c>
      <c r="K364" s="6">
        <v>0.3272</v>
      </c>
    </row>
    <row r="365" ht="14.5" spans="1:11">
      <c r="A365" s="3" t="str">
        <f t="shared" si="18"/>
        <v>2026年</v>
      </c>
      <c r="B365" s="3" t="str">
        <f t="shared" si="19"/>
        <v>1月</v>
      </c>
      <c r="C365" s="4" t="str">
        <f t="shared" si="20"/>
        <v>W2</v>
      </c>
      <c r="D365" s="2" t="s">
        <v>747</v>
      </c>
      <c r="E365" s="2" t="s">
        <v>825</v>
      </c>
      <c r="F365" s="2" t="str" cm="1">
        <f t="array" ref="F365">INDEX(_xlfn.TEXTSPLIT(E365,"-"),2)</f>
        <v>男装</v>
      </c>
      <c r="G365" s="2" t="str" cm="1">
        <f t="array" ref="G365">INDEX(_xlfn.TEXTSPLIT(E365,"-"),3)</f>
        <v>短外套</v>
      </c>
      <c r="H365" s="5">
        <v>47588</v>
      </c>
      <c r="I365" s="5">
        <v>4935771.29</v>
      </c>
      <c r="J365" s="6">
        <v>0.0055</v>
      </c>
      <c r="K365" s="6">
        <v>0.1887</v>
      </c>
    </row>
    <row r="366" ht="14.5" spans="1:11">
      <c r="A366" s="3" t="str">
        <f t="shared" si="18"/>
        <v>2026年</v>
      </c>
      <c r="B366" s="3" t="str">
        <f t="shared" si="19"/>
        <v>1月</v>
      </c>
      <c r="C366" s="4" t="str">
        <f t="shared" si="20"/>
        <v>W2</v>
      </c>
      <c r="D366" s="2" t="s">
        <v>747</v>
      </c>
      <c r="E366" s="2" t="s">
        <v>826</v>
      </c>
      <c r="F366" s="2" t="str" cm="1">
        <f t="array" ref="F366">INDEX(_xlfn.TEXTSPLIT(E366,"-"),2)</f>
        <v>男装</v>
      </c>
      <c r="G366" s="2" t="str" cm="1">
        <f t="array" ref="G366">INDEX(_xlfn.TEXTSPLIT(E366,"-"),3)</f>
        <v>短裤</v>
      </c>
      <c r="H366" s="5">
        <v>47587</v>
      </c>
      <c r="I366" s="5">
        <v>1495735.83</v>
      </c>
      <c r="J366" s="6">
        <v>0.0017</v>
      </c>
      <c r="K366" s="6">
        <v>0.0276</v>
      </c>
    </row>
    <row r="367" ht="14.5" spans="1:11">
      <c r="A367" s="3" t="str">
        <f t="shared" si="18"/>
        <v>2026年</v>
      </c>
      <c r="B367" s="3" t="str">
        <f t="shared" si="19"/>
        <v>1月</v>
      </c>
      <c r="C367" s="4" t="str">
        <f t="shared" si="20"/>
        <v>W2</v>
      </c>
      <c r="D367" s="2" t="s">
        <v>747</v>
      </c>
      <c r="E367" s="2" t="s">
        <v>827</v>
      </c>
      <c r="F367" s="2" t="str" cm="1">
        <f t="array" ref="F367">INDEX(_xlfn.TEXTSPLIT(E367,"-"),2)</f>
        <v>男装</v>
      </c>
      <c r="G367" s="2" t="str" cm="1">
        <f t="array" ref="G367">INDEX(_xlfn.TEXTSPLIT(E367,"-"),3)</f>
        <v>紧身衣</v>
      </c>
      <c r="H367" s="5">
        <v>115</v>
      </c>
      <c r="I367" s="5">
        <v>5920.5</v>
      </c>
      <c r="J367" s="2" t="s">
        <v>713</v>
      </c>
      <c r="K367" s="6">
        <v>-0.4508</v>
      </c>
    </row>
    <row r="368" ht="14.5" spans="1:11">
      <c r="A368" s="3" t="str">
        <f t="shared" si="18"/>
        <v>2026年</v>
      </c>
      <c r="B368" s="3" t="str">
        <f t="shared" si="19"/>
        <v>1月</v>
      </c>
      <c r="C368" s="4" t="str">
        <f t="shared" si="20"/>
        <v>W2</v>
      </c>
      <c r="D368" s="2" t="s">
        <v>747</v>
      </c>
      <c r="E368" s="2" t="s">
        <v>828</v>
      </c>
      <c r="F368" s="2" t="str" cm="1">
        <f t="array" ref="F368">INDEX(_xlfn.TEXTSPLIT(E368,"-"),2)</f>
        <v>男装</v>
      </c>
      <c r="G368" s="2" t="str" cm="1">
        <f t="array" ref="G368">INDEX(_xlfn.TEXTSPLIT(E368,"-"),3)</f>
        <v>羊毛衫</v>
      </c>
      <c r="H368" s="5">
        <v>132960</v>
      </c>
      <c r="I368" s="5">
        <v>18897868.8</v>
      </c>
      <c r="J368" s="6">
        <v>0.0211</v>
      </c>
      <c r="K368" s="6">
        <v>0.0412</v>
      </c>
    </row>
    <row r="369" ht="14.5" spans="1:11">
      <c r="A369" s="3" t="str">
        <f t="shared" si="18"/>
        <v>2026年</v>
      </c>
      <c r="B369" s="3" t="str">
        <f t="shared" si="19"/>
        <v>1月</v>
      </c>
      <c r="C369" s="4" t="str">
        <f t="shared" si="20"/>
        <v>W2</v>
      </c>
      <c r="D369" s="2" t="s">
        <v>747</v>
      </c>
      <c r="E369" s="2" t="s">
        <v>829</v>
      </c>
      <c r="F369" s="2" t="str" cm="1">
        <f t="array" ref="F369">INDEX(_xlfn.TEXTSPLIT(E369,"-"),2)</f>
        <v>男装</v>
      </c>
      <c r="G369" s="2" t="str" cm="1">
        <f t="array" ref="G369">INDEX(_xlfn.TEXTSPLIT(E369,"-"),3)</f>
        <v>羊绒衫</v>
      </c>
      <c r="H369" s="5">
        <v>26986</v>
      </c>
      <c r="I369" s="5">
        <v>8261969.68</v>
      </c>
      <c r="J369" s="6">
        <v>0.0092</v>
      </c>
      <c r="K369" s="6">
        <v>0.1337</v>
      </c>
    </row>
    <row r="370" ht="14.5" spans="1:11">
      <c r="A370" s="3" t="str">
        <f t="shared" si="18"/>
        <v>2026年</v>
      </c>
      <c r="B370" s="3" t="str">
        <f t="shared" si="19"/>
        <v>1月</v>
      </c>
      <c r="C370" s="4" t="str">
        <f t="shared" si="20"/>
        <v>W2</v>
      </c>
      <c r="D370" s="2" t="s">
        <v>747</v>
      </c>
      <c r="E370" s="2" t="s">
        <v>830</v>
      </c>
      <c r="F370" s="2" t="str" cm="1">
        <f t="array" ref="F370">INDEX(_xlfn.TEXTSPLIT(E370,"-"),2)</f>
        <v>男装</v>
      </c>
      <c r="G370" s="2" t="str" cm="1">
        <f t="array" ref="G370">INDEX(_xlfn.TEXTSPLIT(E370,"-"),3)</f>
        <v>羽绒服</v>
      </c>
      <c r="H370" s="5">
        <v>634921</v>
      </c>
      <c r="I370" s="5">
        <v>243916428.1</v>
      </c>
      <c r="J370" s="6">
        <v>0.2723</v>
      </c>
      <c r="K370" s="6">
        <v>0.0212</v>
      </c>
    </row>
    <row r="371" ht="14.5" spans="1:11">
      <c r="A371" s="3" t="str">
        <f t="shared" si="18"/>
        <v>2026年</v>
      </c>
      <c r="B371" s="3" t="str">
        <f t="shared" si="19"/>
        <v>1月</v>
      </c>
      <c r="C371" s="4" t="str">
        <f t="shared" si="20"/>
        <v>W2</v>
      </c>
      <c r="D371" s="2" t="s">
        <v>747</v>
      </c>
      <c r="E371" s="2" t="s">
        <v>831</v>
      </c>
      <c r="F371" s="2" t="str" cm="1">
        <f t="array" ref="F371">INDEX(_xlfn.TEXTSPLIT(E371,"-"),2)</f>
        <v>男装</v>
      </c>
      <c r="G371" s="2" t="str" cm="1">
        <f t="array" ref="G371">INDEX(_xlfn.TEXTSPLIT(E371,"-"),3)</f>
        <v>羽绒裤</v>
      </c>
      <c r="H371" s="5">
        <v>15868</v>
      </c>
      <c r="I371" s="5">
        <v>2312771.85</v>
      </c>
      <c r="J371" s="6">
        <v>0.0026</v>
      </c>
      <c r="K371" s="6">
        <v>-0.1946</v>
      </c>
    </row>
    <row r="372" ht="14.5" spans="1:11">
      <c r="A372" s="3" t="str">
        <f t="shared" si="18"/>
        <v>2026年</v>
      </c>
      <c r="B372" s="3" t="str">
        <f t="shared" si="19"/>
        <v>1月</v>
      </c>
      <c r="C372" s="4" t="str">
        <f t="shared" si="20"/>
        <v>W2</v>
      </c>
      <c r="D372" s="2" t="s">
        <v>747</v>
      </c>
      <c r="E372" s="2" t="s">
        <v>832</v>
      </c>
      <c r="F372" s="2" t="str" cm="1">
        <f t="array" ref="F372">INDEX(_xlfn.TEXTSPLIT(E372,"-"),2)</f>
        <v>男装</v>
      </c>
      <c r="G372" s="2" t="str" cm="1">
        <f t="array" ref="G372">INDEX(_xlfn.TEXTSPLIT(E372,"-"),3)</f>
        <v>羽绒马甲</v>
      </c>
      <c r="H372" s="5">
        <v>15134</v>
      </c>
      <c r="I372" s="5">
        <v>3255842.42</v>
      </c>
      <c r="J372" s="6">
        <v>0.0036</v>
      </c>
      <c r="K372" s="6">
        <v>0.2226</v>
      </c>
    </row>
    <row r="373" ht="14.5" spans="1:11">
      <c r="A373" s="3" t="str">
        <f t="shared" si="18"/>
        <v>2026年</v>
      </c>
      <c r="B373" s="3" t="str">
        <f t="shared" si="19"/>
        <v>1月</v>
      </c>
      <c r="C373" s="4" t="str">
        <f t="shared" si="20"/>
        <v>W2</v>
      </c>
      <c r="D373" s="2" t="s">
        <v>747</v>
      </c>
      <c r="E373" s="2" t="s">
        <v>833</v>
      </c>
      <c r="F373" s="2" t="str" cm="1">
        <f t="array" ref="F373">INDEX(_xlfn.TEXTSPLIT(E373,"-"),2)</f>
        <v>男装</v>
      </c>
      <c r="G373" s="2" t="str" cm="1">
        <f t="array" ref="G373">INDEX(_xlfn.TEXTSPLIT(E373,"-"),3)</f>
        <v>背心</v>
      </c>
      <c r="H373" s="5">
        <v>42021</v>
      </c>
      <c r="I373" s="5">
        <v>2451290.18</v>
      </c>
      <c r="J373" s="6">
        <v>0.0027</v>
      </c>
      <c r="K373" s="6">
        <v>-0.0188</v>
      </c>
    </row>
    <row r="374" ht="14.5" spans="1:11">
      <c r="A374" s="3" t="str">
        <f t="shared" si="18"/>
        <v>2026年</v>
      </c>
      <c r="B374" s="3" t="str">
        <f t="shared" si="19"/>
        <v>1月</v>
      </c>
      <c r="C374" s="4" t="str">
        <f t="shared" si="20"/>
        <v>W2</v>
      </c>
      <c r="D374" s="2" t="s">
        <v>747</v>
      </c>
      <c r="E374" s="2" t="s">
        <v>834</v>
      </c>
      <c r="F374" s="2" t="str" cm="1">
        <f t="array" ref="F374">INDEX(_xlfn.TEXTSPLIT(E374,"-"),2)</f>
        <v>男装</v>
      </c>
      <c r="G374" s="2" t="str" cm="1">
        <f t="array" ref="G374">INDEX(_xlfn.TEXTSPLIT(E374,"-"),3)</f>
        <v>衬衫</v>
      </c>
      <c r="H374" s="5">
        <v>83551</v>
      </c>
      <c r="I374" s="5">
        <v>11656566.29</v>
      </c>
      <c r="J374" s="6">
        <v>0.013</v>
      </c>
      <c r="K374" s="6">
        <v>0.1916</v>
      </c>
    </row>
    <row r="375" ht="14.5" spans="1:11">
      <c r="A375" s="3" t="str">
        <f t="shared" si="18"/>
        <v>2026年</v>
      </c>
      <c r="B375" s="3" t="str">
        <f t="shared" si="19"/>
        <v>1月</v>
      </c>
      <c r="C375" s="4" t="str">
        <f t="shared" si="20"/>
        <v>W2</v>
      </c>
      <c r="D375" s="2" t="s">
        <v>747</v>
      </c>
      <c r="E375" s="2" t="s">
        <v>835</v>
      </c>
      <c r="F375" s="2" t="str" cm="1">
        <f t="array" ref="F375">INDEX(_xlfn.TEXTSPLIT(E375,"-"),2)</f>
        <v>男装</v>
      </c>
      <c r="G375" s="2" t="str" cm="1">
        <f t="array" ref="G375">INDEX(_xlfn.TEXTSPLIT(E375,"-"),3)</f>
        <v>西服</v>
      </c>
      <c r="H375" s="5">
        <v>84070</v>
      </c>
      <c r="I375" s="5">
        <v>17282213.06</v>
      </c>
      <c r="J375" s="6">
        <v>0.0193</v>
      </c>
      <c r="K375" s="6">
        <v>0.0597</v>
      </c>
    </row>
    <row r="376" ht="14.5" spans="1:11">
      <c r="A376" s="3" t="str">
        <f t="shared" si="18"/>
        <v>2026年</v>
      </c>
      <c r="B376" s="3" t="str">
        <f t="shared" si="19"/>
        <v>1月</v>
      </c>
      <c r="C376" s="4" t="str">
        <f t="shared" si="20"/>
        <v>W2</v>
      </c>
      <c r="D376" s="2" t="s">
        <v>747</v>
      </c>
      <c r="E376" s="2" t="s">
        <v>836</v>
      </c>
      <c r="F376" s="2" t="str" cm="1">
        <f t="array" ref="F376">INDEX(_xlfn.TEXTSPLIT(E376,"-"),2)</f>
        <v>男装</v>
      </c>
      <c r="G376" s="2" t="str" cm="1">
        <f t="array" ref="G376">INDEX(_xlfn.TEXTSPLIT(E376,"-"),3)</f>
        <v>连体衣/裤</v>
      </c>
      <c r="H376" s="5">
        <v>739</v>
      </c>
      <c r="I376" s="5">
        <v>28931.79</v>
      </c>
      <c r="J376" s="2" t="s">
        <v>713</v>
      </c>
      <c r="K376" s="6">
        <v>0.9512</v>
      </c>
    </row>
    <row r="377" ht="14.5" spans="1:11">
      <c r="A377" s="3" t="str">
        <f t="shared" si="18"/>
        <v>2026年</v>
      </c>
      <c r="B377" s="3" t="str">
        <f t="shared" si="19"/>
        <v>1月</v>
      </c>
      <c r="C377" s="4" t="str">
        <f t="shared" si="20"/>
        <v>W2</v>
      </c>
      <c r="D377" s="2" t="s">
        <v>747</v>
      </c>
      <c r="E377" s="2" t="s">
        <v>837</v>
      </c>
      <c r="F377" s="2" t="str" cm="1">
        <f t="array" ref="F377">INDEX(_xlfn.TEXTSPLIT(E377,"-"),2)</f>
        <v>男装</v>
      </c>
      <c r="G377" s="2" t="str" cm="1">
        <f t="array" ref="G377">INDEX(_xlfn.TEXTSPLIT(E377,"-"),3)</f>
        <v>速干/三防T恤</v>
      </c>
      <c r="H377" s="5">
        <v>1820</v>
      </c>
      <c r="I377" s="5">
        <v>49089.48</v>
      </c>
      <c r="J377" s="6">
        <v>0.0001</v>
      </c>
      <c r="K377" s="6">
        <v>-0.0585</v>
      </c>
    </row>
    <row r="378" ht="14.5" spans="1:11">
      <c r="A378" s="3" t="str">
        <f t="shared" si="18"/>
        <v>2026年</v>
      </c>
      <c r="B378" s="3" t="str">
        <f t="shared" si="19"/>
        <v>1月</v>
      </c>
      <c r="C378" s="4" t="str">
        <f t="shared" si="20"/>
        <v>W2</v>
      </c>
      <c r="D378" s="2" t="s">
        <v>747</v>
      </c>
      <c r="E378" s="2" t="s">
        <v>838</v>
      </c>
      <c r="F378" s="2" t="str" cm="1">
        <f t="array" ref="F378">INDEX(_xlfn.TEXTSPLIT(E378,"-"),2)</f>
        <v>男装</v>
      </c>
      <c r="G378" s="2" t="str" cm="1">
        <f t="array" ref="G378">INDEX(_xlfn.TEXTSPLIT(E378,"-"),3)</f>
        <v>针织衫/毛衣</v>
      </c>
      <c r="H378" s="5">
        <v>382811</v>
      </c>
      <c r="I378" s="5">
        <v>47653983.94</v>
      </c>
      <c r="J378" s="6">
        <v>0.0532</v>
      </c>
      <c r="K378" s="6">
        <v>0.1017</v>
      </c>
    </row>
    <row r="379" ht="14.5" spans="1:11">
      <c r="A379" s="3" t="str">
        <f t="shared" si="18"/>
        <v>2026年</v>
      </c>
      <c r="B379" s="3" t="str">
        <f t="shared" si="19"/>
        <v>1月</v>
      </c>
      <c r="C379" s="4" t="str">
        <f t="shared" si="20"/>
        <v>W2</v>
      </c>
      <c r="D379" s="2" t="s">
        <v>747</v>
      </c>
      <c r="E379" s="2" t="s">
        <v>839</v>
      </c>
      <c r="F379" s="2" t="str" cm="1">
        <f t="array" ref="F379">INDEX(_xlfn.TEXTSPLIT(E379,"-"),2)</f>
        <v>男装</v>
      </c>
      <c r="G379" s="2" t="str" cm="1">
        <f t="array" ref="G379">INDEX(_xlfn.TEXTSPLIT(E379,"-"),3)</f>
        <v>防晒服</v>
      </c>
      <c r="H379" s="5">
        <v>155</v>
      </c>
      <c r="I379" s="5">
        <v>28020.24</v>
      </c>
      <c r="J379" s="2" t="s">
        <v>713</v>
      </c>
      <c r="K379" s="6">
        <v>1.5547</v>
      </c>
    </row>
    <row r="380" ht="14.5" spans="1:11">
      <c r="A380" s="3" t="str">
        <f t="shared" si="18"/>
        <v>2026年</v>
      </c>
      <c r="B380" s="3" t="str">
        <f t="shared" si="19"/>
        <v>1月</v>
      </c>
      <c r="C380" s="4" t="str">
        <f t="shared" si="20"/>
        <v>W2</v>
      </c>
      <c r="D380" s="2" t="s">
        <v>747</v>
      </c>
      <c r="E380" s="2" t="s">
        <v>840</v>
      </c>
      <c r="F380" s="2" t="str" cm="1">
        <f t="array" ref="F380">INDEX(_xlfn.TEXTSPLIT(E380,"-"),2)</f>
        <v>男装</v>
      </c>
      <c r="G380" s="2" t="str" cm="1">
        <f t="array" ref="G380">INDEX(_xlfn.TEXTSPLIT(E380,"-"),3)</f>
        <v>风衣</v>
      </c>
      <c r="H380" s="5">
        <v>8303</v>
      </c>
      <c r="I380" s="5">
        <v>2057770.33</v>
      </c>
      <c r="J380" s="6">
        <v>0.0023</v>
      </c>
      <c r="K380" s="6">
        <v>0.2397</v>
      </c>
    </row>
    <row r="381" ht="14.5" spans="1:11">
      <c r="A381" s="3" t="str">
        <f t="shared" si="18"/>
        <v>2026年</v>
      </c>
      <c r="B381" s="3" t="str">
        <f t="shared" si="19"/>
        <v>1月</v>
      </c>
      <c r="C381" s="4" t="str">
        <f t="shared" si="20"/>
        <v>W2</v>
      </c>
      <c r="D381" s="2" t="s">
        <v>747</v>
      </c>
      <c r="E381" s="2" t="s">
        <v>841</v>
      </c>
      <c r="F381" s="2" t="str" cm="1">
        <f t="array" ref="F381">INDEX(_xlfn.TEXTSPLIT(E381,"-"),2)</f>
        <v>男装</v>
      </c>
      <c r="G381" s="2" t="str" cm="1">
        <f t="array" ref="G381">INDEX(_xlfn.TEXTSPLIT(E381,"-"),3)</f>
        <v>马甲</v>
      </c>
      <c r="H381" s="5">
        <v>79684</v>
      </c>
      <c r="I381" s="5">
        <v>6823524.21</v>
      </c>
      <c r="J381" s="6">
        <v>0.0076</v>
      </c>
      <c r="K381" s="6">
        <v>0.1033</v>
      </c>
    </row>
    <row r="382" ht="14.5" spans="1:11">
      <c r="A382" s="3" t="str">
        <f t="shared" si="18"/>
        <v>2026年</v>
      </c>
      <c r="B382" s="3" t="str">
        <f t="shared" si="19"/>
        <v>1月</v>
      </c>
      <c r="C382" s="4" t="str">
        <f t="shared" si="20"/>
        <v>W2</v>
      </c>
      <c r="D382" s="2" t="s">
        <v>748</v>
      </c>
      <c r="E382" s="2" t="s">
        <v>804</v>
      </c>
      <c r="F382" s="2" t="str" cm="1">
        <f t="array" ref="F382">INDEX(_xlfn.TEXTSPLIT(E382,"-"),2)</f>
        <v>男装</v>
      </c>
      <c r="G382" s="2" t="str" cm="1">
        <f t="array" ref="G382">INDEX(_xlfn.TEXTSPLIT(E382,"-"),3)</f>
        <v>Polo衫</v>
      </c>
      <c r="H382" s="5">
        <v>48675</v>
      </c>
      <c r="I382" s="5">
        <v>4656103.44</v>
      </c>
      <c r="J382" s="6">
        <v>0.005</v>
      </c>
      <c r="K382" s="6">
        <v>0.1013</v>
      </c>
    </row>
    <row r="383" ht="14.5" spans="1:11">
      <c r="A383" s="3" t="str">
        <f t="shared" si="18"/>
        <v>2026年</v>
      </c>
      <c r="B383" s="3" t="str">
        <f t="shared" si="19"/>
        <v>1月</v>
      </c>
      <c r="C383" s="4" t="str">
        <f t="shared" si="20"/>
        <v>W2</v>
      </c>
      <c r="D383" s="2" t="s">
        <v>748</v>
      </c>
      <c r="E383" s="2" t="s">
        <v>805</v>
      </c>
      <c r="F383" s="2" t="str" cm="1">
        <f t="array" ref="F383">INDEX(_xlfn.TEXTSPLIT(E383,"-"),2)</f>
        <v>男装</v>
      </c>
      <c r="G383" s="2" t="str" cm="1">
        <f t="array" ref="G383">INDEX(_xlfn.TEXTSPLIT(E383,"-"),3)</f>
        <v>T恤</v>
      </c>
      <c r="H383" s="5">
        <v>431108</v>
      </c>
      <c r="I383" s="5">
        <v>32806416.6</v>
      </c>
      <c r="J383" s="6">
        <v>0.0353</v>
      </c>
      <c r="K383" s="6">
        <v>0.107</v>
      </c>
    </row>
    <row r="384" ht="14.5" spans="1:11">
      <c r="A384" s="3" t="str">
        <f t="shared" si="18"/>
        <v>2026年</v>
      </c>
      <c r="B384" s="3" t="str">
        <f t="shared" si="19"/>
        <v>1月</v>
      </c>
      <c r="C384" s="4" t="str">
        <f t="shared" si="20"/>
        <v>W2</v>
      </c>
      <c r="D384" s="2" t="s">
        <v>748</v>
      </c>
      <c r="E384" s="2" t="s">
        <v>806</v>
      </c>
      <c r="F384" s="2" t="str" cm="1">
        <f t="array" ref="F384">INDEX(_xlfn.TEXTSPLIT(E384,"-"),2)</f>
        <v>男装</v>
      </c>
      <c r="G384" s="2" t="str" cm="1">
        <f t="array" ref="G384">INDEX(_xlfn.TEXTSPLIT(E384,"-"),3)</f>
        <v>中老年男装</v>
      </c>
      <c r="H384" s="5">
        <v>124599</v>
      </c>
      <c r="I384" s="5">
        <v>16679200.02</v>
      </c>
      <c r="J384" s="6">
        <v>0.0179</v>
      </c>
      <c r="K384" s="6">
        <v>0.0368</v>
      </c>
    </row>
    <row r="385" ht="14.5" spans="1:11">
      <c r="A385" s="3" t="str">
        <f t="shared" si="18"/>
        <v>2026年</v>
      </c>
      <c r="B385" s="3" t="str">
        <f t="shared" si="19"/>
        <v>1月</v>
      </c>
      <c r="C385" s="4" t="str">
        <f t="shared" si="20"/>
        <v>W2</v>
      </c>
      <c r="D385" s="2" t="s">
        <v>748</v>
      </c>
      <c r="E385" s="2" t="s">
        <v>807</v>
      </c>
      <c r="F385" s="2" t="str" cm="1">
        <f t="array" ref="F385">INDEX(_xlfn.TEXTSPLIT(E385,"-"),2)</f>
        <v>男装</v>
      </c>
      <c r="G385" s="2" t="str" cm="1">
        <f t="array" ref="G385">INDEX(_xlfn.TEXTSPLIT(E385,"-"),3)</f>
        <v>休闲裤</v>
      </c>
      <c r="H385" s="5">
        <v>1042642</v>
      </c>
      <c r="I385" s="5">
        <v>110343879.45</v>
      </c>
      <c r="J385" s="6">
        <v>0.1187</v>
      </c>
      <c r="K385" s="6">
        <v>0.1024</v>
      </c>
    </row>
    <row r="386" ht="14.5" spans="1:11">
      <c r="A386" s="3" t="str">
        <f t="shared" si="18"/>
        <v>2026年</v>
      </c>
      <c r="B386" s="3" t="str">
        <f t="shared" si="19"/>
        <v>1月</v>
      </c>
      <c r="C386" s="4" t="str">
        <f t="shared" si="20"/>
        <v>W2</v>
      </c>
      <c r="D386" s="2" t="s">
        <v>748</v>
      </c>
      <c r="E386" s="2" t="s">
        <v>808</v>
      </c>
      <c r="F386" s="2" t="str" cm="1">
        <f t="array" ref="F386">INDEX(_xlfn.TEXTSPLIT(E386,"-"),2)</f>
        <v>男装</v>
      </c>
      <c r="G386" s="2" t="str" cm="1">
        <f t="array" ref="G386">INDEX(_xlfn.TEXTSPLIT(E386,"-"),3)</f>
        <v>卫衣</v>
      </c>
      <c r="H386" s="5">
        <v>661770</v>
      </c>
      <c r="I386" s="5">
        <v>55589981.77</v>
      </c>
      <c r="J386" s="6">
        <v>0.0598</v>
      </c>
      <c r="K386" s="6">
        <v>-0.0061</v>
      </c>
    </row>
    <row r="387" ht="14.5" spans="1:11">
      <c r="A387" s="3" t="str">
        <f t="shared" si="18"/>
        <v>2026年</v>
      </c>
      <c r="B387" s="3" t="str">
        <f t="shared" si="19"/>
        <v>1月</v>
      </c>
      <c r="C387" s="4" t="str">
        <f t="shared" si="20"/>
        <v>W2</v>
      </c>
      <c r="D387" s="2" t="s">
        <v>748</v>
      </c>
      <c r="E387" s="2" t="s">
        <v>809</v>
      </c>
      <c r="F387" s="2" t="str" cm="1">
        <f t="array" ref="F387">INDEX(_xlfn.TEXTSPLIT(E387,"-"),2)</f>
        <v>男装</v>
      </c>
      <c r="G387" s="2" t="str" cm="1">
        <f t="array" ref="G387">INDEX(_xlfn.TEXTSPLIT(E387,"-"),3)</f>
        <v>卫裤</v>
      </c>
      <c r="H387" s="5">
        <v>210606</v>
      </c>
      <c r="I387" s="5">
        <v>20594989.47</v>
      </c>
      <c r="J387" s="6">
        <v>0.0221</v>
      </c>
      <c r="K387" s="6">
        <v>-0.0168</v>
      </c>
    </row>
    <row r="388" ht="14.5" spans="1:11">
      <c r="A388" s="3" t="str">
        <f t="shared" si="18"/>
        <v>2026年</v>
      </c>
      <c r="B388" s="3" t="str">
        <f t="shared" si="19"/>
        <v>1月</v>
      </c>
      <c r="C388" s="4" t="str">
        <f t="shared" si="20"/>
        <v>W2</v>
      </c>
      <c r="D388" s="2" t="s">
        <v>748</v>
      </c>
      <c r="E388" s="2" t="s">
        <v>810</v>
      </c>
      <c r="F388" s="2" t="str" cm="1">
        <f t="array" ref="F388">INDEX(_xlfn.TEXTSPLIT(E388,"-"),2)</f>
        <v>男装</v>
      </c>
      <c r="G388" s="2" t="str" cm="1">
        <f t="array" ref="G388">INDEX(_xlfn.TEXTSPLIT(E388,"-"),3)</f>
        <v>大码男装</v>
      </c>
      <c r="H388" s="5">
        <v>40803</v>
      </c>
      <c r="I388" s="5">
        <v>4547411.64</v>
      </c>
      <c r="J388" s="6">
        <v>0.0049</v>
      </c>
      <c r="K388" s="6">
        <v>0.3761</v>
      </c>
    </row>
    <row r="389" ht="14.5" spans="1:11">
      <c r="A389" s="3" t="str">
        <f t="shared" si="18"/>
        <v>2026年</v>
      </c>
      <c r="B389" s="3" t="str">
        <f t="shared" si="19"/>
        <v>1月</v>
      </c>
      <c r="C389" s="4" t="str">
        <f t="shared" si="20"/>
        <v>W2</v>
      </c>
      <c r="D389" s="2" t="s">
        <v>748</v>
      </c>
      <c r="E389" s="2" t="s">
        <v>811</v>
      </c>
      <c r="F389" s="2" t="str" cm="1">
        <f t="array" ref="F389">INDEX(_xlfn.TEXTSPLIT(E389,"-"),2)</f>
        <v>男装</v>
      </c>
      <c r="G389" s="2" t="str" cm="1">
        <f t="array" ref="G389">INDEX(_xlfn.TEXTSPLIT(E389,"-"),3)</f>
        <v>夹克</v>
      </c>
      <c r="H389" s="5">
        <v>491560</v>
      </c>
      <c r="I389" s="5">
        <v>91333365.43</v>
      </c>
      <c r="J389" s="6">
        <v>0.0982</v>
      </c>
      <c r="K389" s="6">
        <v>0.0462</v>
      </c>
    </row>
    <row r="390" ht="14.5" spans="1:11">
      <c r="A390" s="3" t="str">
        <f t="shared" si="18"/>
        <v>2026年</v>
      </c>
      <c r="B390" s="3" t="str">
        <f t="shared" si="19"/>
        <v>1月</v>
      </c>
      <c r="C390" s="4" t="str">
        <f t="shared" si="20"/>
        <v>W2</v>
      </c>
      <c r="D390" s="2" t="s">
        <v>748</v>
      </c>
      <c r="E390" s="2" t="s">
        <v>812</v>
      </c>
      <c r="F390" s="2" t="str" cm="1">
        <f t="array" ref="F390">INDEX(_xlfn.TEXTSPLIT(E390,"-"),2)</f>
        <v>男装</v>
      </c>
      <c r="G390" s="2" t="str" cm="1">
        <f t="array" ref="G390">INDEX(_xlfn.TEXTSPLIT(E390,"-"),3)</f>
        <v>套装</v>
      </c>
      <c r="H390" s="5">
        <v>57857</v>
      </c>
      <c r="I390" s="5">
        <v>9420775.88</v>
      </c>
      <c r="J390" s="6">
        <v>0.0101</v>
      </c>
      <c r="K390" s="6">
        <v>0.1622</v>
      </c>
    </row>
    <row r="391" ht="14.5" spans="1:11">
      <c r="A391" s="3" t="str">
        <f t="shared" si="18"/>
        <v>2026年</v>
      </c>
      <c r="B391" s="3" t="str">
        <f t="shared" si="19"/>
        <v>1月</v>
      </c>
      <c r="C391" s="4" t="str">
        <f t="shared" si="20"/>
        <v>W2</v>
      </c>
      <c r="D391" s="2" t="s">
        <v>748</v>
      </c>
      <c r="E391" s="2" t="s">
        <v>813</v>
      </c>
      <c r="F391" s="2" t="str" cm="1">
        <f t="array" ref="F391">INDEX(_xlfn.TEXTSPLIT(E391,"-"),2)</f>
        <v>男装</v>
      </c>
      <c r="G391" s="2" t="str" cm="1">
        <f t="array" ref="G391">INDEX(_xlfn.TEXTSPLIT(E391,"-"),3)</f>
        <v>学生校服</v>
      </c>
      <c r="H391" s="5">
        <v>43</v>
      </c>
      <c r="I391" s="5">
        <v>3582.67</v>
      </c>
      <c r="J391" s="2" t="s">
        <v>713</v>
      </c>
      <c r="K391" s="6">
        <v>-0.1361</v>
      </c>
    </row>
    <row r="392" ht="14.5" spans="1:11">
      <c r="A392" s="3" t="str">
        <f t="shared" si="18"/>
        <v>2026年</v>
      </c>
      <c r="B392" s="3" t="str">
        <f t="shared" si="19"/>
        <v>1月</v>
      </c>
      <c r="C392" s="4" t="str">
        <f t="shared" si="20"/>
        <v>W2</v>
      </c>
      <c r="D392" s="2" t="s">
        <v>748</v>
      </c>
      <c r="E392" s="2" t="s">
        <v>814</v>
      </c>
      <c r="F392" s="2" t="str" cm="1">
        <f t="array" ref="F392">INDEX(_xlfn.TEXTSPLIT(E392,"-"),2)</f>
        <v>男装</v>
      </c>
      <c r="G392" s="2" t="str" cm="1">
        <f t="array" ref="G392">INDEX(_xlfn.TEXTSPLIT(E392,"-"),3)</f>
        <v>打底衫</v>
      </c>
      <c r="H392" s="5">
        <v>33241</v>
      </c>
      <c r="I392" s="5">
        <v>1699702.15</v>
      </c>
      <c r="J392" s="6">
        <v>0.0018</v>
      </c>
      <c r="K392" s="6">
        <v>-0.0599</v>
      </c>
    </row>
    <row r="393" ht="14.5" spans="1:11">
      <c r="A393" s="3" t="str">
        <f t="shared" si="18"/>
        <v>2026年</v>
      </c>
      <c r="B393" s="3" t="str">
        <f t="shared" si="19"/>
        <v>1月</v>
      </c>
      <c r="C393" s="4" t="str">
        <f t="shared" si="20"/>
        <v>W2</v>
      </c>
      <c r="D393" s="2" t="s">
        <v>748</v>
      </c>
      <c r="E393" s="2" t="s">
        <v>815</v>
      </c>
      <c r="F393" s="2" t="str" cm="1">
        <f t="array" ref="F393">INDEX(_xlfn.TEXTSPLIT(E393,"-"),2)</f>
        <v>男装</v>
      </c>
      <c r="G393" s="2" t="str" cm="1">
        <f t="array" ref="G393">INDEX(_xlfn.TEXTSPLIT(E393,"-"),3)</f>
        <v>新中式男装</v>
      </c>
      <c r="H393" s="5">
        <v>185</v>
      </c>
      <c r="I393" s="5">
        <v>23975.69</v>
      </c>
      <c r="J393" s="2" t="s">
        <v>713</v>
      </c>
      <c r="K393" s="6">
        <v>-0.6618</v>
      </c>
    </row>
    <row r="394" ht="14.5" spans="1:11">
      <c r="A394" s="3" t="str">
        <f t="shared" si="18"/>
        <v>2026年</v>
      </c>
      <c r="B394" s="3" t="str">
        <f t="shared" si="19"/>
        <v>1月</v>
      </c>
      <c r="C394" s="4" t="str">
        <f t="shared" si="20"/>
        <v>W2</v>
      </c>
      <c r="D394" s="2" t="s">
        <v>748</v>
      </c>
      <c r="E394" s="2" t="s">
        <v>816</v>
      </c>
      <c r="F394" s="2" t="str" cm="1">
        <f t="array" ref="F394">INDEX(_xlfn.TEXTSPLIT(E394,"-"),2)</f>
        <v>男装</v>
      </c>
      <c r="G394" s="2" t="str" cm="1">
        <f t="array" ref="G394">INDEX(_xlfn.TEXTSPLIT(E394,"-"),3)</f>
        <v>棉衣</v>
      </c>
      <c r="H394" s="5">
        <v>497046</v>
      </c>
      <c r="I394" s="5">
        <v>63644300.8</v>
      </c>
      <c r="J394" s="6">
        <v>0.0684</v>
      </c>
      <c r="K394" s="6">
        <v>0.0052</v>
      </c>
    </row>
    <row r="395" ht="14.5" spans="1:11">
      <c r="A395" s="3" t="str">
        <f t="shared" si="18"/>
        <v>2026年</v>
      </c>
      <c r="B395" s="3" t="str">
        <f t="shared" si="19"/>
        <v>1月</v>
      </c>
      <c r="C395" s="4" t="str">
        <f t="shared" si="20"/>
        <v>W2</v>
      </c>
      <c r="D395" s="2" t="s">
        <v>748</v>
      </c>
      <c r="E395" s="2" t="s">
        <v>817</v>
      </c>
      <c r="F395" s="2" t="str" cm="1">
        <f t="array" ref="F395">INDEX(_xlfn.TEXTSPLIT(E395,"-"),2)</f>
        <v>男装</v>
      </c>
      <c r="G395" s="2" t="str" cm="1">
        <f t="array" ref="G395">INDEX(_xlfn.TEXTSPLIT(E395,"-"),3)</f>
        <v>棉裤</v>
      </c>
      <c r="H395" s="5">
        <v>30965</v>
      </c>
      <c r="I395" s="5">
        <v>2321769.09</v>
      </c>
      <c r="J395" s="6">
        <v>0.0025</v>
      </c>
      <c r="K395" s="6">
        <v>0.1163</v>
      </c>
    </row>
    <row r="396" ht="14.5" spans="1:11">
      <c r="A396" s="3" t="str">
        <f t="shared" si="18"/>
        <v>2026年</v>
      </c>
      <c r="B396" s="3" t="str">
        <f t="shared" si="19"/>
        <v>1月</v>
      </c>
      <c r="C396" s="4" t="str">
        <f t="shared" si="20"/>
        <v>W2</v>
      </c>
      <c r="D396" s="2" t="s">
        <v>748</v>
      </c>
      <c r="E396" s="2" t="s">
        <v>818</v>
      </c>
      <c r="F396" s="2" t="str" cm="1">
        <f t="array" ref="F396">INDEX(_xlfn.TEXTSPLIT(E396,"-"),2)</f>
        <v>男装</v>
      </c>
      <c r="G396" s="2" t="str" cm="1">
        <f t="array" ref="G396">INDEX(_xlfn.TEXTSPLIT(E396,"-"),3)</f>
        <v>毛呢大衣</v>
      </c>
      <c r="H396" s="5">
        <v>45462</v>
      </c>
      <c r="I396" s="5">
        <v>21383879.16</v>
      </c>
      <c r="J396" s="6">
        <v>0.023</v>
      </c>
      <c r="K396" s="6">
        <v>0.0005</v>
      </c>
    </row>
    <row r="397" ht="14.5" spans="1:11">
      <c r="A397" s="3" t="str">
        <f t="shared" si="18"/>
        <v>2026年</v>
      </c>
      <c r="B397" s="3" t="str">
        <f t="shared" si="19"/>
        <v>1月</v>
      </c>
      <c r="C397" s="4" t="str">
        <f t="shared" si="20"/>
        <v>W2</v>
      </c>
      <c r="D397" s="2" t="s">
        <v>748</v>
      </c>
      <c r="E397" s="2" t="s">
        <v>819</v>
      </c>
      <c r="F397" s="2" t="str" cm="1">
        <f t="array" ref="F397">INDEX(_xlfn.TEXTSPLIT(E397,"-"),2)</f>
        <v>男装</v>
      </c>
      <c r="G397" s="2" t="str" cm="1">
        <f t="array" ref="G397">INDEX(_xlfn.TEXTSPLIT(E397,"-"),3)</f>
        <v>民族服装</v>
      </c>
      <c r="H397" s="5">
        <v>6561</v>
      </c>
      <c r="I397" s="5">
        <v>1597429.66</v>
      </c>
      <c r="J397" s="6">
        <v>0.0017</v>
      </c>
      <c r="K397" s="6">
        <v>0.0969</v>
      </c>
    </row>
    <row r="398" ht="14.5" spans="1:11">
      <c r="A398" s="3" t="str">
        <f t="shared" ref="A398:A461" si="21">TEXT(YEAR(D398),"0")&amp;"年"</f>
        <v>2026年</v>
      </c>
      <c r="B398" s="3" t="str">
        <f t="shared" ref="B398:B461" si="22">TEXT(MONTH(D398),"0")&amp;"月"</f>
        <v>1月</v>
      </c>
      <c r="C398" s="4" t="str">
        <f t="shared" ref="C398:C461" si="23">"W"&amp;TEXT(WEEKNUM(D398,2),"0")</f>
        <v>W2</v>
      </c>
      <c r="D398" s="2" t="s">
        <v>748</v>
      </c>
      <c r="E398" s="2" t="s">
        <v>820</v>
      </c>
      <c r="F398" s="2" t="str" cm="1">
        <f t="array" ref="F398">INDEX(_xlfn.TEXTSPLIT(E398,"-"),2)</f>
        <v>男装</v>
      </c>
      <c r="G398" s="2" t="str" cm="1">
        <f t="array" ref="G398">INDEX(_xlfn.TEXTSPLIT(E398,"-"),3)</f>
        <v>派克服</v>
      </c>
      <c r="H398" s="5">
        <v>15584</v>
      </c>
      <c r="I398" s="5">
        <v>3162638.61</v>
      </c>
      <c r="J398" s="6">
        <v>0.0034</v>
      </c>
      <c r="K398" s="6">
        <v>0.1271</v>
      </c>
    </row>
    <row r="399" ht="14.5" spans="1:11">
      <c r="A399" s="3" t="str">
        <f t="shared" si="21"/>
        <v>2026年</v>
      </c>
      <c r="B399" s="3" t="str">
        <f t="shared" si="22"/>
        <v>1月</v>
      </c>
      <c r="C399" s="4" t="str">
        <f t="shared" si="23"/>
        <v>W2</v>
      </c>
      <c r="D399" s="2" t="s">
        <v>748</v>
      </c>
      <c r="E399" s="2" t="s">
        <v>821</v>
      </c>
      <c r="F399" s="2" t="str" cm="1">
        <f t="array" ref="F399">INDEX(_xlfn.TEXTSPLIT(E399,"-"),2)</f>
        <v>男装</v>
      </c>
      <c r="G399" s="2" t="str" cm="1">
        <f t="array" ref="G399">INDEX(_xlfn.TEXTSPLIT(E399,"-"),3)</f>
        <v>牛仔裤</v>
      </c>
      <c r="H399" s="5">
        <v>613889</v>
      </c>
      <c r="I399" s="5">
        <v>70833032.07</v>
      </c>
      <c r="J399" s="6">
        <v>0.0762</v>
      </c>
      <c r="K399" s="6">
        <v>0.0765</v>
      </c>
    </row>
    <row r="400" ht="14.5" spans="1:11">
      <c r="A400" s="3" t="str">
        <f t="shared" si="21"/>
        <v>2026年</v>
      </c>
      <c r="B400" s="3" t="str">
        <f t="shared" si="22"/>
        <v>1月</v>
      </c>
      <c r="C400" s="4" t="str">
        <f t="shared" si="23"/>
        <v>W2</v>
      </c>
      <c r="D400" s="2" t="s">
        <v>748</v>
      </c>
      <c r="E400" s="2" t="s">
        <v>822</v>
      </c>
      <c r="F400" s="2" t="str" cm="1">
        <f t="array" ref="F400">INDEX(_xlfn.TEXTSPLIT(E400,"-"),2)</f>
        <v>男装</v>
      </c>
      <c r="G400" s="2" t="str" cm="1">
        <f t="array" ref="G400">INDEX(_xlfn.TEXTSPLIT(E400,"-"),3)</f>
        <v>皮草</v>
      </c>
      <c r="H400" s="5">
        <v>5756</v>
      </c>
      <c r="I400" s="5">
        <v>7953892.47</v>
      </c>
      <c r="J400" s="6">
        <v>0.0086</v>
      </c>
      <c r="K400" s="6">
        <v>-0.1408</v>
      </c>
    </row>
    <row r="401" ht="14.5" spans="1:11">
      <c r="A401" s="3" t="str">
        <f t="shared" si="21"/>
        <v>2026年</v>
      </c>
      <c r="B401" s="3" t="str">
        <f t="shared" si="22"/>
        <v>1月</v>
      </c>
      <c r="C401" s="4" t="str">
        <f t="shared" si="23"/>
        <v>W2</v>
      </c>
      <c r="D401" s="2" t="s">
        <v>748</v>
      </c>
      <c r="E401" s="2" t="s">
        <v>823</v>
      </c>
      <c r="F401" s="2" t="str" cm="1">
        <f t="array" ref="F401">INDEX(_xlfn.TEXTSPLIT(E401,"-"),2)</f>
        <v>男装</v>
      </c>
      <c r="G401" s="2" t="str" cm="1">
        <f t="array" ref="G401">INDEX(_xlfn.TEXTSPLIT(E401,"-"),3)</f>
        <v>皮衣</v>
      </c>
      <c r="H401" s="5">
        <v>61462</v>
      </c>
      <c r="I401" s="5">
        <v>27801026.1</v>
      </c>
      <c r="J401" s="6">
        <v>0.0299</v>
      </c>
      <c r="K401" s="6">
        <v>-0.0864</v>
      </c>
    </row>
    <row r="402" ht="14.5" spans="1:11">
      <c r="A402" s="3" t="str">
        <f t="shared" si="21"/>
        <v>2026年</v>
      </c>
      <c r="B402" s="3" t="str">
        <f t="shared" si="22"/>
        <v>1月</v>
      </c>
      <c r="C402" s="4" t="str">
        <f t="shared" si="23"/>
        <v>W2</v>
      </c>
      <c r="D402" s="2" t="s">
        <v>748</v>
      </c>
      <c r="E402" s="2" t="s">
        <v>824</v>
      </c>
      <c r="F402" s="2" t="str" cm="1">
        <f t="array" ref="F402">INDEX(_xlfn.TEXTSPLIT(E402,"-"),2)</f>
        <v>男装</v>
      </c>
      <c r="G402" s="2" t="str" cm="1">
        <f t="array" ref="G402">INDEX(_xlfn.TEXTSPLIT(E402,"-"),3)</f>
        <v>皮裤</v>
      </c>
      <c r="H402" s="5">
        <v>2977</v>
      </c>
      <c r="I402" s="5">
        <v>418252.12</v>
      </c>
      <c r="J402" s="6">
        <v>0.0004</v>
      </c>
      <c r="K402" s="6">
        <v>-0.1576</v>
      </c>
    </row>
    <row r="403" ht="14.5" spans="1:11">
      <c r="A403" s="3" t="str">
        <f t="shared" si="21"/>
        <v>2026年</v>
      </c>
      <c r="B403" s="3" t="str">
        <f t="shared" si="22"/>
        <v>1月</v>
      </c>
      <c r="C403" s="4" t="str">
        <f t="shared" si="23"/>
        <v>W2</v>
      </c>
      <c r="D403" s="2" t="s">
        <v>748</v>
      </c>
      <c r="E403" s="2" t="s">
        <v>825</v>
      </c>
      <c r="F403" s="2" t="str" cm="1">
        <f t="array" ref="F403">INDEX(_xlfn.TEXTSPLIT(E403,"-"),2)</f>
        <v>男装</v>
      </c>
      <c r="G403" s="2" t="str" cm="1">
        <f t="array" ref="G403">INDEX(_xlfn.TEXTSPLIT(E403,"-"),3)</f>
        <v>短外套</v>
      </c>
      <c r="H403" s="5">
        <v>50381</v>
      </c>
      <c r="I403" s="5">
        <v>5014790.38</v>
      </c>
      <c r="J403" s="6">
        <v>0.0054</v>
      </c>
      <c r="K403" s="6">
        <v>0.016</v>
      </c>
    </row>
    <row r="404" ht="14.5" spans="1:11">
      <c r="A404" s="3" t="str">
        <f t="shared" si="21"/>
        <v>2026年</v>
      </c>
      <c r="B404" s="3" t="str">
        <f t="shared" si="22"/>
        <v>1月</v>
      </c>
      <c r="C404" s="4" t="str">
        <f t="shared" si="23"/>
        <v>W2</v>
      </c>
      <c r="D404" s="2" t="s">
        <v>748</v>
      </c>
      <c r="E404" s="2" t="s">
        <v>826</v>
      </c>
      <c r="F404" s="2" t="str" cm="1">
        <f t="array" ref="F404">INDEX(_xlfn.TEXTSPLIT(E404,"-"),2)</f>
        <v>男装</v>
      </c>
      <c r="G404" s="2" t="str" cm="1">
        <f t="array" ref="G404">INDEX(_xlfn.TEXTSPLIT(E404,"-"),3)</f>
        <v>短裤</v>
      </c>
      <c r="H404" s="5">
        <v>51554</v>
      </c>
      <c r="I404" s="5">
        <v>1667388.24</v>
      </c>
      <c r="J404" s="6">
        <v>0.0018</v>
      </c>
      <c r="K404" s="6">
        <v>0.1148</v>
      </c>
    </row>
    <row r="405" ht="14.5" spans="1:11">
      <c r="A405" s="3" t="str">
        <f t="shared" si="21"/>
        <v>2026年</v>
      </c>
      <c r="B405" s="3" t="str">
        <f t="shared" si="22"/>
        <v>1月</v>
      </c>
      <c r="C405" s="4" t="str">
        <f t="shared" si="23"/>
        <v>W2</v>
      </c>
      <c r="D405" s="2" t="s">
        <v>748</v>
      </c>
      <c r="E405" s="2" t="s">
        <v>827</v>
      </c>
      <c r="F405" s="2" t="str" cm="1">
        <f t="array" ref="F405">INDEX(_xlfn.TEXTSPLIT(E405,"-"),2)</f>
        <v>男装</v>
      </c>
      <c r="G405" s="2" t="str" cm="1">
        <f t="array" ref="G405">INDEX(_xlfn.TEXTSPLIT(E405,"-"),3)</f>
        <v>紧身衣</v>
      </c>
      <c r="H405" s="5">
        <v>236</v>
      </c>
      <c r="I405" s="5">
        <v>9998.2</v>
      </c>
      <c r="J405" s="2" t="s">
        <v>713</v>
      </c>
      <c r="K405" s="6">
        <v>0.6887</v>
      </c>
    </row>
    <row r="406" ht="14.5" spans="1:11">
      <c r="A406" s="3" t="str">
        <f t="shared" si="21"/>
        <v>2026年</v>
      </c>
      <c r="B406" s="3" t="str">
        <f t="shared" si="22"/>
        <v>1月</v>
      </c>
      <c r="C406" s="4" t="str">
        <f t="shared" si="23"/>
        <v>W2</v>
      </c>
      <c r="D406" s="2" t="s">
        <v>748</v>
      </c>
      <c r="E406" s="2" t="s">
        <v>828</v>
      </c>
      <c r="F406" s="2" t="str" cm="1">
        <f t="array" ref="F406">INDEX(_xlfn.TEXTSPLIT(E406,"-"),2)</f>
        <v>男装</v>
      </c>
      <c r="G406" s="2" t="str" cm="1">
        <f t="array" ref="G406">INDEX(_xlfn.TEXTSPLIT(E406,"-"),3)</f>
        <v>羊毛衫</v>
      </c>
      <c r="H406" s="5">
        <v>130223</v>
      </c>
      <c r="I406" s="5">
        <v>19922764.79</v>
      </c>
      <c r="J406" s="6">
        <v>0.0214</v>
      </c>
      <c r="K406" s="6">
        <v>0.0542</v>
      </c>
    </row>
    <row r="407" ht="14.5" spans="1:11">
      <c r="A407" s="3" t="str">
        <f t="shared" si="21"/>
        <v>2026年</v>
      </c>
      <c r="B407" s="3" t="str">
        <f t="shared" si="22"/>
        <v>1月</v>
      </c>
      <c r="C407" s="4" t="str">
        <f t="shared" si="23"/>
        <v>W2</v>
      </c>
      <c r="D407" s="2" t="s">
        <v>748</v>
      </c>
      <c r="E407" s="2" t="s">
        <v>829</v>
      </c>
      <c r="F407" s="2" t="str" cm="1">
        <f t="array" ref="F407">INDEX(_xlfn.TEXTSPLIT(E407,"-"),2)</f>
        <v>男装</v>
      </c>
      <c r="G407" s="2" t="str" cm="1">
        <f t="array" ref="G407">INDEX(_xlfn.TEXTSPLIT(E407,"-"),3)</f>
        <v>羊绒衫</v>
      </c>
      <c r="H407" s="5">
        <v>30113</v>
      </c>
      <c r="I407" s="5">
        <v>8721557.57</v>
      </c>
      <c r="J407" s="6">
        <v>0.0094</v>
      </c>
      <c r="K407" s="6">
        <v>0.0556</v>
      </c>
    </row>
    <row r="408" ht="14.5" spans="1:11">
      <c r="A408" s="3" t="str">
        <f t="shared" si="21"/>
        <v>2026年</v>
      </c>
      <c r="B408" s="3" t="str">
        <f t="shared" si="22"/>
        <v>1月</v>
      </c>
      <c r="C408" s="4" t="str">
        <f t="shared" si="23"/>
        <v>W2</v>
      </c>
      <c r="D408" s="2" t="s">
        <v>748</v>
      </c>
      <c r="E408" s="2" t="s">
        <v>830</v>
      </c>
      <c r="F408" s="2" t="str" cm="1">
        <f t="array" ref="F408">INDEX(_xlfn.TEXTSPLIT(E408,"-"),2)</f>
        <v>男装</v>
      </c>
      <c r="G408" s="2" t="str" cm="1">
        <f t="array" ref="G408">INDEX(_xlfn.TEXTSPLIT(E408,"-"),3)</f>
        <v>羽绒服</v>
      </c>
      <c r="H408" s="5">
        <v>685686</v>
      </c>
      <c r="I408" s="5">
        <v>250829930.87</v>
      </c>
      <c r="J408" s="6">
        <v>0.2697</v>
      </c>
      <c r="K408" s="6">
        <v>0.0283</v>
      </c>
    </row>
    <row r="409" ht="14.5" spans="1:11">
      <c r="A409" s="3" t="str">
        <f t="shared" si="21"/>
        <v>2026年</v>
      </c>
      <c r="B409" s="3" t="str">
        <f t="shared" si="22"/>
        <v>1月</v>
      </c>
      <c r="C409" s="4" t="str">
        <f t="shared" si="23"/>
        <v>W2</v>
      </c>
      <c r="D409" s="2" t="s">
        <v>748</v>
      </c>
      <c r="E409" s="2" t="s">
        <v>831</v>
      </c>
      <c r="F409" s="2" t="str" cm="1">
        <f t="array" ref="F409">INDEX(_xlfn.TEXTSPLIT(E409,"-"),2)</f>
        <v>男装</v>
      </c>
      <c r="G409" s="2" t="str" cm="1">
        <f t="array" ref="G409">INDEX(_xlfn.TEXTSPLIT(E409,"-"),3)</f>
        <v>羽绒裤</v>
      </c>
      <c r="H409" s="5">
        <v>20599</v>
      </c>
      <c r="I409" s="5">
        <v>2984267.63</v>
      </c>
      <c r="J409" s="6">
        <v>0.0032</v>
      </c>
      <c r="K409" s="6">
        <v>0.2903</v>
      </c>
    </row>
    <row r="410" ht="14.5" spans="1:11">
      <c r="A410" s="3" t="str">
        <f t="shared" si="21"/>
        <v>2026年</v>
      </c>
      <c r="B410" s="3" t="str">
        <f t="shared" si="22"/>
        <v>1月</v>
      </c>
      <c r="C410" s="4" t="str">
        <f t="shared" si="23"/>
        <v>W2</v>
      </c>
      <c r="D410" s="2" t="s">
        <v>748</v>
      </c>
      <c r="E410" s="2" t="s">
        <v>832</v>
      </c>
      <c r="F410" s="2" t="str" cm="1">
        <f t="array" ref="F410">INDEX(_xlfn.TEXTSPLIT(E410,"-"),2)</f>
        <v>男装</v>
      </c>
      <c r="G410" s="2" t="str" cm="1">
        <f t="array" ref="G410">INDEX(_xlfn.TEXTSPLIT(E410,"-"),3)</f>
        <v>羽绒马甲</v>
      </c>
      <c r="H410" s="5">
        <v>14862</v>
      </c>
      <c r="I410" s="5">
        <v>3027921.99</v>
      </c>
      <c r="J410" s="6">
        <v>0.0033</v>
      </c>
      <c r="K410" s="7">
        <v>-0.07</v>
      </c>
    </row>
    <row r="411" ht="14.5" spans="1:11">
      <c r="A411" s="3" t="str">
        <f t="shared" si="21"/>
        <v>2026年</v>
      </c>
      <c r="B411" s="3" t="str">
        <f t="shared" si="22"/>
        <v>1月</v>
      </c>
      <c r="C411" s="4" t="str">
        <f t="shared" si="23"/>
        <v>W2</v>
      </c>
      <c r="D411" s="2" t="s">
        <v>748</v>
      </c>
      <c r="E411" s="2" t="s">
        <v>833</v>
      </c>
      <c r="F411" s="2" t="str" cm="1">
        <f t="array" ref="F411">INDEX(_xlfn.TEXTSPLIT(E411,"-"),2)</f>
        <v>男装</v>
      </c>
      <c r="G411" s="2" t="str" cm="1">
        <f t="array" ref="G411">INDEX(_xlfn.TEXTSPLIT(E411,"-"),3)</f>
        <v>背心</v>
      </c>
      <c r="H411" s="5">
        <v>64332</v>
      </c>
      <c r="I411" s="5">
        <v>3679333.12</v>
      </c>
      <c r="J411" s="6">
        <v>0.004</v>
      </c>
      <c r="K411" s="6">
        <v>0.501</v>
      </c>
    </row>
    <row r="412" ht="14.5" spans="1:11">
      <c r="A412" s="3" t="str">
        <f t="shared" si="21"/>
        <v>2026年</v>
      </c>
      <c r="B412" s="3" t="str">
        <f t="shared" si="22"/>
        <v>1月</v>
      </c>
      <c r="C412" s="4" t="str">
        <f t="shared" si="23"/>
        <v>W2</v>
      </c>
      <c r="D412" s="2" t="s">
        <v>748</v>
      </c>
      <c r="E412" s="2" t="s">
        <v>834</v>
      </c>
      <c r="F412" s="2" t="str" cm="1">
        <f t="array" ref="F412">INDEX(_xlfn.TEXTSPLIT(E412,"-"),2)</f>
        <v>男装</v>
      </c>
      <c r="G412" s="2" t="str" cm="1">
        <f t="array" ref="G412">INDEX(_xlfn.TEXTSPLIT(E412,"-"),3)</f>
        <v>衬衫</v>
      </c>
      <c r="H412" s="5">
        <v>86990</v>
      </c>
      <c r="I412" s="5">
        <v>11575527.79</v>
      </c>
      <c r="J412" s="6">
        <v>0.0124</v>
      </c>
      <c r="K412" s="6">
        <v>-0.007</v>
      </c>
    </row>
    <row r="413" ht="14.5" spans="1:11">
      <c r="A413" s="3" t="str">
        <f t="shared" si="21"/>
        <v>2026年</v>
      </c>
      <c r="B413" s="3" t="str">
        <f t="shared" si="22"/>
        <v>1月</v>
      </c>
      <c r="C413" s="4" t="str">
        <f t="shared" si="23"/>
        <v>W2</v>
      </c>
      <c r="D413" s="2" t="s">
        <v>748</v>
      </c>
      <c r="E413" s="2" t="s">
        <v>835</v>
      </c>
      <c r="F413" s="2" t="str" cm="1">
        <f t="array" ref="F413">INDEX(_xlfn.TEXTSPLIT(E413,"-"),2)</f>
        <v>男装</v>
      </c>
      <c r="G413" s="2" t="str" cm="1">
        <f t="array" ref="G413">INDEX(_xlfn.TEXTSPLIT(E413,"-"),3)</f>
        <v>西服</v>
      </c>
      <c r="H413" s="5">
        <v>86522</v>
      </c>
      <c r="I413" s="5">
        <v>17860134.21</v>
      </c>
      <c r="J413" s="6">
        <v>0.0192</v>
      </c>
      <c r="K413" s="6">
        <v>0.0334</v>
      </c>
    </row>
    <row r="414" ht="14.5" spans="1:11">
      <c r="A414" s="3" t="str">
        <f t="shared" si="21"/>
        <v>2026年</v>
      </c>
      <c r="B414" s="3" t="str">
        <f t="shared" si="22"/>
        <v>1月</v>
      </c>
      <c r="C414" s="4" t="str">
        <f t="shared" si="23"/>
        <v>W2</v>
      </c>
      <c r="D414" s="2" t="s">
        <v>748</v>
      </c>
      <c r="E414" s="2" t="s">
        <v>836</v>
      </c>
      <c r="F414" s="2" t="str" cm="1">
        <f t="array" ref="F414">INDEX(_xlfn.TEXTSPLIT(E414,"-"),2)</f>
        <v>男装</v>
      </c>
      <c r="G414" s="2" t="str" cm="1">
        <f t="array" ref="G414">INDEX(_xlfn.TEXTSPLIT(E414,"-"),3)</f>
        <v>连体衣/裤</v>
      </c>
      <c r="H414" s="5">
        <v>1242</v>
      </c>
      <c r="I414" s="5">
        <v>44843.78</v>
      </c>
      <c r="J414" s="2" t="s">
        <v>713</v>
      </c>
      <c r="K414" s="7">
        <v>0.55</v>
      </c>
    </row>
    <row r="415" ht="14.5" spans="1:11">
      <c r="A415" s="3" t="str">
        <f t="shared" si="21"/>
        <v>2026年</v>
      </c>
      <c r="B415" s="3" t="str">
        <f t="shared" si="22"/>
        <v>1月</v>
      </c>
      <c r="C415" s="4" t="str">
        <f t="shared" si="23"/>
        <v>W2</v>
      </c>
      <c r="D415" s="2" t="s">
        <v>748</v>
      </c>
      <c r="E415" s="2" t="s">
        <v>837</v>
      </c>
      <c r="F415" s="2" t="str" cm="1">
        <f t="array" ref="F415">INDEX(_xlfn.TEXTSPLIT(E415,"-"),2)</f>
        <v>男装</v>
      </c>
      <c r="G415" s="2" t="str" cm="1">
        <f t="array" ref="G415">INDEX(_xlfn.TEXTSPLIT(E415,"-"),3)</f>
        <v>速干/三防T恤</v>
      </c>
      <c r="H415" s="5">
        <v>228</v>
      </c>
      <c r="I415" s="5">
        <v>28272.63</v>
      </c>
      <c r="J415" s="2" t="s">
        <v>713</v>
      </c>
      <c r="K415" s="6">
        <v>-0.4241</v>
      </c>
    </row>
    <row r="416" ht="14.5" spans="1:11">
      <c r="A416" s="3" t="str">
        <f t="shared" si="21"/>
        <v>2026年</v>
      </c>
      <c r="B416" s="3" t="str">
        <f t="shared" si="22"/>
        <v>1月</v>
      </c>
      <c r="C416" s="4" t="str">
        <f t="shared" si="23"/>
        <v>W2</v>
      </c>
      <c r="D416" s="2" t="s">
        <v>748</v>
      </c>
      <c r="E416" s="2" t="s">
        <v>838</v>
      </c>
      <c r="F416" s="2" t="str" cm="1">
        <f t="array" ref="F416">INDEX(_xlfn.TEXTSPLIT(E416,"-"),2)</f>
        <v>男装</v>
      </c>
      <c r="G416" s="2" t="str" cm="1">
        <f t="array" ref="G416">INDEX(_xlfn.TEXTSPLIT(E416,"-"),3)</f>
        <v>针织衫/毛衣</v>
      </c>
      <c r="H416" s="5">
        <v>394113</v>
      </c>
      <c r="I416" s="5">
        <v>48664783.84</v>
      </c>
      <c r="J416" s="6">
        <v>0.0523</v>
      </c>
      <c r="K416" s="6">
        <v>0.0212</v>
      </c>
    </row>
    <row r="417" ht="14.5" spans="1:11">
      <c r="A417" s="3" t="str">
        <f t="shared" si="21"/>
        <v>2026年</v>
      </c>
      <c r="B417" s="3" t="str">
        <f t="shared" si="22"/>
        <v>1月</v>
      </c>
      <c r="C417" s="4" t="str">
        <f t="shared" si="23"/>
        <v>W2</v>
      </c>
      <c r="D417" s="2" t="s">
        <v>748</v>
      </c>
      <c r="E417" s="2" t="s">
        <v>839</v>
      </c>
      <c r="F417" s="2" t="str" cm="1">
        <f t="array" ref="F417">INDEX(_xlfn.TEXTSPLIT(E417,"-"),2)</f>
        <v>男装</v>
      </c>
      <c r="G417" s="2" t="str" cm="1">
        <f t="array" ref="G417">INDEX(_xlfn.TEXTSPLIT(E417,"-"),3)</f>
        <v>防晒服</v>
      </c>
      <c r="H417" s="5">
        <v>180</v>
      </c>
      <c r="I417" s="5">
        <v>30119.16</v>
      </c>
      <c r="J417" s="2" t="s">
        <v>713</v>
      </c>
      <c r="K417" s="6">
        <v>0.0749</v>
      </c>
    </row>
    <row r="418" ht="14.5" spans="1:11">
      <c r="A418" s="3" t="str">
        <f t="shared" si="21"/>
        <v>2026年</v>
      </c>
      <c r="B418" s="3" t="str">
        <f t="shared" si="22"/>
        <v>1月</v>
      </c>
      <c r="C418" s="4" t="str">
        <f t="shared" si="23"/>
        <v>W2</v>
      </c>
      <c r="D418" s="2" t="s">
        <v>748</v>
      </c>
      <c r="E418" s="2" t="s">
        <v>840</v>
      </c>
      <c r="F418" s="2" t="str" cm="1">
        <f t="array" ref="F418">INDEX(_xlfn.TEXTSPLIT(E418,"-"),2)</f>
        <v>男装</v>
      </c>
      <c r="G418" s="2" t="str" cm="1">
        <f t="array" ref="G418">INDEX(_xlfn.TEXTSPLIT(E418,"-"),3)</f>
        <v>风衣</v>
      </c>
      <c r="H418" s="5">
        <v>14378</v>
      </c>
      <c r="I418" s="5">
        <v>2893116.04</v>
      </c>
      <c r="J418" s="6">
        <v>0.0031</v>
      </c>
      <c r="K418" s="6">
        <v>0.4059</v>
      </c>
    </row>
    <row r="419" ht="14.5" spans="1:11">
      <c r="A419" s="3" t="str">
        <f t="shared" si="21"/>
        <v>2026年</v>
      </c>
      <c r="B419" s="3" t="str">
        <f t="shared" si="22"/>
        <v>1月</v>
      </c>
      <c r="C419" s="4" t="str">
        <f t="shared" si="23"/>
        <v>W2</v>
      </c>
      <c r="D419" s="2" t="s">
        <v>748</v>
      </c>
      <c r="E419" s="2" t="s">
        <v>841</v>
      </c>
      <c r="F419" s="2" t="str" cm="1">
        <f t="array" ref="F419">INDEX(_xlfn.TEXTSPLIT(E419,"-"),2)</f>
        <v>男装</v>
      </c>
      <c r="G419" s="2" t="str" cm="1">
        <f t="array" ref="G419">INDEX(_xlfn.TEXTSPLIT(E419,"-"),3)</f>
        <v>马甲</v>
      </c>
      <c r="H419" s="5">
        <v>74127</v>
      </c>
      <c r="I419" s="5">
        <v>6114480.38</v>
      </c>
      <c r="J419" s="6">
        <v>0.0066</v>
      </c>
      <c r="K419" s="6">
        <v>-0.1039</v>
      </c>
    </row>
    <row r="420" ht="14.5" spans="1:11">
      <c r="A420" s="3" t="str">
        <f t="shared" si="21"/>
        <v>2026年</v>
      </c>
      <c r="B420" s="3" t="str">
        <f t="shared" si="22"/>
        <v>1月</v>
      </c>
      <c r="C420" s="4" t="str">
        <f t="shared" si="23"/>
        <v>W3</v>
      </c>
      <c r="D420" s="2" t="s">
        <v>749</v>
      </c>
      <c r="E420" s="2" t="s">
        <v>804</v>
      </c>
      <c r="F420" s="2" t="str" cm="1">
        <f t="array" ref="F420">INDEX(_xlfn.TEXTSPLIT(E420,"-"),2)</f>
        <v>男装</v>
      </c>
      <c r="G420" s="2" t="str" cm="1">
        <f t="array" ref="G420">INDEX(_xlfn.TEXTSPLIT(E420,"-"),3)</f>
        <v>Polo衫</v>
      </c>
      <c r="H420" s="5">
        <v>52482</v>
      </c>
      <c r="I420" s="5">
        <v>4790299.81</v>
      </c>
      <c r="J420" s="6">
        <v>0.0055</v>
      </c>
      <c r="K420" s="6">
        <v>0.0288</v>
      </c>
    </row>
    <row r="421" ht="14.5" spans="1:11">
      <c r="A421" s="3" t="str">
        <f t="shared" si="21"/>
        <v>2026年</v>
      </c>
      <c r="B421" s="3" t="str">
        <f t="shared" si="22"/>
        <v>1月</v>
      </c>
      <c r="C421" s="4" t="str">
        <f t="shared" si="23"/>
        <v>W3</v>
      </c>
      <c r="D421" s="2" t="s">
        <v>749</v>
      </c>
      <c r="E421" s="2" t="s">
        <v>805</v>
      </c>
      <c r="F421" s="2" t="str" cm="1">
        <f t="array" ref="F421">INDEX(_xlfn.TEXTSPLIT(E421,"-"),2)</f>
        <v>男装</v>
      </c>
      <c r="G421" s="2" t="str" cm="1">
        <f t="array" ref="G421">INDEX(_xlfn.TEXTSPLIT(E421,"-"),3)</f>
        <v>T恤</v>
      </c>
      <c r="H421" s="5">
        <v>373350</v>
      </c>
      <c r="I421" s="5">
        <v>33333661.59</v>
      </c>
      <c r="J421" s="6">
        <v>0.0386</v>
      </c>
      <c r="K421" s="6">
        <v>0.0161</v>
      </c>
    </row>
    <row r="422" ht="14.5" spans="1:11">
      <c r="A422" s="3" t="str">
        <f t="shared" si="21"/>
        <v>2026年</v>
      </c>
      <c r="B422" s="3" t="str">
        <f t="shared" si="22"/>
        <v>1月</v>
      </c>
      <c r="C422" s="4" t="str">
        <f t="shared" si="23"/>
        <v>W3</v>
      </c>
      <c r="D422" s="2" t="s">
        <v>749</v>
      </c>
      <c r="E422" s="2" t="s">
        <v>806</v>
      </c>
      <c r="F422" s="2" t="str" cm="1">
        <f t="array" ref="F422">INDEX(_xlfn.TEXTSPLIT(E422,"-"),2)</f>
        <v>男装</v>
      </c>
      <c r="G422" s="2" t="str" cm="1">
        <f t="array" ref="G422">INDEX(_xlfn.TEXTSPLIT(E422,"-"),3)</f>
        <v>中老年男装</v>
      </c>
      <c r="H422" s="5">
        <v>111305</v>
      </c>
      <c r="I422" s="5">
        <v>14834663.35</v>
      </c>
      <c r="J422" s="6">
        <v>0.0172</v>
      </c>
      <c r="K422" s="6">
        <v>-0.1106</v>
      </c>
    </row>
    <row r="423" ht="14.5" spans="1:11">
      <c r="A423" s="3" t="str">
        <f t="shared" si="21"/>
        <v>2026年</v>
      </c>
      <c r="B423" s="3" t="str">
        <f t="shared" si="22"/>
        <v>1月</v>
      </c>
      <c r="C423" s="4" t="str">
        <f t="shared" si="23"/>
        <v>W3</v>
      </c>
      <c r="D423" s="2" t="s">
        <v>749</v>
      </c>
      <c r="E423" s="2" t="s">
        <v>807</v>
      </c>
      <c r="F423" s="2" t="str" cm="1">
        <f t="array" ref="F423">INDEX(_xlfn.TEXTSPLIT(E423,"-"),2)</f>
        <v>男装</v>
      </c>
      <c r="G423" s="2" t="str" cm="1">
        <f t="array" ref="G423">INDEX(_xlfn.TEXTSPLIT(E423,"-"),3)</f>
        <v>休闲裤</v>
      </c>
      <c r="H423" s="5">
        <v>932804</v>
      </c>
      <c r="I423" s="5">
        <v>99200901.1</v>
      </c>
      <c r="J423" s="6">
        <v>0.1149</v>
      </c>
      <c r="K423" s="6">
        <v>-0.101</v>
      </c>
    </row>
    <row r="424" ht="14.5" spans="1:11">
      <c r="A424" s="3" t="str">
        <f t="shared" si="21"/>
        <v>2026年</v>
      </c>
      <c r="B424" s="3" t="str">
        <f t="shared" si="22"/>
        <v>1月</v>
      </c>
      <c r="C424" s="4" t="str">
        <f t="shared" si="23"/>
        <v>W3</v>
      </c>
      <c r="D424" s="2" t="s">
        <v>749</v>
      </c>
      <c r="E424" s="2" t="s">
        <v>808</v>
      </c>
      <c r="F424" s="2" t="str" cm="1">
        <f t="array" ref="F424">INDEX(_xlfn.TEXTSPLIT(E424,"-"),2)</f>
        <v>男装</v>
      </c>
      <c r="G424" s="2" t="str" cm="1">
        <f t="array" ref="G424">INDEX(_xlfn.TEXTSPLIT(E424,"-"),3)</f>
        <v>卫衣</v>
      </c>
      <c r="H424" s="5">
        <v>599888</v>
      </c>
      <c r="I424" s="5">
        <v>50255240.1</v>
      </c>
      <c r="J424" s="6">
        <v>0.0582</v>
      </c>
      <c r="K424" s="6">
        <v>-0.096</v>
      </c>
    </row>
    <row r="425" ht="14.5" spans="1:11">
      <c r="A425" s="3" t="str">
        <f t="shared" si="21"/>
        <v>2026年</v>
      </c>
      <c r="B425" s="3" t="str">
        <f t="shared" si="22"/>
        <v>1月</v>
      </c>
      <c r="C425" s="4" t="str">
        <f t="shared" si="23"/>
        <v>W3</v>
      </c>
      <c r="D425" s="2" t="s">
        <v>749</v>
      </c>
      <c r="E425" s="2" t="s">
        <v>809</v>
      </c>
      <c r="F425" s="2" t="str" cm="1">
        <f t="array" ref="F425">INDEX(_xlfn.TEXTSPLIT(E425,"-"),2)</f>
        <v>男装</v>
      </c>
      <c r="G425" s="2" t="str" cm="1">
        <f t="array" ref="G425">INDEX(_xlfn.TEXTSPLIT(E425,"-"),3)</f>
        <v>卫裤</v>
      </c>
      <c r="H425" s="5">
        <v>188815</v>
      </c>
      <c r="I425" s="5">
        <v>19041477.89</v>
      </c>
      <c r="J425" s="6">
        <v>0.022</v>
      </c>
      <c r="K425" s="6">
        <v>-0.0754</v>
      </c>
    </row>
    <row r="426" ht="14.5" spans="1:11">
      <c r="A426" s="3" t="str">
        <f t="shared" si="21"/>
        <v>2026年</v>
      </c>
      <c r="B426" s="3" t="str">
        <f t="shared" si="22"/>
        <v>1月</v>
      </c>
      <c r="C426" s="4" t="str">
        <f t="shared" si="23"/>
        <v>W3</v>
      </c>
      <c r="D426" s="2" t="s">
        <v>749</v>
      </c>
      <c r="E426" s="2" t="s">
        <v>810</v>
      </c>
      <c r="F426" s="2" t="str" cm="1">
        <f t="array" ref="F426">INDEX(_xlfn.TEXTSPLIT(E426,"-"),2)</f>
        <v>男装</v>
      </c>
      <c r="G426" s="2" t="str" cm="1">
        <f t="array" ref="G426">INDEX(_xlfn.TEXTSPLIT(E426,"-"),3)</f>
        <v>大码男装</v>
      </c>
      <c r="H426" s="5">
        <v>37833</v>
      </c>
      <c r="I426" s="5">
        <v>3489269.02</v>
      </c>
      <c r="J426" s="6">
        <v>0.004</v>
      </c>
      <c r="K426" s="6">
        <v>-0.2327</v>
      </c>
    </row>
    <row r="427" ht="14.5" spans="1:11">
      <c r="A427" s="3" t="str">
        <f t="shared" si="21"/>
        <v>2026年</v>
      </c>
      <c r="B427" s="3" t="str">
        <f t="shared" si="22"/>
        <v>1月</v>
      </c>
      <c r="C427" s="4" t="str">
        <f t="shared" si="23"/>
        <v>W3</v>
      </c>
      <c r="D427" s="2" t="s">
        <v>749</v>
      </c>
      <c r="E427" s="2" t="s">
        <v>811</v>
      </c>
      <c r="F427" s="2" t="str" cm="1">
        <f t="array" ref="F427">INDEX(_xlfn.TEXTSPLIT(E427,"-"),2)</f>
        <v>男装</v>
      </c>
      <c r="G427" s="2" t="str" cm="1">
        <f t="array" ref="G427">INDEX(_xlfn.TEXTSPLIT(E427,"-"),3)</f>
        <v>夹克</v>
      </c>
      <c r="H427" s="5">
        <v>446889</v>
      </c>
      <c r="I427" s="5">
        <v>79390133.53</v>
      </c>
      <c r="J427" s="6">
        <v>0.0919</v>
      </c>
      <c r="K427" s="6">
        <v>-0.1308</v>
      </c>
    </row>
    <row r="428" ht="14.5" spans="1:11">
      <c r="A428" s="3" t="str">
        <f t="shared" si="21"/>
        <v>2026年</v>
      </c>
      <c r="B428" s="3" t="str">
        <f t="shared" si="22"/>
        <v>1月</v>
      </c>
      <c r="C428" s="4" t="str">
        <f t="shared" si="23"/>
        <v>W3</v>
      </c>
      <c r="D428" s="2" t="s">
        <v>749</v>
      </c>
      <c r="E428" s="2" t="s">
        <v>812</v>
      </c>
      <c r="F428" s="2" t="str" cm="1">
        <f t="array" ref="F428">INDEX(_xlfn.TEXTSPLIT(E428,"-"),2)</f>
        <v>男装</v>
      </c>
      <c r="G428" s="2" t="str" cm="1">
        <f t="array" ref="G428">INDEX(_xlfn.TEXTSPLIT(E428,"-"),3)</f>
        <v>套装</v>
      </c>
      <c r="H428" s="5">
        <v>42307</v>
      </c>
      <c r="I428" s="5">
        <v>6736354.55</v>
      </c>
      <c r="J428" s="6">
        <v>0.0078</v>
      </c>
      <c r="K428" s="6">
        <v>-0.2849</v>
      </c>
    </row>
    <row r="429" ht="14.5" spans="1:11">
      <c r="A429" s="3" t="str">
        <f t="shared" si="21"/>
        <v>2026年</v>
      </c>
      <c r="B429" s="3" t="str">
        <f t="shared" si="22"/>
        <v>1月</v>
      </c>
      <c r="C429" s="4" t="str">
        <f t="shared" si="23"/>
        <v>W3</v>
      </c>
      <c r="D429" s="2" t="s">
        <v>749</v>
      </c>
      <c r="E429" s="2" t="s">
        <v>813</v>
      </c>
      <c r="F429" s="2" t="str" cm="1">
        <f t="array" ref="F429">INDEX(_xlfn.TEXTSPLIT(E429,"-"),2)</f>
        <v>男装</v>
      </c>
      <c r="G429" s="2" t="str" cm="1">
        <f t="array" ref="G429">INDEX(_xlfn.TEXTSPLIT(E429,"-"),3)</f>
        <v>学生校服</v>
      </c>
      <c r="H429" s="5">
        <v>69</v>
      </c>
      <c r="I429" s="5">
        <v>5656.48</v>
      </c>
      <c r="J429" s="2" t="s">
        <v>713</v>
      </c>
      <c r="K429" s="6">
        <v>0.5788</v>
      </c>
    </row>
    <row r="430" ht="14.5" spans="1:11">
      <c r="A430" s="3" t="str">
        <f t="shared" si="21"/>
        <v>2026年</v>
      </c>
      <c r="B430" s="3" t="str">
        <f t="shared" si="22"/>
        <v>1月</v>
      </c>
      <c r="C430" s="4" t="str">
        <f t="shared" si="23"/>
        <v>W3</v>
      </c>
      <c r="D430" s="2" t="s">
        <v>749</v>
      </c>
      <c r="E430" s="2" t="s">
        <v>814</v>
      </c>
      <c r="F430" s="2" t="str" cm="1">
        <f t="array" ref="F430">INDEX(_xlfn.TEXTSPLIT(E430,"-"),2)</f>
        <v>男装</v>
      </c>
      <c r="G430" s="2" t="str" cm="1">
        <f t="array" ref="G430">INDEX(_xlfn.TEXTSPLIT(E430,"-"),3)</f>
        <v>打底衫</v>
      </c>
      <c r="H430" s="5">
        <v>21066</v>
      </c>
      <c r="I430" s="5">
        <v>1363302.93</v>
      </c>
      <c r="J430" s="6">
        <v>0.0016</v>
      </c>
      <c r="K430" s="6">
        <v>-0.1979</v>
      </c>
    </row>
    <row r="431" ht="14.5" spans="1:11">
      <c r="A431" s="3" t="str">
        <f t="shared" si="21"/>
        <v>2026年</v>
      </c>
      <c r="B431" s="3" t="str">
        <f t="shared" si="22"/>
        <v>1月</v>
      </c>
      <c r="C431" s="4" t="str">
        <f t="shared" si="23"/>
        <v>W3</v>
      </c>
      <c r="D431" s="2" t="s">
        <v>749</v>
      </c>
      <c r="E431" s="2" t="s">
        <v>815</v>
      </c>
      <c r="F431" s="2" t="str" cm="1">
        <f t="array" ref="F431">INDEX(_xlfn.TEXTSPLIT(E431,"-"),2)</f>
        <v>男装</v>
      </c>
      <c r="G431" s="2" t="str" cm="1">
        <f t="array" ref="G431">INDEX(_xlfn.TEXTSPLIT(E431,"-"),3)</f>
        <v>新中式男装</v>
      </c>
      <c r="H431" s="5">
        <v>242</v>
      </c>
      <c r="I431" s="5">
        <v>45869.5</v>
      </c>
      <c r="J431" s="6">
        <v>0.0001</v>
      </c>
      <c r="K431" s="6">
        <v>0.9132</v>
      </c>
    </row>
    <row r="432" ht="14.5" spans="1:11">
      <c r="A432" s="3" t="str">
        <f t="shared" si="21"/>
        <v>2026年</v>
      </c>
      <c r="B432" s="3" t="str">
        <f t="shared" si="22"/>
        <v>1月</v>
      </c>
      <c r="C432" s="4" t="str">
        <f t="shared" si="23"/>
        <v>W3</v>
      </c>
      <c r="D432" s="2" t="s">
        <v>749</v>
      </c>
      <c r="E432" s="2" t="s">
        <v>816</v>
      </c>
      <c r="F432" s="2" t="str" cm="1">
        <f t="array" ref="F432">INDEX(_xlfn.TEXTSPLIT(E432,"-"),2)</f>
        <v>男装</v>
      </c>
      <c r="G432" s="2" t="str" cm="1">
        <f t="array" ref="G432">INDEX(_xlfn.TEXTSPLIT(E432,"-"),3)</f>
        <v>棉衣</v>
      </c>
      <c r="H432" s="5">
        <v>444412</v>
      </c>
      <c r="I432" s="5">
        <v>57715953.33</v>
      </c>
      <c r="J432" s="6">
        <v>0.0668</v>
      </c>
      <c r="K432" s="6">
        <v>-0.0931</v>
      </c>
    </row>
    <row r="433" ht="14.5" spans="1:11">
      <c r="A433" s="3" t="str">
        <f t="shared" si="21"/>
        <v>2026年</v>
      </c>
      <c r="B433" s="3" t="str">
        <f t="shared" si="22"/>
        <v>1月</v>
      </c>
      <c r="C433" s="4" t="str">
        <f t="shared" si="23"/>
        <v>W3</v>
      </c>
      <c r="D433" s="2" t="s">
        <v>749</v>
      </c>
      <c r="E433" s="2" t="s">
        <v>817</v>
      </c>
      <c r="F433" s="2" t="str" cm="1">
        <f t="array" ref="F433">INDEX(_xlfn.TEXTSPLIT(E433,"-"),2)</f>
        <v>男装</v>
      </c>
      <c r="G433" s="2" t="str" cm="1">
        <f t="array" ref="G433">INDEX(_xlfn.TEXTSPLIT(E433,"-"),3)</f>
        <v>棉裤</v>
      </c>
      <c r="H433" s="5">
        <v>30676</v>
      </c>
      <c r="I433" s="5">
        <v>2164782.19</v>
      </c>
      <c r="J433" s="6">
        <v>0.0025</v>
      </c>
      <c r="K433" s="6">
        <v>-0.0676</v>
      </c>
    </row>
    <row r="434" ht="14.5" spans="1:11">
      <c r="A434" s="3" t="str">
        <f t="shared" si="21"/>
        <v>2026年</v>
      </c>
      <c r="B434" s="3" t="str">
        <f t="shared" si="22"/>
        <v>1月</v>
      </c>
      <c r="C434" s="4" t="str">
        <f t="shared" si="23"/>
        <v>W3</v>
      </c>
      <c r="D434" s="2" t="s">
        <v>749</v>
      </c>
      <c r="E434" s="2" t="s">
        <v>818</v>
      </c>
      <c r="F434" s="2" t="str" cm="1">
        <f t="array" ref="F434">INDEX(_xlfn.TEXTSPLIT(E434,"-"),2)</f>
        <v>男装</v>
      </c>
      <c r="G434" s="2" t="str" cm="1">
        <f t="array" ref="G434">INDEX(_xlfn.TEXTSPLIT(E434,"-"),3)</f>
        <v>毛呢大衣</v>
      </c>
      <c r="H434" s="5">
        <v>43016</v>
      </c>
      <c r="I434" s="5">
        <v>19344974.79</v>
      </c>
      <c r="J434" s="6">
        <v>0.0224</v>
      </c>
      <c r="K434" s="6">
        <v>-0.0953</v>
      </c>
    </row>
    <row r="435" ht="14.5" spans="1:11">
      <c r="A435" s="3" t="str">
        <f t="shared" si="21"/>
        <v>2026年</v>
      </c>
      <c r="B435" s="3" t="str">
        <f t="shared" si="22"/>
        <v>1月</v>
      </c>
      <c r="C435" s="4" t="str">
        <f t="shared" si="23"/>
        <v>W3</v>
      </c>
      <c r="D435" s="2" t="s">
        <v>749</v>
      </c>
      <c r="E435" s="2" t="s">
        <v>819</v>
      </c>
      <c r="F435" s="2" t="str" cm="1">
        <f t="array" ref="F435">INDEX(_xlfn.TEXTSPLIT(E435,"-"),2)</f>
        <v>男装</v>
      </c>
      <c r="G435" s="2" t="str" cm="1">
        <f t="array" ref="G435">INDEX(_xlfn.TEXTSPLIT(E435,"-"),3)</f>
        <v>民族服装</v>
      </c>
      <c r="H435" s="5">
        <v>6927</v>
      </c>
      <c r="I435" s="5">
        <v>1539460.56</v>
      </c>
      <c r="J435" s="6">
        <v>0.0018</v>
      </c>
      <c r="K435" s="6">
        <v>-0.0363</v>
      </c>
    </row>
    <row r="436" ht="14.5" spans="1:11">
      <c r="A436" s="3" t="str">
        <f t="shared" si="21"/>
        <v>2026年</v>
      </c>
      <c r="B436" s="3" t="str">
        <f t="shared" si="22"/>
        <v>1月</v>
      </c>
      <c r="C436" s="4" t="str">
        <f t="shared" si="23"/>
        <v>W3</v>
      </c>
      <c r="D436" s="2" t="s">
        <v>749</v>
      </c>
      <c r="E436" s="2" t="s">
        <v>820</v>
      </c>
      <c r="F436" s="2" t="str" cm="1">
        <f t="array" ref="F436">INDEX(_xlfn.TEXTSPLIT(E436,"-"),2)</f>
        <v>男装</v>
      </c>
      <c r="G436" s="2" t="str" cm="1">
        <f t="array" ref="G436">INDEX(_xlfn.TEXTSPLIT(E436,"-"),3)</f>
        <v>派克服</v>
      </c>
      <c r="H436" s="5">
        <v>14030</v>
      </c>
      <c r="I436" s="5">
        <v>3035942.22</v>
      </c>
      <c r="J436" s="6">
        <v>0.0035</v>
      </c>
      <c r="K436" s="6">
        <v>-0.0401</v>
      </c>
    </row>
    <row r="437" ht="14.5" spans="1:11">
      <c r="A437" s="3" t="str">
        <f t="shared" si="21"/>
        <v>2026年</v>
      </c>
      <c r="B437" s="3" t="str">
        <f t="shared" si="22"/>
        <v>1月</v>
      </c>
      <c r="C437" s="4" t="str">
        <f t="shared" si="23"/>
        <v>W3</v>
      </c>
      <c r="D437" s="2" t="s">
        <v>749</v>
      </c>
      <c r="E437" s="2" t="s">
        <v>821</v>
      </c>
      <c r="F437" s="2" t="str" cm="1">
        <f t="array" ref="F437">INDEX(_xlfn.TEXTSPLIT(E437,"-"),2)</f>
        <v>男装</v>
      </c>
      <c r="G437" s="2" t="str" cm="1">
        <f t="array" ref="G437">INDEX(_xlfn.TEXTSPLIT(E437,"-"),3)</f>
        <v>牛仔裤</v>
      </c>
      <c r="H437" s="5">
        <v>546194</v>
      </c>
      <c r="I437" s="5">
        <v>63699527.22</v>
      </c>
      <c r="J437" s="6">
        <v>0.0738</v>
      </c>
      <c r="K437" s="6">
        <v>-0.1007</v>
      </c>
    </row>
    <row r="438" ht="14.5" spans="1:11">
      <c r="A438" s="3" t="str">
        <f t="shared" si="21"/>
        <v>2026年</v>
      </c>
      <c r="B438" s="3" t="str">
        <f t="shared" si="22"/>
        <v>1月</v>
      </c>
      <c r="C438" s="4" t="str">
        <f t="shared" si="23"/>
        <v>W3</v>
      </c>
      <c r="D438" s="2" t="s">
        <v>749</v>
      </c>
      <c r="E438" s="2" t="s">
        <v>822</v>
      </c>
      <c r="F438" s="2" t="str" cm="1">
        <f t="array" ref="F438">INDEX(_xlfn.TEXTSPLIT(E438,"-"),2)</f>
        <v>男装</v>
      </c>
      <c r="G438" s="2" t="str" cm="1">
        <f t="array" ref="G438">INDEX(_xlfn.TEXTSPLIT(E438,"-"),3)</f>
        <v>皮草</v>
      </c>
      <c r="H438" s="5">
        <v>6599</v>
      </c>
      <c r="I438" s="5">
        <v>8726990.7</v>
      </c>
      <c r="J438" s="6">
        <v>0.0101</v>
      </c>
      <c r="K438" s="6">
        <v>0.0972</v>
      </c>
    </row>
    <row r="439" ht="14.5" spans="1:11">
      <c r="A439" s="3" t="str">
        <f t="shared" si="21"/>
        <v>2026年</v>
      </c>
      <c r="B439" s="3" t="str">
        <f t="shared" si="22"/>
        <v>1月</v>
      </c>
      <c r="C439" s="4" t="str">
        <f t="shared" si="23"/>
        <v>W3</v>
      </c>
      <c r="D439" s="2" t="s">
        <v>749</v>
      </c>
      <c r="E439" s="2" t="s">
        <v>823</v>
      </c>
      <c r="F439" s="2" t="str" cm="1">
        <f t="array" ref="F439">INDEX(_xlfn.TEXTSPLIT(E439,"-"),2)</f>
        <v>男装</v>
      </c>
      <c r="G439" s="2" t="str" cm="1">
        <f t="array" ref="G439">INDEX(_xlfn.TEXTSPLIT(E439,"-"),3)</f>
        <v>皮衣</v>
      </c>
      <c r="H439" s="5">
        <v>57920</v>
      </c>
      <c r="I439" s="5">
        <v>25297083.27</v>
      </c>
      <c r="J439" s="6">
        <v>0.0293</v>
      </c>
      <c r="K439" s="6">
        <v>-0.0901</v>
      </c>
    </row>
    <row r="440" ht="14.5" spans="1:11">
      <c r="A440" s="3" t="str">
        <f t="shared" si="21"/>
        <v>2026年</v>
      </c>
      <c r="B440" s="3" t="str">
        <f t="shared" si="22"/>
        <v>1月</v>
      </c>
      <c r="C440" s="4" t="str">
        <f t="shared" si="23"/>
        <v>W3</v>
      </c>
      <c r="D440" s="2" t="s">
        <v>749</v>
      </c>
      <c r="E440" s="2" t="s">
        <v>824</v>
      </c>
      <c r="F440" s="2" t="str" cm="1">
        <f t="array" ref="F440">INDEX(_xlfn.TEXTSPLIT(E440,"-"),2)</f>
        <v>男装</v>
      </c>
      <c r="G440" s="2" t="str" cm="1">
        <f t="array" ref="G440">INDEX(_xlfn.TEXTSPLIT(E440,"-"),3)</f>
        <v>皮裤</v>
      </c>
      <c r="H440" s="5">
        <v>2998</v>
      </c>
      <c r="I440" s="5">
        <v>387983.13</v>
      </c>
      <c r="J440" s="6">
        <v>0.0004</v>
      </c>
      <c r="K440" s="6">
        <v>-0.0724</v>
      </c>
    </row>
    <row r="441" ht="14.5" spans="1:11">
      <c r="A441" s="3" t="str">
        <f t="shared" si="21"/>
        <v>2026年</v>
      </c>
      <c r="B441" s="3" t="str">
        <f t="shared" si="22"/>
        <v>1月</v>
      </c>
      <c r="C441" s="4" t="str">
        <f t="shared" si="23"/>
        <v>W3</v>
      </c>
      <c r="D441" s="2" t="s">
        <v>749</v>
      </c>
      <c r="E441" s="2" t="s">
        <v>825</v>
      </c>
      <c r="F441" s="2" t="str" cm="1">
        <f t="array" ref="F441">INDEX(_xlfn.TEXTSPLIT(E441,"-"),2)</f>
        <v>男装</v>
      </c>
      <c r="G441" s="2" t="str" cm="1">
        <f t="array" ref="G441">INDEX(_xlfn.TEXTSPLIT(E441,"-"),3)</f>
        <v>短外套</v>
      </c>
      <c r="H441" s="5">
        <v>42296</v>
      </c>
      <c r="I441" s="5">
        <v>4116906.71</v>
      </c>
      <c r="J441" s="6">
        <v>0.0048</v>
      </c>
      <c r="K441" s="6">
        <v>-0.179</v>
      </c>
    </row>
    <row r="442" ht="14.5" spans="1:11">
      <c r="A442" s="3" t="str">
        <f t="shared" si="21"/>
        <v>2026年</v>
      </c>
      <c r="B442" s="3" t="str">
        <f t="shared" si="22"/>
        <v>1月</v>
      </c>
      <c r="C442" s="4" t="str">
        <f t="shared" si="23"/>
        <v>W3</v>
      </c>
      <c r="D442" s="2" t="s">
        <v>749</v>
      </c>
      <c r="E442" s="2" t="s">
        <v>826</v>
      </c>
      <c r="F442" s="2" t="str" cm="1">
        <f t="array" ref="F442">INDEX(_xlfn.TEXTSPLIT(E442,"-"),2)</f>
        <v>男装</v>
      </c>
      <c r="G442" s="2" t="str" cm="1">
        <f t="array" ref="G442">INDEX(_xlfn.TEXTSPLIT(E442,"-"),3)</f>
        <v>短裤</v>
      </c>
      <c r="H442" s="5">
        <v>49419</v>
      </c>
      <c r="I442" s="5">
        <v>1431358.45</v>
      </c>
      <c r="J442" s="6">
        <v>0.0017</v>
      </c>
      <c r="K442" s="6">
        <v>-0.1416</v>
      </c>
    </row>
    <row r="443" ht="14.5" spans="1:11">
      <c r="A443" s="3" t="str">
        <f t="shared" si="21"/>
        <v>2026年</v>
      </c>
      <c r="B443" s="3" t="str">
        <f t="shared" si="22"/>
        <v>1月</v>
      </c>
      <c r="C443" s="4" t="str">
        <f t="shared" si="23"/>
        <v>W3</v>
      </c>
      <c r="D443" s="2" t="s">
        <v>749</v>
      </c>
      <c r="E443" s="2" t="s">
        <v>827</v>
      </c>
      <c r="F443" s="2" t="str" cm="1">
        <f t="array" ref="F443">INDEX(_xlfn.TEXTSPLIT(E443,"-"),2)</f>
        <v>男装</v>
      </c>
      <c r="G443" s="2" t="str" cm="1">
        <f t="array" ref="G443">INDEX(_xlfn.TEXTSPLIT(E443,"-"),3)</f>
        <v>紧身衣</v>
      </c>
      <c r="H443" s="5">
        <v>106</v>
      </c>
      <c r="I443" s="5">
        <v>5011.9</v>
      </c>
      <c r="J443" s="2" t="s">
        <v>713</v>
      </c>
      <c r="K443" s="6">
        <v>-0.4987</v>
      </c>
    </row>
    <row r="444" ht="14.5" spans="1:11">
      <c r="A444" s="3" t="str">
        <f t="shared" si="21"/>
        <v>2026年</v>
      </c>
      <c r="B444" s="3" t="str">
        <f t="shared" si="22"/>
        <v>1月</v>
      </c>
      <c r="C444" s="4" t="str">
        <f t="shared" si="23"/>
        <v>W3</v>
      </c>
      <c r="D444" s="2" t="s">
        <v>749</v>
      </c>
      <c r="E444" s="2" t="s">
        <v>828</v>
      </c>
      <c r="F444" s="2" t="str" cm="1">
        <f t="array" ref="F444">INDEX(_xlfn.TEXTSPLIT(E444,"-"),2)</f>
        <v>男装</v>
      </c>
      <c r="G444" s="2" t="str" cm="1">
        <f t="array" ref="G444">INDEX(_xlfn.TEXTSPLIT(E444,"-"),3)</f>
        <v>羊毛衫</v>
      </c>
      <c r="H444" s="5">
        <v>130708</v>
      </c>
      <c r="I444" s="5">
        <v>18922369.01</v>
      </c>
      <c r="J444" s="6">
        <v>0.0219</v>
      </c>
      <c r="K444" s="6">
        <v>-0.0502</v>
      </c>
    </row>
    <row r="445" ht="14.5" spans="1:11">
      <c r="A445" s="3" t="str">
        <f t="shared" si="21"/>
        <v>2026年</v>
      </c>
      <c r="B445" s="3" t="str">
        <f t="shared" si="22"/>
        <v>1月</v>
      </c>
      <c r="C445" s="4" t="str">
        <f t="shared" si="23"/>
        <v>W3</v>
      </c>
      <c r="D445" s="2" t="s">
        <v>749</v>
      </c>
      <c r="E445" s="2" t="s">
        <v>829</v>
      </c>
      <c r="F445" s="2" t="str" cm="1">
        <f t="array" ref="F445">INDEX(_xlfn.TEXTSPLIT(E445,"-"),2)</f>
        <v>男装</v>
      </c>
      <c r="G445" s="2" t="str" cm="1">
        <f t="array" ref="G445">INDEX(_xlfn.TEXTSPLIT(E445,"-"),3)</f>
        <v>羊绒衫</v>
      </c>
      <c r="H445" s="5">
        <v>25285</v>
      </c>
      <c r="I445" s="5">
        <v>7114800.91</v>
      </c>
      <c r="J445" s="6">
        <v>0.0082</v>
      </c>
      <c r="K445" s="6">
        <v>-0.1842</v>
      </c>
    </row>
    <row r="446" ht="14.5" spans="1:11">
      <c r="A446" s="3" t="str">
        <f t="shared" si="21"/>
        <v>2026年</v>
      </c>
      <c r="B446" s="3" t="str">
        <f t="shared" si="22"/>
        <v>1月</v>
      </c>
      <c r="C446" s="4" t="str">
        <f t="shared" si="23"/>
        <v>W3</v>
      </c>
      <c r="D446" s="2" t="s">
        <v>749</v>
      </c>
      <c r="E446" s="2" t="s">
        <v>830</v>
      </c>
      <c r="F446" s="2" t="str" cm="1">
        <f t="array" ref="F446">INDEX(_xlfn.TEXTSPLIT(E446,"-"),2)</f>
        <v>男装</v>
      </c>
      <c r="G446" s="2" t="str" cm="1">
        <f t="array" ref="G446">INDEX(_xlfn.TEXTSPLIT(E446,"-"),3)</f>
        <v>羽绒服</v>
      </c>
      <c r="H446" s="5">
        <v>638899</v>
      </c>
      <c r="I446" s="5">
        <v>249233962.09</v>
      </c>
      <c r="J446" s="6">
        <v>0.2886</v>
      </c>
      <c r="K446" s="6">
        <v>-0.0064</v>
      </c>
    </row>
    <row r="447" ht="14.5" spans="1:11">
      <c r="A447" s="3" t="str">
        <f t="shared" si="21"/>
        <v>2026年</v>
      </c>
      <c r="B447" s="3" t="str">
        <f t="shared" si="22"/>
        <v>1月</v>
      </c>
      <c r="C447" s="4" t="str">
        <f t="shared" si="23"/>
        <v>W3</v>
      </c>
      <c r="D447" s="2" t="s">
        <v>749</v>
      </c>
      <c r="E447" s="2" t="s">
        <v>831</v>
      </c>
      <c r="F447" s="2" t="str" cm="1">
        <f t="array" ref="F447">INDEX(_xlfn.TEXTSPLIT(E447,"-"),2)</f>
        <v>男装</v>
      </c>
      <c r="G447" s="2" t="str" cm="1">
        <f t="array" ref="G447">INDEX(_xlfn.TEXTSPLIT(E447,"-"),3)</f>
        <v>羽绒裤</v>
      </c>
      <c r="H447" s="5">
        <v>14108</v>
      </c>
      <c r="I447" s="5">
        <v>2270936.71</v>
      </c>
      <c r="J447" s="6">
        <v>0.0026</v>
      </c>
      <c r="K447" s="6">
        <v>-0.239</v>
      </c>
    </row>
    <row r="448" ht="14.5" spans="1:11">
      <c r="A448" s="3" t="str">
        <f t="shared" si="21"/>
        <v>2026年</v>
      </c>
      <c r="B448" s="3" t="str">
        <f t="shared" si="22"/>
        <v>1月</v>
      </c>
      <c r="C448" s="4" t="str">
        <f t="shared" si="23"/>
        <v>W3</v>
      </c>
      <c r="D448" s="2" t="s">
        <v>749</v>
      </c>
      <c r="E448" s="2" t="s">
        <v>832</v>
      </c>
      <c r="F448" s="2" t="str" cm="1">
        <f t="array" ref="F448">INDEX(_xlfn.TEXTSPLIT(E448,"-"),2)</f>
        <v>男装</v>
      </c>
      <c r="G448" s="2" t="str" cm="1">
        <f t="array" ref="G448">INDEX(_xlfn.TEXTSPLIT(E448,"-"),3)</f>
        <v>羽绒马甲</v>
      </c>
      <c r="H448" s="5">
        <v>16673</v>
      </c>
      <c r="I448" s="5">
        <v>3617143.63</v>
      </c>
      <c r="J448" s="6">
        <v>0.0042</v>
      </c>
      <c r="K448" s="6">
        <v>0.1946</v>
      </c>
    </row>
    <row r="449" ht="14.5" spans="1:11">
      <c r="A449" s="3" t="str">
        <f t="shared" si="21"/>
        <v>2026年</v>
      </c>
      <c r="B449" s="3" t="str">
        <f t="shared" si="22"/>
        <v>1月</v>
      </c>
      <c r="C449" s="4" t="str">
        <f t="shared" si="23"/>
        <v>W3</v>
      </c>
      <c r="D449" s="2" t="s">
        <v>749</v>
      </c>
      <c r="E449" s="2" t="s">
        <v>833</v>
      </c>
      <c r="F449" s="2" t="str" cm="1">
        <f t="array" ref="F449">INDEX(_xlfn.TEXTSPLIT(E449,"-"),2)</f>
        <v>男装</v>
      </c>
      <c r="G449" s="2" t="str" cm="1">
        <f t="array" ref="G449">INDEX(_xlfn.TEXTSPLIT(E449,"-"),3)</f>
        <v>背心</v>
      </c>
      <c r="H449" s="5">
        <v>46270</v>
      </c>
      <c r="I449" s="5">
        <v>2508335.43</v>
      </c>
      <c r="J449" s="6">
        <v>0.0029</v>
      </c>
      <c r="K449" s="6">
        <v>-0.3183</v>
      </c>
    </row>
    <row r="450" ht="14.5" spans="1:11">
      <c r="A450" s="3" t="str">
        <f t="shared" si="21"/>
        <v>2026年</v>
      </c>
      <c r="B450" s="3" t="str">
        <f t="shared" si="22"/>
        <v>1月</v>
      </c>
      <c r="C450" s="4" t="str">
        <f t="shared" si="23"/>
        <v>W3</v>
      </c>
      <c r="D450" s="2" t="s">
        <v>749</v>
      </c>
      <c r="E450" s="2" t="s">
        <v>834</v>
      </c>
      <c r="F450" s="2" t="str" cm="1">
        <f t="array" ref="F450">INDEX(_xlfn.TEXTSPLIT(E450,"-"),2)</f>
        <v>男装</v>
      </c>
      <c r="G450" s="2" t="str" cm="1">
        <f t="array" ref="G450">INDEX(_xlfn.TEXTSPLIT(E450,"-"),3)</f>
        <v>衬衫</v>
      </c>
      <c r="H450" s="5">
        <v>77519</v>
      </c>
      <c r="I450" s="5">
        <v>9856041.78</v>
      </c>
      <c r="J450" s="6">
        <v>0.0114</v>
      </c>
      <c r="K450" s="6">
        <v>-0.1485</v>
      </c>
    </row>
    <row r="451" ht="14.5" spans="1:11">
      <c r="A451" s="3" t="str">
        <f t="shared" si="21"/>
        <v>2026年</v>
      </c>
      <c r="B451" s="3" t="str">
        <f t="shared" si="22"/>
        <v>1月</v>
      </c>
      <c r="C451" s="4" t="str">
        <f t="shared" si="23"/>
        <v>W3</v>
      </c>
      <c r="D451" s="2" t="s">
        <v>749</v>
      </c>
      <c r="E451" s="2" t="s">
        <v>835</v>
      </c>
      <c r="F451" s="2" t="str" cm="1">
        <f t="array" ref="F451">INDEX(_xlfn.TEXTSPLIT(E451,"-"),2)</f>
        <v>男装</v>
      </c>
      <c r="G451" s="2" t="str" cm="1">
        <f t="array" ref="G451">INDEX(_xlfn.TEXTSPLIT(E451,"-"),3)</f>
        <v>西服</v>
      </c>
      <c r="H451" s="5">
        <v>82010</v>
      </c>
      <c r="I451" s="5">
        <v>17416458.64</v>
      </c>
      <c r="J451" s="6">
        <v>0.0202</v>
      </c>
      <c r="K451" s="6">
        <v>-0.0248</v>
      </c>
    </row>
    <row r="452" ht="14.5" spans="1:11">
      <c r="A452" s="3" t="str">
        <f t="shared" si="21"/>
        <v>2026年</v>
      </c>
      <c r="B452" s="3" t="str">
        <f t="shared" si="22"/>
        <v>1月</v>
      </c>
      <c r="C452" s="4" t="str">
        <f t="shared" si="23"/>
        <v>W3</v>
      </c>
      <c r="D452" s="2" t="s">
        <v>749</v>
      </c>
      <c r="E452" s="2" t="s">
        <v>836</v>
      </c>
      <c r="F452" s="2" t="str" cm="1">
        <f t="array" ref="F452">INDEX(_xlfn.TEXTSPLIT(E452,"-"),2)</f>
        <v>男装</v>
      </c>
      <c r="G452" s="2" t="str" cm="1">
        <f t="array" ref="G452">INDEX(_xlfn.TEXTSPLIT(E452,"-"),3)</f>
        <v>连体衣/裤</v>
      </c>
      <c r="H452" s="5">
        <v>821</v>
      </c>
      <c r="I452" s="5">
        <v>26132.46</v>
      </c>
      <c r="J452" s="2" t="s">
        <v>713</v>
      </c>
      <c r="K452" s="6">
        <v>-0.4173</v>
      </c>
    </row>
    <row r="453" ht="14.5" spans="1:11">
      <c r="A453" s="3" t="str">
        <f t="shared" si="21"/>
        <v>2026年</v>
      </c>
      <c r="B453" s="3" t="str">
        <f t="shared" si="22"/>
        <v>1月</v>
      </c>
      <c r="C453" s="4" t="str">
        <f t="shared" si="23"/>
        <v>W3</v>
      </c>
      <c r="D453" s="2" t="s">
        <v>749</v>
      </c>
      <c r="E453" s="2" t="s">
        <v>837</v>
      </c>
      <c r="F453" s="2" t="str" cm="1">
        <f t="array" ref="F453">INDEX(_xlfn.TEXTSPLIT(E453,"-"),2)</f>
        <v>男装</v>
      </c>
      <c r="G453" s="2" t="str" cm="1">
        <f t="array" ref="G453">INDEX(_xlfn.TEXTSPLIT(E453,"-"),3)</f>
        <v>速干/三防T恤</v>
      </c>
      <c r="H453" s="5">
        <v>465</v>
      </c>
      <c r="I453" s="5">
        <v>39520.43</v>
      </c>
      <c r="J453" s="2" t="s">
        <v>713</v>
      </c>
      <c r="K453" s="6">
        <v>0.3978</v>
      </c>
    </row>
    <row r="454" ht="14.5" spans="1:11">
      <c r="A454" s="3" t="str">
        <f t="shared" si="21"/>
        <v>2026年</v>
      </c>
      <c r="B454" s="3" t="str">
        <f t="shared" si="22"/>
        <v>1月</v>
      </c>
      <c r="C454" s="4" t="str">
        <f t="shared" si="23"/>
        <v>W3</v>
      </c>
      <c r="D454" s="2" t="s">
        <v>749</v>
      </c>
      <c r="E454" s="2" t="s">
        <v>838</v>
      </c>
      <c r="F454" s="2" t="str" cm="1">
        <f t="array" ref="F454">INDEX(_xlfn.TEXTSPLIT(E454,"-"),2)</f>
        <v>男装</v>
      </c>
      <c r="G454" s="2" t="str" cm="1">
        <f t="array" ref="G454">INDEX(_xlfn.TEXTSPLIT(E454,"-"),3)</f>
        <v>针织衫/毛衣</v>
      </c>
      <c r="H454" s="5">
        <v>371761</v>
      </c>
      <c r="I454" s="5">
        <v>45710017.13</v>
      </c>
      <c r="J454" s="6">
        <v>0.0529</v>
      </c>
      <c r="K454" s="6">
        <v>-0.0607</v>
      </c>
    </row>
    <row r="455" ht="14.5" spans="1:11">
      <c r="A455" s="3" t="str">
        <f t="shared" si="21"/>
        <v>2026年</v>
      </c>
      <c r="B455" s="3" t="str">
        <f t="shared" si="22"/>
        <v>1月</v>
      </c>
      <c r="C455" s="4" t="str">
        <f t="shared" si="23"/>
        <v>W3</v>
      </c>
      <c r="D455" s="2" t="s">
        <v>749</v>
      </c>
      <c r="E455" s="2" t="s">
        <v>839</v>
      </c>
      <c r="F455" s="2" t="str" cm="1">
        <f t="array" ref="F455">INDEX(_xlfn.TEXTSPLIT(E455,"-"),2)</f>
        <v>男装</v>
      </c>
      <c r="G455" s="2" t="str" cm="1">
        <f t="array" ref="G455">INDEX(_xlfn.TEXTSPLIT(E455,"-"),3)</f>
        <v>防晒服</v>
      </c>
      <c r="H455" s="5">
        <v>161</v>
      </c>
      <c r="I455" s="5">
        <v>13260.38</v>
      </c>
      <c r="J455" s="2" t="s">
        <v>713</v>
      </c>
      <c r="K455" s="6">
        <v>-0.5597</v>
      </c>
    </row>
    <row r="456" ht="14.5" spans="1:11">
      <c r="A456" s="3" t="str">
        <f t="shared" si="21"/>
        <v>2026年</v>
      </c>
      <c r="B456" s="3" t="str">
        <f t="shared" si="22"/>
        <v>1月</v>
      </c>
      <c r="C456" s="4" t="str">
        <f t="shared" si="23"/>
        <v>W3</v>
      </c>
      <c r="D456" s="2" t="s">
        <v>749</v>
      </c>
      <c r="E456" s="2" t="s">
        <v>840</v>
      </c>
      <c r="F456" s="2" t="str" cm="1">
        <f t="array" ref="F456">INDEX(_xlfn.TEXTSPLIT(E456,"-"),2)</f>
        <v>男装</v>
      </c>
      <c r="G456" s="2" t="str" cm="1">
        <f t="array" ref="G456">INDEX(_xlfn.TEXTSPLIT(E456,"-"),3)</f>
        <v>风衣</v>
      </c>
      <c r="H456" s="5">
        <v>10061</v>
      </c>
      <c r="I456" s="5">
        <v>2181732.01</v>
      </c>
      <c r="J456" s="6">
        <v>0.0025</v>
      </c>
      <c r="K456" s="6">
        <v>-0.2459</v>
      </c>
    </row>
    <row r="457" ht="14.5" spans="1:11">
      <c r="A457" s="3" t="str">
        <f t="shared" si="21"/>
        <v>2026年</v>
      </c>
      <c r="B457" s="3" t="str">
        <f t="shared" si="22"/>
        <v>1月</v>
      </c>
      <c r="C457" s="4" t="str">
        <f t="shared" si="23"/>
        <v>W3</v>
      </c>
      <c r="D457" s="2" t="s">
        <v>749</v>
      </c>
      <c r="E457" s="2" t="s">
        <v>841</v>
      </c>
      <c r="F457" s="2" t="str" cm="1">
        <f t="array" ref="F457">INDEX(_xlfn.TEXTSPLIT(E457,"-"),2)</f>
        <v>男装</v>
      </c>
      <c r="G457" s="2" t="str" cm="1">
        <f t="array" ref="G457">INDEX(_xlfn.TEXTSPLIT(E457,"-"),3)</f>
        <v>马甲</v>
      </c>
      <c r="H457" s="5">
        <v>56654</v>
      </c>
      <c r="I457" s="5">
        <v>4734547.39</v>
      </c>
      <c r="J457" s="6">
        <v>0.0055</v>
      </c>
      <c r="K457" s="6">
        <v>-0.2257</v>
      </c>
    </row>
    <row r="458" ht="14.5" spans="1:11">
      <c r="A458" s="3" t="str">
        <f t="shared" si="21"/>
        <v>2026年</v>
      </c>
      <c r="B458" s="3" t="str">
        <f t="shared" si="22"/>
        <v>1月</v>
      </c>
      <c r="C458" s="4" t="str">
        <f t="shared" si="23"/>
        <v>W3</v>
      </c>
      <c r="D458" s="2" t="s">
        <v>750</v>
      </c>
      <c r="E458" s="2" t="s">
        <v>804</v>
      </c>
      <c r="F458" s="2" t="str" cm="1">
        <f t="array" ref="F458">INDEX(_xlfn.TEXTSPLIT(E458,"-"),2)</f>
        <v>男装</v>
      </c>
      <c r="G458" s="2" t="str" cm="1">
        <f t="array" ref="G458">INDEX(_xlfn.TEXTSPLIT(E458,"-"),3)</f>
        <v>Polo衫</v>
      </c>
      <c r="H458" s="5">
        <v>38983</v>
      </c>
      <c r="I458" s="5">
        <v>3672581.43</v>
      </c>
      <c r="J458" s="6">
        <v>0.0046</v>
      </c>
      <c r="K458" s="6">
        <v>-0.2333</v>
      </c>
    </row>
    <row r="459" ht="14.5" spans="1:11">
      <c r="A459" s="3" t="str">
        <f t="shared" si="21"/>
        <v>2026年</v>
      </c>
      <c r="B459" s="3" t="str">
        <f t="shared" si="22"/>
        <v>1月</v>
      </c>
      <c r="C459" s="4" t="str">
        <f t="shared" si="23"/>
        <v>W3</v>
      </c>
      <c r="D459" s="2" t="s">
        <v>750</v>
      </c>
      <c r="E459" s="2" t="s">
        <v>805</v>
      </c>
      <c r="F459" s="2" t="str" cm="1">
        <f t="array" ref="F459">INDEX(_xlfn.TEXTSPLIT(E459,"-"),2)</f>
        <v>男装</v>
      </c>
      <c r="G459" s="2" t="str" cm="1">
        <f t="array" ref="G459">INDEX(_xlfn.TEXTSPLIT(E459,"-"),3)</f>
        <v>T恤</v>
      </c>
      <c r="H459" s="5">
        <v>411253</v>
      </c>
      <c r="I459" s="5">
        <v>27905021.24</v>
      </c>
      <c r="J459" s="6">
        <v>0.035</v>
      </c>
      <c r="K459" s="6">
        <v>-0.1629</v>
      </c>
    </row>
    <row r="460" ht="14.5" spans="1:11">
      <c r="A460" s="3" t="str">
        <f t="shared" si="21"/>
        <v>2026年</v>
      </c>
      <c r="B460" s="3" t="str">
        <f t="shared" si="22"/>
        <v>1月</v>
      </c>
      <c r="C460" s="4" t="str">
        <f t="shared" si="23"/>
        <v>W3</v>
      </c>
      <c r="D460" s="2" t="s">
        <v>750</v>
      </c>
      <c r="E460" s="2" t="s">
        <v>806</v>
      </c>
      <c r="F460" s="2" t="str" cm="1">
        <f t="array" ref="F460">INDEX(_xlfn.TEXTSPLIT(E460,"-"),2)</f>
        <v>男装</v>
      </c>
      <c r="G460" s="2" t="str" cm="1">
        <f t="array" ref="G460">INDEX(_xlfn.TEXTSPLIT(E460,"-"),3)</f>
        <v>中老年男装</v>
      </c>
      <c r="H460" s="5">
        <v>102112</v>
      </c>
      <c r="I460" s="5">
        <v>13344731.11</v>
      </c>
      <c r="J460" s="6">
        <v>0.0167</v>
      </c>
      <c r="K460" s="6">
        <v>-0.1004</v>
      </c>
    </row>
    <row r="461" ht="14.5" spans="1:11">
      <c r="A461" s="3" t="str">
        <f t="shared" si="21"/>
        <v>2026年</v>
      </c>
      <c r="B461" s="3" t="str">
        <f t="shared" si="22"/>
        <v>1月</v>
      </c>
      <c r="C461" s="4" t="str">
        <f t="shared" si="23"/>
        <v>W3</v>
      </c>
      <c r="D461" s="2" t="s">
        <v>750</v>
      </c>
      <c r="E461" s="2" t="s">
        <v>807</v>
      </c>
      <c r="F461" s="2" t="str" cm="1">
        <f t="array" ref="F461">INDEX(_xlfn.TEXTSPLIT(E461,"-"),2)</f>
        <v>男装</v>
      </c>
      <c r="G461" s="2" t="str" cm="1">
        <f t="array" ref="G461">INDEX(_xlfn.TEXTSPLIT(E461,"-"),3)</f>
        <v>休闲裤</v>
      </c>
      <c r="H461" s="5">
        <v>851896</v>
      </c>
      <c r="I461" s="5">
        <v>91667075.02</v>
      </c>
      <c r="J461" s="6">
        <v>0.115</v>
      </c>
      <c r="K461" s="6">
        <v>-0.0759</v>
      </c>
    </row>
    <row r="462" ht="14.5" spans="1:11">
      <c r="A462" s="3" t="str">
        <f t="shared" ref="A462:A525" si="24">TEXT(YEAR(D462),"0")&amp;"年"</f>
        <v>2026年</v>
      </c>
      <c r="B462" s="3" t="str">
        <f t="shared" ref="B462:B525" si="25">TEXT(MONTH(D462),"0")&amp;"月"</f>
        <v>1月</v>
      </c>
      <c r="C462" s="4" t="str">
        <f t="shared" ref="C462:C525" si="26">"W"&amp;TEXT(WEEKNUM(D462,2),"0")</f>
        <v>W3</v>
      </c>
      <c r="D462" s="2" t="s">
        <v>750</v>
      </c>
      <c r="E462" s="2" t="s">
        <v>808</v>
      </c>
      <c r="F462" s="2" t="str" cm="1">
        <f t="array" ref="F462">INDEX(_xlfn.TEXTSPLIT(E462,"-"),2)</f>
        <v>男装</v>
      </c>
      <c r="G462" s="2" t="str" cm="1">
        <f t="array" ref="G462">INDEX(_xlfn.TEXTSPLIT(E462,"-"),3)</f>
        <v>卫衣</v>
      </c>
      <c r="H462" s="5">
        <v>587563</v>
      </c>
      <c r="I462" s="5">
        <v>50598842.71</v>
      </c>
      <c r="J462" s="6">
        <v>0.0635</v>
      </c>
      <c r="K462" s="6">
        <v>0.0068</v>
      </c>
    </row>
    <row r="463" ht="14.5" spans="1:11">
      <c r="A463" s="3" t="str">
        <f t="shared" si="24"/>
        <v>2026年</v>
      </c>
      <c r="B463" s="3" t="str">
        <f t="shared" si="25"/>
        <v>1月</v>
      </c>
      <c r="C463" s="4" t="str">
        <f t="shared" si="26"/>
        <v>W3</v>
      </c>
      <c r="D463" s="2" t="s">
        <v>750</v>
      </c>
      <c r="E463" s="2" t="s">
        <v>809</v>
      </c>
      <c r="F463" s="2" t="str" cm="1">
        <f t="array" ref="F463">INDEX(_xlfn.TEXTSPLIT(E463,"-"),2)</f>
        <v>男装</v>
      </c>
      <c r="G463" s="2" t="str" cm="1">
        <f t="array" ref="G463">INDEX(_xlfn.TEXTSPLIT(E463,"-"),3)</f>
        <v>卫裤</v>
      </c>
      <c r="H463" s="5">
        <v>182399</v>
      </c>
      <c r="I463" s="5">
        <v>17866910.5</v>
      </c>
      <c r="J463" s="6">
        <v>0.0224</v>
      </c>
      <c r="K463" s="6">
        <v>-0.0617</v>
      </c>
    </row>
    <row r="464" ht="14.5" spans="1:11">
      <c r="A464" s="3" t="str">
        <f t="shared" si="24"/>
        <v>2026年</v>
      </c>
      <c r="B464" s="3" t="str">
        <f t="shared" si="25"/>
        <v>1月</v>
      </c>
      <c r="C464" s="4" t="str">
        <f t="shared" si="26"/>
        <v>W3</v>
      </c>
      <c r="D464" s="2" t="s">
        <v>750</v>
      </c>
      <c r="E464" s="2" t="s">
        <v>810</v>
      </c>
      <c r="F464" s="2" t="str" cm="1">
        <f t="array" ref="F464">INDEX(_xlfn.TEXTSPLIT(E464,"-"),2)</f>
        <v>男装</v>
      </c>
      <c r="G464" s="2" t="str" cm="1">
        <f t="array" ref="G464">INDEX(_xlfn.TEXTSPLIT(E464,"-"),3)</f>
        <v>大码男装</v>
      </c>
      <c r="H464" s="5">
        <v>32751</v>
      </c>
      <c r="I464" s="5">
        <v>3686269.1</v>
      </c>
      <c r="J464" s="6">
        <v>0.0046</v>
      </c>
      <c r="K464" s="6">
        <v>0.0565</v>
      </c>
    </row>
    <row r="465" ht="14.5" spans="1:11">
      <c r="A465" s="3" t="str">
        <f t="shared" si="24"/>
        <v>2026年</v>
      </c>
      <c r="B465" s="3" t="str">
        <f t="shared" si="25"/>
        <v>1月</v>
      </c>
      <c r="C465" s="4" t="str">
        <f t="shared" si="26"/>
        <v>W3</v>
      </c>
      <c r="D465" s="2" t="s">
        <v>750</v>
      </c>
      <c r="E465" s="2" t="s">
        <v>811</v>
      </c>
      <c r="F465" s="2" t="str" cm="1">
        <f t="array" ref="F465">INDEX(_xlfn.TEXTSPLIT(E465,"-"),2)</f>
        <v>男装</v>
      </c>
      <c r="G465" s="2" t="str" cm="1">
        <f t="array" ref="G465">INDEX(_xlfn.TEXTSPLIT(E465,"-"),3)</f>
        <v>夹克</v>
      </c>
      <c r="H465" s="5">
        <v>420941</v>
      </c>
      <c r="I465" s="5">
        <v>76871119.61</v>
      </c>
      <c r="J465" s="6">
        <v>0.0964</v>
      </c>
      <c r="K465" s="6">
        <v>-0.0317</v>
      </c>
    </row>
    <row r="466" ht="14.5" spans="1:11">
      <c r="A466" s="3" t="str">
        <f t="shared" si="24"/>
        <v>2026年</v>
      </c>
      <c r="B466" s="3" t="str">
        <f t="shared" si="25"/>
        <v>1月</v>
      </c>
      <c r="C466" s="4" t="str">
        <f t="shared" si="26"/>
        <v>W3</v>
      </c>
      <c r="D466" s="2" t="s">
        <v>750</v>
      </c>
      <c r="E466" s="2" t="s">
        <v>812</v>
      </c>
      <c r="F466" s="2" t="str" cm="1">
        <f t="array" ref="F466">INDEX(_xlfn.TEXTSPLIT(E466,"-"),2)</f>
        <v>男装</v>
      </c>
      <c r="G466" s="2" t="str" cm="1">
        <f t="array" ref="G466">INDEX(_xlfn.TEXTSPLIT(E466,"-"),3)</f>
        <v>套装</v>
      </c>
      <c r="H466" s="5">
        <v>37744</v>
      </c>
      <c r="I466" s="5">
        <v>5823383.11</v>
      </c>
      <c r="J466" s="6">
        <v>0.0073</v>
      </c>
      <c r="K466" s="6">
        <v>-0.1355</v>
      </c>
    </row>
    <row r="467" ht="14.5" spans="1:11">
      <c r="A467" s="3" t="str">
        <f t="shared" si="24"/>
        <v>2026年</v>
      </c>
      <c r="B467" s="3" t="str">
        <f t="shared" si="25"/>
        <v>1月</v>
      </c>
      <c r="C467" s="4" t="str">
        <f t="shared" si="26"/>
        <v>W3</v>
      </c>
      <c r="D467" s="2" t="s">
        <v>750</v>
      </c>
      <c r="E467" s="2" t="s">
        <v>813</v>
      </c>
      <c r="F467" s="2" t="str" cm="1">
        <f t="array" ref="F467">INDEX(_xlfn.TEXTSPLIT(E467,"-"),2)</f>
        <v>男装</v>
      </c>
      <c r="G467" s="2" t="str" cm="1">
        <f t="array" ref="G467">INDEX(_xlfn.TEXTSPLIT(E467,"-"),3)</f>
        <v>学生校服</v>
      </c>
      <c r="H467" s="5">
        <v>84</v>
      </c>
      <c r="I467" s="5">
        <v>7077.56</v>
      </c>
      <c r="J467" s="2" t="s">
        <v>713</v>
      </c>
      <c r="K467" s="6">
        <v>0.2512</v>
      </c>
    </row>
    <row r="468" ht="14.5" spans="1:11">
      <c r="A468" s="3" t="str">
        <f t="shared" si="24"/>
        <v>2026年</v>
      </c>
      <c r="B468" s="3" t="str">
        <f t="shared" si="25"/>
        <v>1月</v>
      </c>
      <c r="C468" s="4" t="str">
        <f t="shared" si="26"/>
        <v>W3</v>
      </c>
      <c r="D468" s="2" t="s">
        <v>750</v>
      </c>
      <c r="E468" s="2" t="s">
        <v>814</v>
      </c>
      <c r="F468" s="2" t="str" cm="1">
        <f t="array" ref="F468">INDEX(_xlfn.TEXTSPLIT(E468,"-"),2)</f>
        <v>男装</v>
      </c>
      <c r="G468" s="2" t="str" cm="1">
        <f t="array" ref="G468">INDEX(_xlfn.TEXTSPLIT(E468,"-"),3)</f>
        <v>打底衫</v>
      </c>
      <c r="H468" s="5">
        <v>20116</v>
      </c>
      <c r="I468" s="5">
        <v>1518599.27</v>
      </c>
      <c r="J468" s="6">
        <v>0.0019</v>
      </c>
      <c r="K468" s="6">
        <v>0.1139</v>
      </c>
    </row>
    <row r="469" ht="14.5" spans="1:11">
      <c r="A469" s="3" t="str">
        <f t="shared" si="24"/>
        <v>2026年</v>
      </c>
      <c r="B469" s="3" t="str">
        <f t="shared" si="25"/>
        <v>1月</v>
      </c>
      <c r="C469" s="4" t="str">
        <f t="shared" si="26"/>
        <v>W3</v>
      </c>
      <c r="D469" s="2" t="s">
        <v>750</v>
      </c>
      <c r="E469" s="2" t="s">
        <v>815</v>
      </c>
      <c r="F469" s="2" t="str" cm="1">
        <f t="array" ref="F469">INDEX(_xlfn.TEXTSPLIT(E469,"-"),2)</f>
        <v>男装</v>
      </c>
      <c r="G469" s="2" t="str" cm="1">
        <f t="array" ref="G469">INDEX(_xlfn.TEXTSPLIT(E469,"-"),3)</f>
        <v>新中式男装</v>
      </c>
      <c r="H469" s="5">
        <v>180</v>
      </c>
      <c r="I469" s="5">
        <v>31512.61</v>
      </c>
      <c r="J469" s="2" t="s">
        <v>713</v>
      </c>
      <c r="K469" s="6">
        <v>-0.313</v>
      </c>
    </row>
    <row r="470" ht="14.5" spans="1:11">
      <c r="A470" s="3" t="str">
        <f t="shared" si="24"/>
        <v>2026年</v>
      </c>
      <c r="B470" s="3" t="str">
        <f t="shared" si="25"/>
        <v>1月</v>
      </c>
      <c r="C470" s="4" t="str">
        <f t="shared" si="26"/>
        <v>W3</v>
      </c>
      <c r="D470" s="2" t="s">
        <v>750</v>
      </c>
      <c r="E470" s="2" t="s">
        <v>816</v>
      </c>
      <c r="F470" s="2" t="str" cm="1">
        <f t="array" ref="F470">INDEX(_xlfn.TEXTSPLIT(E470,"-"),2)</f>
        <v>男装</v>
      </c>
      <c r="G470" s="2" t="str" cm="1">
        <f t="array" ref="G470">INDEX(_xlfn.TEXTSPLIT(E470,"-"),3)</f>
        <v>棉衣</v>
      </c>
      <c r="H470" s="5">
        <v>359172</v>
      </c>
      <c r="I470" s="5">
        <v>48475881.78</v>
      </c>
      <c r="J470" s="6">
        <v>0.0608</v>
      </c>
      <c r="K470" s="6">
        <v>-0.1601</v>
      </c>
    </row>
    <row r="471" ht="14.5" spans="1:11">
      <c r="A471" s="3" t="str">
        <f t="shared" si="24"/>
        <v>2026年</v>
      </c>
      <c r="B471" s="3" t="str">
        <f t="shared" si="25"/>
        <v>1月</v>
      </c>
      <c r="C471" s="4" t="str">
        <f t="shared" si="26"/>
        <v>W3</v>
      </c>
      <c r="D471" s="2" t="s">
        <v>750</v>
      </c>
      <c r="E471" s="2" t="s">
        <v>817</v>
      </c>
      <c r="F471" s="2" t="str" cm="1">
        <f t="array" ref="F471">INDEX(_xlfn.TEXTSPLIT(E471,"-"),2)</f>
        <v>男装</v>
      </c>
      <c r="G471" s="2" t="str" cm="1">
        <f t="array" ref="G471">INDEX(_xlfn.TEXTSPLIT(E471,"-"),3)</f>
        <v>棉裤</v>
      </c>
      <c r="H471" s="5">
        <v>24066</v>
      </c>
      <c r="I471" s="5">
        <v>1804494.53</v>
      </c>
      <c r="J471" s="6">
        <v>0.0023</v>
      </c>
      <c r="K471" s="6">
        <v>-0.1664</v>
      </c>
    </row>
    <row r="472" ht="14.5" spans="1:11">
      <c r="A472" s="3" t="str">
        <f t="shared" si="24"/>
        <v>2026年</v>
      </c>
      <c r="B472" s="3" t="str">
        <f t="shared" si="25"/>
        <v>1月</v>
      </c>
      <c r="C472" s="4" t="str">
        <f t="shared" si="26"/>
        <v>W3</v>
      </c>
      <c r="D472" s="2" t="s">
        <v>750</v>
      </c>
      <c r="E472" s="2" t="s">
        <v>818</v>
      </c>
      <c r="F472" s="2" t="str" cm="1">
        <f t="array" ref="F472">INDEX(_xlfn.TEXTSPLIT(E472,"-"),2)</f>
        <v>男装</v>
      </c>
      <c r="G472" s="2" t="str" cm="1">
        <f t="array" ref="G472">INDEX(_xlfn.TEXTSPLIT(E472,"-"),3)</f>
        <v>毛呢大衣</v>
      </c>
      <c r="H472" s="5">
        <v>43204</v>
      </c>
      <c r="I472" s="5">
        <v>20572783.3</v>
      </c>
      <c r="J472" s="6">
        <v>0.0258</v>
      </c>
      <c r="K472" s="6">
        <v>0.0635</v>
      </c>
    </row>
    <row r="473" ht="14.5" spans="1:11">
      <c r="A473" s="3" t="str">
        <f t="shared" si="24"/>
        <v>2026年</v>
      </c>
      <c r="B473" s="3" t="str">
        <f t="shared" si="25"/>
        <v>1月</v>
      </c>
      <c r="C473" s="4" t="str">
        <f t="shared" si="26"/>
        <v>W3</v>
      </c>
      <c r="D473" s="2" t="s">
        <v>750</v>
      </c>
      <c r="E473" s="2" t="s">
        <v>819</v>
      </c>
      <c r="F473" s="2" t="str" cm="1">
        <f t="array" ref="F473">INDEX(_xlfn.TEXTSPLIT(E473,"-"),2)</f>
        <v>男装</v>
      </c>
      <c r="G473" s="2" t="str" cm="1">
        <f t="array" ref="G473">INDEX(_xlfn.TEXTSPLIT(E473,"-"),3)</f>
        <v>民族服装</v>
      </c>
      <c r="H473" s="5">
        <v>6094</v>
      </c>
      <c r="I473" s="5">
        <v>1446096.87</v>
      </c>
      <c r="J473" s="6">
        <v>0.0018</v>
      </c>
      <c r="K473" s="6">
        <v>-0.0606</v>
      </c>
    </row>
    <row r="474" ht="14.5" spans="1:11">
      <c r="A474" s="3" t="str">
        <f t="shared" si="24"/>
        <v>2026年</v>
      </c>
      <c r="B474" s="3" t="str">
        <f t="shared" si="25"/>
        <v>1月</v>
      </c>
      <c r="C474" s="4" t="str">
        <f t="shared" si="26"/>
        <v>W3</v>
      </c>
      <c r="D474" s="2" t="s">
        <v>750</v>
      </c>
      <c r="E474" s="2" t="s">
        <v>820</v>
      </c>
      <c r="F474" s="2" t="str" cm="1">
        <f t="array" ref="F474">INDEX(_xlfn.TEXTSPLIT(E474,"-"),2)</f>
        <v>男装</v>
      </c>
      <c r="G474" s="2" t="str" cm="1">
        <f t="array" ref="G474">INDEX(_xlfn.TEXTSPLIT(E474,"-"),3)</f>
        <v>派克服</v>
      </c>
      <c r="H474" s="5">
        <v>12311</v>
      </c>
      <c r="I474" s="5">
        <v>2558800.62</v>
      </c>
      <c r="J474" s="6">
        <v>0.0032</v>
      </c>
      <c r="K474" s="6">
        <v>-0.1572</v>
      </c>
    </row>
    <row r="475" ht="14.5" spans="1:11">
      <c r="A475" s="3" t="str">
        <f t="shared" si="24"/>
        <v>2026年</v>
      </c>
      <c r="B475" s="3" t="str">
        <f t="shared" si="25"/>
        <v>1月</v>
      </c>
      <c r="C475" s="4" t="str">
        <f t="shared" si="26"/>
        <v>W3</v>
      </c>
      <c r="D475" s="2" t="s">
        <v>750</v>
      </c>
      <c r="E475" s="2" t="s">
        <v>821</v>
      </c>
      <c r="F475" s="2" t="str" cm="1">
        <f t="array" ref="F475">INDEX(_xlfn.TEXTSPLIT(E475,"-"),2)</f>
        <v>男装</v>
      </c>
      <c r="G475" s="2" t="str" cm="1">
        <f t="array" ref="G475">INDEX(_xlfn.TEXTSPLIT(E475,"-"),3)</f>
        <v>牛仔裤</v>
      </c>
      <c r="H475" s="5">
        <v>564806</v>
      </c>
      <c r="I475" s="5">
        <v>65529163.83</v>
      </c>
      <c r="J475" s="6">
        <v>0.0822</v>
      </c>
      <c r="K475" s="6">
        <v>0.0287</v>
      </c>
    </row>
    <row r="476" ht="14.5" spans="1:11">
      <c r="A476" s="3" t="str">
        <f t="shared" si="24"/>
        <v>2026年</v>
      </c>
      <c r="B476" s="3" t="str">
        <f t="shared" si="25"/>
        <v>1月</v>
      </c>
      <c r="C476" s="4" t="str">
        <f t="shared" si="26"/>
        <v>W3</v>
      </c>
      <c r="D476" s="2" t="s">
        <v>750</v>
      </c>
      <c r="E476" s="2" t="s">
        <v>822</v>
      </c>
      <c r="F476" s="2" t="str" cm="1">
        <f t="array" ref="F476">INDEX(_xlfn.TEXTSPLIT(E476,"-"),2)</f>
        <v>男装</v>
      </c>
      <c r="G476" s="2" t="str" cm="1">
        <f t="array" ref="G476">INDEX(_xlfn.TEXTSPLIT(E476,"-"),3)</f>
        <v>皮草</v>
      </c>
      <c r="H476" s="5">
        <v>5468</v>
      </c>
      <c r="I476" s="5">
        <v>7581628.41</v>
      </c>
      <c r="J476" s="6">
        <v>0.0095</v>
      </c>
      <c r="K476" s="6">
        <v>-0.1312</v>
      </c>
    </row>
    <row r="477" ht="14.5" spans="1:11">
      <c r="A477" s="3" t="str">
        <f t="shared" si="24"/>
        <v>2026年</v>
      </c>
      <c r="B477" s="3" t="str">
        <f t="shared" si="25"/>
        <v>1月</v>
      </c>
      <c r="C477" s="4" t="str">
        <f t="shared" si="26"/>
        <v>W3</v>
      </c>
      <c r="D477" s="2" t="s">
        <v>750</v>
      </c>
      <c r="E477" s="2" t="s">
        <v>823</v>
      </c>
      <c r="F477" s="2" t="str" cm="1">
        <f t="array" ref="F477">INDEX(_xlfn.TEXTSPLIT(E477,"-"),2)</f>
        <v>男装</v>
      </c>
      <c r="G477" s="2" t="str" cm="1">
        <f t="array" ref="G477">INDEX(_xlfn.TEXTSPLIT(E477,"-"),3)</f>
        <v>皮衣</v>
      </c>
      <c r="H477" s="5">
        <v>54094</v>
      </c>
      <c r="I477" s="5">
        <v>24372976.03</v>
      </c>
      <c r="J477" s="6">
        <v>0.0306</v>
      </c>
      <c r="K477" s="6">
        <v>-0.0365</v>
      </c>
    </row>
    <row r="478" ht="14.5" spans="1:11">
      <c r="A478" s="3" t="str">
        <f t="shared" si="24"/>
        <v>2026年</v>
      </c>
      <c r="B478" s="3" t="str">
        <f t="shared" si="25"/>
        <v>1月</v>
      </c>
      <c r="C478" s="4" t="str">
        <f t="shared" si="26"/>
        <v>W3</v>
      </c>
      <c r="D478" s="2" t="s">
        <v>750</v>
      </c>
      <c r="E478" s="2" t="s">
        <v>824</v>
      </c>
      <c r="F478" s="2" t="str" cm="1">
        <f t="array" ref="F478">INDEX(_xlfn.TEXTSPLIT(E478,"-"),2)</f>
        <v>男装</v>
      </c>
      <c r="G478" s="2" t="str" cm="1">
        <f t="array" ref="G478">INDEX(_xlfn.TEXTSPLIT(E478,"-"),3)</f>
        <v>皮裤</v>
      </c>
      <c r="H478" s="5">
        <v>2812</v>
      </c>
      <c r="I478" s="5">
        <v>354599</v>
      </c>
      <c r="J478" s="6">
        <v>0.0004</v>
      </c>
      <c r="K478" s="6">
        <v>-0.086</v>
      </c>
    </row>
    <row r="479" ht="14.5" spans="1:11">
      <c r="A479" s="3" t="str">
        <f t="shared" si="24"/>
        <v>2026年</v>
      </c>
      <c r="B479" s="3" t="str">
        <f t="shared" si="25"/>
        <v>1月</v>
      </c>
      <c r="C479" s="4" t="str">
        <f t="shared" si="26"/>
        <v>W3</v>
      </c>
      <c r="D479" s="2" t="s">
        <v>750</v>
      </c>
      <c r="E479" s="2" t="s">
        <v>825</v>
      </c>
      <c r="F479" s="2" t="str" cm="1">
        <f t="array" ref="F479">INDEX(_xlfn.TEXTSPLIT(E479,"-"),2)</f>
        <v>男装</v>
      </c>
      <c r="G479" s="2" t="str" cm="1">
        <f t="array" ref="G479">INDEX(_xlfn.TEXTSPLIT(E479,"-"),3)</f>
        <v>短外套</v>
      </c>
      <c r="H479" s="5">
        <v>41272</v>
      </c>
      <c r="I479" s="5">
        <v>3888018.26</v>
      </c>
      <c r="J479" s="6">
        <v>0.0049</v>
      </c>
      <c r="K479" s="6">
        <v>-0.0556</v>
      </c>
    </row>
    <row r="480" ht="14.5" spans="1:11">
      <c r="A480" s="3" t="str">
        <f t="shared" si="24"/>
        <v>2026年</v>
      </c>
      <c r="B480" s="3" t="str">
        <f t="shared" si="25"/>
        <v>1月</v>
      </c>
      <c r="C480" s="4" t="str">
        <f t="shared" si="26"/>
        <v>W3</v>
      </c>
      <c r="D480" s="2" t="s">
        <v>750</v>
      </c>
      <c r="E480" s="2" t="s">
        <v>826</v>
      </c>
      <c r="F480" s="2" t="str" cm="1">
        <f t="array" ref="F480">INDEX(_xlfn.TEXTSPLIT(E480,"-"),2)</f>
        <v>男装</v>
      </c>
      <c r="G480" s="2" t="str" cm="1">
        <f t="array" ref="G480">INDEX(_xlfn.TEXTSPLIT(E480,"-"),3)</f>
        <v>短裤</v>
      </c>
      <c r="H480" s="5">
        <v>48877</v>
      </c>
      <c r="I480" s="5">
        <v>1574291.6</v>
      </c>
      <c r="J480" s="6">
        <v>0.002</v>
      </c>
      <c r="K480" s="6">
        <v>0.0999</v>
      </c>
    </row>
    <row r="481" ht="14.5" spans="1:11">
      <c r="A481" s="3" t="str">
        <f t="shared" si="24"/>
        <v>2026年</v>
      </c>
      <c r="B481" s="3" t="str">
        <f t="shared" si="25"/>
        <v>1月</v>
      </c>
      <c r="C481" s="4" t="str">
        <f t="shared" si="26"/>
        <v>W3</v>
      </c>
      <c r="D481" s="2" t="s">
        <v>750</v>
      </c>
      <c r="E481" s="2" t="s">
        <v>827</v>
      </c>
      <c r="F481" s="2" t="str" cm="1">
        <f t="array" ref="F481">INDEX(_xlfn.TEXTSPLIT(E481,"-"),2)</f>
        <v>男装</v>
      </c>
      <c r="G481" s="2" t="str" cm="1">
        <f t="array" ref="G481">INDEX(_xlfn.TEXTSPLIT(E481,"-"),3)</f>
        <v>紧身衣</v>
      </c>
      <c r="H481" s="5">
        <v>81</v>
      </c>
      <c r="I481" s="5">
        <v>3269</v>
      </c>
      <c r="J481" s="2" t="s">
        <v>713</v>
      </c>
      <c r="K481" s="6">
        <v>-0.3478</v>
      </c>
    </row>
    <row r="482" ht="14.5" spans="1:11">
      <c r="A482" s="3" t="str">
        <f t="shared" si="24"/>
        <v>2026年</v>
      </c>
      <c r="B482" s="3" t="str">
        <f t="shared" si="25"/>
        <v>1月</v>
      </c>
      <c r="C482" s="4" t="str">
        <f t="shared" si="26"/>
        <v>W3</v>
      </c>
      <c r="D482" s="2" t="s">
        <v>750</v>
      </c>
      <c r="E482" s="2" t="s">
        <v>828</v>
      </c>
      <c r="F482" s="2" t="str" cm="1">
        <f t="array" ref="F482">INDEX(_xlfn.TEXTSPLIT(E482,"-"),2)</f>
        <v>男装</v>
      </c>
      <c r="G482" s="2" t="str" cm="1">
        <f t="array" ref="G482">INDEX(_xlfn.TEXTSPLIT(E482,"-"),3)</f>
        <v>羊毛衫</v>
      </c>
      <c r="H482" s="5">
        <v>120653</v>
      </c>
      <c r="I482" s="5">
        <v>18390828.04</v>
      </c>
      <c r="J482" s="6">
        <v>0.0231</v>
      </c>
      <c r="K482" s="6">
        <v>-0.0281</v>
      </c>
    </row>
    <row r="483" ht="14.5" spans="1:11">
      <c r="A483" s="3" t="str">
        <f t="shared" si="24"/>
        <v>2026年</v>
      </c>
      <c r="B483" s="3" t="str">
        <f t="shared" si="25"/>
        <v>1月</v>
      </c>
      <c r="C483" s="4" t="str">
        <f t="shared" si="26"/>
        <v>W3</v>
      </c>
      <c r="D483" s="2" t="s">
        <v>750</v>
      </c>
      <c r="E483" s="2" t="s">
        <v>829</v>
      </c>
      <c r="F483" s="2" t="str" cm="1">
        <f t="array" ref="F483">INDEX(_xlfn.TEXTSPLIT(E483,"-"),2)</f>
        <v>男装</v>
      </c>
      <c r="G483" s="2" t="str" cm="1">
        <f t="array" ref="G483">INDEX(_xlfn.TEXTSPLIT(E483,"-"),3)</f>
        <v>羊绒衫</v>
      </c>
      <c r="H483" s="5">
        <v>23407</v>
      </c>
      <c r="I483" s="5">
        <v>7638123.51</v>
      </c>
      <c r="J483" s="6">
        <v>0.0096</v>
      </c>
      <c r="K483" s="6">
        <v>0.0736</v>
      </c>
    </row>
    <row r="484" ht="14.5" spans="1:11">
      <c r="A484" s="3" t="str">
        <f t="shared" si="24"/>
        <v>2026年</v>
      </c>
      <c r="B484" s="3" t="str">
        <f t="shared" si="25"/>
        <v>1月</v>
      </c>
      <c r="C484" s="4" t="str">
        <f t="shared" si="26"/>
        <v>W3</v>
      </c>
      <c r="D484" s="2" t="s">
        <v>750</v>
      </c>
      <c r="E484" s="2" t="s">
        <v>830</v>
      </c>
      <c r="F484" s="2" t="str" cm="1">
        <f t="array" ref="F484">INDEX(_xlfn.TEXTSPLIT(E484,"-"),2)</f>
        <v>男装</v>
      </c>
      <c r="G484" s="2" t="str" cm="1">
        <f t="array" ref="G484">INDEX(_xlfn.TEXTSPLIT(E484,"-"),3)</f>
        <v>羽绒服</v>
      </c>
      <c r="H484" s="5">
        <v>595177</v>
      </c>
      <c r="I484" s="5">
        <v>215652718.05</v>
      </c>
      <c r="J484" s="6">
        <v>0.2705</v>
      </c>
      <c r="K484" s="6">
        <v>-0.1347</v>
      </c>
    </row>
    <row r="485" ht="14.5" spans="1:11">
      <c r="A485" s="3" t="str">
        <f t="shared" si="24"/>
        <v>2026年</v>
      </c>
      <c r="B485" s="3" t="str">
        <f t="shared" si="25"/>
        <v>1月</v>
      </c>
      <c r="C485" s="4" t="str">
        <f t="shared" si="26"/>
        <v>W3</v>
      </c>
      <c r="D485" s="2" t="s">
        <v>750</v>
      </c>
      <c r="E485" s="2" t="s">
        <v>831</v>
      </c>
      <c r="F485" s="2" t="str" cm="1">
        <f t="array" ref="F485">INDEX(_xlfn.TEXTSPLIT(E485,"-"),2)</f>
        <v>男装</v>
      </c>
      <c r="G485" s="2" t="str" cm="1">
        <f t="array" ref="G485">INDEX(_xlfn.TEXTSPLIT(E485,"-"),3)</f>
        <v>羽绒裤</v>
      </c>
      <c r="H485" s="5">
        <v>12928</v>
      </c>
      <c r="I485" s="5">
        <v>1990584.8</v>
      </c>
      <c r="J485" s="6">
        <v>0.0025</v>
      </c>
      <c r="K485" s="6">
        <v>-0.1235</v>
      </c>
    </row>
    <row r="486" ht="14.5" spans="1:11">
      <c r="A486" s="3" t="str">
        <f t="shared" si="24"/>
        <v>2026年</v>
      </c>
      <c r="B486" s="3" t="str">
        <f t="shared" si="25"/>
        <v>1月</v>
      </c>
      <c r="C486" s="4" t="str">
        <f t="shared" si="26"/>
        <v>W3</v>
      </c>
      <c r="D486" s="2" t="s">
        <v>750</v>
      </c>
      <c r="E486" s="2" t="s">
        <v>832</v>
      </c>
      <c r="F486" s="2" t="str" cm="1">
        <f t="array" ref="F486">INDEX(_xlfn.TEXTSPLIT(E486,"-"),2)</f>
        <v>男装</v>
      </c>
      <c r="G486" s="2" t="str" cm="1">
        <f t="array" ref="G486">INDEX(_xlfn.TEXTSPLIT(E486,"-"),3)</f>
        <v>羽绒马甲</v>
      </c>
      <c r="H486" s="5">
        <v>13180</v>
      </c>
      <c r="I486" s="5">
        <v>2889508.61</v>
      </c>
      <c r="J486" s="6">
        <v>0.0036</v>
      </c>
      <c r="K486" s="6">
        <v>-0.2012</v>
      </c>
    </row>
    <row r="487" ht="14.5" spans="1:11">
      <c r="A487" s="3" t="str">
        <f t="shared" si="24"/>
        <v>2026年</v>
      </c>
      <c r="B487" s="3" t="str">
        <f t="shared" si="25"/>
        <v>1月</v>
      </c>
      <c r="C487" s="4" t="str">
        <f t="shared" si="26"/>
        <v>W3</v>
      </c>
      <c r="D487" s="2" t="s">
        <v>750</v>
      </c>
      <c r="E487" s="2" t="s">
        <v>833</v>
      </c>
      <c r="F487" s="2" t="str" cm="1">
        <f t="array" ref="F487">INDEX(_xlfn.TEXTSPLIT(E487,"-"),2)</f>
        <v>男装</v>
      </c>
      <c r="G487" s="2" t="str" cm="1">
        <f t="array" ref="G487">INDEX(_xlfn.TEXTSPLIT(E487,"-"),3)</f>
        <v>背心</v>
      </c>
      <c r="H487" s="5">
        <v>42009</v>
      </c>
      <c r="I487" s="5">
        <v>2527484.28</v>
      </c>
      <c r="J487" s="6">
        <v>0.0032</v>
      </c>
      <c r="K487" s="6">
        <v>0.0076</v>
      </c>
    </row>
    <row r="488" ht="14.5" spans="1:11">
      <c r="A488" s="3" t="str">
        <f t="shared" si="24"/>
        <v>2026年</v>
      </c>
      <c r="B488" s="3" t="str">
        <f t="shared" si="25"/>
        <v>1月</v>
      </c>
      <c r="C488" s="4" t="str">
        <f t="shared" si="26"/>
        <v>W3</v>
      </c>
      <c r="D488" s="2" t="s">
        <v>750</v>
      </c>
      <c r="E488" s="2" t="s">
        <v>834</v>
      </c>
      <c r="F488" s="2" t="str" cm="1">
        <f t="array" ref="F488">INDEX(_xlfn.TEXTSPLIT(E488,"-"),2)</f>
        <v>男装</v>
      </c>
      <c r="G488" s="2" t="str" cm="1">
        <f t="array" ref="G488">INDEX(_xlfn.TEXTSPLIT(E488,"-"),3)</f>
        <v>衬衫</v>
      </c>
      <c r="H488" s="5">
        <v>84187</v>
      </c>
      <c r="I488" s="5">
        <v>10946684.37</v>
      </c>
      <c r="J488" s="6">
        <v>0.0137</v>
      </c>
      <c r="K488" s="6">
        <v>0.1107</v>
      </c>
    </row>
    <row r="489" ht="14.5" spans="1:11">
      <c r="A489" s="3" t="str">
        <f t="shared" si="24"/>
        <v>2026年</v>
      </c>
      <c r="B489" s="3" t="str">
        <f t="shared" si="25"/>
        <v>1月</v>
      </c>
      <c r="C489" s="4" t="str">
        <f t="shared" si="26"/>
        <v>W3</v>
      </c>
      <c r="D489" s="2" t="s">
        <v>750</v>
      </c>
      <c r="E489" s="2" t="s">
        <v>835</v>
      </c>
      <c r="F489" s="2" t="str" cm="1">
        <f t="array" ref="F489">INDEX(_xlfn.TEXTSPLIT(E489,"-"),2)</f>
        <v>男装</v>
      </c>
      <c r="G489" s="2" t="str" cm="1">
        <f t="array" ref="G489">INDEX(_xlfn.TEXTSPLIT(E489,"-"),3)</f>
        <v>西服</v>
      </c>
      <c r="H489" s="5">
        <v>78217</v>
      </c>
      <c r="I489" s="5">
        <v>16924684.82</v>
      </c>
      <c r="J489" s="6">
        <v>0.0212</v>
      </c>
      <c r="K489" s="6">
        <v>-0.0282</v>
      </c>
    </row>
    <row r="490" ht="14.5" spans="1:11">
      <c r="A490" s="3" t="str">
        <f t="shared" si="24"/>
        <v>2026年</v>
      </c>
      <c r="B490" s="3" t="str">
        <f t="shared" si="25"/>
        <v>1月</v>
      </c>
      <c r="C490" s="4" t="str">
        <f t="shared" si="26"/>
        <v>W3</v>
      </c>
      <c r="D490" s="2" t="s">
        <v>750</v>
      </c>
      <c r="E490" s="2" t="s">
        <v>836</v>
      </c>
      <c r="F490" s="2" t="str" cm="1">
        <f t="array" ref="F490">INDEX(_xlfn.TEXTSPLIT(E490,"-"),2)</f>
        <v>男装</v>
      </c>
      <c r="G490" s="2" t="str" cm="1">
        <f t="array" ref="G490">INDEX(_xlfn.TEXTSPLIT(E490,"-"),3)</f>
        <v>连体衣/裤</v>
      </c>
      <c r="H490" s="5">
        <v>642</v>
      </c>
      <c r="I490" s="5">
        <v>20176.92</v>
      </c>
      <c r="J490" s="2" t="s">
        <v>713</v>
      </c>
      <c r="K490" s="6">
        <v>-0.2279</v>
      </c>
    </row>
    <row r="491" ht="14.5" spans="1:11">
      <c r="A491" s="3" t="str">
        <f t="shared" si="24"/>
        <v>2026年</v>
      </c>
      <c r="B491" s="3" t="str">
        <f t="shared" si="25"/>
        <v>1月</v>
      </c>
      <c r="C491" s="4" t="str">
        <f t="shared" si="26"/>
        <v>W3</v>
      </c>
      <c r="D491" s="2" t="s">
        <v>750</v>
      </c>
      <c r="E491" s="2" t="s">
        <v>837</v>
      </c>
      <c r="F491" s="2" t="str" cm="1">
        <f t="array" ref="F491">INDEX(_xlfn.TEXTSPLIT(E491,"-"),2)</f>
        <v>男装</v>
      </c>
      <c r="G491" s="2" t="str" cm="1">
        <f t="array" ref="G491">INDEX(_xlfn.TEXTSPLIT(E491,"-"),3)</f>
        <v>速干/三防T恤</v>
      </c>
      <c r="H491" s="5">
        <v>753</v>
      </c>
      <c r="I491" s="5">
        <v>53268.21</v>
      </c>
      <c r="J491" s="6">
        <v>0.0001</v>
      </c>
      <c r="K491" s="6">
        <v>0.3479</v>
      </c>
    </row>
    <row r="492" ht="14.5" spans="1:11">
      <c r="A492" s="3" t="str">
        <f t="shared" si="24"/>
        <v>2026年</v>
      </c>
      <c r="B492" s="3" t="str">
        <f t="shared" si="25"/>
        <v>1月</v>
      </c>
      <c r="C492" s="4" t="str">
        <f t="shared" si="26"/>
        <v>W3</v>
      </c>
      <c r="D492" s="2" t="s">
        <v>750</v>
      </c>
      <c r="E492" s="2" t="s">
        <v>838</v>
      </c>
      <c r="F492" s="2" t="str" cm="1">
        <f t="array" ref="F492">INDEX(_xlfn.TEXTSPLIT(E492,"-"),2)</f>
        <v>男装</v>
      </c>
      <c r="G492" s="2" t="str" cm="1">
        <f t="array" ref="G492">INDEX(_xlfn.TEXTSPLIT(E492,"-"),3)</f>
        <v>针织衫/毛衣</v>
      </c>
      <c r="H492" s="5">
        <v>345052</v>
      </c>
      <c r="I492" s="5">
        <v>42134101.55</v>
      </c>
      <c r="J492" s="6">
        <v>0.0529</v>
      </c>
      <c r="K492" s="6">
        <v>-0.0782</v>
      </c>
    </row>
    <row r="493" ht="14.5" spans="1:11">
      <c r="A493" s="3" t="str">
        <f t="shared" si="24"/>
        <v>2026年</v>
      </c>
      <c r="B493" s="3" t="str">
        <f t="shared" si="25"/>
        <v>1月</v>
      </c>
      <c r="C493" s="4" t="str">
        <f t="shared" si="26"/>
        <v>W3</v>
      </c>
      <c r="D493" s="2" t="s">
        <v>750</v>
      </c>
      <c r="E493" s="2" t="s">
        <v>839</v>
      </c>
      <c r="F493" s="2" t="str" cm="1">
        <f t="array" ref="F493">INDEX(_xlfn.TEXTSPLIT(E493,"-"),2)</f>
        <v>男装</v>
      </c>
      <c r="G493" s="2" t="str" cm="1">
        <f t="array" ref="G493">INDEX(_xlfn.TEXTSPLIT(E493,"-"),3)</f>
        <v>防晒服</v>
      </c>
      <c r="H493" s="5">
        <v>158</v>
      </c>
      <c r="I493" s="5">
        <v>13214.61</v>
      </c>
      <c r="J493" s="2" t="s">
        <v>713</v>
      </c>
      <c r="K493" s="6">
        <v>-0.0035</v>
      </c>
    </row>
    <row r="494" ht="14.5" spans="1:11">
      <c r="A494" s="3" t="str">
        <f t="shared" si="24"/>
        <v>2026年</v>
      </c>
      <c r="B494" s="3" t="str">
        <f t="shared" si="25"/>
        <v>1月</v>
      </c>
      <c r="C494" s="4" t="str">
        <f t="shared" si="26"/>
        <v>W3</v>
      </c>
      <c r="D494" s="2" t="s">
        <v>750</v>
      </c>
      <c r="E494" s="2" t="s">
        <v>840</v>
      </c>
      <c r="F494" s="2" t="str" cm="1">
        <f t="array" ref="F494">INDEX(_xlfn.TEXTSPLIT(E494,"-"),2)</f>
        <v>男装</v>
      </c>
      <c r="G494" s="2" t="str" cm="1">
        <f t="array" ref="G494">INDEX(_xlfn.TEXTSPLIT(E494,"-"),3)</f>
        <v>风衣</v>
      </c>
      <c r="H494" s="5">
        <v>4885</v>
      </c>
      <c r="I494" s="5">
        <v>1714479.29</v>
      </c>
      <c r="J494" s="6">
        <v>0.0022</v>
      </c>
      <c r="K494" s="6">
        <v>-0.2142</v>
      </c>
    </row>
    <row r="495" ht="14.5" spans="1:11">
      <c r="A495" s="3" t="str">
        <f t="shared" si="24"/>
        <v>2026年</v>
      </c>
      <c r="B495" s="3" t="str">
        <f t="shared" si="25"/>
        <v>1月</v>
      </c>
      <c r="C495" s="4" t="str">
        <f t="shared" si="26"/>
        <v>W3</v>
      </c>
      <c r="D495" s="2" t="s">
        <v>750</v>
      </c>
      <c r="E495" s="2" t="s">
        <v>841</v>
      </c>
      <c r="F495" s="2" t="str" cm="1">
        <f t="array" ref="F495">INDEX(_xlfn.TEXTSPLIT(E495,"-"),2)</f>
        <v>男装</v>
      </c>
      <c r="G495" s="2" t="str" cm="1">
        <f t="array" ref="G495">INDEX(_xlfn.TEXTSPLIT(E495,"-"),3)</f>
        <v>马甲</v>
      </c>
      <c r="H495" s="5">
        <v>60160</v>
      </c>
      <c r="I495" s="5">
        <v>5112786.6</v>
      </c>
      <c r="J495" s="6">
        <v>0.0064</v>
      </c>
      <c r="K495" s="6">
        <v>0.0799</v>
      </c>
    </row>
    <row r="496" ht="14.5" spans="1:11">
      <c r="A496" s="3" t="str">
        <f t="shared" si="24"/>
        <v>2026年</v>
      </c>
      <c r="B496" s="3" t="str">
        <f t="shared" si="25"/>
        <v>1月</v>
      </c>
      <c r="C496" s="4" t="str">
        <f t="shared" si="26"/>
        <v>W3</v>
      </c>
      <c r="D496" s="2" t="s">
        <v>751</v>
      </c>
      <c r="E496" s="2" t="s">
        <v>804</v>
      </c>
      <c r="F496" s="2" t="str" cm="1">
        <f t="array" ref="F496">INDEX(_xlfn.TEXTSPLIT(E496,"-"),2)</f>
        <v>男装</v>
      </c>
      <c r="G496" s="2" t="str" cm="1">
        <f t="array" ref="G496">INDEX(_xlfn.TEXTSPLIT(E496,"-"),3)</f>
        <v>Polo衫</v>
      </c>
      <c r="H496" s="5">
        <v>40479</v>
      </c>
      <c r="I496" s="5">
        <v>3712080.17</v>
      </c>
      <c r="J496" s="6">
        <v>0.0047</v>
      </c>
      <c r="K496" s="6">
        <v>0.0108</v>
      </c>
    </row>
    <row r="497" ht="14.5" spans="1:11">
      <c r="A497" s="3" t="str">
        <f t="shared" si="24"/>
        <v>2026年</v>
      </c>
      <c r="B497" s="3" t="str">
        <f t="shared" si="25"/>
        <v>1月</v>
      </c>
      <c r="C497" s="4" t="str">
        <f t="shared" si="26"/>
        <v>W3</v>
      </c>
      <c r="D497" s="2" t="s">
        <v>751</v>
      </c>
      <c r="E497" s="2" t="s">
        <v>805</v>
      </c>
      <c r="F497" s="2" t="str" cm="1">
        <f t="array" ref="F497">INDEX(_xlfn.TEXTSPLIT(E497,"-"),2)</f>
        <v>男装</v>
      </c>
      <c r="G497" s="2" t="str" cm="1">
        <f t="array" ref="G497">INDEX(_xlfn.TEXTSPLIT(E497,"-"),3)</f>
        <v>T恤</v>
      </c>
      <c r="H497" s="5">
        <v>341090</v>
      </c>
      <c r="I497" s="5">
        <v>27743565.56</v>
      </c>
      <c r="J497" s="6">
        <v>0.0352</v>
      </c>
      <c r="K497" s="6">
        <v>-0.0058</v>
      </c>
    </row>
    <row r="498" ht="14.5" spans="1:11">
      <c r="A498" s="3" t="str">
        <f t="shared" si="24"/>
        <v>2026年</v>
      </c>
      <c r="B498" s="3" t="str">
        <f t="shared" si="25"/>
        <v>1月</v>
      </c>
      <c r="C498" s="4" t="str">
        <f t="shared" si="26"/>
        <v>W3</v>
      </c>
      <c r="D498" s="2" t="s">
        <v>751</v>
      </c>
      <c r="E498" s="2" t="s">
        <v>806</v>
      </c>
      <c r="F498" s="2" t="str" cm="1">
        <f t="array" ref="F498">INDEX(_xlfn.TEXTSPLIT(E498,"-"),2)</f>
        <v>男装</v>
      </c>
      <c r="G498" s="2" t="str" cm="1">
        <f t="array" ref="G498">INDEX(_xlfn.TEXTSPLIT(E498,"-"),3)</f>
        <v>中老年男装</v>
      </c>
      <c r="H498" s="5">
        <v>120342</v>
      </c>
      <c r="I498" s="5">
        <v>19658121.12</v>
      </c>
      <c r="J498" s="6">
        <v>0.025</v>
      </c>
      <c r="K498" s="6">
        <v>0.4731</v>
      </c>
    </row>
    <row r="499" ht="14.5" spans="1:11">
      <c r="A499" s="3" t="str">
        <f t="shared" si="24"/>
        <v>2026年</v>
      </c>
      <c r="B499" s="3" t="str">
        <f t="shared" si="25"/>
        <v>1月</v>
      </c>
      <c r="C499" s="4" t="str">
        <f t="shared" si="26"/>
        <v>W3</v>
      </c>
      <c r="D499" s="2" t="s">
        <v>751</v>
      </c>
      <c r="E499" s="2" t="s">
        <v>807</v>
      </c>
      <c r="F499" s="2" t="str" cm="1">
        <f t="array" ref="F499">INDEX(_xlfn.TEXTSPLIT(E499,"-"),2)</f>
        <v>男装</v>
      </c>
      <c r="G499" s="2" t="str" cm="1">
        <f t="array" ref="G499">INDEX(_xlfn.TEXTSPLIT(E499,"-"),3)</f>
        <v>休闲裤</v>
      </c>
      <c r="H499" s="5">
        <v>854433</v>
      </c>
      <c r="I499" s="5">
        <v>92424927.19</v>
      </c>
      <c r="J499" s="6">
        <v>0.1173</v>
      </c>
      <c r="K499" s="6">
        <v>0.0083</v>
      </c>
    </row>
    <row r="500" ht="14.5" spans="1:11">
      <c r="A500" s="3" t="str">
        <f t="shared" si="24"/>
        <v>2026年</v>
      </c>
      <c r="B500" s="3" t="str">
        <f t="shared" si="25"/>
        <v>1月</v>
      </c>
      <c r="C500" s="4" t="str">
        <f t="shared" si="26"/>
        <v>W3</v>
      </c>
      <c r="D500" s="2" t="s">
        <v>751</v>
      </c>
      <c r="E500" s="2" t="s">
        <v>808</v>
      </c>
      <c r="F500" s="2" t="str" cm="1">
        <f t="array" ref="F500">INDEX(_xlfn.TEXTSPLIT(E500,"-"),2)</f>
        <v>男装</v>
      </c>
      <c r="G500" s="2" t="str" cm="1">
        <f t="array" ref="G500">INDEX(_xlfn.TEXTSPLIT(E500,"-"),3)</f>
        <v>卫衣</v>
      </c>
      <c r="H500" s="5">
        <v>587718</v>
      </c>
      <c r="I500" s="5">
        <v>50589682.08</v>
      </c>
      <c r="J500" s="6">
        <v>0.0642</v>
      </c>
      <c r="K500" s="6">
        <v>-0.0002</v>
      </c>
    </row>
    <row r="501" ht="14.5" spans="1:11">
      <c r="A501" s="3" t="str">
        <f t="shared" si="24"/>
        <v>2026年</v>
      </c>
      <c r="B501" s="3" t="str">
        <f t="shared" si="25"/>
        <v>1月</v>
      </c>
      <c r="C501" s="4" t="str">
        <f t="shared" si="26"/>
        <v>W3</v>
      </c>
      <c r="D501" s="2" t="s">
        <v>751</v>
      </c>
      <c r="E501" s="2" t="s">
        <v>809</v>
      </c>
      <c r="F501" s="2" t="str" cm="1">
        <f t="array" ref="F501">INDEX(_xlfn.TEXTSPLIT(E501,"-"),2)</f>
        <v>男装</v>
      </c>
      <c r="G501" s="2" t="str" cm="1">
        <f t="array" ref="G501">INDEX(_xlfn.TEXTSPLIT(E501,"-"),3)</f>
        <v>卫裤</v>
      </c>
      <c r="H501" s="5">
        <v>182124</v>
      </c>
      <c r="I501" s="5">
        <v>18178867.98</v>
      </c>
      <c r="J501" s="6">
        <v>0.0231</v>
      </c>
      <c r="K501" s="6">
        <v>0.0175</v>
      </c>
    </row>
    <row r="502" ht="14.5" spans="1:11">
      <c r="A502" s="3" t="str">
        <f t="shared" si="24"/>
        <v>2026年</v>
      </c>
      <c r="B502" s="3" t="str">
        <f t="shared" si="25"/>
        <v>1月</v>
      </c>
      <c r="C502" s="4" t="str">
        <f t="shared" si="26"/>
        <v>W3</v>
      </c>
      <c r="D502" s="2" t="s">
        <v>751</v>
      </c>
      <c r="E502" s="2" t="s">
        <v>810</v>
      </c>
      <c r="F502" s="2" t="str" cm="1">
        <f t="array" ref="F502">INDEX(_xlfn.TEXTSPLIT(E502,"-"),2)</f>
        <v>男装</v>
      </c>
      <c r="G502" s="2" t="str" cm="1">
        <f t="array" ref="G502">INDEX(_xlfn.TEXTSPLIT(E502,"-"),3)</f>
        <v>大码男装</v>
      </c>
      <c r="H502" s="5">
        <v>34821</v>
      </c>
      <c r="I502" s="5">
        <v>3358955.26</v>
      </c>
      <c r="J502" s="6">
        <v>0.0043</v>
      </c>
      <c r="K502" s="6">
        <v>-0.0888</v>
      </c>
    </row>
    <row r="503" ht="14.5" spans="1:11">
      <c r="A503" s="3" t="str">
        <f t="shared" si="24"/>
        <v>2026年</v>
      </c>
      <c r="B503" s="3" t="str">
        <f t="shared" si="25"/>
        <v>1月</v>
      </c>
      <c r="C503" s="4" t="str">
        <f t="shared" si="26"/>
        <v>W3</v>
      </c>
      <c r="D503" s="2" t="s">
        <v>751</v>
      </c>
      <c r="E503" s="2" t="s">
        <v>811</v>
      </c>
      <c r="F503" s="2" t="str" cm="1">
        <f t="array" ref="F503">INDEX(_xlfn.TEXTSPLIT(E503,"-"),2)</f>
        <v>男装</v>
      </c>
      <c r="G503" s="2" t="str" cm="1">
        <f t="array" ref="G503">INDEX(_xlfn.TEXTSPLIT(E503,"-"),3)</f>
        <v>夹克</v>
      </c>
      <c r="H503" s="5">
        <v>406317</v>
      </c>
      <c r="I503" s="5">
        <v>74598213.89</v>
      </c>
      <c r="J503" s="6">
        <v>0.0947</v>
      </c>
      <c r="K503" s="6">
        <v>-0.0296</v>
      </c>
    </row>
    <row r="504" ht="14.5" spans="1:11">
      <c r="A504" s="3" t="str">
        <f t="shared" si="24"/>
        <v>2026年</v>
      </c>
      <c r="B504" s="3" t="str">
        <f t="shared" si="25"/>
        <v>1月</v>
      </c>
      <c r="C504" s="4" t="str">
        <f t="shared" si="26"/>
        <v>W3</v>
      </c>
      <c r="D504" s="2" t="s">
        <v>751</v>
      </c>
      <c r="E504" s="2" t="s">
        <v>812</v>
      </c>
      <c r="F504" s="2" t="str" cm="1">
        <f t="array" ref="F504">INDEX(_xlfn.TEXTSPLIT(E504,"-"),2)</f>
        <v>男装</v>
      </c>
      <c r="G504" s="2" t="str" cm="1">
        <f t="array" ref="G504">INDEX(_xlfn.TEXTSPLIT(E504,"-"),3)</f>
        <v>套装</v>
      </c>
      <c r="H504" s="5">
        <v>40239</v>
      </c>
      <c r="I504" s="5">
        <v>6630867.16</v>
      </c>
      <c r="J504" s="6">
        <v>0.0084</v>
      </c>
      <c r="K504" s="6">
        <v>0.1387</v>
      </c>
    </row>
    <row r="505" ht="14.5" spans="1:11">
      <c r="A505" s="3" t="str">
        <f t="shared" si="24"/>
        <v>2026年</v>
      </c>
      <c r="B505" s="3" t="str">
        <f t="shared" si="25"/>
        <v>1月</v>
      </c>
      <c r="C505" s="4" t="str">
        <f t="shared" si="26"/>
        <v>W3</v>
      </c>
      <c r="D505" s="2" t="s">
        <v>751</v>
      </c>
      <c r="E505" s="2" t="s">
        <v>813</v>
      </c>
      <c r="F505" s="2" t="str" cm="1">
        <f t="array" ref="F505">INDEX(_xlfn.TEXTSPLIT(E505,"-"),2)</f>
        <v>男装</v>
      </c>
      <c r="G505" s="2" t="str" cm="1">
        <f t="array" ref="G505">INDEX(_xlfn.TEXTSPLIT(E505,"-"),3)</f>
        <v>学生校服</v>
      </c>
      <c r="H505" s="5">
        <v>65</v>
      </c>
      <c r="I505" s="5">
        <v>4630.13</v>
      </c>
      <c r="J505" s="2" t="s">
        <v>713</v>
      </c>
      <c r="K505" s="6">
        <v>-0.3458</v>
      </c>
    </row>
    <row r="506" ht="14.5" spans="1:11">
      <c r="A506" s="3" t="str">
        <f t="shared" si="24"/>
        <v>2026年</v>
      </c>
      <c r="B506" s="3" t="str">
        <f t="shared" si="25"/>
        <v>1月</v>
      </c>
      <c r="C506" s="4" t="str">
        <f t="shared" si="26"/>
        <v>W3</v>
      </c>
      <c r="D506" s="2" t="s">
        <v>751</v>
      </c>
      <c r="E506" s="2" t="s">
        <v>814</v>
      </c>
      <c r="F506" s="2" t="str" cm="1">
        <f t="array" ref="F506">INDEX(_xlfn.TEXTSPLIT(E506,"-"),2)</f>
        <v>男装</v>
      </c>
      <c r="G506" s="2" t="str" cm="1">
        <f t="array" ref="G506">INDEX(_xlfn.TEXTSPLIT(E506,"-"),3)</f>
        <v>打底衫</v>
      </c>
      <c r="H506" s="5">
        <v>17214</v>
      </c>
      <c r="I506" s="5">
        <v>1270265.12</v>
      </c>
      <c r="J506" s="6">
        <v>0.0016</v>
      </c>
      <c r="K506" s="6">
        <v>-0.1635</v>
      </c>
    </row>
    <row r="507" ht="14.5" spans="1:11">
      <c r="A507" s="3" t="str">
        <f t="shared" si="24"/>
        <v>2026年</v>
      </c>
      <c r="B507" s="3" t="str">
        <f t="shared" si="25"/>
        <v>1月</v>
      </c>
      <c r="C507" s="4" t="str">
        <f t="shared" si="26"/>
        <v>W3</v>
      </c>
      <c r="D507" s="2" t="s">
        <v>751</v>
      </c>
      <c r="E507" s="2" t="s">
        <v>815</v>
      </c>
      <c r="F507" s="2" t="str" cm="1">
        <f t="array" ref="F507">INDEX(_xlfn.TEXTSPLIT(E507,"-"),2)</f>
        <v>男装</v>
      </c>
      <c r="G507" s="2" t="str" cm="1">
        <f t="array" ref="G507">INDEX(_xlfn.TEXTSPLIT(E507,"-"),3)</f>
        <v>新中式男装</v>
      </c>
      <c r="H507" s="5">
        <v>491</v>
      </c>
      <c r="I507" s="5">
        <v>157884.11</v>
      </c>
      <c r="J507" s="6">
        <v>0.0002</v>
      </c>
      <c r="K507" s="6">
        <v>4.0102</v>
      </c>
    </row>
    <row r="508" ht="14.5" spans="1:11">
      <c r="A508" s="3" t="str">
        <f t="shared" si="24"/>
        <v>2026年</v>
      </c>
      <c r="B508" s="3" t="str">
        <f t="shared" si="25"/>
        <v>1月</v>
      </c>
      <c r="C508" s="4" t="str">
        <f t="shared" si="26"/>
        <v>W3</v>
      </c>
      <c r="D508" s="2" t="s">
        <v>751</v>
      </c>
      <c r="E508" s="2" t="s">
        <v>816</v>
      </c>
      <c r="F508" s="2" t="str" cm="1">
        <f t="array" ref="F508">INDEX(_xlfn.TEXTSPLIT(E508,"-"),2)</f>
        <v>男装</v>
      </c>
      <c r="G508" s="2" t="str" cm="1">
        <f t="array" ref="G508">INDEX(_xlfn.TEXTSPLIT(E508,"-"),3)</f>
        <v>棉衣</v>
      </c>
      <c r="H508" s="5">
        <v>347301</v>
      </c>
      <c r="I508" s="5">
        <v>46128876.88</v>
      </c>
      <c r="J508" s="6">
        <v>0.0586</v>
      </c>
      <c r="K508" s="6">
        <v>-0.0484</v>
      </c>
    </row>
    <row r="509" ht="14.5" spans="1:11">
      <c r="A509" s="3" t="str">
        <f t="shared" si="24"/>
        <v>2026年</v>
      </c>
      <c r="B509" s="3" t="str">
        <f t="shared" si="25"/>
        <v>1月</v>
      </c>
      <c r="C509" s="4" t="str">
        <f t="shared" si="26"/>
        <v>W3</v>
      </c>
      <c r="D509" s="2" t="s">
        <v>751</v>
      </c>
      <c r="E509" s="2" t="s">
        <v>817</v>
      </c>
      <c r="F509" s="2" t="str" cm="1">
        <f t="array" ref="F509">INDEX(_xlfn.TEXTSPLIT(E509,"-"),2)</f>
        <v>男装</v>
      </c>
      <c r="G509" s="2" t="str" cm="1">
        <f t="array" ref="G509">INDEX(_xlfn.TEXTSPLIT(E509,"-"),3)</f>
        <v>棉裤</v>
      </c>
      <c r="H509" s="5">
        <v>21599</v>
      </c>
      <c r="I509" s="5">
        <v>1631913.16</v>
      </c>
      <c r="J509" s="6">
        <v>0.0021</v>
      </c>
      <c r="K509" s="6">
        <v>-0.0956</v>
      </c>
    </row>
    <row r="510" ht="14.5" spans="1:11">
      <c r="A510" s="3" t="str">
        <f t="shared" si="24"/>
        <v>2026年</v>
      </c>
      <c r="B510" s="3" t="str">
        <f t="shared" si="25"/>
        <v>1月</v>
      </c>
      <c r="C510" s="4" t="str">
        <f t="shared" si="26"/>
        <v>W3</v>
      </c>
      <c r="D510" s="2" t="s">
        <v>751</v>
      </c>
      <c r="E510" s="2" t="s">
        <v>818</v>
      </c>
      <c r="F510" s="2" t="str" cm="1">
        <f t="array" ref="F510">INDEX(_xlfn.TEXTSPLIT(E510,"-"),2)</f>
        <v>男装</v>
      </c>
      <c r="G510" s="2" t="str" cm="1">
        <f t="array" ref="G510">INDEX(_xlfn.TEXTSPLIT(E510,"-"),3)</f>
        <v>毛呢大衣</v>
      </c>
      <c r="H510" s="5">
        <v>42931</v>
      </c>
      <c r="I510" s="5">
        <v>21016999.12</v>
      </c>
      <c r="J510" s="6">
        <v>0.0267</v>
      </c>
      <c r="K510" s="6">
        <v>0.0216</v>
      </c>
    </row>
    <row r="511" ht="14.5" spans="1:11">
      <c r="A511" s="3" t="str">
        <f t="shared" si="24"/>
        <v>2026年</v>
      </c>
      <c r="B511" s="3" t="str">
        <f t="shared" si="25"/>
        <v>1月</v>
      </c>
      <c r="C511" s="4" t="str">
        <f t="shared" si="26"/>
        <v>W3</v>
      </c>
      <c r="D511" s="2" t="s">
        <v>751</v>
      </c>
      <c r="E511" s="2" t="s">
        <v>819</v>
      </c>
      <c r="F511" s="2" t="str" cm="1">
        <f t="array" ref="F511">INDEX(_xlfn.TEXTSPLIT(E511,"-"),2)</f>
        <v>男装</v>
      </c>
      <c r="G511" s="2" t="str" cm="1">
        <f t="array" ref="G511">INDEX(_xlfn.TEXTSPLIT(E511,"-"),3)</f>
        <v>民族服装</v>
      </c>
      <c r="H511" s="5">
        <v>6511</v>
      </c>
      <c r="I511" s="5">
        <v>1517909.47</v>
      </c>
      <c r="J511" s="6">
        <v>0.0019</v>
      </c>
      <c r="K511" s="6">
        <v>0.0497</v>
      </c>
    </row>
    <row r="512" ht="14.5" spans="1:11">
      <c r="A512" s="3" t="str">
        <f t="shared" si="24"/>
        <v>2026年</v>
      </c>
      <c r="B512" s="3" t="str">
        <f t="shared" si="25"/>
        <v>1月</v>
      </c>
      <c r="C512" s="4" t="str">
        <f t="shared" si="26"/>
        <v>W3</v>
      </c>
      <c r="D512" s="2" t="s">
        <v>751</v>
      </c>
      <c r="E512" s="2" t="s">
        <v>820</v>
      </c>
      <c r="F512" s="2" t="str" cm="1">
        <f t="array" ref="F512">INDEX(_xlfn.TEXTSPLIT(E512,"-"),2)</f>
        <v>男装</v>
      </c>
      <c r="G512" s="2" t="str" cm="1">
        <f t="array" ref="G512">INDEX(_xlfn.TEXTSPLIT(E512,"-"),3)</f>
        <v>派克服</v>
      </c>
      <c r="H512" s="5">
        <v>14929</v>
      </c>
      <c r="I512" s="5">
        <v>3320283.53</v>
      </c>
      <c r="J512" s="6">
        <v>0.0042</v>
      </c>
      <c r="K512" s="6">
        <v>0.2976</v>
      </c>
    </row>
    <row r="513" ht="14.5" spans="1:11">
      <c r="A513" s="3" t="str">
        <f t="shared" si="24"/>
        <v>2026年</v>
      </c>
      <c r="B513" s="3" t="str">
        <f t="shared" si="25"/>
        <v>1月</v>
      </c>
      <c r="C513" s="4" t="str">
        <f t="shared" si="26"/>
        <v>W3</v>
      </c>
      <c r="D513" s="2" t="s">
        <v>751</v>
      </c>
      <c r="E513" s="2" t="s">
        <v>821</v>
      </c>
      <c r="F513" s="2" t="str" cm="1">
        <f t="array" ref="F513">INDEX(_xlfn.TEXTSPLIT(E513,"-"),2)</f>
        <v>男装</v>
      </c>
      <c r="G513" s="2" t="str" cm="1">
        <f t="array" ref="G513">INDEX(_xlfn.TEXTSPLIT(E513,"-"),3)</f>
        <v>牛仔裤</v>
      </c>
      <c r="H513" s="5">
        <v>557248</v>
      </c>
      <c r="I513" s="5">
        <v>63491891.29</v>
      </c>
      <c r="J513" s="6">
        <v>0.0806</v>
      </c>
      <c r="K513" s="6">
        <v>-0.0311</v>
      </c>
    </row>
    <row r="514" ht="14.5" spans="1:11">
      <c r="A514" s="3" t="str">
        <f t="shared" si="24"/>
        <v>2026年</v>
      </c>
      <c r="B514" s="3" t="str">
        <f t="shared" si="25"/>
        <v>1月</v>
      </c>
      <c r="C514" s="4" t="str">
        <f t="shared" si="26"/>
        <v>W3</v>
      </c>
      <c r="D514" s="2" t="s">
        <v>751</v>
      </c>
      <c r="E514" s="2" t="s">
        <v>822</v>
      </c>
      <c r="F514" s="2" t="str" cm="1">
        <f t="array" ref="F514">INDEX(_xlfn.TEXTSPLIT(E514,"-"),2)</f>
        <v>男装</v>
      </c>
      <c r="G514" s="2" t="str" cm="1">
        <f t="array" ref="G514">INDEX(_xlfn.TEXTSPLIT(E514,"-"),3)</f>
        <v>皮草</v>
      </c>
      <c r="H514" s="5">
        <v>4640</v>
      </c>
      <c r="I514" s="5">
        <v>7124402.57</v>
      </c>
      <c r="J514" s="6">
        <v>0.009</v>
      </c>
      <c r="K514" s="6">
        <v>-0.0603</v>
      </c>
    </row>
    <row r="515" ht="14.5" spans="1:11">
      <c r="A515" s="3" t="str">
        <f t="shared" si="24"/>
        <v>2026年</v>
      </c>
      <c r="B515" s="3" t="str">
        <f t="shared" si="25"/>
        <v>1月</v>
      </c>
      <c r="C515" s="4" t="str">
        <f t="shared" si="26"/>
        <v>W3</v>
      </c>
      <c r="D515" s="2" t="s">
        <v>751</v>
      </c>
      <c r="E515" s="2" t="s">
        <v>823</v>
      </c>
      <c r="F515" s="2" t="str" cm="1">
        <f t="array" ref="F515">INDEX(_xlfn.TEXTSPLIT(E515,"-"),2)</f>
        <v>男装</v>
      </c>
      <c r="G515" s="2" t="str" cm="1">
        <f t="array" ref="G515">INDEX(_xlfn.TEXTSPLIT(E515,"-"),3)</f>
        <v>皮衣</v>
      </c>
      <c r="H515" s="5">
        <v>55068</v>
      </c>
      <c r="I515" s="5">
        <v>25520242.68</v>
      </c>
      <c r="J515" s="6">
        <v>0.0324</v>
      </c>
      <c r="K515" s="6">
        <v>0.0471</v>
      </c>
    </row>
    <row r="516" ht="14.5" spans="1:11">
      <c r="A516" s="3" t="str">
        <f t="shared" si="24"/>
        <v>2026年</v>
      </c>
      <c r="B516" s="3" t="str">
        <f t="shared" si="25"/>
        <v>1月</v>
      </c>
      <c r="C516" s="4" t="str">
        <f t="shared" si="26"/>
        <v>W3</v>
      </c>
      <c r="D516" s="2" t="s">
        <v>751</v>
      </c>
      <c r="E516" s="2" t="s">
        <v>824</v>
      </c>
      <c r="F516" s="2" t="str" cm="1">
        <f t="array" ref="F516">INDEX(_xlfn.TEXTSPLIT(E516,"-"),2)</f>
        <v>男装</v>
      </c>
      <c r="G516" s="2" t="str" cm="1">
        <f t="array" ref="G516">INDEX(_xlfn.TEXTSPLIT(E516,"-"),3)</f>
        <v>皮裤</v>
      </c>
      <c r="H516" s="5">
        <v>3239</v>
      </c>
      <c r="I516" s="5">
        <v>392820.79</v>
      </c>
      <c r="J516" s="6">
        <v>0.0005</v>
      </c>
      <c r="K516" s="6">
        <v>0.1078</v>
      </c>
    </row>
    <row r="517" ht="14.5" spans="1:11">
      <c r="A517" s="3" t="str">
        <f t="shared" si="24"/>
        <v>2026年</v>
      </c>
      <c r="B517" s="3" t="str">
        <f t="shared" si="25"/>
        <v>1月</v>
      </c>
      <c r="C517" s="4" t="str">
        <f t="shared" si="26"/>
        <v>W3</v>
      </c>
      <c r="D517" s="2" t="s">
        <v>751</v>
      </c>
      <c r="E517" s="2" t="s">
        <v>825</v>
      </c>
      <c r="F517" s="2" t="str" cm="1">
        <f t="array" ref="F517">INDEX(_xlfn.TEXTSPLIT(E517,"-"),2)</f>
        <v>男装</v>
      </c>
      <c r="G517" s="2" t="str" cm="1">
        <f t="array" ref="G517">INDEX(_xlfn.TEXTSPLIT(E517,"-"),3)</f>
        <v>短外套</v>
      </c>
      <c r="H517" s="5">
        <v>38363</v>
      </c>
      <c r="I517" s="5">
        <v>3280163.67</v>
      </c>
      <c r="J517" s="6">
        <v>0.0042</v>
      </c>
      <c r="K517" s="6">
        <v>-0.1563</v>
      </c>
    </row>
    <row r="518" ht="14.5" spans="1:11">
      <c r="A518" s="3" t="str">
        <f t="shared" si="24"/>
        <v>2026年</v>
      </c>
      <c r="B518" s="3" t="str">
        <f t="shared" si="25"/>
        <v>1月</v>
      </c>
      <c r="C518" s="4" t="str">
        <f t="shared" si="26"/>
        <v>W3</v>
      </c>
      <c r="D518" s="2" t="s">
        <v>751</v>
      </c>
      <c r="E518" s="2" t="s">
        <v>826</v>
      </c>
      <c r="F518" s="2" t="str" cm="1">
        <f t="array" ref="F518">INDEX(_xlfn.TEXTSPLIT(E518,"-"),2)</f>
        <v>男装</v>
      </c>
      <c r="G518" s="2" t="str" cm="1">
        <f t="array" ref="G518">INDEX(_xlfn.TEXTSPLIT(E518,"-"),3)</f>
        <v>短裤</v>
      </c>
      <c r="H518" s="5">
        <v>49000</v>
      </c>
      <c r="I518" s="5">
        <v>1703132.09</v>
      </c>
      <c r="J518" s="6">
        <v>0.0022</v>
      </c>
      <c r="K518" s="6">
        <v>0.0818</v>
      </c>
    </row>
    <row r="519" ht="14.5" spans="1:11">
      <c r="A519" s="3" t="str">
        <f t="shared" si="24"/>
        <v>2026年</v>
      </c>
      <c r="B519" s="3" t="str">
        <f t="shared" si="25"/>
        <v>1月</v>
      </c>
      <c r="C519" s="4" t="str">
        <f t="shared" si="26"/>
        <v>W3</v>
      </c>
      <c r="D519" s="2" t="s">
        <v>751</v>
      </c>
      <c r="E519" s="2" t="s">
        <v>827</v>
      </c>
      <c r="F519" s="2" t="str" cm="1">
        <f t="array" ref="F519">INDEX(_xlfn.TEXTSPLIT(E519,"-"),2)</f>
        <v>男装</v>
      </c>
      <c r="G519" s="2" t="str" cm="1">
        <f t="array" ref="G519">INDEX(_xlfn.TEXTSPLIT(E519,"-"),3)</f>
        <v>紧身衣</v>
      </c>
      <c r="H519" s="5">
        <v>114</v>
      </c>
      <c r="I519" s="5">
        <v>5425.3</v>
      </c>
      <c r="J519" s="2" t="s">
        <v>713</v>
      </c>
      <c r="K519" s="6">
        <v>0.6596</v>
      </c>
    </row>
    <row r="520" ht="14.5" spans="1:11">
      <c r="A520" s="3" t="str">
        <f t="shared" si="24"/>
        <v>2026年</v>
      </c>
      <c r="B520" s="3" t="str">
        <f t="shared" si="25"/>
        <v>1月</v>
      </c>
      <c r="C520" s="4" t="str">
        <f t="shared" si="26"/>
        <v>W3</v>
      </c>
      <c r="D520" s="2" t="s">
        <v>751</v>
      </c>
      <c r="E520" s="2" t="s">
        <v>828</v>
      </c>
      <c r="F520" s="2" t="str" cm="1">
        <f t="array" ref="F520">INDEX(_xlfn.TEXTSPLIT(E520,"-"),2)</f>
        <v>男装</v>
      </c>
      <c r="G520" s="2" t="str" cm="1">
        <f t="array" ref="G520">INDEX(_xlfn.TEXTSPLIT(E520,"-"),3)</f>
        <v>羊毛衫</v>
      </c>
      <c r="H520" s="5">
        <v>116082</v>
      </c>
      <c r="I520" s="5">
        <v>17261487.61</v>
      </c>
      <c r="J520" s="6">
        <v>0.0219</v>
      </c>
      <c r="K520" s="6">
        <v>-0.0614</v>
      </c>
    </row>
    <row r="521" ht="14.5" spans="1:11">
      <c r="A521" s="3" t="str">
        <f t="shared" si="24"/>
        <v>2026年</v>
      </c>
      <c r="B521" s="3" t="str">
        <f t="shared" si="25"/>
        <v>1月</v>
      </c>
      <c r="C521" s="4" t="str">
        <f t="shared" si="26"/>
        <v>W3</v>
      </c>
      <c r="D521" s="2" t="s">
        <v>751</v>
      </c>
      <c r="E521" s="2" t="s">
        <v>829</v>
      </c>
      <c r="F521" s="2" t="str" cm="1">
        <f t="array" ref="F521">INDEX(_xlfn.TEXTSPLIT(E521,"-"),2)</f>
        <v>男装</v>
      </c>
      <c r="G521" s="2" t="str" cm="1">
        <f t="array" ref="G521">INDEX(_xlfn.TEXTSPLIT(E521,"-"),3)</f>
        <v>羊绒衫</v>
      </c>
      <c r="H521" s="5">
        <v>20686</v>
      </c>
      <c r="I521" s="5">
        <v>6812736.28</v>
      </c>
      <c r="J521" s="6">
        <v>0.0086</v>
      </c>
      <c r="K521" s="6">
        <v>-0.1081</v>
      </c>
    </row>
    <row r="522" ht="14.5" spans="1:11">
      <c r="A522" s="3" t="str">
        <f t="shared" si="24"/>
        <v>2026年</v>
      </c>
      <c r="B522" s="3" t="str">
        <f t="shared" si="25"/>
        <v>1月</v>
      </c>
      <c r="C522" s="4" t="str">
        <f t="shared" si="26"/>
        <v>W3</v>
      </c>
      <c r="D522" s="2" t="s">
        <v>751</v>
      </c>
      <c r="E522" s="2" t="s">
        <v>830</v>
      </c>
      <c r="F522" s="2" t="str" cm="1">
        <f t="array" ref="F522">INDEX(_xlfn.TEXTSPLIT(E522,"-"),2)</f>
        <v>男装</v>
      </c>
      <c r="G522" s="2" t="str" cm="1">
        <f t="array" ref="G522">INDEX(_xlfn.TEXTSPLIT(E522,"-"),3)</f>
        <v>羽绒服</v>
      </c>
      <c r="H522" s="5">
        <v>548493</v>
      </c>
      <c r="I522" s="5">
        <v>206702296.71</v>
      </c>
      <c r="J522" s="6">
        <v>0.2624</v>
      </c>
      <c r="K522" s="6">
        <v>-0.0415</v>
      </c>
    </row>
    <row r="523" ht="14.5" spans="1:11">
      <c r="A523" s="3" t="str">
        <f t="shared" si="24"/>
        <v>2026年</v>
      </c>
      <c r="B523" s="3" t="str">
        <f t="shared" si="25"/>
        <v>1月</v>
      </c>
      <c r="C523" s="4" t="str">
        <f t="shared" si="26"/>
        <v>W3</v>
      </c>
      <c r="D523" s="2" t="s">
        <v>751</v>
      </c>
      <c r="E523" s="2" t="s">
        <v>831</v>
      </c>
      <c r="F523" s="2" t="str" cm="1">
        <f t="array" ref="F523">INDEX(_xlfn.TEXTSPLIT(E523,"-"),2)</f>
        <v>男装</v>
      </c>
      <c r="G523" s="2" t="str" cm="1">
        <f t="array" ref="G523">INDEX(_xlfn.TEXTSPLIT(E523,"-"),3)</f>
        <v>羽绒裤</v>
      </c>
      <c r="H523" s="5">
        <v>11533</v>
      </c>
      <c r="I523" s="5">
        <v>1887799.37</v>
      </c>
      <c r="J523" s="6">
        <v>0.0024</v>
      </c>
      <c r="K523" s="6">
        <v>-0.0516</v>
      </c>
    </row>
    <row r="524" ht="14.5" spans="1:11">
      <c r="A524" s="3" t="str">
        <f t="shared" si="24"/>
        <v>2026年</v>
      </c>
      <c r="B524" s="3" t="str">
        <f t="shared" si="25"/>
        <v>1月</v>
      </c>
      <c r="C524" s="4" t="str">
        <f t="shared" si="26"/>
        <v>W3</v>
      </c>
      <c r="D524" s="2" t="s">
        <v>751</v>
      </c>
      <c r="E524" s="2" t="s">
        <v>832</v>
      </c>
      <c r="F524" s="2" t="str" cm="1">
        <f t="array" ref="F524">INDEX(_xlfn.TEXTSPLIT(E524,"-"),2)</f>
        <v>男装</v>
      </c>
      <c r="G524" s="2" t="str" cm="1">
        <f t="array" ref="G524">INDEX(_xlfn.TEXTSPLIT(E524,"-"),3)</f>
        <v>羽绒马甲</v>
      </c>
      <c r="H524" s="5">
        <v>12288</v>
      </c>
      <c r="I524" s="5">
        <v>2613206.74</v>
      </c>
      <c r="J524" s="6">
        <v>0.0033</v>
      </c>
      <c r="K524" s="6">
        <v>-0.0956</v>
      </c>
    </row>
    <row r="525" ht="14.5" spans="1:11">
      <c r="A525" s="3" t="str">
        <f t="shared" si="24"/>
        <v>2026年</v>
      </c>
      <c r="B525" s="3" t="str">
        <f t="shared" si="25"/>
        <v>1月</v>
      </c>
      <c r="C525" s="4" t="str">
        <f t="shared" si="26"/>
        <v>W3</v>
      </c>
      <c r="D525" s="2" t="s">
        <v>751</v>
      </c>
      <c r="E525" s="2" t="s">
        <v>833</v>
      </c>
      <c r="F525" s="2" t="str" cm="1">
        <f t="array" ref="F525">INDEX(_xlfn.TEXTSPLIT(E525,"-"),2)</f>
        <v>男装</v>
      </c>
      <c r="G525" s="2" t="str" cm="1">
        <f t="array" ref="G525">INDEX(_xlfn.TEXTSPLIT(E525,"-"),3)</f>
        <v>背心</v>
      </c>
      <c r="H525" s="5">
        <v>37878</v>
      </c>
      <c r="I525" s="5">
        <v>2239956.17</v>
      </c>
      <c r="J525" s="6">
        <v>0.0028</v>
      </c>
      <c r="K525" s="6">
        <v>-0.1138</v>
      </c>
    </row>
    <row r="526" ht="14.5" spans="1:11">
      <c r="A526" s="3" t="str">
        <f t="shared" ref="A526:A589" si="27">TEXT(YEAR(D526),"0")&amp;"年"</f>
        <v>2026年</v>
      </c>
      <c r="B526" s="3" t="str">
        <f t="shared" ref="B526:B589" si="28">TEXT(MONTH(D526),"0")&amp;"月"</f>
        <v>1月</v>
      </c>
      <c r="C526" s="4" t="str">
        <f t="shared" ref="C526:C589" si="29">"W"&amp;TEXT(WEEKNUM(D526,2),"0")</f>
        <v>W3</v>
      </c>
      <c r="D526" s="2" t="s">
        <v>751</v>
      </c>
      <c r="E526" s="2" t="s">
        <v>834</v>
      </c>
      <c r="F526" s="2" t="str" cm="1">
        <f t="array" ref="F526">INDEX(_xlfn.TEXTSPLIT(E526,"-"),2)</f>
        <v>男装</v>
      </c>
      <c r="G526" s="2" t="str" cm="1">
        <f t="array" ref="G526">INDEX(_xlfn.TEXTSPLIT(E526,"-"),3)</f>
        <v>衬衫</v>
      </c>
      <c r="H526" s="5">
        <v>87600</v>
      </c>
      <c r="I526" s="5">
        <v>11319428.75</v>
      </c>
      <c r="J526" s="6">
        <v>0.0144</v>
      </c>
      <c r="K526" s="6">
        <v>0.0341</v>
      </c>
    </row>
    <row r="527" ht="14.5" spans="1:11">
      <c r="A527" s="3" t="str">
        <f t="shared" si="27"/>
        <v>2026年</v>
      </c>
      <c r="B527" s="3" t="str">
        <f t="shared" si="28"/>
        <v>1月</v>
      </c>
      <c r="C527" s="4" t="str">
        <f t="shared" si="29"/>
        <v>W3</v>
      </c>
      <c r="D527" s="2" t="s">
        <v>751</v>
      </c>
      <c r="E527" s="2" t="s">
        <v>835</v>
      </c>
      <c r="F527" s="2" t="str" cm="1">
        <f t="array" ref="F527">INDEX(_xlfn.TEXTSPLIT(E527,"-"),2)</f>
        <v>男装</v>
      </c>
      <c r="G527" s="2" t="str" cm="1">
        <f t="array" ref="G527">INDEX(_xlfn.TEXTSPLIT(E527,"-"),3)</f>
        <v>西服</v>
      </c>
      <c r="H527" s="5">
        <v>74860</v>
      </c>
      <c r="I527" s="5">
        <v>15852922.03</v>
      </c>
      <c r="J527" s="6">
        <v>0.0201</v>
      </c>
      <c r="K527" s="6">
        <v>-0.0633</v>
      </c>
    </row>
    <row r="528" ht="14.5" spans="1:11">
      <c r="A528" s="3" t="str">
        <f t="shared" si="27"/>
        <v>2026年</v>
      </c>
      <c r="B528" s="3" t="str">
        <f t="shared" si="28"/>
        <v>1月</v>
      </c>
      <c r="C528" s="4" t="str">
        <f t="shared" si="29"/>
        <v>W3</v>
      </c>
      <c r="D528" s="2" t="s">
        <v>751</v>
      </c>
      <c r="E528" s="2" t="s">
        <v>836</v>
      </c>
      <c r="F528" s="2" t="str" cm="1">
        <f t="array" ref="F528">INDEX(_xlfn.TEXTSPLIT(E528,"-"),2)</f>
        <v>男装</v>
      </c>
      <c r="G528" s="2" t="str" cm="1">
        <f t="array" ref="G528">INDEX(_xlfn.TEXTSPLIT(E528,"-"),3)</f>
        <v>连体衣/裤</v>
      </c>
      <c r="H528" s="5">
        <v>993</v>
      </c>
      <c r="I528" s="5">
        <v>29913.27</v>
      </c>
      <c r="J528" s="2" t="s">
        <v>713</v>
      </c>
      <c r="K528" s="6">
        <v>0.4825</v>
      </c>
    </row>
    <row r="529" ht="14.5" spans="1:11">
      <c r="A529" s="3" t="str">
        <f t="shared" si="27"/>
        <v>2026年</v>
      </c>
      <c r="B529" s="3" t="str">
        <f t="shared" si="28"/>
        <v>1月</v>
      </c>
      <c r="C529" s="4" t="str">
        <f t="shared" si="29"/>
        <v>W3</v>
      </c>
      <c r="D529" s="2" t="s">
        <v>751</v>
      </c>
      <c r="E529" s="2" t="s">
        <v>837</v>
      </c>
      <c r="F529" s="2" t="str" cm="1">
        <f t="array" ref="F529">INDEX(_xlfn.TEXTSPLIT(E529,"-"),2)</f>
        <v>男装</v>
      </c>
      <c r="G529" s="2" t="str" cm="1">
        <f t="array" ref="G529">INDEX(_xlfn.TEXTSPLIT(E529,"-"),3)</f>
        <v>速干/三防T恤</v>
      </c>
      <c r="H529" s="5">
        <v>947</v>
      </c>
      <c r="I529" s="5">
        <v>65810.72</v>
      </c>
      <c r="J529" s="6">
        <v>0.0001</v>
      </c>
      <c r="K529" s="6">
        <v>0.2355</v>
      </c>
    </row>
    <row r="530" ht="14.5" spans="1:11">
      <c r="A530" s="3" t="str">
        <f t="shared" si="27"/>
        <v>2026年</v>
      </c>
      <c r="B530" s="3" t="str">
        <f t="shared" si="28"/>
        <v>1月</v>
      </c>
      <c r="C530" s="4" t="str">
        <f t="shared" si="29"/>
        <v>W3</v>
      </c>
      <c r="D530" s="2" t="s">
        <v>751</v>
      </c>
      <c r="E530" s="2" t="s">
        <v>838</v>
      </c>
      <c r="F530" s="2" t="str" cm="1">
        <f t="array" ref="F530">INDEX(_xlfn.TEXTSPLIT(E530,"-"),2)</f>
        <v>男装</v>
      </c>
      <c r="G530" s="2" t="str" cm="1">
        <f t="array" ref="G530">INDEX(_xlfn.TEXTSPLIT(E530,"-"),3)</f>
        <v>针织衫/毛衣</v>
      </c>
      <c r="H530" s="5">
        <v>354158</v>
      </c>
      <c r="I530" s="5">
        <v>43070533.7</v>
      </c>
      <c r="J530" s="6">
        <v>0.0547</v>
      </c>
      <c r="K530" s="6">
        <v>0.0222</v>
      </c>
    </row>
    <row r="531" ht="14.5" spans="1:11">
      <c r="A531" s="3" t="str">
        <f t="shared" si="27"/>
        <v>2026年</v>
      </c>
      <c r="B531" s="3" t="str">
        <f t="shared" si="28"/>
        <v>1月</v>
      </c>
      <c r="C531" s="4" t="str">
        <f t="shared" si="29"/>
        <v>W3</v>
      </c>
      <c r="D531" s="2" t="s">
        <v>751</v>
      </c>
      <c r="E531" s="2" t="s">
        <v>839</v>
      </c>
      <c r="F531" s="2" t="str" cm="1">
        <f t="array" ref="F531">INDEX(_xlfn.TEXTSPLIT(E531,"-"),2)</f>
        <v>男装</v>
      </c>
      <c r="G531" s="2" t="str" cm="1">
        <f t="array" ref="G531">INDEX(_xlfn.TEXTSPLIT(E531,"-"),3)</f>
        <v>防晒服</v>
      </c>
      <c r="H531" s="5">
        <v>151</v>
      </c>
      <c r="I531" s="5">
        <v>11357.16</v>
      </c>
      <c r="J531" s="2" t="s">
        <v>713</v>
      </c>
      <c r="K531" s="6">
        <v>-0.1406</v>
      </c>
    </row>
    <row r="532" ht="14.5" spans="1:11">
      <c r="A532" s="3" t="str">
        <f t="shared" si="27"/>
        <v>2026年</v>
      </c>
      <c r="B532" s="3" t="str">
        <f t="shared" si="28"/>
        <v>1月</v>
      </c>
      <c r="C532" s="4" t="str">
        <f t="shared" si="29"/>
        <v>W3</v>
      </c>
      <c r="D532" s="2" t="s">
        <v>751</v>
      </c>
      <c r="E532" s="2" t="s">
        <v>840</v>
      </c>
      <c r="F532" s="2" t="str" cm="1">
        <f t="array" ref="F532">INDEX(_xlfn.TEXTSPLIT(E532,"-"),2)</f>
        <v>男装</v>
      </c>
      <c r="G532" s="2" t="str" cm="1">
        <f t="array" ref="G532">INDEX(_xlfn.TEXTSPLIT(E532,"-"),3)</f>
        <v>风衣</v>
      </c>
      <c r="H532" s="5">
        <v>5597</v>
      </c>
      <c r="I532" s="5">
        <v>1914736.26</v>
      </c>
      <c r="J532" s="6">
        <v>0.0024</v>
      </c>
      <c r="K532" s="6">
        <v>0.1168</v>
      </c>
    </row>
    <row r="533" ht="14.5" spans="1:11">
      <c r="A533" s="3" t="str">
        <f t="shared" si="27"/>
        <v>2026年</v>
      </c>
      <c r="B533" s="3" t="str">
        <f t="shared" si="28"/>
        <v>1月</v>
      </c>
      <c r="C533" s="4" t="str">
        <f t="shared" si="29"/>
        <v>W3</v>
      </c>
      <c r="D533" s="2" t="s">
        <v>751</v>
      </c>
      <c r="E533" s="2" t="s">
        <v>841</v>
      </c>
      <c r="F533" s="2" t="str" cm="1">
        <f t="array" ref="F533">INDEX(_xlfn.TEXTSPLIT(E533,"-"),2)</f>
        <v>男装</v>
      </c>
      <c r="G533" s="2" t="str" cm="1">
        <f t="array" ref="G533">INDEX(_xlfn.TEXTSPLIT(E533,"-"),3)</f>
        <v>马甲</v>
      </c>
      <c r="H533" s="5">
        <v>51122</v>
      </c>
      <c r="I533" s="5">
        <v>4547977.07</v>
      </c>
      <c r="J533" s="6">
        <v>0.0058</v>
      </c>
      <c r="K533" s="6">
        <v>-0.1105</v>
      </c>
    </row>
    <row r="534" ht="14.5" spans="1:11">
      <c r="A534" s="3" t="str">
        <f t="shared" si="27"/>
        <v>2026年</v>
      </c>
      <c r="B534" s="3" t="str">
        <f t="shared" si="28"/>
        <v>1月</v>
      </c>
      <c r="C534" s="4" t="str">
        <f t="shared" si="29"/>
        <v>W3</v>
      </c>
      <c r="D534" s="2" t="s">
        <v>752</v>
      </c>
      <c r="E534" s="2" t="s">
        <v>804</v>
      </c>
      <c r="F534" s="2" t="str" cm="1">
        <f t="array" ref="F534">INDEX(_xlfn.TEXTSPLIT(E534,"-"),2)</f>
        <v>男装</v>
      </c>
      <c r="G534" s="2" t="str" cm="1">
        <f t="array" ref="G534">INDEX(_xlfn.TEXTSPLIT(E534,"-"),3)</f>
        <v>Polo衫</v>
      </c>
      <c r="H534" s="5">
        <v>45562</v>
      </c>
      <c r="I534" s="5">
        <v>4144307.95</v>
      </c>
      <c r="J534" s="6">
        <v>0.0055</v>
      </c>
      <c r="K534" s="6">
        <v>0.1164</v>
      </c>
    </row>
    <row r="535" ht="14.5" spans="1:11">
      <c r="A535" s="3" t="str">
        <f t="shared" si="27"/>
        <v>2026年</v>
      </c>
      <c r="B535" s="3" t="str">
        <f t="shared" si="28"/>
        <v>1月</v>
      </c>
      <c r="C535" s="4" t="str">
        <f t="shared" si="29"/>
        <v>W3</v>
      </c>
      <c r="D535" s="2" t="s">
        <v>752</v>
      </c>
      <c r="E535" s="2" t="s">
        <v>805</v>
      </c>
      <c r="F535" s="2" t="str" cm="1">
        <f t="array" ref="F535">INDEX(_xlfn.TEXTSPLIT(E535,"-"),2)</f>
        <v>男装</v>
      </c>
      <c r="G535" s="2" t="str" cm="1">
        <f t="array" ref="G535">INDEX(_xlfn.TEXTSPLIT(E535,"-"),3)</f>
        <v>T恤</v>
      </c>
      <c r="H535" s="5">
        <v>359259</v>
      </c>
      <c r="I535" s="5">
        <v>29014019.12</v>
      </c>
      <c r="J535" s="6">
        <v>0.0383</v>
      </c>
      <c r="K535" s="6">
        <v>0.0458</v>
      </c>
    </row>
    <row r="536" ht="14.5" spans="1:11">
      <c r="A536" s="3" t="str">
        <f t="shared" si="27"/>
        <v>2026年</v>
      </c>
      <c r="B536" s="3" t="str">
        <f t="shared" si="28"/>
        <v>1月</v>
      </c>
      <c r="C536" s="4" t="str">
        <f t="shared" si="29"/>
        <v>W3</v>
      </c>
      <c r="D536" s="2" t="s">
        <v>752</v>
      </c>
      <c r="E536" s="2" t="s">
        <v>806</v>
      </c>
      <c r="F536" s="2" t="str" cm="1">
        <f t="array" ref="F536">INDEX(_xlfn.TEXTSPLIT(E536,"-"),2)</f>
        <v>男装</v>
      </c>
      <c r="G536" s="2" t="str" cm="1">
        <f t="array" ref="G536">INDEX(_xlfn.TEXTSPLIT(E536,"-"),3)</f>
        <v>中老年男装</v>
      </c>
      <c r="H536" s="5">
        <v>101890</v>
      </c>
      <c r="I536" s="5">
        <v>13897496.51</v>
      </c>
      <c r="J536" s="6">
        <v>0.0183</v>
      </c>
      <c r="K536" s="6">
        <v>-0.293</v>
      </c>
    </row>
    <row r="537" ht="14.5" spans="1:11">
      <c r="A537" s="3" t="str">
        <f t="shared" si="27"/>
        <v>2026年</v>
      </c>
      <c r="B537" s="3" t="str">
        <f t="shared" si="28"/>
        <v>1月</v>
      </c>
      <c r="C537" s="4" t="str">
        <f t="shared" si="29"/>
        <v>W3</v>
      </c>
      <c r="D537" s="2" t="s">
        <v>752</v>
      </c>
      <c r="E537" s="2" t="s">
        <v>807</v>
      </c>
      <c r="F537" s="2" t="str" cm="1">
        <f t="array" ref="F537">INDEX(_xlfn.TEXTSPLIT(E537,"-"),2)</f>
        <v>男装</v>
      </c>
      <c r="G537" s="2" t="str" cm="1">
        <f t="array" ref="G537">INDEX(_xlfn.TEXTSPLIT(E537,"-"),3)</f>
        <v>休闲裤</v>
      </c>
      <c r="H537" s="5">
        <v>836057</v>
      </c>
      <c r="I537" s="5">
        <v>89535707.42</v>
      </c>
      <c r="J537" s="6">
        <v>0.1182</v>
      </c>
      <c r="K537" s="6">
        <v>-0.0313</v>
      </c>
    </row>
    <row r="538" ht="14.5" spans="1:11">
      <c r="A538" s="3" t="str">
        <f t="shared" si="27"/>
        <v>2026年</v>
      </c>
      <c r="B538" s="3" t="str">
        <f t="shared" si="28"/>
        <v>1月</v>
      </c>
      <c r="C538" s="4" t="str">
        <f t="shared" si="29"/>
        <v>W3</v>
      </c>
      <c r="D538" s="2" t="s">
        <v>752</v>
      </c>
      <c r="E538" s="2" t="s">
        <v>808</v>
      </c>
      <c r="F538" s="2" t="str" cm="1">
        <f t="array" ref="F538">INDEX(_xlfn.TEXTSPLIT(E538,"-"),2)</f>
        <v>男装</v>
      </c>
      <c r="G538" s="2" t="str" cm="1">
        <f t="array" ref="G538">INDEX(_xlfn.TEXTSPLIT(E538,"-"),3)</f>
        <v>卫衣</v>
      </c>
      <c r="H538" s="5">
        <v>574748</v>
      </c>
      <c r="I538" s="5">
        <v>48965506.17</v>
      </c>
      <c r="J538" s="6">
        <v>0.0646</v>
      </c>
      <c r="K538" s="6">
        <v>-0.0321</v>
      </c>
    </row>
    <row r="539" ht="14.5" spans="1:11">
      <c r="A539" s="3" t="str">
        <f t="shared" si="27"/>
        <v>2026年</v>
      </c>
      <c r="B539" s="3" t="str">
        <f t="shared" si="28"/>
        <v>1月</v>
      </c>
      <c r="C539" s="4" t="str">
        <f t="shared" si="29"/>
        <v>W3</v>
      </c>
      <c r="D539" s="2" t="s">
        <v>752</v>
      </c>
      <c r="E539" s="2" t="s">
        <v>809</v>
      </c>
      <c r="F539" s="2" t="str" cm="1">
        <f t="array" ref="F539">INDEX(_xlfn.TEXTSPLIT(E539,"-"),2)</f>
        <v>男装</v>
      </c>
      <c r="G539" s="2" t="str" cm="1">
        <f t="array" ref="G539">INDEX(_xlfn.TEXTSPLIT(E539,"-"),3)</f>
        <v>卫裤</v>
      </c>
      <c r="H539" s="5">
        <v>168667</v>
      </c>
      <c r="I539" s="5">
        <v>17296310.65</v>
      </c>
      <c r="J539" s="6">
        <v>0.0228</v>
      </c>
      <c r="K539" s="6">
        <v>-0.0485</v>
      </c>
    </row>
    <row r="540" ht="14.5" spans="1:11">
      <c r="A540" s="3" t="str">
        <f t="shared" si="27"/>
        <v>2026年</v>
      </c>
      <c r="B540" s="3" t="str">
        <f t="shared" si="28"/>
        <v>1月</v>
      </c>
      <c r="C540" s="4" t="str">
        <f t="shared" si="29"/>
        <v>W3</v>
      </c>
      <c r="D540" s="2" t="s">
        <v>752</v>
      </c>
      <c r="E540" s="2" t="s">
        <v>810</v>
      </c>
      <c r="F540" s="2" t="str" cm="1">
        <f t="array" ref="F540">INDEX(_xlfn.TEXTSPLIT(E540,"-"),2)</f>
        <v>男装</v>
      </c>
      <c r="G540" s="2" t="str" cm="1">
        <f t="array" ref="G540">INDEX(_xlfn.TEXTSPLIT(E540,"-"),3)</f>
        <v>大码男装</v>
      </c>
      <c r="H540" s="5">
        <v>37507</v>
      </c>
      <c r="I540" s="5">
        <v>3783582.56</v>
      </c>
      <c r="J540" s="6">
        <v>0.005</v>
      </c>
      <c r="K540" s="6">
        <v>0.1264</v>
      </c>
    </row>
    <row r="541" ht="14.5" spans="1:11">
      <c r="A541" s="3" t="str">
        <f t="shared" si="27"/>
        <v>2026年</v>
      </c>
      <c r="B541" s="3" t="str">
        <f t="shared" si="28"/>
        <v>1月</v>
      </c>
      <c r="C541" s="4" t="str">
        <f t="shared" si="29"/>
        <v>W3</v>
      </c>
      <c r="D541" s="2" t="s">
        <v>752</v>
      </c>
      <c r="E541" s="2" t="s">
        <v>811</v>
      </c>
      <c r="F541" s="2" t="str" cm="1">
        <f t="array" ref="F541">INDEX(_xlfn.TEXTSPLIT(E541,"-"),2)</f>
        <v>男装</v>
      </c>
      <c r="G541" s="2" t="str" cm="1">
        <f t="array" ref="G541">INDEX(_xlfn.TEXTSPLIT(E541,"-"),3)</f>
        <v>夹克</v>
      </c>
      <c r="H541" s="5">
        <v>414652</v>
      </c>
      <c r="I541" s="5">
        <v>77931399.44</v>
      </c>
      <c r="J541" s="6">
        <v>0.1028</v>
      </c>
      <c r="K541" s="6">
        <v>0.0447</v>
      </c>
    </row>
    <row r="542" ht="14.5" spans="1:11">
      <c r="A542" s="3" t="str">
        <f t="shared" si="27"/>
        <v>2026年</v>
      </c>
      <c r="B542" s="3" t="str">
        <f t="shared" si="28"/>
        <v>1月</v>
      </c>
      <c r="C542" s="4" t="str">
        <f t="shared" si="29"/>
        <v>W3</v>
      </c>
      <c r="D542" s="2" t="s">
        <v>752</v>
      </c>
      <c r="E542" s="2" t="s">
        <v>812</v>
      </c>
      <c r="F542" s="2" t="str" cm="1">
        <f t="array" ref="F542">INDEX(_xlfn.TEXTSPLIT(E542,"-"),2)</f>
        <v>男装</v>
      </c>
      <c r="G542" s="2" t="str" cm="1">
        <f t="array" ref="G542">INDEX(_xlfn.TEXTSPLIT(E542,"-"),3)</f>
        <v>套装</v>
      </c>
      <c r="H542" s="5">
        <v>44331</v>
      </c>
      <c r="I542" s="5">
        <v>6467512.85</v>
      </c>
      <c r="J542" s="6">
        <v>0.0085</v>
      </c>
      <c r="K542" s="6">
        <v>-0.0246</v>
      </c>
    </row>
    <row r="543" ht="14.5" spans="1:11">
      <c r="A543" s="3" t="str">
        <f t="shared" si="27"/>
        <v>2026年</v>
      </c>
      <c r="B543" s="3" t="str">
        <f t="shared" si="28"/>
        <v>1月</v>
      </c>
      <c r="C543" s="4" t="str">
        <f t="shared" si="29"/>
        <v>W3</v>
      </c>
      <c r="D543" s="2" t="s">
        <v>752</v>
      </c>
      <c r="E543" s="2" t="s">
        <v>813</v>
      </c>
      <c r="F543" s="2" t="str" cm="1">
        <f t="array" ref="F543">INDEX(_xlfn.TEXTSPLIT(E543,"-"),2)</f>
        <v>男装</v>
      </c>
      <c r="G543" s="2" t="str" cm="1">
        <f t="array" ref="G543">INDEX(_xlfn.TEXTSPLIT(E543,"-"),3)</f>
        <v>学生校服</v>
      </c>
      <c r="H543" s="5">
        <v>29</v>
      </c>
      <c r="I543" s="5">
        <v>1585.45</v>
      </c>
      <c r="J543" s="2" t="s">
        <v>713</v>
      </c>
      <c r="K543" s="6">
        <v>-0.6576</v>
      </c>
    </row>
    <row r="544" ht="14.5" spans="1:11">
      <c r="A544" s="3" t="str">
        <f t="shared" si="27"/>
        <v>2026年</v>
      </c>
      <c r="B544" s="3" t="str">
        <f t="shared" si="28"/>
        <v>1月</v>
      </c>
      <c r="C544" s="4" t="str">
        <f t="shared" si="29"/>
        <v>W3</v>
      </c>
      <c r="D544" s="2" t="s">
        <v>752</v>
      </c>
      <c r="E544" s="2" t="s">
        <v>814</v>
      </c>
      <c r="F544" s="2" t="str" cm="1">
        <f t="array" ref="F544">INDEX(_xlfn.TEXTSPLIT(E544,"-"),2)</f>
        <v>男装</v>
      </c>
      <c r="G544" s="2" t="str" cm="1">
        <f t="array" ref="G544">INDEX(_xlfn.TEXTSPLIT(E544,"-"),3)</f>
        <v>打底衫</v>
      </c>
      <c r="H544" s="5">
        <v>19214</v>
      </c>
      <c r="I544" s="5">
        <v>1214367.55</v>
      </c>
      <c r="J544" s="6">
        <v>0.0016</v>
      </c>
      <c r="K544" s="6">
        <v>-0.044</v>
      </c>
    </row>
    <row r="545" ht="14.5" spans="1:11">
      <c r="A545" s="3" t="str">
        <f t="shared" si="27"/>
        <v>2026年</v>
      </c>
      <c r="B545" s="3" t="str">
        <f t="shared" si="28"/>
        <v>1月</v>
      </c>
      <c r="C545" s="4" t="str">
        <f t="shared" si="29"/>
        <v>W3</v>
      </c>
      <c r="D545" s="2" t="s">
        <v>752</v>
      </c>
      <c r="E545" s="2" t="s">
        <v>815</v>
      </c>
      <c r="F545" s="2" t="str" cm="1">
        <f t="array" ref="F545">INDEX(_xlfn.TEXTSPLIT(E545,"-"),2)</f>
        <v>男装</v>
      </c>
      <c r="G545" s="2" t="str" cm="1">
        <f t="array" ref="G545">INDEX(_xlfn.TEXTSPLIT(E545,"-"),3)</f>
        <v>新中式男装</v>
      </c>
      <c r="H545" s="5">
        <v>581</v>
      </c>
      <c r="I545" s="5">
        <v>208235.39</v>
      </c>
      <c r="J545" s="6">
        <v>0.0003</v>
      </c>
      <c r="K545" s="6">
        <v>0.3189</v>
      </c>
    </row>
    <row r="546" ht="14.5" spans="1:11">
      <c r="A546" s="3" t="str">
        <f t="shared" si="27"/>
        <v>2026年</v>
      </c>
      <c r="B546" s="3" t="str">
        <f t="shared" si="28"/>
        <v>1月</v>
      </c>
      <c r="C546" s="4" t="str">
        <f t="shared" si="29"/>
        <v>W3</v>
      </c>
      <c r="D546" s="2" t="s">
        <v>752</v>
      </c>
      <c r="E546" s="2" t="s">
        <v>816</v>
      </c>
      <c r="F546" s="2" t="str" cm="1">
        <f t="array" ref="F546">INDEX(_xlfn.TEXTSPLIT(E546,"-"),2)</f>
        <v>男装</v>
      </c>
      <c r="G546" s="2" t="str" cm="1">
        <f t="array" ref="G546">INDEX(_xlfn.TEXTSPLIT(E546,"-"),3)</f>
        <v>棉衣</v>
      </c>
      <c r="H546" s="5">
        <v>336230</v>
      </c>
      <c r="I546" s="5">
        <v>44797676.69</v>
      </c>
      <c r="J546" s="6">
        <v>0.0591</v>
      </c>
      <c r="K546" s="6">
        <v>-0.0289</v>
      </c>
    </row>
    <row r="547" ht="14.5" spans="1:11">
      <c r="A547" s="3" t="str">
        <f t="shared" si="27"/>
        <v>2026年</v>
      </c>
      <c r="B547" s="3" t="str">
        <f t="shared" si="28"/>
        <v>1月</v>
      </c>
      <c r="C547" s="4" t="str">
        <f t="shared" si="29"/>
        <v>W3</v>
      </c>
      <c r="D547" s="2" t="s">
        <v>752</v>
      </c>
      <c r="E547" s="2" t="s">
        <v>817</v>
      </c>
      <c r="F547" s="2" t="str" cm="1">
        <f t="array" ref="F547">INDEX(_xlfn.TEXTSPLIT(E547,"-"),2)</f>
        <v>男装</v>
      </c>
      <c r="G547" s="2" t="str" cm="1">
        <f t="array" ref="G547">INDEX(_xlfn.TEXTSPLIT(E547,"-"),3)</f>
        <v>棉裤</v>
      </c>
      <c r="H547" s="5">
        <v>19205</v>
      </c>
      <c r="I547" s="5">
        <v>1459102.41</v>
      </c>
      <c r="J547" s="6">
        <v>0.0019</v>
      </c>
      <c r="K547" s="6">
        <v>-0.1059</v>
      </c>
    </row>
    <row r="548" ht="14.5" spans="1:11">
      <c r="A548" s="3" t="str">
        <f t="shared" si="27"/>
        <v>2026年</v>
      </c>
      <c r="B548" s="3" t="str">
        <f t="shared" si="28"/>
        <v>1月</v>
      </c>
      <c r="C548" s="4" t="str">
        <f t="shared" si="29"/>
        <v>W3</v>
      </c>
      <c r="D548" s="2" t="s">
        <v>752</v>
      </c>
      <c r="E548" s="2" t="s">
        <v>818</v>
      </c>
      <c r="F548" s="2" t="str" cm="1">
        <f t="array" ref="F548">INDEX(_xlfn.TEXTSPLIT(E548,"-"),2)</f>
        <v>男装</v>
      </c>
      <c r="G548" s="2" t="str" cm="1">
        <f t="array" ref="G548">INDEX(_xlfn.TEXTSPLIT(E548,"-"),3)</f>
        <v>毛呢大衣</v>
      </c>
      <c r="H548" s="5">
        <v>43445</v>
      </c>
      <c r="I548" s="5">
        <v>20053567.83</v>
      </c>
      <c r="J548" s="6">
        <v>0.0265</v>
      </c>
      <c r="K548" s="6">
        <v>-0.0458</v>
      </c>
    </row>
    <row r="549" ht="14.5" spans="1:11">
      <c r="A549" s="3" t="str">
        <f t="shared" si="27"/>
        <v>2026年</v>
      </c>
      <c r="B549" s="3" t="str">
        <f t="shared" si="28"/>
        <v>1月</v>
      </c>
      <c r="C549" s="4" t="str">
        <f t="shared" si="29"/>
        <v>W3</v>
      </c>
      <c r="D549" s="2" t="s">
        <v>752</v>
      </c>
      <c r="E549" s="2" t="s">
        <v>819</v>
      </c>
      <c r="F549" s="2" t="str" cm="1">
        <f t="array" ref="F549">INDEX(_xlfn.TEXTSPLIT(E549,"-"),2)</f>
        <v>男装</v>
      </c>
      <c r="G549" s="2" t="str" cm="1">
        <f t="array" ref="G549">INDEX(_xlfn.TEXTSPLIT(E549,"-"),3)</f>
        <v>民族服装</v>
      </c>
      <c r="H549" s="5">
        <v>6364</v>
      </c>
      <c r="I549" s="5">
        <v>1524214.01</v>
      </c>
      <c r="J549" s="6">
        <v>0.002</v>
      </c>
      <c r="K549" s="6">
        <v>0.0042</v>
      </c>
    </row>
    <row r="550" ht="14.5" spans="1:11">
      <c r="A550" s="3" t="str">
        <f t="shared" si="27"/>
        <v>2026年</v>
      </c>
      <c r="B550" s="3" t="str">
        <f t="shared" si="28"/>
        <v>1月</v>
      </c>
      <c r="C550" s="4" t="str">
        <f t="shared" si="29"/>
        <v>W3</v>
      </c>
      <c r="D550" s="2" t="s">
        <v>752</v>
      </c>
      <c r="E550" s="2" t="s">
        <v>820</v>
      </c>
      <c r="F550" s="2" t="str" cm="1">
        <f t="array" ref="F550">INDEX(_xlfn.TEXTSPLIT(E550,"-"),2)</f>
        <v>男装</v>
      </c>
      <c r="G550" s="2" t="str" cm="1">
        <f t="array" ref="G550">INDEX(_xlfn.TEXTSPLIT(E550,"-"),3)</f>
        <v>派克服</v>
      </c>
      <c r="H550" s="5">
        <v>11591</v>
      </c>
      <c r="I550" s="5">
        <v>2439292.93</v>
      </c>
      <c r="J550" s="6">
        <v>0.0032</v>
      </c>
      <c r="K550" s="6">
        <v>-0.2653</v>
      </c>
    </row>
    <row r="551" ht="14.5" spans="1:11">
      <c r="A551" s="3" t="str">
        <f t="shared" si="27"/>
        <v>2026年</v>
      </c>
      <c r="B551" s="3" t="str">
        <f t="shared" si="28"/>
        <v>1月</v>
      </c>
      <c r="C551" s="4" t="str">
        <f t="shared" si="29"/>
        <v>W3</v>
      </c>
      <c r="D551" s="2" t="s">
        <v>752</v>
      </c>
      <c r="E551" s="2" t="s">
        <v>821</v>
      </c>
      <c r="F551" s="2" t="str" cm="1">
        <f t="array" ref="F551">INDEX(_xlfn.TEXTSPLIT(E551,"-"),2)</f>
        <v>男装</v>
      </c>
      <c r="G551" s="2" t="str" cm="1">
        <f t="array" ref="G551">INDEX(_xlfn.TEXTSPLIT(E551,"-"),3)</f>
        <v>牛仔裤</v>
      </c>
      <c r="H551" s="5">
        <v>548605</v>
      </c>
      <c r="I551" s="5">
        <v>63992552.04</v>
      </c>
      <c r="J551" s="6">
        <v>0.0844</v>
      </c>
      <c r="K551" s="6">
        <v>0.0079</v>
      </c>
    </row>
    <row r="552" ht="14.5" spans="1:11">
      <c r="A552" s="3" t="str">
        <f t="shared" si="27"/>
        <v>2026年</v>
      </c>
      <c r="B552" s="3" t="str">
        <f t="shared" si="28"/>
        <v>1月</v>
      </c>
      <c r="C552" s="4" t="str">
        <f t="shared" si="29"/>
        <v>W3</v>
      </c>
      <c r="D552" s="2" t="s">
        <v>752</v>
      </c>
      <c r="E552" s="2" t="s">
        <v>822</v>
      </c>
      <c r="F552" s="2" t="str" cm="1">
        <f t="array" ref="F552">INDEX(_xlfn.TEXTSPLIT(E552,"-"),2)</f>
        <v>男装</v>
      </c>
      <c r="G552" s="2" t="str" cm="1">
        <f t="array" ref="G552">INDEX(_xlfn.TEXTSPLIT(E552,"-"),3)</f>
        <v>皮草</v>
      </c>
      <c r="H552" s="5">
        <v>6184</v>
      </c>
      <c r="I552" s="5">
        <v>7260312.64</v>
      </c>
      <c r="J552" s="6">
        <v>0.0096</v>
      </c>
      <c r="K552" s="6">
        <v>0.0191</v>
      </c>
    </row>
    <row r="553" ht="14.5" spans="1:11">
      <c r="A553" s="3" t="str">
        <f t="shared" si="27"/>
        <v>2026年</v>
      </c>
      <c r="B553" s="3" t="str">
        <f t="shared" si="28"/>
        <v>1月</v>
      </c>
      <c r="C553" s="4" t="str">
        <f t="shared" si="29"/>
        <v>W3</v>
      </c>
      <c r="D553" s="2" t="s">
        <v>752</v>
      </c>
      <c r="E553" s="2" t="s">
        <v>823</v>
      </c>
      <c r="F553" s="2" t="str" cm="1">
        <f t="array" ref="F553">INDEX(_xlfn.TEXTSPLIT(E553,"-"),2)</f>
        <v>男装</v>
      </c>
      <c r="G553" s="2" t="str" cm="1">
        <f t="array" ref="G553">INDEX(_xlfn.TEXTSPLIT(E553,"-"),3)</f>
        <v>皮衣</v>
      </c>
      <c r="H553" s="5">
        <v>50617</v>
      </c>
      <c r="I553" s="5">
        <v>22526062.73</v>
      </c>
      <c r="J553" s="6">
        <v>0.0297</v>
      </c>
      <c r="K553" s="6">
        <v>-0.1173</v>
      </c>
    </row>
    <row r="554" ht="14.5" spans="1:11">
      <c r="A554" s="3" t="str">
        <f t="shared" si="27"/>
        <v>2026年</v>
      </c>
      <c r="B554" s="3" t="str">
        <f t="shared" si="28"/>
        <v>1月</v>
      </c>
      <c r="C554" s="4" t="str">
        <f t="shared" si="29"/>
        <v>W3</v>
      </c>
      <c r="D554" s="2" t="s">
        <v>752</v>
      </c>
      <c r="E554" s="2" t="s">
        <v>824</v>
      </c>
      <c r="F554" s="2" t="str" cm="1">
        <f t="array" ref="F554">INDEX(_xlfn.TEXTSPLIT(E554,"-"),2)</f>
        <v>男装</v>
      </c>
      <c r="G554" s="2" t="str" cm="1">
        <f t="array" ref="G554">INDEX(_xlfn.TEXTSPLIT(E554,"-"),3)</f>
        <v>皮裤</v>
      </c>
      <c r="H554" s="5">
        <v>2635</v>
      </c>
      <c r="I554" s="5">
        <v>385112.6</v>
      </c>
      <c r="J554" s="6">
        <v>0.0005</v>
      </c>
      <c r="K554" s="6">
        <v>-0.0196</v>
      </c>
    </row>
    <row r="555" ht="14.5" spans="1:11">
      <c r="A555" s="3" t="str">
        <f t="shared" si="27"/>
        <v>2026年</v>
      </c>
      <c r="B555" s="3" t="str">
        <f t="shared" si="28"/>
        <v>1月</v>
      </c>
      <c r="C555" s="4" t="str">
        <f t="shared" si="29"/>
        <v>W3</v>
      </c>
      <c r="D555" s="2" t="s">
        <v>752</v>
      </c>
      <c r="E555" s="2" t="s">
        <v>825</v>
      </c>
      <c r="F555" s="2" t="str" cm="1">
        <f t="array" ref="F555">INDEX(_xlfn.TEXTSPLIT(E555,"-"),2)</f>
        <v>男装</v>
      </c>
      <c r="G555" s="2" t="str" cm="1">
        <f t="array" ref="G555">INDEX(_xlfn.TEXTSPLIT(E555,"-"),3)</f>
        <v>短外套</v>
      </c>
      <c r="H555" s="5">
        <v>29624</v>
      </c>
      <c r="I555" s="5">
        <v>2788370.58</v>
      </c>
      <c r="J555" s="6">
        <v>0.0037</v>
      </c>
      <c r="K555" s="6">
        <v>-0.1499</v>
      </c>
    </row>
    <row r="556" ht="14.5" spans="1:11">
      <c r="A556" s="3" t="str">
        <f t="shared" si="27"/>
        <v>2026年</v>
      </c>
      <c r="B556" s="3" t="str">
        <f t="shared" si="28"/>
        <v>1月</v>
      </c>
      <c r="C556" s="4" t="str">
        <f t="shared" si="29"/>
        <v>W3</v>
      </c>
      <c r="D556" s="2" t="s">
        <v>752</v>
      </c>
      <c r="E556" s="2" t="s">
        <v>826</v>
      </c>
      <c r="F556" s="2" t="str" cm="1">
        <f t="array" ref="F556">INDEX(_xlfn.TEXTSPLIT(E556,"-"),2)</f>
        <v>男装</v>
      </c>
      <c r="G556" s="2" t="str" cm="1">
        <f t="array" ref="G556">INDEX(_xlfn.TEXTSPLIT(E556,"-"),3)</f>
        <v>短裤</v>
      </c>
      <c r="H556" s="5">
        <v>46349</v>
      </c>
      <c r="I556" s="5">
        <v>1708831.19</v>
      </c>
      <c r="J556" s="6">
        <v>0.0023</v>
      </c>
      <c r="K556" s="6">
        <v>0.0033</v>
      </c>
    </row>
    <row r="557" ht="14.5" spans="1:11">
      <c r="A557" s="3" t="str">
        <f t="shared" si="27"/>
        <v>2026年</v>
      </c>
      <c r="B557" s="3" t="str">
        <f t="shared" si="28"/>
        <v>1月</v>
      </c>
      <c r="C557" s="4" t="str">
        <f t="shared" si="29"/>
        <v>W3</v>
      </c>
      <c r="D557" s="2" t="s">
        <v>752</v>
      </c>
      <c r="E557" s="2" t="s">
        <v>827</v>
      </c>
      <c r="F557" s="2" t="str" cm="1">
        <f t="array" ref="F557">INDEX(_xlfn.TEXTSPLIT(E557,"-"),2)</f>
        <v>男装</v>
      </c>
      <c r="G557" s="2" t="str" cm="1">
        <f t="array" ref="G557">INDEX(_xlfn.TEXTSPLIT(E557,"-"),3)</f>
        <v>紧身衣</v>
      </c>
      <c r="H557" s="5">
        <v>155</v>
      </c>
      <c r="I557" s="5">
        <v>6538.8</v>
      </c>
      <c r="J557" s="2" t="s">
        <v>713</v>
      </c>
      <c r="K557" s="6">
        <v>0.2052</v>
      </c>
    </row>
    <row r="558" ht="14.5" spans="1:11">
      <c r="A558" s="3" t="str">
        <f t="shared" si="27"/>
        <v>2026年</v>
      </c>
      <c r="B558" s="3" t="str">
        <f t="shared" si="28"/>
        <v>1月</v>
      </c>
      <c r="C558" s="4" t="str">
        <f t="shared" si="29"/>
        <v>W3</v>
      </c>
      <c r="D558" s="2" t="s">
        <v>752</v>
      </c>
      <c r="E558" s="2" t="s">
        <v>828</v>
      </c>
      <c r="F558" s="2" t="str" cm="1">
        <f t="array" ref="F558">INDEX(_xlfn.TEXTSPLIT(E558,"-"),2)</f>
        <v>男装</v>
      </c>
      <c r="G558" s="2" t="str" cm="1">
        <f t="array" ref="G558">INDEX(_xlfn.TEXTSPLIT(E558,"-"),3)</f>
        <v>羊毛衫</v>
      </c>
      <c r="H558" s="5">
        <v>100726</v>
      </c>
      <c r="I558" s="5">
        <v>14942454.86</v>
      </c>
      <c r="J558" s="6">
        <v>0.0197</v>
      </c>
      <c r="K558" s="6">
        <v>-0.1343</v>
      </c>
    </row>
    <row r="559" ht="14.5" spans="1:11">
      <c r="A559" s="3" t="str">
        <f t="shared" si="27"/>
        <v>2026年</v>
      </c>
      <c r="B559" s="3" t="str">
        <f t="shared" si="28"/>
        <v>1月</v>
      </c>
      <c r="C559" s="4" t="str">
        <f t="shared" si="29"/>
        <v>W3</v>
      </c>
      <c r="D559" s="2" t="s">
        <v>752</v>
      </c>
      <c r="E559" s="2" t="s">
        <v>829</v>
      </c>
      <c r="F559" s="2" t="str" cm="1">
        <f t="array" ref="F559">INDEX(_xlfn.TEXTSPLIT(E559,"-"),2)</f>
        <v>男装</v>
      </c>
      <c r="G559" s="2" t="str" cm="1">
        <f t="array" ref="G559">INDEX(_xlfn.TEXTSPLIT(E559,"-"),3)</f>
        <v>羊绒衫</v>
      </c>
      <c r="H559" s="5">
        <v>18007</v>
      </c>
      <c r="I559" s="5">
        <v>5261035.55</v>
      </c>
      <c r="J559" s="6">
        <v>0.0069</v>
      </c>
      <c r="K559" s="6">
        <v>-0.2278</v>
      </c>
    </row>
    <row r="560" ht="14.5" spans="1:11">
      <c r="A560" s="3" t="str">
        <f t="shared" si="27"/>
        <v>2026年</v>
      </c>
      <c r="B560" s="3" t="str">
        <f t="shared" si="28"/>
        <v>1月</v>
      </c>
      <c r="C560" s="4" t="str">
        <f t="shared" si="29"/>
        <v>W3</v>
      </c>
      <c r="D560" s="2" t="s">
        <v>752</v>
      </c>
      <c r="E560" s="2" t="s">
        <v>830</v>
      </c>
      <c r="F560" s="2" t="str" cm="1">
        <f t="array" ref="F560">INDEX(_xlfn.TEXTSPLIT(E560,"-"),2)</f>
        <v>男装</v>
      </c>
      <c r="G560" s="2" t="str" cm="1">
        <f t="array" ref="G560">INDEX(_xlfn.TEXTSPLIT(E560,"-"),3)</f>
        <v>羽绒服</v>
      </c>
      <c r="H560" s="5">
        <v>515638</v>
      </c>
      <c r="I560" s="5">
        <v>193774429.84</v>
      </c>
      <c r="J560" s="6">
        <v>0.2557</v>
      </c>
      <c r="K560" s="6">
        <v>-0.0625</v>
      </c>
    </row>
    <row r="561" ht="14.5" spans="1:11">
      <c r="A561" s="3" t="str">
        <f t="shared" si="27"/>
        <v>2026年</v>
      </c>
      <c r="B561" s="3" t="str">
        <f t="shared" si="28"/>
        <v>1月</v>
      </c>
      <c r="C561" s="4" t="str">
        <f t="shared" si="29"/>
        <v>W3</v>
      </c>
      <c r="D561" s="2" t="s">
        <v>752</v>
      </c>
      <c r="E561" s="2" t="s">
        <v>831</v>
      </c>
      <c r="F561" s="2" t="str" cm="1">
        <f t="array" ref="F561">INDEX(_xlfn.TEXTSPLIT(E561,"-"),2)</f>
        <v>男装</v>
      </c>
      <c r="G561" s="2" t="str" cm="1">
        <f t="array" ref="G561">INDEX(_xlfn.TEXTSPLIT(E561,"-"),3)</f>
        <v>羽绒裤</v>
      </c>
      <c r="H561" s="5">
        <v>11128</v>
      </c>
      <c r="I561" s="5">
        <v>1630334.73</v>
      </c>
      <c r="J561" s="6">
        <v>0.0022</v>
      </c>
      <c r="K561" s="6">
        <v>-0.1364</v>
      </c>
    </row>
    <row r="562" ht="14.5" spans="1:11">
      <c r="A562" s="3" t="str">
        <f t="shared" si="27"/>
        <v>2026年</v>
      </c>
      <c r="B562" s="3" t="str">
        <f t="shared" si="28"/>
        <v>1月</v>
      </c>
      <c r="C562" s="4" t="str">
        <f t="shared" si="29"/>
        <v>W3</v>
      </c>
      <c r="D562" s="2" t="s">
        <v>752</v>
      </c>
      <c r="E562" s="2" t="s">
        <v>832</v>
      </c>
      <c r="F562" s="2" t="str" cm="1">
        <f t="array" ref="F562">INDEX(_xlfn.TEXTSPLIT(E562,"-"),2)</f>
        <v>男装</v>
      </c>
      <c r="G562" s="2" t="str" cm="1">
        <f t="array" ref="G562">INDEX(_xlfn.TEXTSPLIT(E562,"-"),3)</f>
        <v>羽绒马甲</v>
      </c>
      <c r="H562" s="5">
        <v>11745</v>
      </c>
      <c r="I562" s="5">
        <v>2450385.79</v>
      </c>
      <c r="J562" s="6">
        <v>0.0032</v>
      </c>
      <c r="K562" s="6">
        <v>-0.0623</v>
      </c>
    </row>
    <row r="563" ht="14.5" spans="1:11">
      <c r="A563" s="3" t="str">
        <f t="shared" si="27"/>
        <v>2026年</v>
      </c>
      <c r="B563" s="3" t="str">
        <f t="shared" si="28"/>
        <v>1月</v>
      </c>
      <c r="C563" s="4" t="str">
        <f t="shared" si="29"/>
        <v>W3</v>
      </c>
      <c r="D563" s="2" t="s">
        <v>752</v>
      </c>
      <c r="E563" s="2" t="s">
        <v>833</v>
      </c>
      <c r="F563" s="2" t="str" cm="1">
        <f t="array" ref="F563">INDEX(_xlfn.TEXTSPLIT(E563,"-"),2)</f>
        <v>男装</v>
      </c>
      <c r="G563" s="2" t="str" cm="1">
        <f t="array" ref="G563">INDEX(_xlfn.TEXTSPLIT(E563,"-"),3)</f>
        <v>背心</v>
      </c>
      <c r="H563" s="5">
        <v>35842</v>
      </c>
      <c r="I563" s="5">
        <v>2114429.19</v>
      </c>
      <c r="J563" s="6">
        <v>0.0028</v>
      </c>
      <c r="K563" s="6">
        <v>-0.056</v>
      </c>
    </row>
    <row r="564" ht="14.5" spans="1:11">
      <c r="A564" s="3" t="str">
        <f t="shared" si="27"/>
        <v>2026年</v>
      </c>
      <c r="B564" s="3" t="str">
        <f t="shared" si="28"/>
        <v>1月</v>
      </c>
      <c r="C564" s="4" t="str">
        <f t="shared" si="29"/>
        <v>W3</v>
      </c>
      <c r="D564" s="2" t="s">
        <v>752</v>
      </c>
      <c r="E564" s="2" t="s">
        <v>834</v>
      </c>
      <c r="F564" s="2" t="str" cm="1">
        <f t="array" ref="F564">INDEX(_xlfn.TEXTSPLIT(E564,"-"),2)</f>
        <v>男装</v>
      </c>
      <c r="G564" s="2" t="str" cm="1">
        <f t="array" ref="G564">INDEX(_xlfn.TEXTSPLIT(E564,"-"),3)</f>
        <v>衬衫</v>
      </c>
      <c r="H564" s="5">
        <v>89020</v>
      </c>
      <c r="I564" s="5">
        <v>11471272.36</v>
      </c>
      <c r="J564" s="6">
        <v>0.0151</v>
      </c>
      <c r="K564" s="6">
        <v>0.0134</v>
      </c>
    </row>
    <row r="565" ht="14.5" spans="1:11">
      <c r="A565" s="3" t="str">
        <f t="shared" si="27"/>
        <v>2026年</v>
      </c>
      <c r="B565" s="3" t="str">
        <f t="shared" si="28"/>
        <v>1月</v>
      </c>
      <c r="C565" s="4" t="str">
        <f t="shared" si="29"/>
        <v>W3</v>
      </c>
      <c r="D565" s="2" t="s">
        <v>752</v>
      </c>
      <c r="E565" s="2" t="s">
        <v>835</v>
      </c>
      <c r="F565" s="2" t="str" cm="1">
        <f t="array" ref="F565">INDEX(_xlfn.TEXTSPLIT(E565,"-"),2)</f>
        <v>男装</v>
      </c>
      <c r="G565" s="2" t="str" cm="1">
        <f t="array" ref="G565">INDEX(_xlfn.TEXTSPLIT(E565,"-"),3)</f>
        <v>西服</v>
      </c>
      <c r="H565" s="5">
        <v>81649</v>
      </c>
      <c r="I565" s="5">
        <v>17596231.04</v>
      </c>
      <c r="J565" s="6">
        <v>0.0232</v>
      </c>
      <c r="K565" s="7">
        <v>0.11</v>
      </c>
    </row>
    <row r="566" ht="14.5" spans="1:11">
      <c r="A566" s="3" t="str">
        <f t="shared" si="27"/>
        <v>2026年</v>
      </c>
      <c r="B566" s="3" t="str">
        <f t="shared" si="28"/>
        <v>1月</v>
      </c>
      <c r="C566" s="4" t="str">
        <f t="shared" si="29"/>
        <v>W3</v>
      </c>
      <c r="D566" s="2" t="s">
        <v>752</v>
      </c>
      <c r="E566" s="2" t="s">
        <v>836</v>
      </c>
      <c r="F566" s="2" t="str" cm="1">
        <f t="array" ref="F566">INDEX(_xlfn.TEXTSPLIT(E566,"-"),2)</f>
        <v>男装</v>
      </c>
      <c r="G566" s="2" t="str" cm="1">
        <f t="array" ref="G566">INDEX(_xlfn.TEXTSPLIT(E566,"-"),3)</f>
        <v>连体衣/裤</v>
      </c>
      <c r="H566" s="5">
        <v>947</v>
      </c>
      <c r="I566" s="5">
        <v>28464.82</v>
      </c>
      <c r="J566" s="2" t="s">
        <v>713</v>
      </c>
      <c r="K566" s="6">
        <v>-0.0484</v>
      </c>
    </row>
    <row r="567" ht="14.5" spans="1:11">
      <c r="A567" s="3" t="str">
        <f t="shared" si="27"/>
        <v>2026年</v>
      </c>
      <c r="B567" s="3" t="str">
        <f t="shared" si="28"/>
        <v>1月</v>
      </c>
      <c r="C567" s="4" t="str">
        <f t="shared" si="29"/>
        <v>W3</v>
      </c>
      <c r="D567" s="2" t="s">
        <v>752</v>
      </c>
      <c r="E567" s="2" t="s">
        <v>837</v>
      </c>
      <c r="F567" s="2" t="str" cm="1">
        <f t="array" ref="F567">INDEX(_xlfn.TEXTSPLIT(E567,"-"),2)</f>
        <v>男装</v>
      </c>
      <c r="G567" s="2" t="str" cm="1">
        <f t="array" ref="G567">INDEX(_xlfn.TEXTSPLIT(E567,"-"),3)</f>
        <v>速干/三防T恤</v>
      </c>
      <c r="H567" s="5">
        <v>750</v>
      </c>
      <c r="I567" s="5">
        <v>61628.65</v>
      </c>
      <c r="J567" s="6">
        <v>0.0001</v>
      </c>
      <c r="K567" s="6">
        <v>-0.0635</v>
      </c>
    </row>
    <row r="568" ht="14.5" spans="1:11">
      <c r="A568" s="3" t="str">
        <f t="shared" si="27"/>
        <v>2026年</v>
      </c>
      <c r="B568" s="3" t="str">
        <f t="shared" si="28"/>
        <v>1月</v>
      </c>
      <c r="C568" s="4" t="str">
        <f t="shared" si="29"/>
        <v>W3</v>
      </c>
      <c r="D568" s="2" t="s">
        <v>752</v>
      </c>
      <c r="E568" s="2" t="s">
        <v>838</v>
      </c>
      <c r="F568" s="2" t="str" cm="1">
        <f t="array" ref="F568">INDEX(_xlfn.TEXTSPLIT(E568,"-"),2)</f>
        <v>男装</v>
      </c>
      <c r="G568" s="2" t="str" cm="1">
        <f t="array" ref="G568">INDEX(_xlfn.TEXTSPLIT(E568,"-"),3)</f>
        <v>针织衫/毛衣</v>
      </c>
      <c r="H568" s="5">
        <v>330703</v>
      </c>
      <c r="I568" s="5">
        <v>40612921.1</v>
      </c>
      <c r="J568" s="6">
        <v>0.0536</v>
      </c>
      <c r="K568" s="6">
        <v>-0.0571</v>
      </c>
    </row>
    <row r="569" ht="14.5" spans="1:11">
      <c r="A569" s="3" t="str">
        <f t="shared" si="27"/>
        <v>2026年</v>
      </c>
      <c r="B569" s="3" t="str">
        <f t="shared" si="28"/>
        <v>1月</v>
      </c>
      <c r="C569" s="4" t="str">
        <f t="shared" si="29"/>
        <v>W3</v>
      </c>
      <c r="D569" s="2" t="s">
        <v>752</v>
      </c>
      <c r="E569" s="2" t="s">
        <v>839</v>
      </c>
      <c r="F569" s="2" t="str" cm="1">
        <f t="array" ref="F569">INDEX(_xlfn.TEXTSPLIT(E569,"-"),2)</f>
        <v>男装</v>
      </c>
      <c r="G569" s="2" t="str" cm="1">
        <f t="array" ref="G569">INDEX(_xlfn.TEXTSPLIT(E569,"-"),3)</f>
        <v>防晒服</v>
      </c>
      <c r="H569" s="5">
        <v>178</v>
      </c>
      <c r="I569" s="5">
        <v>13891.1</v>
      </c>
      <c r="J569" s="2" t="s">
        <v>713</v>
      </c>
      <c r="K569" s="6">
        <v>0.2231</v>
      </c>
    </row>
    <row r="570" ht="14.5" spans="1:11">
      <c r="A570" s="3" t="str">
        <f t="shared" si="27"/>
        <v>2026年</v>
      </c>
      <c r="B570" s="3" t="str">
        <f t="shared" si="28"/>
        <v>1月</v>
      </c>
      <c r="C570" s="4" t="str">
        <f t="shared" si="29"/>
        <v>W3</v>
      </c>
      <c r="D570" s="2" t="s">
        <v>752</v>
      </c>
      <c r="E570" s="2" t="s">
        <v>840</v>
      </c>
      <c r="F570" s="2" t="str" cm="1">
        <f t="array" ref="F570">INDEX(_xlfn.TEXTSPLIT(E570,"-"),2)</f>
        <v>男装</v>
      </c>
      <c r="G570" s="2" t="str" cm="1">
        <f t="array" ref="G570">INDEX(_xlfn.TEXTSPLIT(E570,"-"),3)</f>
        <v>风衣</v>
      </c>
      <c r="H570" s="5">
        <v>6146</v>
      </c>
      <c r="I570" s="5">
        <v>1860341.04</v>
      </c>
      <c r="J570" s="6">
        <v>0.0025</v>
      </c>
      <c r="K570" s="6">
        <v>-0.0284</v>
      </c>
    </row>
    <row r="571" ht="14.5" spans="1:11">
      <c r="A571" s="3" t="str">
        <f t="shared" si="27"/>
        <v>2026年</v>
      </c>
      <c r="B571" s="3" t="str">
        <f t="shared" si="28"/>
        <v>1月</v>
      </c>
      <c r="C571" s="4" t="str">
        <f t="shared" si="29"/>
        <v>W3</v>
      </c>
      <c r="D571" s="2" t="s">
        <v>752</v>
      </c>
      <c r="E571" s="2" t="s">
        <v>841</v>
      </c>
      <c r="F571" s="2" t="str" cm="1">
        <f t="array" ref="F571">INDEX(_xlfn.TEXTSPLIT(E571,"-"),2)</f>
        <v>男装</v>
      </c>
      <c r="G571" s="2" t="str" cm="1">
        <f t="array" ref="G571">INDEX(_xlfn.TEXTSPLIT(E571,"-"),3)</f>
        <v>马甲</v>
      </c>
      <c r="H571" s="5">
        <v>48014</v>
      </c>
      <c r="I571" s="5">
        <v>4570875.13</v>
      </c>
      <c r="J571" s="6">
        <v>0.006</v>
      </c>
      <c r="K571" s="6">
        <v>0.005</v>
      </c>
    </row>
    <row r="572" ht="14.5" spans="1:11">
      <c r="A572" s="3" t="str">
        <f t="shared" si="27"/>
        <v>2026年</v>
      </c>
      <c r="B572" s="3" t="str">
        <f t="shared" si="28"/>
        <v>1月</v>
      </c>
      <c r="C572" s="4" t="str">
        <f t="shared" si="29"/>
        <v>W3</v>
      </c>
      <c r="D572" s="2" t="s">
        <v>753</v>
      </c>
      <c r="E572" s="2" t="s">
        <v>804</v>
      </c>
      <c r="F572" s="2" t="str" cm="1">
        <f t="array" ref="F572">INDEX(_xlfn.TEXTSPLIT(E572,"-"),2)</f>
        <v>男装</v>
      </c>
      <c r="G572" s="2" t="str" cm="1">
        <f t="array" ref="G572">INDEX(_xlfn.TEXTSPLIT(E572,"-"),3)</f>
        <v>Polo衫</v>
      </c>
      <c r="H572" s="5">
        <v>43522</v>
      </c>
      <c r="I572" s="5">
        <v>4380450.56</v>
      </c>
      <c r="J572" s="6">
        <v>0.0048</v>
      </c>
      <c r="K572" s="6">
        <v>0.057</v>
      </c>
    </row>
    <row r="573" ht="14.5" spans="1:11">
      <c r="A573" s="3" t="str">
        <f t="shared" si="27"/>
        <v>2026年</v>
      </c>
      <c r="B573" s="3" t="str">
        <f t="shared" si="28"/>
        <v>1月</v>
      </c>
      <c r="C573" s="4" t="str">
        <f t="shared" si="29"/>
        <v>W3</v>
      </c>
      <c r="D573" s="2" t="s">
        <v>753</v>
      </c>
      <c r="E573" s="2" t="s">
        <v>805</v>
      </c>
      <c r="F573" s="2" t="str" cm="1">
        <f t="array" ref="F573">INDEX(_xlfn.TEXTSPLIT(E573,"-"),2)</f>
        <v>男装</v>
      </c>
      <c r="G573" s="2" t="str" cm="1">
        <f t="array" ref="G573">INDEX(_xlfn.TEXTSPLIT(E573,"-"),3)</f>
        <v>T恤</v>
      </c>
      <c r="H573" s="5">
        <v>356234</v>
      </c>
      <c r="I573" s="5">
        <v>30093908.4</v>
      </c>
      <c r="J573" s="6">
        <v>0.0327</v>
      </c>
      <c r="K573" s="6">
        <v>0.0372</v>
      </c>
    </row>
    <row r="574" ht="14.5" spans="1:11">
      <c r="A574" s="3" t="str">
        <f t="shared" si="27"/>
        <v>2026年</v>
      </c>
      <c r="B574" s="3" t="str">
        <f t="shared" si="28"/>
        <v>1月</v>
      </c>
      <c r="C574" s="4" t="str">
        <f t="shared" si="29"/>
        <v>W3</v>
      </c>
      <c r="D574" s="2" t="s">
        <v>753</v>
      </c>
      <c r="E574" s="2" t="s">
        <v>806</v>
      </c>
      <c r="F574" s="2" t="str" cm="1">
        <f t="array" ref="F574">INDEX(_xlfn.TEXTSPLIT(E574,"-"),2)</f>
        <v>男装</v>
      </c>
      <c r="G574" s="2" t="str" cm="1">
        <f t="array" ref="G574">INDEX(_xlfn.TEXTSPLIT(E574,"-"),3)</f>
        <v>中老年男装</v>
      </c>
      <c r="H574" s="5">
        <v>107026</v>
      </c>
      <c r="I574" s="5">
        <v>15161941.24</v>
      </c>
      <c r="J574" s="6">
        <v>0.0165</v>
      </c>
      <c r="K574" s="6">
        <v>0.091</v>
      </c>
    </row>
    <row r="575" ht="14.5" spans="1:11">
      <c r="A575" s="3" t="str">
        <f t="shared" si="27"/>
        <v>2026年</v>
      </c>
      <c r="B575" s="3" t="str">
        <f t="shared" si="28"/>
        <v>1月</v>
      </c>
      <c r="C575" s="4" t="str">
        <f t="shared" si="29"/>
        <v>W3</v>
      </c>
      <c r="D575" s="2" t="s">
        <v>753</v>
      </c>
      <c r="E575" s="2" t="s">
        <v>807</v>
      </c>
      <c r="F575" s="2" t="str" cm="1">
        <f t="array" ref="F575">INDEX(_xlfn.TEXTSPLIT(E575,"-"),2)</f>
        <v>男装</v>
      </c>
      <c r="G575" s="2" t="str" cm="1">
        <f t="array" ref="G575">INDEX(_xlfn.TEXTSPLIT(E575,"-"),3)</f>
        <v>休闲裤</v>
      </c>
      <c r="H575" s="5">
        <v>826452</v>
      </c>
      <c r="I575" s="5">
        <v>90377790.43</v>
      </c>
      <c r="J575" s="6">
        <v>0.0982</v>
      </c>
      <c r="K575" s="6">
        <v>0.0094</v>
      </c>
    </row>
    <row r="576" ht="14.5" spans="1:11">
      <c r="A576" s="3" t="str">
        <f t="shared" si="27"/>
        <v>2026年</v>
      </c>
      <c r="B576" s="3" t="str">
        <f t="shared" si="28"/>
        <v>1月</v>
      </c>
      <c r="C576" s="4" t="str">
        <f t="shared" si="29"/>
        <v>W3</v>
      </c>
      <c r="D576" s="2" t="s">
        <v>753</v>
      </c>
      <c r="E576" s="2" t="s">
        <v>808</v>
      </c>
      <c r="F576" s="2" t="str" cm="1">
        <f t="array" ref="F576">INDEX(_xlfn.TEXTSPLIT(E576,"-"),2)</f>
        <v>男装</v>
      </c>
      <c r="G576" s="2" t="str" cm="1">
        <f t="array" ref="G576">INDEX(_xlfn.TEXTSPLIT(E576,"-"),3)</f>
        <v>卫衣</v>
      </c>
      <c r="H576" s="5">
        <v>574200</v>
      </c>
      <c r="I576" s="5">
        <v>52367009.97</v>
      </c>
      <c r="J576" s="6">
        <v>0.0569</v>
      </c>
      <c r="K576" s="6">
        <v>0.0695</v>
      </c>
    </row>
    <row r="577" ht="14.5" spans="1:11">
      <c r="A577" s="3" t="str">
        <f t="shared" si="27"/>
        <v>2026年</v>
      </c>
      <c r="B577" s="3" t="str">
        <f t="shared" si="28"/>
        <v>1月</v>
      </c>
      <c r="C577" s="4" t="str">
        <f t="shared" si="29"/>
        <v>W3</v>
      </c>
      <c r="D577" s="2" t="s">
        <v>753</v>
      </c>
      <c r="E577" s="2" t="s">
        <v>809</v>
      </c>
      <c r="F577" s="2" t="str" cm="1">
        <f t="array" ref="F577">INDEX(_xlfn.TEXTSPLIT(E577,"-"),2)</f>
        <v>男装</v>
      </c>
      <c r="G577" s="2" t="str" cm="1">
        <f t="array" ref="G577">INDEX(_xlfn.TEXTSPLIT(E577,"-"),3)</f>
        <v>卫裤</v>
      </c>
      <c r="H577" s="5">
        <v>158817</v>
      </c>
      <c r="I577" s="5">
        <v>16183679.7</v>
      </c>
      <c r="J577" s="6">
        <v>0.0176</v>
      </c>
      <c r="K577" s="6">
        <v>-0.0643</v>
      </c>
    </row>
    <row r="578" ht="14.5" spans="1:11">
      <c r="A578" s="3" t="str">
        <f t="shared" si="27"/>
        <v>2026年</v>
      </c>
      <c r="B578" s="3" t="str">
        <f t="shared" si="28"/>
        <v>1月</v>
      </c>
      <c r="C578" s="4" t="str">
        <f t="shared" si="29"/>
        <v>W3</v>
      </c>
      <c r="D578" s="2" t="s">
        <v>753</v>
      </c>
      <c r="E578" s="2" t="s">
        <v>810</v>
      </c>
      <c r="F578" s="2" t="str" cm="1">
        <f t="array" ref="F578">INDEX(_xlfn.TEXTSPLIT(E578,"-"),2)</f>
        <v>男装</v>
      </c>
      <c r="G578" s="2" t="str" cm="1">
        <f t="array" ref="G578">INDEX(_xlfn.TEXTSPLIT(E578,"-"),3)</f>
        <v>大码男装</v>
      </c>
      <c r="H578" s="5">
        <v>35639</v>
      </c>
      <c r="I578" s="5">
        <v>3427423.66</v>
      </c>
      <c r="J578" s="6">
        <v>0.0037</v>
      </c>
      <c r="K578" s="6">
        <v>-0.0941</v>
      </c>
    </row>
    <row r="579" ht="14.5" spans="1:11">
      <c r="A579" s="3" t="str">
        <f t="shared" si="27"/>
        <v>2026年</v>
      </c>
      <c r="B579" s="3" t="str">
        <f t="shared" si="28"/>
        <v>1月</v>
      </c>
      <c r="C579" s="4" t="str">
        <f t="shared" si="29"/>
        <v>W3</v>
      </c>
      <c r="D579" s="2" t="s">
        <v>753</v>
      </c>
      <c r="E579" s="2" t="s">
        <v>811</v>
      </c>
      <c r="F579" s="2" t="str" cm="1">
        <f t="array" ref="F579">INDEX(_xlfn.TEXTSPLIT(E579,"-"),2)</f>
        <v>男装</v>
      </c>
      <c r="G579" s="2" t="str" cm="1">
        <f t="array" ref="G579">INDEX(_xlfn.TEXTSPLIT(E579,"-"),3)</f>
        <v>夹克</v>
      </c>
      <c r="H579" s="5">
        <v>432428</v>
      </c>
      <c r="I579" s="5">
        <v>94533410.35</v>
      </c>
      <c r="J579" s="6">
        <v>0.1027</v>
      </c>
      <c r="K579" s="6">
        <v>0.213</v>
      </c>
    </row>
    <row r="580" ht="14.5" spans="1:11">
      <c r="A580" s="3" t="str">
        <f t="shared" si="27"/>
        <v>2026年</v>
      </c>
      <c r="B580" s="3" t="str">
        <f t="shared" si="28"/>
        <v>1月</v>
      </c>
      <c r="C580" s="4" t="str">
        <f t="shared" si="29"/>
        <v>W3</v>
      </c>
      <c r="D580" s="2" t="s">
        <v>753</v>
      </c>
      <c r="E580" s="2" t="s">
        <v>812</v>
      </c>
      <c r="F580" s="2" t="str" cm="1">
        <f t="array" ref="F580">INDEX(_xlfn.TEXTSPLIT(E580,"-"),2)</f>
        <v>男装</v>
      </c>
      <c r="G580" s="2" t="str" cm="1">
        <f t="array" ref="G580">INDEX(_xlfn.TEXTSPLIT(E580,"-"),3)</f>
        <v>套装</v>
      </c>
      <c r="H580" s="5">
        <v>45169</v>
      </c>
      <c r="I580" s="5">
        <v>7166412.62</v>
      </c>
      <c r="J580" s="6">
        <v>0.0078</v>
      </c>
      <c r="K580" s="6">
        <v>0.1081</v>
      </c>
    </row>
    <row r="581" ht="14.5" spans="1:11">
      <c r="A581" s="3" t="str">
        <f t="shared" si="27"/>
        <v>2026年</v>
      </c>
      <c r="B581" s="3" t="str">
        <f t="shared" si="28"/>
        <v>1月</v>
      </c>
      <c r="C581" s="4" t="str">
        <f t="shared" si="29"/>
        <v>W3</v>
      </c>
      <c r="D581" s="2" t="s">
        <v>753</v>
      </c>
      <c r="E581" s="2" t="s">
        <v>813</v>
      </c>
      <c r="F581" s="2" t="str" cm="1">
        <f t="array" ref="F581">INDEX(_xlfn.TEXTSPLIT(E581,"-"),2)</f>
        <v>男装</v>
      </c>
      <c r="G581" s="2" t="str" cm="1">
        <f t="array" ref="G581">INDEX(_xlfn.TEXTSPLIT(E581,"-"),3)</f>
        <v>学生校服</v>
      </c>
      <c r="H581" s="5">
        <v>33</v>
      </c>
      <c r="I581" s="5">
        <v>1965.67</v>
      </c>
      <c r="J581" s="2" t="s">
        <v>713</v>
      </c>
      <c r="K581" s="6">
        <v>0.2398</v>
      </c>
    </row>
    <row r="582" ht="14.5" spans="1:11">
      <c r="A582" s="3" t="str">
        <f t="shared" si="27"/>
        <v>2026年</v>
      </c>
      <c r="B582" s="3" t="str">
        <f t="shared" si="28"/>
        <v>1月</v>
      </c>
      <c r="C582" s="4" t="str">
        <f t="shared" si="29"/>
        <v>W3</v>
      </c>
      <c r="D582" s="2" t="s">
        <v>753</v>
      </c>
      <c r="E582" s="2" t="s">
        <v>814</v>
      </c>
      <c r="F582" s="2" t="str" cm="1">
        <f t="array" ref="F582">INDEX(_xlfn.TEXTSPLIT(E582,"-"),2)</f>
        <v>男装</v>
      </c>
      <c r="G582" s="2" t="str" cm="1">
        <f t="array" ref="G582">INDEX(_xlfn.TEXTSPLIT(E582,"-"),3)</f>
        <v>打底衫</v>
      </c>
      <c r="H582" s="5">
        <v>17279</v>
      </c>
      <c r="I582" s="5">
        <v>1211229.37</v>
      </c>
      <c r="J582" s="6">
        <v>0.0013</v>
      </c>
      <c r="K582" s="6">
        <v>-0.0026</v>
      </c>
    </row>
    <row r="583" ht="14.5" spans="1:11">
      <c r="A583" s="3" t="str">
        <f t="shared" si="27"/>
        <v>2026年</v>
      </c>
      <c r="B583" s="3" t="str">
        <f t="shared" si="28"/>
        <v>1月</v>
      </c>
      <c r="C583" s="4" t="str">
        <f t="shared" si="29"/>
        <v>W3</v>
      </c>
      <c r="D583" s="2" t="s">
        <v>753</v>
      </c>
      <c r="E583" s="2" t="s">
        <v>815</v>
      </c>
      <c r="F583" s="2" t="str" cm="1">
        <f t="array" ref="F583">INDEX(_xlfn.TEXTSPLIT(E583,"-"),2)</f>
        <v>男装</v>
      </c>
      <c r="G583" s="2" t="str" cm="1">
        <f t="array" ref="G583">INDEX(_xlfn.TEXTSPLIT(E583,"-"),3)</f>
        <v>新中式男装</v>
      </c>
      <c r="H583" s="5">
        <v>566</v>
      </c>
      <c r="I583" s="5">
        <v>216683.55</v>
      </c>
      <c r="J583" s="6">
        <v>0.0002</v>
      </c>
      <c r="K583" s="6">
        <v>0.0406</v>
      </c>
    </row>
    <row r="584" ht="14.5" spans="1:11">
      <c r="A584" s="3" t="str">
        <f t="shared" si="27"/>
        <v>2026年</v>
      </c>
      <c r="B584" s="3" t="str">
        <f t="shared" si="28"/>
        <v>1月</v>
      </c>
      <c r="C584" s="4" t="str">
        <f t="shared" si="29"/>
        <v>W3</v>
      </c>
      <c r="D584" s="2" t="s">
        <v>753</v>
      </c>
      <c r="E584" s="2" t="s">
        <v>816</v>
      </c>
      <c r="F584" s="2" t="str" cm="1">
        <f t="array" ref="F584">INDEX(_xlfn.TEXTSPLIT(E584,"-"),2)</f>
        <v>男装</v>
      </c>
      <c r="G584" s="2" t="str" cm="1">
        <f t="array" ref="G584">INDEX(_xlfn.TEXTSPLIT(E584,"-"),3)</f>
        <v>棉衣</v>
      </c>
      <c r="H584" s="5">
        <v>341667</v>
      </c>
      <c r="I584" s="5">
        <v>48834769.67</v>
      </c>
      <c r="J584" s="6">
        <v>0.053</v>
      </c>
      <c r="K584" s="6">
        <v>0.0901</v>
      </c>
    </row>
    <row r="585" ht="14.5" spans="1:11">
      <c r="A585" s="3" t="str">
        <f t="shared" si="27"/>
        <v>2026年</v>
      </c>
      <c r="B585" s="3" t="str">
        <f t="shared" si="28"/>
        <v>1月</v>
      </c>
      <c r="C585" s="4" t="str">
        <f t="shared" si="29"/>
        <v>W3</v>
      </c>
      <c r="D585" s="2" t="s">
        <v>753</v>
      </c>
      <c r="E585" s="2" t="s">
        <v>817</v>
      </c>
      <c r="F585" s="2" t="str" cm="1">
        <f t="array" ref="F585">INDEX(_xlfn.TEXTSPLIT(E585,"-"),2)</f>
        <v>男装</v>
      </c>
      <c r="G585" s="2" t="str" cm="1">
        <f t="array" ref="G585">INDEX(_xlfn.TEXTSPLIT(E585,"-"),3)</f>
        <v>棉裤</v>
      </c>
      <c r="H585" s="5">
        <v>18897</v>
      </c>
      <c r="I585" s="5">
        <v>1950148.32</v>
      </c>
      <c r="J585" s="6">
        <v>0.0021</v>
      </c>
      <c r="K585" s="6">
        <v>0.3365</v>
      </c>
    </row>
    <row r="586" ht="14.5" spans="1:11">
      <c r="A586" s="3" t="str">
        <f t="shared" si="27"/>
        <v>2026年</v>
      </c>
      <c r="B586" s="3" t="str">
        <f t="shared" si="28"/>
        <v>1月</v>
      </c>
      <c r="C586" s="4" t="str">
        <f t="shared" si="29"/>
        <v>W3</v>
      </c>
      <c r="D586" s="2" t="s">
        <v>753</v>
      </c>
      <c r="E586" s="2" t="s">
        <v>818</v>
      </c>
      <c r="F586" s="2" t="str" cm="1">
        <f t="array" ref="F586">INDEX(_xlfn.TEXTSPLIT(E586,"-"),2)</f>
        <v>男装</v>
      </c>
      <c r="G586" s="2" t="str" cm="1">
        <f t="array" ref="G586">INDEX(_xlfn.TEXTSPLIT(E586,"-"),3)</f>
        <v>毛呢大衣</v>
      </c>
      <c r="H586" s="5">
        <v>50428</v>
      </c>
      <c r="I586" s="5">
        <v>25188773.98</v>
      </c>
      <c r="J586" s="6">
        <v>0.0274</v>
      </c>
      <c r="K586" s="6">
        <v>0.2561</v>
      </c>
    </row>
    <row r="587" ht="14.5" spans="1:11">
      <c r="A587" s="3" t="str">
        <f t="shared" si="27"/>
        <v>2026年</v>
      </c>
      <c r="B587" s="3" t="str">
        <f t="shared" si="28"/>
        <v>1月</v>
      </c>
      <c r="C587" s="4" t="str">
        <f t="shared" si="29"/>
        <v>W3</v>
      </c>
      <c r="D587" s="2" t="s">
        <v>753</v>
      </c>
      <c r="E587" s="2" t="s">
        <v>819</v>
      </c>
      <c r="F587" s="2" t="str" cm="1">
        <f t="array" ref="F587">INDEX(_xlfn.TEXTSPLIT(E587,"-"),2)</f>
        <v>男装</v>
      </c>
      <c r="G587" s="2" t="str" cm="1">
        <f t="array" ref="G587">INDEX(_xlfn.TEXTSPLIT(E587,"-"),3)</f>
        <v>民族服装</v>
      </c>
      <c r="H587" s="5">
        <v>6750</v>
      </c>
      <c r="I587" s="5">
        <v>1674278.96</v>
      </c>
      <c r="J587" s="6">
        <v>0.0018</v>
      </c>
      <c r="K587" s="6">
        <v>0.0985</v>
      </c>
    </row>
    <row r="588" ht="14.5" spans="1:11">
      <c r="A588" s="3" t="str">
        <f t="shared" si="27"/>
        <v>2026年</v>
      </c>
      <c r="B588" s="3" t="str">
        <f t="shared" si="28"/>
        <v>1月</v>
      </c>
      <c r="C588" s="4" t="str">
        <f t="shared" si="29"/>
        <v>W3</v>
      </c>
      <c r="D588" s="2" t="s">
        <v>753</v>
      </c>
      <c r="E588" s="2" t="s">
        <v>820</v>
      </c>
      <c r="F588" s="2" t="str" cm="1">
        <f t="array" ref="F588">INDEX(_xlfn.TEXTSPLIT(E588,"-"),2)</f>
        <v>男装</v>
      </c>
      <c r="G588" s="2" t="str" cm="1">
        <f t="array" ref="G588">INDEX(_xlfn.TEXTSPLIT(E588,"-"),3)</f>
        <v>派克服</v>
      </c>
      <c r="H588" s="5">
        <v>11160</v>
      </c>
      <c r="I588" s="5">
        <v>2324294.02</v>
      </c>
      <c r="J588" s="6">
        <v>0.0025</v>
      </c>
      <c r="K588" s="6">
        <v>-0.0471</v>
      </c>
    </row>
    <row r="589" ht="14.5" spans="1:11">
      <c r="A589" s="3" t="str">
        <f t="shared" si="27"/>
        <v>2026年</v>
      </c>
      <c r="B589" s="3" t="str">
        <f t="shared" si="28"/>
        <v>1月</v>
      </c>
      <c r="C589" s="4" t="str">
        <f t="shared" si="29"/>
        <v>W3</v>
      </c>
      <c r="D589" s="2" t="s">
        <v>753</v>
      </c>
      <c r="E589" s="2" t="s">
        <v>821</v>
      </c>
      <c r="F589" s="2" t="str" cm="1">
        <f t="array" ref="F589">INDEX(_xlfn.TEXTSPLIT(E589,"-"),2)</f>
        <v>男装</v>
      </c>
      <c r="G589" s="2" t="str" cm="1">
        <f t="array" ref="G589">INDEX(_xlfn.TEXTSPLIT(E589,"-"),3)</f>
        <v>牛仔裤</v>
      </c>
      <c r="H589" s="5">
        <v>577903</v>
      </c>
      <c r="I589" s="5">
        <v>69500003.22</v>
      </c>
      <c r="J589" s="6">
        <v>0.0755</v>
      </c>
      <c r="K589" s="6">
        <v>0.0861</v>
      </c>
    </row>
    <row r="590" ht="14.5" spans="1:11">
      <c r="A590" s="3" t="str">
        <f t="shared" ref="A590:A653" si="30">TEXT(YEAR(D590),"0")&amp;"年"</f>
        <v>2026年</v>
      </c>
      <c r="B590" s="3" t="str">
        <f t="shared" ref="B590:B653" si="31">TEXT(MONTH(D590),"0")&amp;"月"</f>
        <v>1月</v>
      </c>
      <c r="C590" s="4" t="str">
        <f t="shared" ref="C590:C653" si="32">"W"&amp;TEXT(WEEKNUM(D590,2),"0")</f>
        <v>W3</v>
      </c>
      <c r="D590" s="2" t="s">
        <v>753</v>
      </c>
      <c r="E590" s="2" t="s">
        <v>822</v>
      </c>
      <c r="F590" s="2" t="str" cm="1">
        <f t="array" ref="F590">INDEX(_xlfn.TEXTSPLIT(E590,"-"),2)</f>
        <v>男装</v>
      </c>
      <c r="G590" s="2" t="str" cm="1">
        <f t="array" ref="G590">INDEX(_xlfn.TEXTSPLIT(E590,"-"),3)</f>
        <v>皮草</v>
      </c>
      <c r="H590" s="5">
        <v>6289</v>
      </c>
      <c r="I590" s="5">
        <v>9326438.5</v>
      </c>
      <c r="J590" s="6">
        <v>0.0101</v>
      </c>
      <c r="K590" s="6">
        <v>0.2846</v>
      </c>
    </row>
    <row r="591" ht="14.5" spans="1:11">
      <c r="A591" s="3" t="str">
        <f t="shared" si="30"/>
        <v>2026年</v>
      </c>
      <c r="B591" s="3" t="str">
        <f t="shared" si="31"/>
        <v>1月</v>
      </c>
      <c r="C591" s="4" t="str">
        <f t="shared" si="32"/>
        <v>W3</v>
      </c>
      <c r="D591" s="2" t="s">
        <v>753</v>
      </c>
      <c r="E591" s="2" t="s">
        <v>823</v>
      </c>
      <c r="F591" s="2" t="str" cm="1">
        <f t="array" ref="F591">INDEX(_xlfn.TEXTSPLIT(E591,"-"),2)</f>
        <v>男装</v>
      </c>
      <c r="G591" s="2" t="str" cm="1">
        <f t="array" ref="G591">INDEX(_xlfn.TEXTSPLIT(E591,"-"),3)</f>
        <v>皮衣</v>
      </c>
      <c r="H591" s="5">
        <v>57346</v>
      </c>
      <c r="I591" s="5">
        <v>30310999.63</v>
      </c>
      <c r="J591" s="6">
        <v>0.0329</v>
      </c>
      <c r="K591" s="6">
        <v>0.3456</v>
      </c>
    </row>
    <row r="592" ht="14.5" spans="1:11">
      <c r="A592" s="3" t="str">
        <f t="shared" si="30"/>
        <v>2026年</v>
      </c>
      <c r="B592" s="3" t="str">
        <f t="shared" si="31"/>
        <v>1月</v>
      </c>
      <c r="C592" s="4" t="str">
        <f t="shared" si="32"/>
        <v>W3</v>
      </c>
      <c r="D592" s="2" t="s">
        <v>753</v>
      </c>
      <c r="E592" s="2" t="s">
        <v>824</v>
      </c>
      <c r="F592" s="2" t="str" cm="1">
        <f t="array" ref="F592">INDEX(_xlfn.TEXTSPLIT(E592,"-"),2)</f>
        <v>男装</v>
      </c>
      <c r="G592" s="2" t="str" cm="1">
        <f t="array" ref="G592">INDEX(_xlfn.TEXTSPLIT(E592,"-"),3)</f>
        <v>皮裤</v>
      </c>
      <c r="H592" s="5">
        <v>3149</v>
      </c>
      <c r="I592" s="5">
        <v>448501.35</v>
      </c>
      <c r="J592" s="6">
        <v>0.0005</v>
      </c>
      <c r="K592" s="6">
        <v>0.1646</v>
      </c>
    </row>
    <row r="593" ht="14.5" spans="1:11">
      <c r="A593" s="3" t="str">
        <f t="shared" si="30"/>
        <v>2026年</v>
      </c>
      <c r="B593" s="3" t="str">
        <f t="shared" si="31"/>
        <v>1月</v>
      </c>
      <c r="C593" s="4" t="str">
        <f t="shared" si="32"/>
        <v>W3</v>
      </c>
      <c r="D593" s="2" t="s">
        <v>753</v>
      </c>
      <c r="E593" s="2" t="s">
        <v>825</v>
      </c>
      <c r="F593" s="2" t="str" cm="1">
        <f t="array" ref="F593">INDEX(_xlfn.TEXTSPLIT(E593,"-"),2)</f>
        <v>男装</v>
      </c>
      <c r="G593" s="2" t="str" cm="1">
        <f t="array" ref="G593">INDEX(_xlfn.TEXTSPLIT(E593,"-"),3)</f>
        <v>短外套</v>
      </c>
      <c r="H593" s="5">
        <v>24173</v>
      </c>
      <c r="I593" s="5">
        <v>2633356.12</v>
      </c>
      <c r="J593" s="6">
        <v>0.0029</v>
      </c>
      <c r="K593" s="6">
        <v>-0.0556</v>
      </c>
    </row>
    <row r="594" ht="14.5" spans="1:11">
      <c r="A594" s="3" t="str">
        <f t="shared" si="30"/>
        <v>2026年</v>
      </c>
      <c r="B594" s="3" t="str">
        <f t="shared" si="31"/>
        <v>1月</v>
      </c>
      <c r="C594" s="4" t="str">
        <f t="shared" si="32"/>
        <v>W3</v>
      </c>
      <c r="D594" s="2" t="s">
        <v>753</v>
      </c>
      <c r="E594" s="2" t="s">
        <v>826</v>
      </c>
      <c r="F594" s="2" t="str" cm="1">
        <f t="array" ref="F594">INDEX(_xlfn.TEXTSPLIT(E594,"-"),2)</f>
        <v>男装</v>
      </c>
      <c r="G594" s="2" t="str" cm="1">
        <f t="array" ref="G594">INDEX(_xlfn.TEXTSPLIT(E594,"-"),3)</f>
        <v>短裤</v>
      </c>
      <c r="H594" s="5">
        <v>46576</v>
      </c>
      <c r="I594" s="5">
        <v>1526080.26</v>
      </c>
      <c r="J594" s="6">
        <v>0.0017</v>
      </c>
      <c r="K594" s="6">
        <v>-0.1069</v>
      </c>
    </row>
    <row r="595" ht="14.5" spans="1:11">
      <c r="A595" s="3" t="str">
        <f t="shared" si="30"/>
        <v>2026年</v>
      </c>
      <c r="B595" s="3" t="str">
        <f t="shared" si="31"/>
        <v>1月</v>
      </c>
      <c r="C595" s="4" t="str">
        <f t="shared" si="32"/>
        <v>W3</v>
      </c>
      <c r="D595" s="2" t="s">
        <v>753</v>
      </c>
      <c r="E595" s="2" t="s">
        <v>827</v>
      </c>
      <c r="F595" s="2" t="str" cm="1">
        <f t="array" ref="F595">INDEX(_xlfn.TEXTSPLIT(E595,"-"),2)</f>
        <v>男装</v>
      </c>
      <c r="G595" s="2" t="str" cm="1">
        <f t="array" ref="G595">INDEX(_xlfn.TEXTSPLIT(E595,"-"),3)</f>
        <v>紧身衣</v>
      </c>
      <c r="H595" s="5">
        <v>56</v>
      </c>
      <c r="I595" s="5">
        <v>2834.81</v>
      </c>
      <c r="J595" s="2" t="s">
        <v>713</v>
      </c>
      <c r="K595" s="6">
        <v>-0.5665</v>
      </c>
    </row>
    <row r="596" ht="14.5" spans="1:11">
      <c r="A596" s="3" t="str">
        <f t="shared" si="30"/>
        <v>2026年</v>
      </c>
      <c r="B596" s="3" t="str">
        <f t="shared" si="31"/>
        <v>1月</v>
      </c>
      <c r="C596" s="4" t="str">
        <f t="shared" si="32"/>
        <v>W3</v>
      </c>
      <c r="D596" s="2" t="s">
        <v>753</v>
      </c>
      <c r="E596" s="2" t="s">
        <v>828</v>
      </c>
      <c r="F596" s="2" t="str" cm="1">
        <f t="array" ref="F596">INDEX(_xlfn.TEXTSPLIT(E596,"-"),2)</f>
        <v>男装</v>
      </c>
      <c r="G596" s="2" t="str" cm="1">
        <f t="array" ref="G596">INDEX(_xlfn.TEXTSPLIT(E596,"-"),3)</f>
        <v>羊毛衫</v>
      </c>
      <c r="H596" s="5">
        <v>127331</v>
      </c>
      <c r="I596" s="5">
        <v>21227780.72</v>
      </c>
      <c r="J596" s="6">
        <v>0.0231</v>
      </c>
      <c r="K596" s="6">
        <v>0.4206</v>
      </c>
    </row>
    <row r="597" ht="14.5" spans="1:11">
      <c r="A597" s="3" t="str">
        <f t="shared" si="30"/>
        <v>2026年</v>
      </c>
      <c r="B597" s="3" t="str">
        <f t="shared" si="31"/>
        <v>1月</v>
      </c>
      <c r="C597" s="4" t="str">
        <f t="shared" si="32"/>
        <v>W3</v>
      </c>
      <c r="D597" s="2" t="s">
        <v>753</v>
      </c>
      <c r="E597" s="2" t="s">
        <v>829</v>
      </c>
      <c r="F597" s="2" t="str" cm="1">
        <f t="array" ref="F597">INDEX(_xlfn.TEXTSPLIT(E597,"-"),2)</f>
        <v>男装</v>
      </c>
      <c r="G597" s="2" t="str" cm="1">
        <f t="array" ref="G597">INDEX(_xlfn.TEXTSPLIT(E597,"-"),3)</f>
        <v>羊绒衫</v>
      </c>
      <c r="H597" s="5">
        <v>23959</v>
      </c>
      <c r="I597" s="5">
        <v>8782899.65</v>
      </c>
      <c r="J597" s="6">
        <v>0.0095</v>
      </c>
      <c r="K597" s="6">
        <v>0.6694</v>
      </c>
    </row>
    <row r="598" ht="14.5" spans="1:11">
      <c r="A598" s="3" t="str">
        <f t="shared" si="30"/>
        <v>2026年</v>
      </c>
      <c r="B598" s="3" t="str">
        <f t="shared" si="31"/>
        <v>1月</v>
      </c>
      <c r="C598" s="4" t="str">
        <f t="shared" si="32"/>
        <v>W3</v>
      </c>
      <c r="D598" s="2" t="s">
        <v>753</v>
      </c>
      <c r="E598" s="2" t="s">
        <v>830</v>
      </c>
      <c r="F598" s="2" t="str" cm="1">
        <f t="array" ref="F598">INDEX(_xlfn.TEXTSPLIT(E598,"-"),2)</f>
        <v>男装</v>
      </c>
      <c r="G598" s="2" t="str" cm="1">
        <f t="array" ref="G598">INDEX(_xlfn.TEXTSPLIT(E598,"-"),3)</f>
        <v>羽绒服</v>
      </c>
      <c r="H598" s="5">
        <v>666854</v>
      </c>
      <c r="I598" s="5">
        <v>281734686.86</v>
      </c>
      <c r="J598" s="6">
        <v>0.3061</v>
      </c>
      <c r="K598" s="6">
        <v>0.4539</v>
      </c>
    </row>
    <row r="599" ht="14.5" spans="1:11">
      <c r="A599" s="3" t="str">
        <f t="shared" si="30"/>
        <v>2026年</v>
      </c>
      <c r="B599" s="3" t="str">
        <f t="shared" si="31"/>
        <v>1月</v>
      </c>
      <c r="C599" s="4" t="str">
        <f t="shared" si="32"/>
        <v>W3</v>
      </c>
      <c r="D599" s="2" t="s">
        <v>753</v>
      </c>
      <c r="E599" s="2" t="s">
        <v>831</v>
      </c>
      <c r="F599" s="2" t="str" cm="1">
        <f t="array" ref="F599">INDEX(_xlfn.TEXTSPLIT(E599,"-"),2)</f>
        <v>男装</v>
      </c>
      <c r="G599" s="2" t="str" cm="1">
        <f t="array" ref="G599">INDEX(_xlfn.TEXTSPLIT(E599,"-"),3)</f>
        <v>羽绒裤</v>
      </c>
      <c r="H599" s="5">
        <v>10342</v>
      </c>
      <c r="I599" s="5">
        <v>1694297.59</v>
      </c>
      <c r="J599" s="6">
        <v>0.0018</v>
      </c>
      <c r="K599" s="6">
        <v>0.0392</v>
      </c>
    </row>
    <row r="600" ht="14.5" spans="1:11">
      <c r="A600" s="3" t="str">
        <f t="shared" si="30"/>
        <v>2026年</v>
      </c>
      <c r="B600" s="3" t="str">
        <f t="shared" si="31"/>
        <v>1月</v>
      </c>
      <c r="C600" s="4" t="str">
        <f t="shared" si="32"/>
        <v>W3</v>
      </c>
      <c r="D600" s="2" t="s">
        <v>753</v>
      </c>
      <c r="E600" s="2" t="s">
        <v>832</v>
      </c>
      <c r="F600" s="2" t="str" cm="1">
        <f t="array" ref="F600">INDEX(_xlfn.TEXTSPLIT(E600,"-"),2)</f>
        <v>男装</v>
      </c>
      <c r="G600" s="2" t="str" cm="1">
        <f t="array" ref="G600">INDEX(_xlfn.TEXTSPLIT(E600,"-"),3)</f>
        <v>羽绒马甲</v>
      </c>
      <c r="H600" s="5">
        <v>13009</v>
      </c>
      <c r="I600" s="5">
        <v>3307725.07</v>
      </c>
      <c r="J600" s="6">
        <v>0.0036</v>
      </c>
      <c r="K600" s="6">
        <v>0.3499</v>
      </c>
    </row>
    <row r="601" ht="14.5" spans="1:11">
      <c r="A601" s="3" t="str">
        <f t="shared" si="30"/>
        <v>2026年</v>
      </c>
      <c r="B601" s="3" t="str">
        <f t="shared" si="31"/>
        <v>1月</v>
      </c>
      <c r="C601" s="4" t="str">
        <f t="shared" si="32"/>
        <v>W3</v>
      </c>
      <c r="D601" s="2" t="s">
        <v>753</v>
      </c>
      <c r="E601" s="2" t="s">
        <v>833</v>
      </c>
      <c r="F601" s="2" t="str" cm="1">
        <f t="array" ref="F601">INDEX(_xlfn.TEXTSPLIT(E601,"-"),2)</f>
        <v>男装</v>
      </c>
      <c r="G601" s="2" t="str" cm="1">
        <f t="array" ref="G601">INDEX(_xlfn.TEXTSPLIT(E601,"-"),3)</f>
        <v>背心</v>
      </c>
      <c r="H601" s="5">
        <v>36291</v>
      </c>
      <c r="I601" s="5">
        <v>2316914.87</v>
      </c>
      <c r="J601" s="6">
        <v>0.0025</v>
      </c>
      <c r="K601" s="6">
        <v>0.0958</v>
      </c>
    </row>
    <row r="602" ht="14.5" spans="1:11">
      <c r="A602" s="3" t="str">
        <f t="shared" si="30"/>
        <v>2026年</v>
      </c>
      <c r="B602" s="3" t="str">
        <f t="shared" si="31"/>
        <v>1月</v>
      </c>
      <c r="C602" s="4" t="str">
        <f t="shared" si="32"/>
        <v>W3</v>
      </c>
      <c r="D602" s="2" t="s">
        <v>753</v>
      </c>
      <c r="E602" s="2" t="s">
        <v>834</v>
      </c>
      <c r="F602" s="2" t="str" cm="1">
        <f t="array" ref="F602">INDEX(_xlfn.TEXTSPLIT(E602,"-"),2)</f>
        <v>男装</v>
      </c>
      <c r="G602" s="2" t="str" cm="1">
        <f t="array" ref="G602">INDEX(_xlfn.TEXTSPLIT(E602,"-"),3)</f>
        <v>衬衫</v>
      </c>
      <c r="H602" s="5">
        <v>98028</v>
      </c>
      <c r="I602" s="5">
        <v>13778094.47</v>
      </c>
      <c r="J602" s="6">
        <v>0.015</v>
      </c>
      <c r="K602" s="6">
        <v>0.2011</v>
      </c>
    </row>
    <row r="603" ht="14.5" spans="1:11">
      <c r="A603" s="3" t="str">
        <f t="shared" si="30"/>
        <v>2026年</v>
      </c>
      <c r="B603" s="3" t="str">
        <f t="shared" si="31"/>
        <v>1月</v>
      </c>
      <c r="C603" s="4" t="str">
        <f t="shared" si="32"/>
        <v>W3</v>
      </c>
      <c r="D603" s="2" t="s">
        <v>753</v>
      </c>
      <c r="E603" s="2" t="s">
        <v>835</v>
      </c>
      <c r="F603" s="2" t="str" cm="1">
        <f t="array" ref="F603">INDEX(_xlfn.TEXTSPLIT(E603,"-"),2)</f>
        <v>男装</v>
      </c>
      <c r="G603" s="2" t="str" cm="1">
        <f t="array" ref="G603">INDEX(_xlfn.TEXTSPLIT(E603,"-"),3)</f>
        <v>西服</v>
      </c>
      <c r="H603" s="5">
        <v>87296</v>
      </c>
      <c r="I603" s="5">
        <v>20501386.5</v>
      </c>
      <c r="J603" s="6">
        <v>0.0223</v>
      </c>
      <c r="K603" s="6">
        <v>0.1651</v>
      </c>
    </row>
    <row r="604" ht="14.5" spans="1:11">
      <c r="A604" s="3" t="str">
        <f t="shared" si="30"/>
        <v>2026年</v>
      </c>
      <c r="B604" s="3" t="str">
        <f t="shared" si="31"/>
        <v>1月</v>
      </c>
      <c r="C604" s="4" t="str">
        <f t="shared" si="32"/>
        <v>W3</v>
      </c>
      <c r="D604" s="2" t="s">
        <v>753</v>
      </c>
      <c r="E604" s="2" t="s">
        <v>836</v>
      </c>
      <c r="F604" s="2" t="str" cm="1">
        <f t="array" ref="F604">INDEX(_xlfn.TEXTSPLIT(E604,"-"),2)</f>
        <v>男装</v>
      </c>
      <c r="G604" s="2" t="str" cm="1">
        <f t="array" ref="G604">INDEX(_xlfn.TEXTSPLIT(E604,"-"),3)</f>
        <v>连体衣/裤</v>
      </c>
      <c r="H604" s="5">
        <v>851</v>
      </c>
      <c r="I604" s="5">
        <v>27364.91</v>
      </c>
      <c r="J604" s="2" t="s">
        <v>713</v>
      </c>
      <c r="K604" s="6">
        <v>-0.0386</v>
      </c>
    </row>
    <row r="605" ht="14.5" spans="1:11">
      <c r="A605" s="3" t="str">
        <f t="shared" si="30"/>
        <v>2026年</v>
      </c>
      <c r="B605" s="3" t="str">
        <f t="shared" si="31"/>
        <v>1月</v>
      </c>
      <c r="C605" s="4" t="str">
        <f t="shared" si="32"/>
        <v>W3</v>
      </c>
      <c r="D605" s="2" t="s">
        <v>753</v>
      </c>
      <c r="E605" s="2" t="s">
        <v>837</v>
      </c>
      <c r="F605" s="2" t="str" cm="1">
        <f t="array" ref="F605">INDEX(_xlfn.TEXTSPLIT(E605,"-"),2)</f>
        <v>男装</v>
      </c>
      <c r="G605" s="2" t="str" cm="1">
        <f t="array" ref="G605">INDEX(_xlfn.TEXTSPLIT(E605,"-"),3)</f>
        <v>速干/三防T恤</v>
      </c>
      <c r="H605" s="5">
        <v>2327</v>
      </c>
      <c r="I605" s="5">
        <v>221257.5</v>
      </c>
      <c r="J605" s="6">
        <v>0.0002</v>
      </c>
      <c r="K605" s="6">
        <v>2.5902</v>
      </c>
    </row>
    <row r="606" ht="14.5" spans="1:11">
      <c r="A606" s="3" t="str">
        <f t="shared" si="30"/>
        <v>2026年</v>
      </c>
      <c r="B606" s="3" t="str">
        <f t="shared" si="31"/>
        <v>1月</v>
      </c>
      <c r="C606" s="4" t="str">
        <f t="shared" si="32"/>
        <v>W3</v>
      </c>
      <c r="D606" s="2" t="s">
        <v>753</v>
      </c>
      <c r="E606" s="2" t="s">
        <v>838</v>
      </c>
      <c r="F606" s="2" t="str" cm="1">
        <f t="array" ref="F606">INDEX(_xlfn.TEXTSPLIT(E606,"-"),2)</f>
        <v>男装</v>
      </c>
      <c r="G606" s="2" t="str" cm="1">
        <f t="array" ref="G606">INDEX(_xlfn.TEXTSPLIT(E606,"-"),3)</f>
        <v>针织衫/毛衣</v>
      </c>
      <c r="H606" s="5">
        <v>363091</v>
      </c>
      <c r="I606" s="5">
        <v>50467360.8</v>
      </c>
      <c r="J606" s="6">
        <v>0.0548</v>
      </c>
      <c r="K606" s="6">
        <v>0.2426</v>
      </c>
    </row>
    <row r="607" ht="14.5" spans="1:11">
      <c r="A607" s="3" t="str">
        <f t="shared" si="30"/>
        <v>2026年</v>
      </c>
      <c r="B607" s="3" t="str">
        <f t="shared" si="31"/>
        <v>1月</v>
      </c>
      <c r="C607" s="4" t="str">
        <f t="shared" si="32"/>
        <v>W3</v>
      </c>
      <c r="D607" s="2" t="s">
        <v>753</v>
      </c>
      <c r="E607" s="2" t="s">
        <v>839</v>
      </c>
      <c r="F607" s="2" t="str" cm="1">
        <f t="array" ref="F607">INDEX(_xlfn.TEXTSPLIT(E607,"-"),2)</f>
        <v>男装</v>
      </c>
      <c r="G607" s="2" t="str" cm="1">
        <f t="array" ref="G607">INDEX(_xlfn.TEXTSPLIT(E607,"-"),3)</f>
        <v>防晒服</v>
      </c>
      <c r="H607" s="5">
        <v>2780</v>
      </c>
      <c r="I607" s="5">
        <v>290914.53</v>
      </c>
      <c r="J607" s="6">
        <v>0.0003</v>
      </c>
      <c r="K607" s="6">
        <v>19.9425</v>
      </c>
    </row>
    <row r="608" ht="14.5" spans="1:11">
      <c r="A608" s="3" t="str">
        <f t="shared" si="30"/>
        <v>2026年</v>
      </c>
      <c r="B608" s="3" t="str">
        <f t="shared" si="31"/>
        <v>1月</v>
      </c>
      <c r="C608" s="4" t="str">
        <f t="shared" si="32"/>
        <v>W3</v>
      </c>
      <c r="D608" s="2" t="s">
        <v>753</v>
      </c>
      <c r="E608" s="2" t="s">
        <v>840</v>
      </c>
      <c r="F608" s="2" t="str" cm="1">
        <f t="array" ref="F608">INDEX(_xlfn.TEXTSPLIT(E608,"-"),2)</f>
        <v>男装</v>
      </c>
      <c r="G608" s="2" t="str" cm="1">
        <f t="array" ref="G608">INDEX(_xlfn.TEXTSPLIT(E608,"-"),3)</f>
        <v>风衣</v>
      </c>
      <c r="H608" s="5">
        <v>7343</v>
      </c>
      <c r="I608" s="5">
        <v>2723045.96</v>
      </c>
      <c r="J608" s="6">
        <v>0.003</v>
      </c>
      <c r="K608" s="6">
        <v>0.4637</v>
      </c>
    </row>
    <row r="609" ht="14.5" spans="1:11">
      <c r="A609" s="3" t="str">
        <f t="shared" si="30"/>
        <v>2026年</v>
      </c>
      <c r="B609" s="3" t="str">
        <f t="shared" si="31"/>
        <v>1月</v>
      </c>
      <c r="C609" s="4" t="str">
        <f t="shared" si="32"/>
        <v>W3</v>
      </c>
      <c r="D609" s="2" t="s">
        <v>753</v>
      </c>
      <c r="E609" s="2" t="s">
        <v>841</v>
      </c>
      <c r="F609" s="2" t="str" cm="1">
        <f t="array" ref="F609">INDEX(_xlfn.TEXTSPLIT(E609,"-"),2)</f>
        <v>男装</v>
      </c>
      <c r="G609" s="2" t="str" cm="1">
        <f t="array" ref="G609">INDEX(_xlfn.TEXTSPLIT(E609,"-"),3)</f>
        <v>马甲</v>
      </c>
      <c r="H609" s="5">
        <v>45893</v>
      </c>
      <c r="I609" s="5">
        <v>4632800.97</v>
      </c>
      <c r="J609" s="6">
        <v>0.005</v>
      </c>
      <c r="K609" s="6">
        <v>0.0135</v>
      </c>
    </row>
    <row r="610" ht="14.5" spans="1:11">
      <c r="A610" s="3" t="str">
        <f t="shared" si="30"/>
        <v>2026年</v>
      </c>
      <c r="B610" s="3" t="str">
        <f t="shared" si="31"/>
        <v>1月</v>
      </c>
      <c r="C610" s="4" t="str">
        <f t="shared" si="32"/>
        <v>W3</v>
      </c>
      <c r="D610" s="2" t="s">
        <v>754</v>
      </c>
      <c r="E610" s="2" t="s">
        <v>804</v>
      </c>
      <c r="F610" s="2" t="str" cm="1">
        <f t="array" ref="F610">INDEX(_xlfn.TEXTSPLIT(E610,"-"),2)</f>
        <v>男装</v>
      </c>
      <c r="G610" s="2" t="str" cm="1">
        <f t="array" ref="G610">INDEX(_xlfn.TEXTSPLIT(E610,"-"),3)</f>
        <v>Polo衫</v>
      </c>
      <c r="H610" s="5">
        <v>44259</v>
      </c>
      <c r="I610" s="5">
        <v>4385405.36</v>
      </c>
      <c r="J610" s="6">
        <v>0.0054</v>
      </c>
      <c r="K610" s="6">
        <v>0.0011</v>
      </c>
    </row>
    <row r="611" ht="14.5" spans="1:11">
      <c r="A611" s="3" t="str">
        <f t="shared" si="30"/>
        <v>2026年</v>
      </c>
      <c r="B611" s="3" t="str">
        <f t="shared" si="31"/>
        <v>1月</v>
      </c>
      <c r="C611" s="4" t="str">
        <f t="shared" si="32"/>
        <v>W3</v>
      </c>
      <c r="D611" s="2" t="s">
        <v>754</v>
      </c>
      <c r="E611" s="2" t="s">
        <v>805</v>
      </c>
      <c r="F611" s="2" t="str" cm="1">
        <f t="array" ref="F611">INDEX(_xlfn.TEXTSPLIT(E611,"-"),2)</f>
        <v>男装</v>
      </c>
      <c r="G611" s="2" t="str" cm="1">
        <f t="array" ref="G611">INDEX(_xlfn.TEXTSPLIT(E611,"-"),3)</f>
        <v>T恤</v>
      </c>
      <c r="H611" s="5">
        <v>364925</v>
      </c>
      <c r="I611" s="5">
        <v>29396408.82</v>
      </c>
      <c r="J611" s="6">
        <v>0.0361</v>
      </c>
      <c r="K611" s="6">
        <v>-0.0232</v>
      </c>
    </row>
    <row r="612" ht="14.5" spans="1:11">
      <c r="A612" s="3" t="str">
        <f t="shared" si="30"/>
        <v>2026年</v>
      </c>
      <c r="B612" s="3" t="str">
        <f t="shared" si="31"/>
        <v>1月</v>
      </c>
      <c r="C612" s="4" t="str">
        <f t="shared" si="32"/>
        <v>W3</v>
      </c>
      <c r="D612" s="2" t="s">
        <v>754</v>
      </c>
      <c r="E612" s="2" t="s">
        <v>806</v>
      </c>
      <c r="F612" s="2" t="str" cm="1">
        <f t="array" ref="F612">INDEX(_xlfn.TEXTSPLIT(E612,"-"),2)</f>
        <v>男装</v>
      </c>
      <c r="G612" s="2" t="str" cm="1">
        <f t="array" ref="G612">INDEX(_xlfn.TEXTSPLIT(E612,"-"),3)</f>
        <v>中老年男装</v>
      </c>
      <c r="H612" s="5">
        <v>100325</v>
      </c>
      <c r="I612" s="5">
        <v>13951814.48</v>
      </c>
      <c r="J612" s="6">
        <v>0.0171</v>
      </c>
      <c r="K612" s="6">
        <v>-0.0798</v>
      </c>
    </row>
    <row r="613" ht="14.5" spans="1:11">
      <c r="A613" s="3" t="str">
        <f t="shared" si="30"/>
        <v>2026年</v>
      </c>
      <c r="B613" s="3" t="str">
        <f t="shared" si="31"/>
        <v>1月</v>
      </c>
      <c r="C613" s="4" t="str">
        <f t="shared" si="32"/>
        <v>W3</v>
      </c>
      <c r="D613" s="2" t="s">
        <v>754</v>
      </c>
      <c r="E613" s="2" t="s">
        <v>807</v>
      </c>
      <c r="F613" s="2" t="str" cm="1">
        <f t="array" ref="F613">INDEX(_xlfn.TEXTSPLIT(E613,"-"),2)</f>
        <v>男装</v>
      </c>
      <c r="G613" s="2" t="str" cm="1">
        <f t="array" ref="G613">INDEX(_xlfn.TEXTSPLIT(E613,"-"),3)</f>
        <v>休闲裤</v>
      </c>
      <c r="H613" s="5">
        <v>789647</v>
      </c>
      <c r="I613" s="5">
        <v>84806193.29</v>
      </c>
      <c r="J613" s="6">
        <v>0.1041</v>
      </c>
      <c r="K613" s="6">
        <v>-0.0616</v>
      </c>
    </row>
    <row r="614" ht="14.5" spans="1:11">
      <c r="A614" s="3" t="str">
        <f t="shared" si="30"/>
        <v>2026年</v>
      </c>
      <c r="B614" s="3" t="str">
        <f t="shared" si="31"/>
        <v>1月</v>
      </c>
      <c r="C614" s="4" t="str">
        <f t="shared" si="32"/>
        <v>W3</v>
      </c>
      <c r="D614" s="2" t="s">
        <v>754</v>
      </c>
      <c r="E614" s="2" t="s">
        <v>808</v>
      </c>
      <c r="F614" s="2" t="str" cm="1">
        <f t="array" ref="F614">INDEX(_xlfn.TEXTSPLIT(E614,"-"),2)</f>
        <v>男装</v>
      </c>
      <c r="G614" s="2" t="str" cm="1">
        <f t="array" ref="G614">INDEX(_xlfn.TEXTSPLIT(E614,"-"),3)</f>
        <v>卫衣</v>
      </c>
      <c r="H614" s="5">
        <v>548561</v>
      </c>
      <c r="I614" s="5">
        <v>47789341.19</v>
      </c>
      <c r="J614" s="6">
        <v>0.0587</v>
      </c>
      <c r="K614" s="6">
        <v>-0.0874</v>
      </c>
    </row>
    <row r="615" ht="14.5" spans="1:11">
      <c r="A615" s="3" t="str">
        <f t="shared" si="30"/>
        <v>2026年</v>
      </c>
      <c r="B615" s="3" t="str">
        <f t="shared" si="31"/>
        <v>1月</v>
      </c>
      <c r="C615" s="4" t="str">
        <f t="shared" si="32"/>
        <v>W3</v>
      </c>
      <c r="D615" s="2" t="s">
        <v>754</v>
      </c>
      <c r="E615" s="2" t="s">
        <v>809</v>
      </c>
      <c r="F615" s="2" t="str" cm="1">
        <f t="array" ref="F615">INDEX(_xlfn.TEXTSPLIT(E615,"-"),2)</f>
        <v>男装</v>
      </c>
      <c r="G615" s="2" t="str" cm="1">
        <f t="array" ref="G615">INDEX(_xlfn.TEXTSPLIT(E615,"-"),3)</f>
        <v>卫裤</v>
      </c>
      <c r="H615" s="5">
        <v>153731</v>
      </c>
      <c r="I615" s="5">
        <v>15454753.44</v>
      </c>
      <c r="J615" s="6">
        <v>0.019</v>
      </c>
      <c r="K615" s="6">
        <v>-0.045</v>
      </c>
    </row>
    <row r="616" ht="14.5" spans="1:11">
      <c r="A616" s="3" t="str">
        <f t="shared" si="30"/>
        <v>2026年</v>
      </c>
      <c r="B616" s="3" t="str">
        <f t="shared" si="31"/>
        <v>1月</v>
      </c>
      <c r="C616" s="4" t="str">
        <f t="shared" si="32"/>
        <v>W3</v>
      </c>
      <c r="D616" s="2" t="s">
        <v>754</v>
      </c>
      <c r="E616" s="2" t="s">
        <v>810</v>
      </c>
      <c r="F616" s="2" t="str" cm="1">
        <f t="array" ref="F616">INDEX(_xlfn.TEXTSPLIT(E616,"-"),2)</f>
        <v>男装</v>
      </c>
      <c r="G616" s="2" t="str" cm="1">
        <f t="array" ref="G616">INDEX(_xlfn.TEXTSPLIT(E616,"-"),3)</f>
        <v>大码男装</v>
      </c>
      <c r="H616" s="5">
        <v>38130</v>
      </c>
      <c r="I616" s="5">
        <v>3600232.71</v>
      </c>
      <c r="J616" s="6">
        <v>0.0044</v>
      </c>
      <c r="K616" s="6">
        <v>0.0504</v>
      </c>
    </row>
    <row r="617" ht="14.5" spans="1:11">
      <c r="A617" s="3" t="str">
        <f t="shared" si="30"/>
        <v>2026年</v>
      </c>
      <c r="B617" s="3" t="str">
        <f t="shared" si="31"/>
        <v>1月</v>
      </c>
      <c r="C617" s="4" t="str">
        <f t="shared" si="32"/>
        <v>W3</v>
      </c>
      <c r="D617" s="2" t="s">
        <v>754</v>
      </c>
      <c r="E617" s="2" t="s">
        <v>811</v>
      </c>
      <c r="F617" s="2" t="str" cm="1">
        <f t="array" ref="F617">INDEX(_xlfn.TEXTSPLIT(E617,"-"),2)</f>
        <v>男装</v>
      </c>
      <c r="G617" s="2" t="str" cm="1">
        <f t="array" ref="G617">INDEX(_xlfn.TEXTSPLIT(E617,"-"),3)</f>
        <v>夹克</v>
      </c>
      <c r="H617" s="5">
        <v>391670</v>
      </c>
      <c r="I617" s="5">
        <v>74532157.43</v>
      </c>
      <c r="J617" s="6">
        <v>0.0915</v>
      </c>
      <c r="K617" s="6">
        <v>-0.2116</v>
      </c>
    </row>
    <row r="618" ht="14.5" spans="1:11">
      <c r="A618" s="3" t="str">
        <f t="shared" si="30"/>
        <v>2026年</v>
      </c>
      <c r="B618" s="3" t="str">
        <f t="shared" si="31"/>
        <v>1月</v>
      </c>
      <c r="C618" s="4" t="str">
        <f t="shared" si="32"/>
        <v>W3</v>
      </c>
      <c r="D618" s="2" t="s">
        <v>754</v>
      </c>
      <c r="E618" s="2" t="s">
        <v>812</v>
      </c>
      <c r="F618" s="2" t="str" cm="1">
        <f t="array" ref="F618">INDEX(_xlfn.TEXTSPLIT(E618,"-"),2)</f>
        <v>男装</v>
      </c>
      <c r="G618" s="2" t="str" cm="1">
        <f t="array" ref="G618">INDEX(_xlfn.TEXTSPLIT(E618,"-"),3)</f>
        <v>套装</v>
      </c>
      <c r="H618" s="5">
        <v>46258</v>
      </c>
      <c r="I618" s="5">
        <v>7610712.33</v>
      </c>
      <c r="J618" s="6">
        <v>0.0093</v>
      </c>
      <c r="K618" s="6">
        <v>0.062</v>
      </c>
    </row>
    <row r="619" ht="14.5" spans="1:11">
      <c r="A619" s="3" t="str">
        <f t="shared" si="30"/>
        <v>2026年</v>
      </c>
      <c r="B619" s="3" t="str">
        <f t="shared" si="31"/>
        <v>1月</v>
      </c>
      <c r="C619" s="4" t="str">
        <f t="shared" si="32"/>
        <v>W3</v>
      </c>
      <c r="D619" s="2" t="s">
        <v>754</v>
      </c>
      <c r="E619" s="2" t="s">
        <v>813</v>
      </c>
      <c r="F619" s="2" t="str" cm="1">
        <f t="array" ref="F619">INDEX(_xlfn.TEXTSPLIT(E619,"-"),2)</f>
        <v>男装</v>
      </c>
      <c r="G619" s="2" t="str" cm="1">
        <f t="array" ref="G619">INDEX(_xlfn.TEXTSPLIT(E619,"-"),3)</f>
        <v>学生校服</v>
      </c>
      <c r="H619" s="5">
        <v>47</v>
      </c>
      <c r="I619" s="5">
        <v>3598.87</v>
      </c>
      <c r="J619" s="2" t="s">
        <v>713</v>
      </c>
      <c r="K619" s="6">
        <v>0.8309</v>
      </c>
    </row>
    <row r="620" ht="14.5" spans="1:11">
      <c r="A620" s="3" t="str">
        <f t="shared" si="30"/>
        <v>2026年</v>
      </c>
      <c r="B620" s="3" t="str">
        <f t="shared" si="31"/>
        <v>1月</v>
      </c>
      <c r="C620" s="4" t="str">
        <f t="shared" si="32"/>
        <v>W3</v>
      </c>
      <c r="D620" s="2" t="s">
        <v>754</v>
      </c>
      <c r="E620" s="2" t="s">
        <v>814</v>
      </c>
      <c r="F620" s="2" t="str" cm="1">
        <f t="array" ref="F620">INDEX(_xlfn.TEXTSPLIT(E620,"-"),2)</f>
        <v>男装</v>
      </c>
      <c r="G620" s="2" t="str" cm="1">
        <f t="array" ref="G620">INDEX(_xlfn.TEXTSPLIT(E620,"-"),3)</f>
        <v>打底衫</v>
      </c>
      <c r="H620" s="5">
        <v>21953</v>
      </c>
      <c r="I620" s="5">
        <v>1055217.73</v>
      </c>
      <c r="J620" s="6">
        <v>0.0013</v>
      </c>
      <c r="K620" s="6">
        <v>-0.1288</v>
      </c>
    </row>
    <row r="621" ht="14.5" spans="1:11">
      <c r="A621" s="3" t="str">
        <f t="shared" si="30"/>
        <v>2026年</v>
      </c>
      <c r="B621" s="3" t="str">
        <f t="shared" si="31"/>
        <v>1月</v>
      </c>
      <c r="C621" s="4" t="str">
        <f t="shared" si="32"/>
        <v>W3</v>
      </c>
      <c r="D621" s="2" t="s">
        <v>754</v>
      </c>
      <c r="E621" s="2" t="s">
        <v>815</v>
      </c>
      <c r="F621" s="2" t="str" cm="1">
        <f t="array" ref="F621">INDEX(_xlfn.TEXTSPLIT(E621,"-"),2)</f>
        <v>男装</v>
      </c>
      <c r="G621" s="2" t="str" cm="1">
        <f t="array" ref="G621">INDEX(_xlfn.TEXTSPLIT(E621,"-"),3)</f>
        <v>新中式男装</v>
      </c>
      <c r="H621" s="5">
        <v>325</v>
      </c>
      <c r="I621" s="5">
        <v>94227.78</v>
      </c>
      <c r="J621" s="6">
        <v>0.0001</v>
      </c>
      <c r="K621" s="6">
        <v>-0.5651</v>
      </c>
    </row>
    <row r="622" ht="14.5" spans="1:11">
      <c r="A622" s="3" t="str">
        <f t="shared" si="30"/>
        <v>2026年</v>
      </c>
      <c r="B622" s="3" t="str">
        <f t="shared" si="31"/>
        <v>1月</v>
      </c>
      <c r="C622" s="4" t="str">
        <f t="shared" si="32"/>
        <v>W3</v>
      </c>
      <c r="D622" s="2" t="s">
        <v>754</v>
      </c>
      <c r="E622" s="2" t="s">
        <v>816</v>
      </c>
      <c r="F622" s="2" t="str" cm="1">
        <f t="array" ref="F622">INDEX(_xlfn.TEXTSPLIT(E622,"-"),2)</f>
        <v>男装</v>
      </c>
      <c r="G622" s="2" t="str" cm="1">
        <f t="array" ref="G622">INDEX(_xlfn.TEXTSPLIT(E622,"-"),3)</f>
        <v>棉衣</v>
      </c>
      <c r="H622" s="5">
        <v>335863</v>
      </c>
      <c r="I622" s="5">
        <v>46050823.69</v>
      </c>
      <c r="J622" s="6">
        <v>0.0565</v>
      </c>
      <c r="K622" s="6">
        <v>-0.057</v>
      </c>
    </row>
    <row r="623" ht="14.5" spans="1:11">
      <c r="A623" s="3" t="str">
        <f t="shared" si="30"/>
        <v>2026年</v>
      </c>
      <c r="B623" s="3" t="str">
        <f t="shared" si="31"/>
        <v>1月</v>
      </c>
      <c r="C623" s="4" t="str">
        <f t="shared" si="32"/>
        <v>W3</v>
      </c>
      <c r="D623" s="2" t="s">
        <v>754</v>
      </c>
      <c r="E623" s="2" t="s">
        <v>817</v>
      </c>
      <c r="F623" s="2" t="str" cm="1">
        <f t="array" ref="F623">INDEX(_xlfn.TEXTSPLIT(E623,"-"),2)</f>
        <v>男装</v>
      </c>
      <c r="G623" s="2" t="str" cm="1">
        <f t="array" ref="G623">INDEX(_xlfn.TEXTSPLIT(E623,"-"),3)</f>
        <v>棉裤</v>
      </c>
      <c r="H623" s="5">
        <v>22193</v>
      </c>
      <c r="I623" s="5">
        <v>2016587.3</v>
      </c>
      <c r="J623" s="6">
        <v>0.0025</v>
      </c>
      <c r="K623" s="6">
        <v>0.0341</v>
      </c>
    </row>
    <row r="624" ht="14.5" spans="1:11">
      <c r="A624" s="3" t="str">
        <f t="shared" si="30"/>
        <v>2026年</v>
      </c>
      <c r="B624" s="3" t="str">
        <f t="shared" si="31"/>
        <v>1月</v>
      </c>
      <c r="C624" s="4" t="str">
        <f t="shared" si="32"/>
        <v>W3</v>
      </c>
      <c r="D624" s="2" t="s">
        <v>754</v>
      </c>
      <c r="E624" s="2" t="s">
        <v>818</v>
      </c>
      <c r="F624" s="2" t="str" cm="1">
        <f t="array" ref="F624">INDEX(_xlfn.TEXTSPLIT(E624,"-"),2)</f>
        <v>男装</v>
      </c>
      <c r="G624" s="2" t="str" cm="1">
        <f t="array" ref="G624">INDEX(_xlfn.TEXTSPLIT(E624,"-"),3)</f>
        <v>毛呢大衣</v>
      </c>
      <c r="H624" s="5">
        <v>46612</v>
      </c>
      <c r="I624" s="5">
        <v>20622663.41</v>
      </c>
      <c r="J624" s="6">
        <v>0.0253</v>
      </c>
      <c r="K624" s="6">
        <v>-0.1813</v>
      </c>
    </row>
    <row r="625" ht="14.5" spans="1:11">
      <c r="A625" s="3" t="str">
        <f t="shared" si="30"/>
        <v>2026年</v>
      </c>
      <c r="B625" s="3" t="str">
        <f t="shared" si="31"/>
        <v>1月</v>
      </c>
      <c r="C625" s="4" t="str">
        <f t="shared" si="32"/>
        <v>W3</v>
      </c>
      <c r="D625" s="2" t="s">
        <v>754</v>
      </c>
      <c r="E625" s="2" t="s">
        <v>819</v>
      </c>
      <c r="F625" s="2" t="str" cm="1">
        <f t="array" ref="F625">INDEX(_xlfn.TEXTSPLIT(E625,"-"),2)</f>
        <v>男装</v>
      </c>
      <c r="G625" s="2" t="str" cm="1">
        <f t="array" ref="G625">INDEX(_xlfn.TEXTSPLIT(E625,"-"),3)</f>
        <v>民族服装</v>
      </c>
      <c r="H625" s="5">
        <v>6522</v>
      </c>
      <c r="I625" s="5">
        <v>1535227.28</v>
      </c>
      <c r="J625" s="6">
        <v>0.0019</v>
      </c>
      <c r="K625" s="6">
        <v>-0.0831</v>
      </c>
    </row>
    <row r="626" ht="14.5" spans="1:11">
      <c r="A626" s="3" t="str">
        <f t="shared" si="30"/>
        <v>2026年</v>
      </c>
      <c r="B626" s="3" t="str">
        <f t="shared" si="31"/>
        <v>1月</v>
      </c>
      <c r="C626" s="4" t="str">
        <f t="shared" si="32"/>
        <v>W3</v>
      </c>
      <c r="D626" s="2" t="s">
        <v>754</v>
      </c>
      <c r="E626" s="2" t="s">
        <v>820</v>
      </c>
      <c r="F626" s="2" t="str" cm="1">
        <f t="array" ref="F626">INDEX(_xlfn.TEXTSPLIT(E626,"-"),2)</f>
        <v>男装</v>
      </c>
      <c r="G626" s="2" t="str" cm="1">
        <f t="array" ref="G626">INDEX(_xlfn.TEXTSPLIT(E626,"-"),3)</f>
        <v>派克服</v>
      </c>
      <c r="H626" s="5">
        <v>10589</v>
      </c>
      <c r="I626" s="5">
        <v>2247644.79</v>
      </c>
      <c r="J626" s="6">
        <v>0.0028</v>
      </c>
      <c r="K626" s="6">
        <v>-0.033</v>
      </c>
    </row>
    <row r="627" ht="14.5" spans="1:11">
      <c r="A627" s="3" t="str">
        <f t="shared" si="30"/>
        <v>2026年</v>
      </c>
      <c r="B627" s="3" t="str">
        <f t="shared" si="31"/>
        <v>1月</v>
      </c>
      <c r="C627" s="4" t="str">
        <f t="shared" si="32"/>
        <v>W3</v>
      </c>
      <c r="D627" s="2" t="s">
        <v>754</v>
      </c>
      <c r="E627" s="2" t="s">
        <v>821</v>
      </c>
      <c r="F627" s="2" t="str" cm="1">
        <f t="array" ref="F627">INDEX(_xlfn.TEXTSPLIT(E627,"-"),2)</f>
        <v>男装</v>
      </c>
      <c r="G627" s="2" t="str" cm="1">
        <f t="array" ref="G627">INDEX(_xlfn.TEXTSPLIT(E627,"-"),3)</f>
        <v>牛仔裤</v>
      </c>
      <c r="H627" s="5">
        <v>523708</v>
      </c>
      <c r="I627" s="5">
        <v>59537439.59</v>
      </c>
      <c r="J627" s="6">
        <v>0.0731</v>
      </c>
      <c r="K627" s="6">
        <v>-0.1433</v>
      </c>
    </row>
    <row r="628" ht="14.5" spans="1:11">
      <c r="A628" s="3" t="str">
        <f t="shared" si="30"/>
        <v>2026年</v>
      </c>
      <c r="B628" s="3" t="str">
        <f t="shared" si="31"/>
        <v>1月</v>
      </c>
      <c r="C628" s="4" t="str">
        <f t="shared" si="32"/>
        <v>W3</v>
      </c>
      <c r="D628" s="2" t="s">
        <v>754</v>
      </c>
      <c r="E628" s="2" t="s">
        <v>822</v>
      </c>
      <c r="F628" s="2" t="str" cm="1">
        <f t="array" ref="F628">INDEX(_xlfn.TEXTSPLIT(E628,"-"),2)</f>
        <v>男装</v>
      </c>
      <c r="G628" s="2" t="str" cm="1">
        <f t="array" ref="G628">INDEX(_xlfn.TEXTSPLIT(E628,"-"),3)</f>
        <v>皮草</v>
      </c>
      <c r="H628" s="5">
        <v>5780</v>
      </c>
      <c r="I628" s="5">
        <v>9944946.1</v>
      </c>
      <c r="J628" s="6">
        <v>0.0122</v>
      </c>
      <c r="K628" s="6">
        <v>0.0663</v>
      </c>
    </row>
    <row r="629" ht="14.5" spans="1:11">
      <c r="A629" s="3" t="str">
        <f t="shared" si="30"/>
        <v>2026年</v>
      </c>
      <c r="B629" s="3" t="str">
        <f t="shared" si="31"/>
        <v>1月</v>
      </c>
      <c r="C629" s="4" t="str">
        <f t="shared" si="32"/>
        <v>W3</v>
      </c>
      <c r="D629" s="2" t="s">
        <v>754</v>
      </c>
      <c r="E629" s="2" t="s">
        <v>823</v>
      </c>
      <c r="F629" s="2" t="str" cm="1">
        <f t="array" ref="F629">INDEX(_xlfn.TEXTSPLIT(E629,"-"),2)</f>
        <v>男装</v>
      </c>
      <c r="G629" s="2" t="str" cm="1">
        <f t="array" ref="G629">INDEX(_xlfn.TEXTSPLIT(E629,"-"),3)</f>
        <v>皮衣</v>
      </c>
      <c r="H629" s="5">
        <v>52240</v>
      </c>
      <c r="I629" s="5">
        <v>24214390.88</v>
      </c>
      <c r="J629" s="6">
        <v>0.0297</v>
      </c>
      <c r="K629" s="6">
        <v>-0.2011</v>
      </c>
    </row>
    <row r="630" ht="14.5" spans="1:11">
      <c r="A630" s="3" t="str">
        <f t="shared" si="30"/>
        <v>2026年</v>
      </c>
      <c r="B630" s="3" t="str">
        <f t="shared" si="31"/>
        <v>1月</v>
      </c>
      <c r="C630" s="4" t="str">
        <f t="shared" si="32"/>
        <v>W3</v>
      </c>
      <c r="D630" s="2" t="s">
        <v>754</v>
      </c>
      <c r="E630" s="2" t="s">
        <v>824</v>
      </c>
      <c r="F630" s="2" t="str" cm="1">
        <f t="array" ref="F630">INDEX(_xlfn.TEXTSPLIT(E630,"-"),2)</f>
        <v>男装</v>
      </c>
      <c r="G630" s="2" t="str" cm="1">
        <f t="array" ref="G630">INDEX(_xlfn.TEXTSPLIT(E630,"-"),3)</f>
        <v>皮裤</v>
      </c>
      <c r="H630" s="5">
        <v>4242</v>
      </c>
      <c r="I630" s="5">
        <v>664340.4</v>
      </c>
      <c r="J630" s="6">
        <v>0.0008</v>
      </c>
      <c r="K630" s="6">
        <v>0.4812</v>
      </c>
    </row>
    <row r="631" ht="14.5" spans="1:11">
      <c r="A631" s="3" t="str">
        <f t="shared" si="30"/>
        <v>2026年</v>
      </c>
      <c r="B631" s="3" t="str">
        <f t="shared" si="31"/>
        <v>1月</v>
      </c>
      <c r="C631" s="4" t="str">
        <f t="shared" si="32"/>
        <v>W3</v>
      </c>
      <c r="D631" s="2" t="s">
        <v>754</v>
      </c>
      <c r="E631" s="2" t="s">
        <v>825</v>
      </c>
      <c r="F631" s="2" t="str" cm="1">
        <f t="array" ref="F631">INDEX(_xlfn.TEXTSPLIT(E631,"-"),2)</f>
        <v>男装</v>
      </c>
      <c r="G631" s="2" t="str" cm="1">
        <f t="array" ref="G631">INDEX(_xlfn.TEXTSPLIT(E631,"-"),3)</f>
        <v>短外套</v>
      </c>
      <c r="H631" s="5">
        <v>29472</v>
      </c>
      <c r="I631" s="5">
        <v>2957501.98</v>
      </c>
      <c r="J631" s="6">
        <v>0.0036</v>
      </c>
      <c r="K631" s="6">
        <v>0.1231</v>
      </c>
    </row>
    <row r="632" ht="14.5" spans="1:11">
      <c r="A632" s="3" t="str">
        <f t="shared" si="30"/>
        <v>2026年</v>
      </c>
      <c r="B632" s="3" t="str">
        <f t="shared" si="31"/>
        <v>1月</v>
      </c>
      <c r="C632" s="4" t="str">
        <f t="shared" si="32"/>
        <v>W3</v>
      </c>
      <c r="D632" s="2" t="s">
        <v>754</v>
      </c>
      <c r="E632" s="2" t="s">
        <v>826</v>
      </c>
      <c r="F632" s="2" t="str" cm="1">
        <f t="array" ref="F632">INDEX(_xlfn.TEXTSPLIT(E632,"-"),2)</f>
        <v>男装</v>
      </c>
      <c r="G632" s="2" t="str" cm="1">
        <f t="array" ref="G632">INDEX(_xlfn.TEXTSPLIT(E632,"-"),3)</f>
        <v>短裤</v>
      </c>
      <c r="H632" s="5">
        <v>47459</v>
      </c>
      <c r="I632" s="5">
        <v>1586021.04</v>
      </c>
      <c r="J632" s="6">
        <v>0.0019</v>
      </c>
      <c r="K632" s="6">
        <v>0.0393</v>
      </c>
    </row>
    <row r="633" ht="14.5" spans="1:11">
      <c r="A633" s="3" t="str">
        <f t="shared" si="30"/>
        <v>2026年</v>
      </c>
      <c r="B633" s="3" t="str">
        <f t="shared" si="31"/>
        <v>1月</v>
      </c>
      <c r="C633" s="4" t="str">
        <f t="shared" si="32"/>
        <v>W3</v>
      </c>
      <c r="D633" s="2" t="s">
        <v>754</v>
      </c>
      <c r="E633" s="2" t="s">
        <v>827</v>
      </c>
      <c r="F633" s="2" t="str" cm="1">
        <f t="array" ref="F633">INDEX(_xlfn.TEXTSPLIT(E633,"-"),2)</f>
        <v>男装</v>
      </c>
      <c r="G633" s="2" t="str" cm="1">
        <f t="array" ref="G633">INDEX(_xlfn.TEXTSPLIT(E633,"-"),3)</f>
        <v>紧身衣</v>
      </c>
      <c r="H633" s="5">
        <v>134</v>
      </c>
      <c r="I633" s="5">
        <v>5670.8</v>
      </c>
      <c r="J633" s="2" t="s">
        <v>713</v>
      </c>
      <c r="K633" s="6">
        <v>1.0004</v>
      </c>
    </row>
    <row r="634" ht="14.5" spans="1:11">
      <c r="A634" s="3" t="str">
        <f t="shared" si="30"/>
        <v>2026年</v>
      </c>
      <c r="B634" s="3" t="str">
        <f t="shared" si="31"/>
        <v>1月</v>
      </c>
      <c r="C634" s="4" t="str">
        <f t="shared" si="32"/>
        <v>W3</v>
      </c>
      <c r="D634" s="2" t="s">
        <v>754</v>
      </c>
      <c r="E634" s="2" t="s">
        <v>828</v>
      </c>
      <c r="F634" s="2" t="str" cm="1">
        <f t="array" ref="F634">INDEX(_xlfn.TEXTSPLIT(E634,"-"),2)</f>
        <v>男装</v>
      </c>
      <c r="G634" s="2" t="str" cm="1">
        <f t="array" ref="G634">INDEX(_xlfn.TEXTSPLIT(E634,"-"),3)</f>
        <v>羊毛衫</v>
      </c>
      <c r="H634" s="5">
        <v>107970</v>
      </c>
      <c r="I634" s="5">
        <v>17092398.13</v>
      </c>
      <c r="J634" s="6">
        <v>0.021</v>
      </c>
      <c r="K634" s="6">
        <v>-0.1948</v>
      </c>
    </row>
    <row r="635" ht="14.5" spans="1:11">
      <c r="A635" s="3" t="str">
        <f t="shared" si="30"/>
        <v>2026年</v>
      </c>
      <c r="B635" s="3" t="str">
        <f t="shared" si="31"/>
        <v>1月</v>
      </c>
      <c r="C635" s="4" t="str">
        <f t="shared" si="32"/>
        <v>W3</v>
      </c>
      <c r="D635" s="2" t="s">
        <v>754</v>
      </c>
      <c r="E635" s="2" t="s">
        <v>829</v>
      </c>
      <c r="F635" s="2" t="str" cm="1">
        <f t="array" ref="F635">INDEX(_xlfn.TEXTSPLIT(E635,"-"),2)</f>
        <v>男装</v>
      </c>
      <c r="G635" s="2" t="str" cm="1">
        <f t="array" ref="G635">INDEX(_xlfn.TEXTSPLIT(E635,"-"),3)</f>
        <v>羊绒衫</v>
      </c>
      <c r="H635" s="5">
        <v>22550</v>
      </c>
      <c r="I635" s="5">
        <v>8198111.06</v>
      </c>
      <c r="J635" s="6">
        <v>0.0101</v>
      </c>
      <c r="K635" s="6">
        <v>-0.0666</v>
      </c>
    </row>
    <row r="636" ht="14.5" spans="1:11">
      <c r="A636" s="3" t="str">
        <f t="shared" si="30"/>
        <v>2026年</v>
      </c>
      <c r="B636" s="3" t="str">
        <f t="shared" si="31"/>
        <v>1月</v>
      </c>
      <c r="C636" s="4" t="str">
        <f t="shared" si="32"/>
        <v>W3</v>
      </c>
      <c r="D636" s="2" t="s">
        <v>754</v>
      </c>
      <c r="E636" s="2" t="s">
        <v>830</v>
      </c>
      <c r="F636" s="2" t="str" cm="1">
        <f t="array" ref="F636">INDEX(_xlfn.TEXTSPLIT(E636,"-"),2)</f>
        <v>男装</v>
      </c>
      <c r="G636" s="2" t="str" cm="1">
        <f t="array" ref="G636">INDEX(_xlfn.TEXTSPLIT(E636,"-"),3)</f>
        <v>羽绒服</v>
      </c>
      <c r="H636" s="5">
        <v>614818</v>
      </c>
      <c r="I636" s="5">
        <v>247303462.83</v>
      </c>
      <c r="J636" s="6">
        <v>0.3035</v>
      </c>
      <c r="K636" s="6">
        <v>-0.1222</v>
      </c>
    </row>
    <row r="637" ht="14.5" spans="1:11">
      <c r="A637" s="3" t="str">
        <f t="shared" si="30"/>
        <v>2026年</v>
      </c>
      <c r="B637" s="3" t="str">
        <f t="shared" si="31"/>
        <v>1月</v>
      </c>
      <c r="C637" s="4" t="str">
        <f t="shared" si="32"/>
        <v>W3</v>
      </c>
      <c r="D637" s="2" t="s">
        <v>754</v>
      </c>
      <c r="E637" s="2" t="s">
        <v>831</v>
      </c>
      <c r="F637" s="2" t="str" cm="1">
        <f t="array" ref="F637">INDEX(_xlfn.TEXTSPLIT(E637,"-"),2)</f>
        <v>男装</v>
      </c>
      <c r="G637" s="2" t="str" cm="1">
        <f t="array" ref="G637">INDEX(_xlfn.TEXTSPLIT(E637,"-"),3)</f>
        <v>羽绒裤</v>
      </c>
      <c r="H637" s="5">
        <v>21039</v>
      </c>
      <c r="I637" s="5">
        <v>3299780.76</v>
      </c>
      <c r="J637" s="6">
        <v>0.004</v>
      </c>
      <c r="K637" s="6">
        <v>0.9476</v>
      </c>
    </row>
    <row r="638" ht="14.5" spans="1:11">
      <c r="A638" s="3" t="str">
        <f t="shared" si="30"/>
        <v>2026年</v>
      </c>
      <c r="B638" s="3" t="str">
        <f t="shared" si="31"/>
        <v>1月</v>
      </c>
      <c r="C638" s="4" t="str">
        <f t="shared" si="32"/>
        <v>W3</v>
      </c>
      <c r="D638" s="2" t="s">
        <v>754</v>
      </c>
      <c r="E638" s="2" t="s">
        <v>832</v>
      </c>
      <c r="F638" s="2" t="str" cm="1">
        <f t="array" ref="F638">INDEX(_xlfn.TEXTSPLIT(E638,"-"),2)</f>
        <v>男装</v>
      </c>
      <c r="G638" s="2" t="str" cm="1">
        <f t="array" ref="G638">INDEX(_xlfn.TEXTSPLIT(E638,"-"),3)</f>
        <v>羽绒马甲</v>
      </c>
      <c r="H638" s="5">
        <v>11622</v>
      </c>
      <c r="I638" s="5">
        <v>2463499.12</v>
      </c>
      <c r="J638" s="6">
        <v>0.003</v>
      </c>
      <c r="K638" s="6">
        <v>-0.2552</v>
      </c>
    </row>
    <row r="639" ht="14.5" spans="1:11">
      <c r="A639" s="3" t="str">
        <f t="shared" si="30"/>
        <v>2026年</v>
      </c>
      <c r="B639" s="3" t="str">
        <f t="shared" si="31"/>
        <v>1月</v>
      </c>
      <c r="C639" s="4" t="str">
        <f t="shared" si="32"/>
        <v>W3</v>
      </c>
      <c r="D639" s="2" t="s">
        <v>754</v>
      </c>
      <c r="E639" s="2" t="s">
        <v>833</v>
      </c>
      <c r="F639" s="2" t="str" cm="1">
        <f t="array" ref="F639">INDEX(_xlfn.TEXTSPLIT(E639,"-"),2)</f>
        <v>男装</v>
      </c>
      <c r="G639" s="2" t="str" cm="1">
        <f t="array" ref="G639">INDEX(_xlfn.TEXTSPLIT(E639,"-"),3)</f>
        <v>背心</v>
      </c>
      <c r="H639" s="5">
        <v>39027</v>
      </c>
      <c r="I639" s="5">
        <v>2375948.04</v>
      </c>
      <c r="J639" s="6">
        <v>0.0029</v>
      </c>
      <c r="K639" s="6">
        <v>0.0255</v>
      </c>
    </row>
    <row r="640" ht="14.5" spans="1:11">
      <c r="A640" s="3" t="str">
        <f t="shared" si="30"/>
        <v>2026年</v>
      </c>
      <c r="B640" s="3" t="str">
        <f t="shared" si="31"/>
        <v>1月</v>
      </c>
      <c r="C640" s="4" t="str">
        <f t="shared" si="32"/>
        <v>W3</v>
      </c>
      <c r="D640" s="2" t="s">
        <v>754</v>
      </c>
      <c r="E640" s="2" t="s">
        <v>834</v>
      </c>
      <c r="F640" s="2" t="str" cm="1">
        <f t="array" ref="F640">INDEX(_xlfn.TEXTSPLIT(E640,"-"),2)</f>
        <v>男装</v>
      </c>
      <c r="G640" s="2" t="str" cm="1">
        <f t="array" ref="G640">INDEX(_xlfn.TEXTSPLIT(E640,"-"),3)</f>
        <v>衬衫</v>
      </c>
      <c r="H640" s="5">
        <v>88497</v>
      </c>
      <c r="I640" s="5">
        <v>11183608.31</v>
      </c>
      <c r="J640" s="6">
        <v>0.0137</v>
      </c>
      <c r="K640" s="6">
        <v>-0.1883</v>
      </c>
    </row>
    <row r="641" ht="14.5" spans="1:11">
      <c r="A641" s="3" t="str">
        <f t="shared" si="30"/>
        <v>2026年</v>
      </c>
      <c r="B641" s="3" t="str">
        <f t="shared" si="31"/>
        <v>1月</v>
      </c>
      <c r="C641" s="4" t="str">
        <f t="shared" si="32"/>
        <v>W3</v>
      </c>
      <c r="D641" s="2" t="s">
        <v>754</v>
      </c>
      <c r="E641" s="2" t="s">
        <v>835</v>
      </c>
      <c r="F641" s="2" t="str" cm="1">
        <f t="array" ref="F641">INDEX(_xlfn.TEXTSPLIT(E641,"-"),2)</f>
        <v>男装</v>
      </c>
      <c r="G641" s="2" t="str" cm="1">
        <f t="array" ref="G641">INDEX(_xlfn.TEXTSPLIT(E641,"-"),3)</f>
        <v>西服</v>
      </c>
      <c r="H641" s="5">
        <v>83422</v>
      </c>
      <c r="I641" s="5">
        <v>18491384.29</v>
      </c>
      <c r="J641" s="6">
        <v>0.0227</v>
      </c>
      <c r="K641" s="6">
        <v>-0.098</v>
      </c>
    </row>
    <row r="642" ht="14.5" spans="1:11">
      <c r="A642" s="3" t="str">
        <f t="shared" si="30"/>
        <v>2026年</v>
      </c>
      <c r="B642" s="3" t="str">
        <f t="shared" si="31"/>
        <v>1月</v>
      </c>
      <c r="C642" s="4" t="str">
        <f t="shared" si="32"/>
        <v>W3</v>
      </c>
      <c r="D642" s="2" t="s">
        <v>754</v>
      </c>
      <c r="E642" s="2" t="s">
        <v>836</v>
      </c>
      <c r="F642" s="2" t="str" cm="1">
        <f t="array" ref="F642">INDEX(_xlfn.TEXTSPLIT(E642,"-"),2)</f>
        <v>男装</v>
      </c>
      <c r="G642" s="2" t="str" cm="1">
        <f t="array" ref="G642">INDEX(_xlfn.TEXTSPLIT(E642,"-"),3)</f>
        <v>连体衣/裤</v>
      </c>
      <c r="H642" s="5">
        <v>713</v>
      </c>
      <c r="I642" s="5">
        <v>24266.97</v>
      </c>
      <c r="J642" s="2" t="s">
        <v>713</v>
      </c>
      <c r="K642" s="6">
        <v>-0.1132</v>
      </c>
    </row>
    <row r="643" ht="14.5" spans="1:11">
      <c r="A643" s="3" t="str">
        <f t="shared" si="30"/>
        <v>2026年</v>
      </c>
      <c r="B643" s="3" t="str">
        <f t="shared" si="31"/>
        <v>1月</v>
      </c>
      <c r="C643" s="4" t="str">
        <f t="shared" si="32"/>
        <v>W3</v>
      </c>
      <c r="D643" s="2" t="s">
        <v>754</v>
      </c>
      <c r="E643" s="2" t="s">
        <v>837</v>
      </c>
      <c r="F643" s="2" t="str" cm="1">
        <f t="array" ref="F643">INDEX(_xlfn.TEXTSPLIT(E643,"-"),2)</f>
        <v>男装</v>
      </c>
      <c r="G643" s="2" t="str" cm="1">
        <f t="array" ref="G643">INDEX(_xlfn.TEXTSPLIT(E643,"-"),3)</f>
        <v>速干/三防T恤</v>
      </c>
      <c r="H643" s="5">
        <v>595</v>
      </c>
      <c r="I643" s="5">
        <v>68386.94</v>
      </c>
      <c r="J643" s="6">
        <v>0.0001</v>
      </c>
      <c r="K643" s="6">
        <v>-0.6909</v>
      </c>
    </row>
    <row r="644" ht="14.5" spans="1:11">
      <c r="A644" s="3" t="str">
        <f t="shared" si="30"/>
        <v>2026年</v>
      </c>
      <c r="B644" s="3" t="str">
        <f t="shared" si="31"/>
        <v>1月</v>
      </c>
      <c r="C644" s="4" t="str">
        <f t="shared" si="32"/>
        <v>W3</v>
      </c>
      <c r="D644" s="2" t="s">
        <v>754</v>
      </c>
      <c r="E644" s="2" t="s">
        <v>838</v>
      </c>
      <c r="F644" s="2" t="str" cm="1">
        <f t="array" ref="F644">INDEX(_xlfn.TEXTSPLIT(E644,"-"),2)</f>
        <v>男装</v>
      </c>
      <c r="G644" s="2" t="str" cm="1">
        <f t="array" ref="G644">INDEX(_xlfn.TEXTSPLIT(E644,"-"),3)</f>
        <v>针织衫/毛衣</v>
      </c>
      <c r="H644" s="5">
        <v>338923</v>
      </c>
      <c r="I644" s="5">
        <v>43512090.76</v>
      </c>
      <c r="J644" s="6">
        <v>0.0534</v>
      </c>
      <c r="K644" s="6">
        <v>-0.1378</v>
      </c>
    </row>
    <row r="645" ht="14.5" spans="1:11">
      <c r="A645" s="3" t="str">
        <f t="shared" si="30"/>
        <v>2026年</v>
      </c>
      <c r="B645" s="3" t="str">
        <f t="shared" si="31"/>
        <v>1月</v>
      </c>
      <c r="C645" s="4" t="str">
        <f t="shared" si="32"/>
        <v>W3</v>
      </c>
      <c r="D645" s="2" t="s">
        <v>754</v>
      </c>
      <c r="E645" s="2" t="s">
        <v>839</v>
      </c>
      <c r="F645" s="2" t="str" cm="1">
        <f t="array" ref="F645">INDEX(_xlfn.TEXTSPLIT(E645,"-"),2)</f>
        <v>男装</v>
      </c>
      <c r="G645" s="2" t="str" cm="1">
        <f t="array" ref="G645">INDEX(_xlfn.TEXTSPLIT(E645,"-"),3)</f>
        <v>防晒服</v>
      </c>
      <c r="H645" s="5">
        <v>211</v>
      </c>
      <c r="I645" s="5">
        <v>18482.89</v>
      </c>
      <c r="J645" s="2" t="s">
        <v>713</v>
      </c>
      <c r="K645" s="6">
        <v>-0.9365</v>
      </c>
    </row>
    <row r="646" ht="14.5" spans="1:11">
      <c r="A646" s="3" t="str">
        <f t="shared" si="30"/>
        <v>2026年</v>
      </c>
      <c r="B646" s="3" t="str">
        <f t="shared" si="31"/>
        <v>1月</v>
      </c>
      <c r="C646" s="4" t="str">
        <f t="shared" si="32"/>
        <v>W3</v>
      </c>
      <c r="D646" s="2" t="s">
        <v>754</v>
      </c>
      <c r="E646" s="2" t="s">
        <v>840</v>
      </c>
      <c r="F646" s="2" t="str" cm="1">
        <f t="array" ref="F646">INDEX(_xlfn.TEXTSPLIT(E646,"-"),2)</f>
        <v>男装</v>
      </c>
      <c r="G646" s="2" t="str" cm="1">
        <f t="array" ref="G646">INDEX(_xlfn.TEXTSPLIT(E646,"-"),3)</f>
        <v>风衣</v>
      </c>
      <c r="H646" s="5">
        <v>7029</v>
      </c>
      <c r="I646" s="5">
        <v>2408705.85</v>
      </c>
      <c r="J646" s="6">
        <v>0.003</v>
      </c>
      <c r="K646" s="6">
        <v>-0.1154</v>
      </c>
    </row>
    <row r="647" ht="14.5" spans="1:11">
      <c r="A647" s="3" t="str">
        <f t="shared" si="30"/>
        <v>2026年</v>
      </c>
      <c r="B647" s="3" t="str">
        <f t="shared" si="31"/>
        <v>1月</v>
      </c>
      <c r="C647" s="4" t="str">
        <f t="shared" si="32"/>
        <v>W3</v>
      </c>
      <c r="D647" s="2" t="s">
        <v>754</v>
      </c>
      <c r="E647" s="2" t="s">
        <v>841</v>
      </c>
      <c r="F647" s="2" t="str" cm="1">
        <f t="array" ref="F647">INDEX(_xlfn.TEXTSPLIT(E647,"-"),2)</f>
        <v>男装</v>
      </c>
      <c r="G647" s="2" t="str" cm="1">
        <f t="array" ref="G647">INDEX(_xlfn.TEXTSPLIT(E647,"-"),3)</f>
        <v>马甲</v>
      </c>
      <c r="H647" s="5">
        <v>40564</v>
      </c>
      <c r="I647" s="5">
        <v>4281021.59</v>
      </c>
      <c r="J647" s="6">
        <v>0.0053</v>
      </c>
      <c r="K647" s="6">
        <v>-0.0759</v>
      </c>
    </row>
    <row r="648" ht="14.5" spans="1:11">
      <c r="A648" s="3" t="str">
        <f t="shared" si="30"/>
        <v>2026年</v>
      </c>
      <c r="B648" s="3" t="str">
        <f t="shared" si="31"/>
        <v>1月</v>
      </c>
      <c r="C648" s="4" t="str">
        <f t="shared" si="32"/>
        <v>W3</v>
      </c>
      <c r="D648" s="2" t="s">
        <v>755</v>
      </c>
      <c r="E648" s="2" t="s">
        <v>804</v>
      </c>
      <c r="F648" s="2" t="str" cm="1">
        <f t="array" ref="F648">INDEX(_xlfn.TEXTSPLIT(E648,"-"),2)</f>
        <v>男装</v>
      </c>
      <c r="G648" s="2" t="str" cm="1">
        <f t="array" ref="G648">INDEX(_xlfn.TEXTSPLIT(E648,"-"),3)</f>
        <v>Polo衫</v>
      </c>
      <c r="H648" s="5">
        <v>48292</v>
      </c>
      <c r="I648" s="5">
        <v>4621431.11</v>
      </c>
      <c r="J648" s="6">
        <v>0.0052</v>
      </c>
      <c r="K648" s="6">
        <v>0.0538</v>
      </c>
    </row>
    <row r="649" ht="14.5" spans="1:11">
      <c r="A649" s="3" t="str">
        <f t="shared" si="30"/>
        <v>2026年</v>
      </c>
      <c r="B649" s="3" t="str">
        <f t="shared" si="31"/>
        <v>1月</v>
      </c>
      <c r="C649" s="4" t="str">
        <f t="shared" si="32"/>
        <v>W3</v>
      </c>
      <c r="D649" s="2" t="s">
        <v>755</v>
      </c>
      <c r="E649" s="2" t="s">
        <v>805</v>
      </c>
      <c r="F649" s="2" t="str" cm="1">
        <f t="array" ref="F649">INDEX(_xlfn.TEXTSPLIT(E649,"-"),2)</f>
        <v>男装</v>
      </c>
      <c r="G649" s="2" t="str" cm="1">
        <f t="array" ref="G649">INDEX(_xlfn.TEXTSPLIT(E649,"-"),3)</f>
        <v>T恤</v>
      </c>
      <c r="H649" s="5">
        <v>368577</v>
      </c>
      <c r="I649" s="5">
        <v>29755600.02</v>
      </c>
      <c r="J649" s="6">
        <v>0.0337</v>
      </c>
      <c r="K649" s="6">
        <v>0.0122</v>
      </c>
    </row>
    <row r="650" ht="14.5" spans="1:11">
      <c r="A650" s="3" t="str">
        <f t="shared" si="30"/>
        <v>2026年</v>
      </c>
      <c r="B650" s="3" t="str">
        <f t="shared" si="31"/>
        <v>1月</v>
      </c>
      <c r="C650" s="4" t="str">
        <f t="shared" si="32"/>
        <v>W3</v>
      </c>
      <c r="D650" s="2" t="s">
        <v>755</v>
      </c>
      <c r="E650" s="2" t="s">
        <v>806</v>
      </c>
      <c r="F650" s="2" t="str" cm="1">
        <f t="array" ref="F650">INDEX(_xlfn.TEXTSPLIT(E650,"-"),2)</f>
        <v>男装</v>
      </c>
      <c r="G650" s="2" t="str" cm="1">
        <f t="array" ref="G650">INDEX(_xlfn.TEXTSPLIT(E650,"-"),3)</f>
        <v>中老年男装</v>
      </c>
      <c r="H650" s="5">
        <v>113684</v>
      </c>
      <c r="I650" s="5">
        <v>15287074.97</v>
      </c>
      <c r="J650" s="6">
        <v>0.0173</v>
      </c>
      <c r="K650" s="6">
        <v>0.0957</v>
      </c>
    </row>
    <row r="651" ht="14.5" spans="1:11">
      <c r="A651" s="3" t="str">
        <f t="shared" si="30"/>
        <v>2026年</v>
      </c>
      <c r="B651" s="3" t="str">
        <f t="shared" si="31"/>
        <v>1月</v>
      </c>
      <c r="C651" s="4" t="str">
        <f t="shared" si="32"/>
        <v>W3</v>
      </c>
      <c r="D651" s="2" t="s">
        <v>755</v>
      </c>
      <c r="E651" s="2" t="s">
        <v>807</v>
      </c>
      <c r="F651" s="2" t="str" cm="1">
        <f t="array" ref="F651">INDEX(_xlfn.TEXTSPLIT(E651,"-"),2)</f>
        <v>男装</v>
      </c>
      <c r="G651" s="2" t="str" cm="1">
        <f t="array" ref="G651">INDEX(_xlfn.TEXTSPLIT(E651,"-"),3)</f>
        <v>休闲裤</v>
      </c>
      <c r="H651" s="5">
        <v>947093</v>
      </c>
      <c r="I651" s="5">
        <v>99513026.28</v>
      </c>
      <c r="J651" s="6">
        <v>0.1127</v>
      </c>
      <c r="K651" s="6">
        <v>0.1734</v>
      </c>
    </row>
    <row r="652" ht="14.5" spans="1:11">
      <c r="A652" s="3" t="str">
        <f t="shared" si="30"/>
        <v>2026年</v>
      </c>
      <c r="B652" s="3" t="str">
        <f t="shared" si="31"/>
        <v>1月</v>
      </c>
      <c r="C652" s="4" t="str">
        <f t="shared" si="32"/>
        <v>W3</v>
      </c>
      <c r="D652" s="2" t="s">
        <v>755</v>
      </c>
      <c r="E652" s="2" t="s">
        <v>808</v>
      </c>
      <c r="F652" s="2" t="str" cm="1">
        <f t="array" ref="F652">INDEX(_xlfn.TEXTSPLIT(E652,"-"),2)</f>
        <v>男装</v>
      </c>
      <c r="G652" s="2" t="str" cm="1">
        <f t="array" ref="G652">INDEX(_xlfn.TEXTSPLIT(E652,"-"),3)</f>
        <v>卫衣</v>
      </c>
      <c r="H652" s="5">
        <v>638443</v>
      </c>
      <c r="I652" s="5">
        <v>52546050.79</v>
      </c>
      <c r="J652" s="6">
        <v>0.0595</v>
      </c>
      <c r="K652" s="6">
        <v>0.0995</v>
      </c>
    </row>
    <row r="653" ht="14.5" spans="1:11">
      <c r="A653" s="3" t="str">
        <f t="shared" si="30"/>
        <v>2026年</v>
      </c>
      <c r="B653" s="3" t="str">
        <f t="shared" si="31"/>
        <v>1月</v>
      </c>
      <c r="C653" s="4" t="str">
        <f t="shared" si="32"/>
        <v>W3</v>
      </c>
      <c r="D653" s="2" t="s">
        <v>755</v>
      </c>
      <c r="E653" s="2" t="s">
        <v>809</v>
      </c>
      <c r="F653" s="2" t="str" cm="1">
        <f t="array" ref="F653">INDEX(_xlfn.TEXTSPLIT(E653,"-"),2)</f>
        <v>男装</v>
      </c>
      <c r="G653" s="2" t="str" cm="1">
        <f t="array" ref="G653">INDEX(_xlfn.TEXTSPLIT(E653,"-"),3)</f>
        <v>卫裤</v>
      </c>
      <c r="H653" s="5">
        <v>193062</v>
      </c>
      <c r="I653" s="5">
        <v>18976320.9</v>
      </c>
      <c r="J653" s="6">
        <v>0.0215</v>
      </c>
      <c r="K653" s="6">
        <v>0.2279</v>
      </c>
    </row>
    <row r="654" ht="14.5" spans="1:11">
      <c r="A654" s="3" t="str">
        <f t="shared" ref="A654:A717" si="33">TEXT(YEAR(D654),"0")&amp;"年"</f>
        <v>2026年</v>
      </c>
      <c r="B654" s="3" t="str">
        <f t="shared" ref="B654:B717" si="34">TEXT(MONTH(D654),"0")&amp;"月"</f>
        <v>1月</v>
      </c>
      <c r="C654" s="4" t="str">
        <f t="shared" ref="C654:C717" si="35">"W"&amp;TEXT(WEEKNUM(D654,2),"0")</f>
        <v>W3</v>
      </c>
      <c r="D654" s="2" t="s">
        <v>755</v>
      </c>
      <c r="E654" s="2" t="s">
        <v>810</v>
      </c>
      <c r="F654" s="2" t="str" cm="1">
        <f t="array" ref="F654">INDEX(_xlfn.TEXTSPLIT(E654,"-"),2)</f>
        <v>男装</v>
      </c>
      <c r="G654" s="2" t="str" cm="1">
        <f t="array" ref="G654">INDEX(_xlfn.TEXTSPLIT(E654,"-"),3)</f>
        <v>大码男装</v>
      </c>
      <c r="H654" s="5">
        <v>44969</v>
      </c>
      <c r="I654" s="5">
        <v>3974929.83</v>
      </c>
      <c r="J654" s="6">
        <v>0.0045</v>
      </c>
      <c r="K654" s="6">
        <v>0.1041</v>
      </c>
    </row>
    <row r="655" ht="14.5" spans="1:11">
      <c r="A655" s="3" t="str">
        <f t="shared" si="33"/>
        <v>2026年</v>
      </c>
      <c r="B655" s="3" t="str">
        <f t="shared" si="34"/>
        <v>1月</v>
      </c>
      <c r="C655" s="4" t="str">
        <f t="shared" si="35"/>
        <v>W3</v>
      </c>
      <c r="D655" s="2" t="s">
        <v>755</v>
      </c>
      <c r="E655" s="2" t="s">
        <v>811</v>
      </c>
      <c r="F655" s="2" t="str" cm="1">
        <f t="array" ref="F655">INDEX(_xlfn.TEXTSPLIT(E655,"-"),2)</f>
        <v>男装</v>
      </c>
      <c r="G655" s="2" t="str" cm="1">
        <f t="array" ref="G655">INDEX(_xlfn.TEXTSPLIT(E655,"-"),3)</f>
        <v>夹克</v>
      </c>
      <c r="H655" s="5">
        <v>435539</v>
      </c>
      <c r="I655" s="5">
        <v>80966238.29</v>
      </c>
      <c r="J655" s="6">
        <v>0.0917</v>
      </c>
      <c r="K655" s="6">
        <v>0.0863</v>
      </c>
    </row>
    <row r="656" ht="14.5" spans="1:11">
      <c r="A656" s="3" t="str">
        <f t="shared" si="33"/>
        <v>2026年</v>
      </c>
      <c r="B656" s="3" t="str">
        <f t="shared" si="34"/>
        <v>1月</v>
      </c>
      <c r="C656" s="4" t="str">
        <f t="shared" si="35"/>
        <v>W3</v>
      </c>
      <c r="D656" s="2" t="s">
        <v>755</v>
      </c>
      <c r="E656" s="2" t="s">
        <v>812</v>
      </c>
      <c r="F656" s="2" t="str" cm="1">
        <f t="array" ref="F656">INDEX(_xlfn.TEXTSPLIT(E656,"-"),2)</f>
        <v>男装</v>
      </c>
      <c r="G656" s="2" t="str" cm="1">
        <f t="array" ref="G656">INDEX(_xlfn.TEXTSPLIT(E656,"-"),3)</f>
        <v>套装</v>
      </c>
      <c r="H656" s="5">
        <v>48134</v>
      </c>
      <c r="I656" s="5">
        <v>7554919.8</v>
      </c>
      <c r="J656" s="6">
        <v>0.0086</v>
      </c>
      <c r="K656" s="6">
        <v>-0.0073</v>
      </c>
    </row>
    <row r="657" ht="14.5" spans="1:11">
      <c r="A657" s="3" t="str">
        <f t="shared" si="33"/>
        <v>2026年</v>
      </c>
      <c r="B657" s="3" t="str">
        <f t="shared" si="34"/>
        <v>1月</v>
      </c>
      <c r="C657" s="4" t="str">
        <f t="shared" si="35"/>
        <v>W3</v>
      </c>
      <c r="D657" s="2" t="s">
        <v>755</v>
      </c>
      <c r="E657" s="2" t="s">
        <v>813</v>
      </c>
      <c r="F657" s="2" t="str" cm="1">
        <f t="array" ref="F657">INDEX(_xlfn.TEXTSPLIT(E657,"-"),2)</f>
        <v>男装</v>
      </c>
      <c r="G657" s="2" t="str" cm="1">
        <f t="array" ref="G657">INDEX(_xlfn.TEXTSPLIT(E657,"-"),3)</f>
        <v>学生校服</v>
      </c>
      <c r="H657" s="5">
        <v>40</v>
      </c>
      <c r="I657" s="5">
        <v>2934.79</v>
      </c>
      <c r="J657" s="2" t="s">
        <v>713</v>
      </c>
      <c r="K657" s="6">
        <v>-0.1845</v>
      </c>
    </row>
    <row r="658" ht="14.5" spans="1:11">
      <c r="A658" s="3" t="str">
        <f t="shared" si="33"/>
        <v>2026年</v>
      </c>
      <c r="B658" s="3" t="str">
        <f t="shared" si="34"/>
        <v>1月</v>
      </c>
      <c r="C658" s="4" t="str">
        <f t="shared" si="35"/>
        <v>W3</v>
      </c>
      <c r="D658" s="2" t="s">
        <v>755</v>
      </c>
      <c r="E658" s="2" t="s">
        <v>814</v>
      </c>
      <c r="F658" s="2" t="str" cm="1">
        <f t="array" ref="F658">INDEX(_xlfn.TEXTSPLIT(E658,"-"),2)</f>
        <v>男装</v>
      </c>
      <c r="G658" s="2" t="str" cm="1">
        <f t="array" ref="G658">INDEX(_xlfn.TEXTSPLIT(E658,"-"),3)</f>
        <v>打底衫</v>
      </c>
      <c r="H658" s="5">
        <v>24658</v>
      </c>
      <c r="I658" s="5">
        <v>1231853.85</v>
      </c>
      <c r="J658" s="6">
        <v>0.0014</v>
      </c>
      <c r="K658" s="6">
        <v>0.1674</v>
      </c>
    </row>
    <row r="659" ht="14.5" spans="1:11">
      <c r="A659" s="3" t="str">
        <f t="shared" si="33"/>
        <v>2026年</v>
      </c>
      <c r="B659" s="3" t="str">
        <f t="shared" si="34"/>
        <v>1月</v>
      </c>
      <c r="C659" s="4" t="str">
        <f t="shared" si="35"/>
        <v>W3</v>
      </c>
      <c r="D659" s="2" t="s">
        <v>755</v>
      </c>
      <c r="E659" s="2" t="s">
        <v>815</v>
      </c>
      <c r="F659" s="2" t="str" cm="1">
        <f t="array" ref="F659">INDEX(_xlfn.TEXTSPLIT(E659,"-"),2)</f>
        <v>男装</v>
      </c>
      <c r="G659" s="2" t="str" cm="1">
        <f t="array" ref="G659">INDEX(_xlfn.TEXTSPLIT(E659,"-"),3)</f>
        <v>新中式男装</v>
      </c>
      <c r="H659" s="5">
        <v>247</v>
      </c>
      <c r="I659" s="5">
        <v>45314.34</v>
      </c>
      <c r="J659" s="6">
        <v>0.0001</v>
      </c>
      <c r="K659" s="6">
        <v>-0.5191</v>
      </c>
    </row>
    <row r="660" ht="14.5" spans="1:11">
      <c r="A660" s="3" t="str">
        <f t="shared" si="33"/>
        <v>2026年</v>
      </c>
      <c r="B660" s="3" t="str">
        <f t="shared" si="34"/>
        <v>1月</v>
      </c>
      <c r="C660" s="4" t="str">
        <f t="shared" si="35"/>
        <v>W3</v>
      </c>
      <c r="D660" s="2" t="s">
        <v>755</v>
      </c>
      <c r="E660" s="2" t="s">
        <v>816</v>
      </c>
      <c r="F660" s="2" t="str" cm="1">
        <f t="array" ref="F660">INDEX(_xlfn.TEXTSPLIT(E660,"-"),2)</f>
        <v>男装</v>
      </c>
      <c r="G660" s="2" t="str" cm="1">
        <f t="array" ref="G660">INDEX(_xlfn.TEXTSPLIT(E660,"-"),3)</f>
        <v>棉衣</v>
      </c>
      <c r="H660" s="5">
        <v>410661</v>
      </c>
      <c r="I660" s="5">
        <v>51722986.07</v>
      </c>
      <c r="J660" s="6">
        <v>0.0586</v>
      </c>
      <c r="K660" s="6">
        <v>0.1232</v>
      </c>
    </row>
    <row r="661" ht="14.5" spans="1:11">
      <c r="A661" s="3" t="str">
        <f t="shared" si="33"/>
        <v>2026年</v>
      </c>
      <c r="B661" s="3" t="str">
        <f t="shared" si="34"/>
        <v>1月</v>
      </c>
      <c r="C661" s="4" t="str">
        <f t="shared" si="35"/>
        <v>W3</v>
      </c>
      <c r="D661" s="2" t="s">
        <v>755</v>
      </c>
      <c r="E661" s="2" t="s">
        <v>817</v>
      </c>
      <c r="F661" s="2" t="str" cm="1">
        <f t="array" ref="F661">INDEX(_xlfn.TEXTSPLIT(E661,"-"),2)</f>
        <v>男装</v>
      </c>
      <c r="G661" s="2" t="str" cm="1">
        <f t="array" ref="G661">INDEX(_xlfn.TEXTSPLIT(E661,"-"),3)</f>
        <v>棉裤</v>
      </c>
      <c r="H661" s="5">
        <v>25683</v>
      </c>
      <c r="I661" s="5">
        <v>2042678.58</v>
      </c>
      <c r="J661" s="6">
        <v>0.0023</v>
      </c>
      <c r="K661" s="6">
        <v>0.0129</v>
      </c>
    </row>
    <row r="662" ht="14.5" spans="1:11">
      <c r="A662" s="3" t="str">
        <f t="shared" si="33"/>
        <v>2026年</v>
      </c>
      <c r="B662" s="3" t="str">
        <f t="shared" si="34"/>
        <v>1月</v>
      </c>
      <c r="C662" s="4" t="str">
        <f t="shared" si="35"/>
        <v>W3</v>
      </c>
      <c r="D662" s="2" t="s">
        <v>755</v>
      </c>
      <c r="E662" s="2" t="s">
        <v>818</v>
      </c>
      <c r="F662" s="2" t="str" cm="1">
        <f t="array" ref="F662">INDEX(_xlfn.TEXTSPLIT(E662,"-"),2)</f>
        <v>男装</v>
      </c>
      <c r="G662" s="2" t="str" cm="1">
        <f t="array" ref="G662">INDEX(_xlfn.TEXTSPLIT(E662,"-"),3)</f>
        <v>毛呢大衣</v>
      </c>
      <c r="H662" s="5">
        <v>52265</v>
      </c>
      <c r="I662" s="5">
        <v>23045374.76</v>
      </c>
      <c r="J662" s="6">
        <v>0.0261</v>
      </c>
      <c r="K662" s="6">
        <v>0.1175</v>
      </c>
    </row>
    <row r="663" ht="14.5" spans="1:11">
      <c r="A663" s="3" t="str">
        <f t="shared" si="33"/>
        <v>2026年</v>
      </c>
      <c r="B663" s="3" t="str">
        <f t="shared" si="34"/>
        <v>1月</v>
      </c>
      <c r="C663" s="4" t="str">
        <f t="shared" si="35"/>
        <v>W3</v>
      </c>
      <c r="D663" s="2" t="s">
        <v>755</v>
      </c>
      <c r="E663" s="2" t="s">
        <v>819</v>
      </c>
      <c r="F663" s="2" t="str" cm="1">
        <f t="array" ref="F663">INDEX(_xlfn.TEXTSPLIT(E663,"-"),2)</f>
        <v>男装</v>
      </c>
      <c r="G663" s="2" t="str" cm="1">
        <f t="array" ref="G663">INDEX(_xlfn.TEXTSPLIT(E663,"-"),3)</f>
        <v>民族服装</v>
      </c>
      <c r="H663" s="5">
        <v>7318</v>
      </c>
      <c r="I663" s="5">
        <v>1794230.75</v>
      </c>
      <c r="J663" s="6">
        <v>0.002</v>
      </c>
      <c r="K663" s="6">
        <v>0.1687</v>
      </c>
    </row>
    <row r="664" ht="14.5" spans="1:11">
      <c r="A664" s="3" t="str">
        <f t="shared" si="33"/>
        <v>2026年</v>
      </c>
      <c r="B664" s="3" t="str">
        <f t="shared" si="34"/>
        <v>1月</v>
      </c>
      <c r="C664" s="4" t="str">
        <f t="shared" si="35"/>
        <v>W3</v>
      </c>
      <c r="D664" s="2" t="s">
        <v>755</v>
      </c>
      <c r="E664" s="2" t="s">
        <v>820</v>
      </c>
      <c r="F664" s="2" t="str" cm="1">
        <f t="array" ref="F664">INDEX(_xlfn.TEXTSPLIT(E664,"-"),2)</f>
        <v>男装</v>
      </c>
      <c r="G664" s="2" t="str" cm="1">
        <f t="array" ref="G664">INDEX(_xlfn.TEXTSPLIT(E664,"-"),3)</f>
        <v>派克服</v>
      </c>
      <c r="H664" s="5">
        <v>15153</v>
      </c>
      <c r="I664" s="5">
        <v>3191142.02</v>
      </c>
      <c r="J664" s="6">
        <v>0.0036</v>
      </c>
      <c r="K664" s="6">
        <v>0.4198</v>
      </c>
    </row>
    <row r="665" ht="14.5" spans="1:11">
      <c r="A665" s="3" t="str">
        <f t="shared" si="33"/>
        <v>2026年</v>
      </c>
      <c r="B665" s="3" t="str">
        <f t="shared" si="34"/>
        <v>1月</v>
      </c>
      <c r="C665" s="4" t="str">
        <f t="shared" si="35"/>
        <v>W3</v>
      </c>
      <c r="D665" s="2" t="s">
        <v>755</v>
      </c>
      <c r="E665" s="2" t="s">
        <v>821</v>
      </c>
      <c r="F665" s="2" t="str" cm="1">
        <f t="array" ref="F665">INDEX(_xlfn.TEXTSPLIT(E665,"-"),2)</f>
        <v>男装</v>
      </c>
      <c r="G665" s="2" t="str" cm="1">
        <f t="array" ref="G665">INDEX(_xlfn.TEXTSPLIT(E665,"-"),3)</f>
        <v>牛仔裤</v>
      </c>
      <c r="H665" s="5">
        <v>596996</v>
      </c>
      <c r="I665" s="5">
        <v>67636651.82</v>
      </c>
      <c r="J665" s="6">
        <v>0.0766</v>
      </c>
      <c r="K665" s="6">
        <v>0.136</v>
      </c>
    </row>
    <row r="666" ht="14.5" spans="1:11">
      <c r="A666" s="3" t="str">
        <f t="shared" si="33"/>
        <v>2026年</v>
      </c>
      <c r="B666" s="3" t="str">
        <f t="shared" si="34"/>
        <v>1月</v>
      </c>
      <c r="C666" s="4" t="str">
        <f t="shared" si="35"/>
        <v>W3</v>
      </c>
      <c r="D666" s="2" t="s">
        <v>755</v>
      </c>
      <c r="E666" s="2" t="s">
        <v>822</v>
      </c>
      <c r="F666" s="2" t="str" cm="1">
        <f t="array" ref="F666">INDEX(_xlfn.TEXTSPLIT(E666,"-"),2)</f>
        <v>男装</v>
      </c>
      <c r="G666" s="2" t="str" cm="1">
        <f t="array" ref="G666">INDEX(_xlfn.TEXTSPLIT(E666,"-"),3)</f>
        <v>皮草</v>
      </c>
      <c r="H666" s="5">
        <v>6816</v>
      </c>
      <c r="I666" s="5">
        <v>9214356.66</v>
      </c>
      <c r="J666" s="6">
        <v>0.0104</v>
      </c>
      <c r="K666" s="6">
        <v>-0.0735</v>
      </c>
    </row>
    <row r="667" ht="14.5" spans="1:11">
      <c r="A667" s="3" t="str">
        <f t="shared" si="33"/>
        <v>2026年</v>
      </c>
      <c r="B667" s="3" t="str">
        <f t="shared" si="34"/>
        <v>1月</v>
      </c>
      <c r="C667" s="4" t="str">
        <f t="shared" si="35"/>
        <v>W3</v>
      </c>
      <c r="D667" s="2" t="s">
        <v>755</v>
      </c>
      <c r="E667" s="2" t="s">
        <v>823</v>
      </c>
      <c r="F667" s="2" t="str" cm="1">
        <f t="array" ref="F667">INDEX(_xlfn.TEXTSPLIT(E667,"-"),2)</f>
        <v>男装</v>
      </c>
      <c r="G667" s="2" t="str" cm="1">
        <f t="array" ref="G667">INDEX(_xlfn.TEXTSPLIT(E667,"-"),3)</f>
        <v>皮衣</v>
      </c>
      <c r="H667" s="5">
        <v>57353</v>
      </c>
      <c r="I667" s="5">
        <v>26183549.59</v>
      </c>
      <c r="J667" s="6">
        <v>0.0297</v>
      </c>
      <c r="K667" s="6">
        <v>0.0813</v>
      </c>
    </row>
    <row r="668" ht="14.5" spans="1:11">
      <c r="A668" s="3" t="str">
        <f t="shared" si="33"/>
        <v>2026年</v>
      </c>
      <c r="B668" s="3" t="str">
        <f t="shared" si="34"/>
        <v>1月</v>
      </c>
      <c r="C668" s="4" t="str">
        <f t="shared" si="35"/>
        <v>W3</v>
      </c>
      <c r="D668" s="2" t="s">
        <v>755</v>
      </c>
      <c r="E668" s="2" t="s">
        <v>824</v>
      </c>
      <c r="F668" s="2" t="str" cm="1">
        <f t="array" ref="F668">INDEX(_xlfn.TEXTSPLIT(E668,"-"),2)</f>
        <v>男装</v>
      </c>
      <c r="G668" s="2" t="str" cm="1">
        <f t="array" ref="G668">INDEX(_xlfn.TEXTSPLIT(E668,"-"),3)</f>
        <v>皮裤</v>
      </c>
      <c r="H668" s="5">
        <v>5265</v>
      </c>
      <c r="I668" s="5">
        <v>1383982.56</v>
      </c>
      <c r="J668" s="6">
        <v>0.0016</v>
      </c>
      <c r="K668" s="6">
        <v>1.0832</v>
      </c>
    </row>
    <row r="669" ht="14.5" spans="1:11">
      <c r="A669" s="3" t="str">
        <f t="shared" si="33"/>
        <v>2026年</v>
      </c>
      <c r="B669" s="3" t="str">
        <f t="shared" si="34"/>
        <v>1月</v>
      </c>
      <c r="C669" s="4" t="str">
        <f t="shared" si="35"/>
        <v>W3</v>
      </c>
      <c r="D669" s="2" t="s">
        <v>755</v>
      </c>
      <c r="E669" s="2" t="s">
        <v>825</v>
      </c>
      <c r="F669" s="2" t="str" cm="1">
        <f t="array" ref="F669">INDEX(_xlfn.TEXTSPLIT(E669,"-"),2)</f>
        <v>男装</v>
      </c>
      <c r="G669" s="2" t="str" cm="1">
        <f t="array" ref="G669">INDEX(_xlfn.TEXTSPLIT(E669,"-"),3)</f>
        <v>短外套</v>
      </c>
      <c r="H669" s="5">
        <v>30384</v>
      </c>
      <c r="I669" s="5">
        <v>3054164.3</v>
      </c>
      <c r="J669" s="6">
        <v>0.0035</v>
      </c>
      <c r="K669" s="6">
        <v>0.0327</v>
      </c>
    </row>
    <row r="670" ht="14.5" spans="1:11">
      <c r="A670" s="3" t="str">
        <f t="shared" si="33"/>
        <v>2026年</v>
      </c>
      <c r="B670" s="3" t="str">
        <f t="shared" si="34"/>
        <v>1月</v>
      </c>
      <c r="C670" s="4" t="str">
        <f t="shared" si="35"/>
        <v>W3</v>
      </c>
      <c r="D670" s="2" t="s">
        <v>755</v>
      </c>
      <c r="E670" s="2" t="s">
        <v>826</v>
      </c>
      <c r="F670" s="2" t="str" cm="1">
        <f t="array" ref="F670">INDEX(_xlfn.TEXTSPLIT(E670,"-"),2)</f>
        <v>男装</v>
      </c>
      <c r="G670" s="2" t="str" cm="1">
        <f t="array" ref="G670">INDEX(_xlfn.TEXTSPLIT(E670,"-"),3)</f>
        <v>短裤</v>
      </c>
      <c r="H670" s="5">
        <v>53230</v>
      </c>
      <c r="I670" s="5">
        <v>1701507.71</v>
      </c>
      <c r="J670" s="6">
        <v>0.0019</v>
      </c>
      <c r="K670" s="6">
        <v>0.0728</v>
      </c>
    </row>
    <row r="671" ht="14.5" spans="1:11">
      <c r="A671" s="3" t="str">
        <f t="shared" si="33"/>
        <v>2026年</v>
      </c>
      <c r="B671" s="3" t="str">
        <f t="shared" si="34"/>
        <v>1月</v>
      </c>
      <c r="C671" s="4" t="str">
        <f t="shared" si="35"/>
        <v>W3</v>
      </c>
      <c r="D671" s="2" t="s">
        <v>755</v>
      </c>
      <c r="E671" s="2" t="s">
        <v>827</v>
      </c>
      <c r="F671" s="2" t="str" cm="1">
        <f t="array" ref="F671">INDEX(_xlfn.TEXTSPLIT(E671,"-"),2)</f>
        <v>男装</v>
      </c>
      <c r="G671" s="2" t="str" cm="1">
        <f t="array" ref="G671">INDEX(_xlfn.TEXTSPLIT(E671,"-"),3)</f>
        <v>紧身衣</v>
      </c>
      <c r="H671" s="5">
        <v>142</v>
      </c>
      <c r="I671" s="5">
        <v>5731.8</v>
      </c>
      <c r="J671" s="2" t="s">
        <v>713</v>
      </c>
      <c r="K671" s="6">
        <v>0.0108</v>
      </c>
    </row>
    <row r="672" ht="14.5" spans="1:11">
      <c r="A672" s="3" t="str">
        <f t="shared" si="33"/>
        <v>2026年</v>
      </c>
      <c r="B672" s="3" t="str">
        <f t="shared" si="34"/>
        <v>1月</v>
      </c>
      <c r="C672" s="4" t="str">
        <f t="shared" si="35"/>
        <v>W3</v>
      </c>
      <c r="D672" s="2" t="s">
        <v>755</v>
      </c>
      <c r="E672" s="2" t="s">
        <v>828</v>
      </c>
      <c r="F672" s="2" t="str" cm="1">
        <f t="array" ref="F672">INDEX(_xlfn.TEXTSPLIT(E672,"-"),2)</f>
        <v>男装</v>
      </c>
      <c r="G672" s="2" t="str" cm="1">
        <f t="array" ref="G672">INDEX(_xlfn.TEXTSPLIT(E672,"-"),3)</f>
        <v>羊毛衫</v>
      </c>
      <c r="H672" s="5">
        <v>124714</v>
      </c>
      <c r="I672" s="5">
        <v>19198882.79</v>
      </c>
      <c r="J672" s="6">
        <v>0.0217</v>
      </c>
      <c r="K672" s="6">
        <v>0.1232</v>
      </c>
    </row>
    <row r="673" ht="14.5" spans="1:11">
      <c r="A673" s="3" t="str">
        <f t="shared" si="33"/>
        <v>2026年</v>
      </c>
      <c r="B673" s="3" t="str">
        <f t="shared" si="34"/>
        <v>1月</v>
      </c>
      <c r="C673" s="4" t="str">
        <f t="shared" si="35"/>
        <v>W3</v>
      </c>
      <c r="D673" s="2" t="s">
        <v>755</v>
      </c>
      <c r="E673" s="2" t="s">
        <v>829</v>
      </c>
      <c r="F673" s="2" t="str" cm="1">
        <f t="array" ref="F673">INDEX(_xlfn.TEXTSPLIT(E673,"-"),2)</f>
        <v>男装</v>
      </c>
      <c r="G673" s="2" t="str" cm="1">
        <f t="array" ref="G673">INDEX(_xlfn.TEXTSPLIT(E673,"-"),3)</f>
        <v>羊绒衫</v>
      </c>
      <c r="H673" s="5">
        <v>25732</v>
      </c>
      <c r="I673" s="5">
        <v>8424791.51</v>
      </c>
      <c r="J673" s="6">
        <v>0.0095</v>
      </c>
      <c r="K673" s="6">
        <v>0.0277</v>
      </c>
    </row>
    <row r="674" ht="14.5" spans="1:11">
      <c r="A674" s="3" t="str">
        <f t="shared" si="33"/>
        <v>2026年</v>
      </c>
      <c r="B674" s="3" t="str">
        <f t="shared" si="34"/>
        <v>1月</v>
      </c>
      <c r="C674" s="4" t="str">
        <f t="shared" si="35"/>
        <v>W3</v>
      </c>
      <c r="D674" s="2" t="s">
        <v>755</v>
      </c>
      <c r="E674" s="2" t="s">
        <v>830</v>
      </c>
      <c r="F674" s="2" t="str" cm="1">
        <f t="array" ref="F674">INDEX(_xlfn.TEXTSPLIT(E674,"-"),2)</f>
        <v>男装</v>
      </c>
      <c r="G674" s="2" t="str" cm="1">
        <f t="array" ref="G674">INDEX(_xlfn.TEXTSPLIT(E674,"-"),3)</f>
        <v>羽绒服</v>
      </c>
      <c r="H674" s="5">
        <v>637083</v>
      </c>
      <c r="I674" s="5">
        <v>258107839.8</v>
      </c>
      <c r="J674" s="6">
        <v>0.2923</v>
      </c>
      <c r="K674" s="6">
        <v>0.0437</v>
      </c>
    </row>
    <row r="675" ht="14.5" spans="1:11">
      <c r="A675" s="3" t="str">
        <f t="shared" si="33"/>
        <v>2026年</v>
      </c>
      <c r="B675" s="3" t="str">
        <f t="shared" si="34"/>
        <v>1月</v>
      </c>
      <c r="C675" s="4" t="str">
        <f t="shared" si="35"/>
        <v>W3</v>
      </c>
      <c r="D675" s="2" t="s">
        <v>755</v>
      </c>
      <c r="E675" s="2" t="s">
        <v>831</v>
      </c>
      <c r="F675" s="2" t="str" cm="1">
        <f t="array" ref="F675">INDEX(_xlfn.TEXTSPLIT(E675,"-"),2)</f>
        <v>男装</v>
      </c>
      <c r="G675" s="2" t="str" cm="1">
        <f t="array" ref="G675">INDEX(_xlfn.TEXTSPLIT(E675,"-"),3)</f>
        <v>羽绒裤</v>
      </c>
      <c r="H675" s="5">
        <v>19455</v>
      </c>
      <c r="I675" s="5">
        <v>2787577.8</v>
      </c>
      <c r="J675" s="6">
        <v>0.0032</v>
      </c>
      <c r="K675" s="6">
        <v>-0.1552</v>
      </c>
    </row>
    <row r="676" ht="14.5" spans="1:11">
      <c r="A676" s="3" t="str">
        <f t="shared" si="33"/>
        <v>2026年</v>
      </c>
      <c r="B676" s="3" t="str">
        <f t="shared" si="34"/>
        <v>1月</v>
      </c>
      <c r="C676" s="4" t="str">
        <f t="shared" si="35"/>
        <v>W3</v>
      </c>
      <c r="D676" s="2" t="s">
        <v>755</v>
      </c>
      <c r="E676" s="2" t="s">
        <v>832</v>
      </c>
      <c r="F676" s="2" t="str" cm="1">
        <f t="array" ref="F676">INDEX(_xlfn.TEXTSPLIT(E676,"-"),2)</f>
        <v>男装</v>
      </c>
      <c r="G676" s="2" t="str" cm="1">
        <f t="array" ref="G676">INDEX(_xlfn.TEXTSPLIT(E676,"-"),3)</f>
        <v>羽绒马甲</v>
      </c>
      <c r="H676" s="5">
        <v>12802</v>
      </c>
      <c r="I676" s="5">
        <v>2600503.91</v>
      </c>
      <c r="J676" s="6">
        <v>0.0029</v>
      </c>
      <c r="K676" s="6">
        <v>0.0556</v>
      </c>
    </row>
    <row r="677" ht="14.5" spans="1:11">
      <c r="A677" s="3" t="str">
        <f t="shared" si="33"/>
        <v>2026年</v>
      </c>
      <c r="B677" s="3" t="str">
        <f t="shared" si="34"/>
        <v>1月</v>
      </c>
      <c r="C677" s="4" t="str">
        <f t="shared" si="35"/>
        <v>W3</v>
      </c>
      <c r="D677" s="2" t="s">
        <v>755</v>
      </c>
      <c r="E677" s="2" t="s">
        <v>833</v>
      </c>
      <c r="F677" s="2" t="str" cm="1">
        <f t="array" ref="F677">INDEX(_xlfn.TEXTSPLIT(E677,"-"),2)</f>
        <v>男装</v>
      </c>
      <c r="G677" s="2" t="str" cm="1">
        <f t="array" ref="G677">INDEX(_xlfn.TEXTSPLIT(E677,"-"),3)</f>
        <v>背心</v>
      </c>
      <c r="H677" s="5">
        <v>40185</v>
      </c>
      <c r="I677" s="5">
        <v>2274411.65</v>
      </c>
      <c r="J677" s="6">
        <v>0.0026</v>
      </c>
      <c r="K677" s="6">
        <v>-0.0427</v>
      </c>
    </row>
    <row r="678" ht="14.5" spans="1:11">
      <c r="A678" s="3" t="str">
        <f t="shared" si="33"/>
        <v>2026年</v>
      </c>
      <c r="B678" s="3" t="str">
        <f t="shared" si="34"/>
        <v>1月</v>
      </c>
      <c r="C678" s="4" t="str">
        <f t="shared" si="35"/>
        <v>W3</v>
      </c>
      <c r="D678" s="2" t="s">
        <v>755</v>
      </c>
      <c r="E678" s="2" t="s">
        <v>834</v>
      </c>
      <c r="F678" s="2" t="str" cm="1">
        <f t="array" ref="F678">INDEX(_xlfn.TEXTSPLIT(E678,"-"),2)</f>
        <v>男装</v>
      </c>
      <c r="G678" s="2" t="str" cm="1">
        <f t="array" ref="G678">INDEX(_xlfn.TEXTSPLIT(E678,"-"),3)</f>
        <v>衬衫</v>
      </c>
      <c r="H678" s="5">
        <v>95558</v>
      </c>
      <c r="I678" s="5">
        <v>11866326.87</v>
      </c>
      <c r="J678" s="6">
        <v>0.0134</v>
      </c>
      <c r="K678" s="6">
        <v>0.061</v>
      </c>
    </row>
    <row r="679" ht="14.5" spans="1:11">
      <c r="A679" s="3" t="str">
        <f t="shared" si="33"/>
        <v>2026年</v>
      </c>
      <c r="B679" s="3" t="str">
        <f t="shared" si="34"/>
        <v>1月</v>
      </c>
      <c r="C679" s="4" t="str">
        <f t="shared" si="35"/>
        <v>W3</v>
      </c>
      <c r="D679" s="2" t="s">
        <v>755</v>
      </c>
      <c r="E679" s="2" t="s">
        <v>835</v>
      </c>
      <c r="F679" s="2" t="str" cm="1">
        <f t="array" ref="F679">INDEX(_xlfn.TEXTSPLIT(E679,"-"),2)</f>
        <v>男装</v>
      </c>
      <c r="G679" s="2" t="str" cm="1">
        <f t="array" ref="G679">INDEX(_xlfn.TEXTSPLIT(E679,"-"),3)</f>
        <v>西服</v>
      </c>
      <c r="H679" s="5">
        <v>90764</v>
      </c>
      <c r="I679" s="5">
        <v>18308428.52</v>
      </c>
      <c r="J679" s="6">
        <v>0.0207</v>
      </c>
      <c r="K679" s="6">
        <v>-0.0099</v>
      </c>
    </row>
    <row r="680" ht="14.5" spans="1:11">
      <c r="A680" s="3" t="str">
        <f t="shared" si="33"/>
        <v>2026年</v>
      </c>
      <c r="B680" s="3" t="str">
        <f t="shared" si="34"/>
        <v>1月</v>
      </c>
      <c r="C680" s="4" t="str">
        <f t="shared" si="35"/>
        <v>W3</v>
      </c>
      <c r="D680" s="2" t="s">
        <v>755</v>
      </c>
      <c r="E680" s="2" t="s">
        <v>836</v>
      </c>
      <c r="F680" s="2" t="str" cm="1">
        <f t="array" ref="F680">INDEX(_xlfn.TEXTSPLIT(E680,"-"),2)</f>
        <v>男装</v>
      </c>
      <c r="G680" s="2" t="str" cm="1">
        <f t="array" ref="G680">INDEX(_xlfn.TEXTSPLIT(E680,"-"),3)</f>
        <v>连体衣/裤</v>
      </c>
      <c r="H680" s="5">
        <v>785</v>
      </c>
      <c r="I680" s="5">
        <v>26447.19</v>
      </c>
      <c r="J680" s="2" t="s">
        <v>713</v>
      </c>
      <c r="K680" s="6">
        <v>0.0898</v>
      </c>
    </row>
    <row r="681" ht="14.5" spans="1:11">
      <c r="A681" s="3" t="str">
        <f t="shared" si="33"/>
        <v>2026年</v>
      </c>
      <c r="B681" s="3" t="str">
        <f t="shared" si="34"/>
        <v>1月</v>
      </c>
      <c r="C681" s="4" t="str">
        <f t="shared" si="35"/>
        <v>W3</v>
      </c>
      <c r="D681" s="2" t="s">
        <v>755</v>
      </c>
      <c r="E681" s="2" t="s">
        <v>837</v>
      </c>
      <c r="F681" s="2" t="str" cm="1">
        <f t="array" ref="F681">INDEX(_xlfn.TEXTSPLIT(E681,"-"),2)</f>
        <v>男装</v>
      </c>
      <c r="G681" s="2" t="str" cm="1">
        <f t="array" ref="G681">INDEX(_xlfn.TEXTSPLIT(E681,"-"),3)</f>
        <v>速干/三防T恤</v>
      </c>
      <c r="H681" s="5">
        <v>750</v>
      </c>
      <c r="I681" s="5">
        <v>74083.69</v>
      </c>
      <c r="J681" s="6">
        <v>0.0001</v>
      </c>
      <c r="K681" s="6">
        <v>0.0833</v>
      </c>
    </row>
    <row r="682" ht="14.5" spans="1:11">
      <c r="A682" s="3" t="str">
        <f t="shared" si="33"/>
        <v>2026年</v>
      </c>
      <c r="B682" s="3" t="str">
        <f t="shared" si="34"/>
        <v>1月</v>
      </c>
      <c r="C682" s="4" t="str">
        <f t="shared" si="35"/>
        <v>W3</v>
      </c>
      <c r="D682" s="2" t="s">
        <v>755</v>
      </c>
      <c r="E682" s="2" t="s">
        <v>838</v>
      </c>
      <c r="F682" s="2" t="str" cm="1">
        <f t="array" ref="F682">INDEX(_xlfn.TEXTSPLIT(E682,"-"),2)</f>
        <v>男装</v>
      </c>
      <c r="G682" s="2" t="str" cm="1">
        <f t="array" ref="G682">INDEX(_xlfn.TEXTSPLIT(E682,"-"),3)</f>
        <v>针织衫/毛衣</v>
      </c>
      <c r="H682" s="5">
        <v>372503</v>
      </c>
      <c r="I682" s="5">
        <v>46712500.97</v>
      </c>
      <c r="J682" s="6">
        <v>0.0529</v>
      </c>
      <c r="K682" s="6">
        <v>0.0736</v>
      </c>
    </row>
    <row r="683" ht="14.5" spans="1:11">
      <c r="A683" s="3" t="str">
        <f t="shared" si="33"/>
        <v>2026年</v>
      </c>
      <c r="B683" s="3" t="str">
        <f t="shared" si="34"/>
        <v>1月</v>
      </c>
      <c r="C683" s="4" t="str">
        <f t="shared" si="35"/>
        <v>W3</v>
      </c>
      <c r="D683" s="2" t="s">
        <v>755</v>
      </c>
      <c r="E683" s="2" t="s">
        <v>839</v>
      </c>
      <c r="F683" s="2" t="str" cm="1">
        <f t="array" ref="F683">INDEX(_xlfn.TEXTSPLIT(E683,"-"),2)</f>
        <v>男装</v>
      </c>
      <c r="G683" s="2" t="str" cm="1">
        <f t="array" ref="G683">INDEX(_xlfn.TEXTSPLIT(E683,"-"),3)</f>
        <v>防晒服</v>
      </c>
      <c r="H683" s="5">
        <v>249</v>
      </c>
      <c r="I683" s="5">
        <v>22848.22</v>
      </c>
      <c r="J683" s="2" t="s">
        <v>713</v>
      </c>
      <c r="K683" s="6">
        <v>0.2362</v>
      </c>
    </row>
    <row r="684" ht="14.5" spans="1:11">
      <c r="A684" s="3" t="str">
        <f t="shared" si="33"/>
        <v>2026年</v>
      </c>
      <c r="B684" s="3" t="str">
        <f t="shared" si="34"/>
        <v>1月</v>
      </c>
      <c r="C684" s="4" t="str">
        <f t="shared" si="35"/>
        <v>W3</v>
      </c>
      <c r="D684" s="2" t="s">
        <v>755</v>
      </c>
      <c r="E684" s="2" t="s">
        <v>840</v>
      </c>
      <c r="F684" s="2" t="str" cm="1">
        <f t="array" ref="F684">INDEX(_xlfn.TEXTSPLIT(E684,"-"),2)</f>
        <v>男装</v>
      </c>
      <c r="G684" s="2" t="str" cm="1">
        <f t="array" ref="G684">INDEX(_xlfn.TEXTSPLIT(E684,"-"),3)</f>
        <v>风衣</v>
      </c>
      <c r="H684" s="5">
        <v>6768</v>
      </c>
      <c r="I684" s="5">
        <v>2489579.56</v>
      </c>
      <c r="J684" s="6">
        <v>0.0028</v>
      </c>
      <c r="K684" s="6">
        <v>0.0336</v>
      </c>
    </row>
    <row r="685" ht="14.5" spans="1:11">
      <c r="A685" s="3" t="str">
        <f t="shared" si="33"/>
        <v>2026年</v>
      </c>
      <c r="B685" s="3" t="str">
        <f t="shared" si="34"/>
        <v>1月</v>
      </c>
      <c r="C685" s="4" t="str">
        <f t="shared" si="35"/>
        <v>W3</v>
      </c>
      <c r="D685" s="2" t="s">
        <v>755</v>
      </c>
      <c r="E685" s="2" t="s">
        <v>841</v>
      </c>
      <c r="F685" s="2" t="str" cm="1">
        <f t="array" ref="F685">INDEX(_xlfn.TEXTSPLIT(E685,"-"),2)</f>
        <v>男装</v>
      </c>
      <c r="G685" s="2" t="str" cm="1">
        <f t="array" ref="G685">INDEX(_xlfn.TEXTSPLIT(E685,"-"),3)</f>
        <v>马甲</v>
      </c>
      <c r="H685" s="5">
        <v>49454</v>
      </c>
      <c r="I685" s="5">
        <v>4684139.2</v>
      </c>
      <c r="J685" s="6">
        <v>0.0053</v>
      </c>
      <c r="K685" s="6">
        <v>0.0942</v>
      </c>
    </row>
    <row r="686" ht="14.5" spans="1:11">
      <c r="A686" s="3" t="str">
        <f t="shared" si="33"/>
        <v>2026年</v>
      </c>
      <c r="B686" s="3" t="str">
        <f t="shared" si="34"/>
        <v>1月</v>
      </c>
      <c r="C686" s="4" t="str">
        <f t="shared" si="35"/>
        <v>W4</v>
      </c>
      <c r="D686" s="2" t="s">
        <v>756</v>
      </c>
      <c r="E686" s="2" t="s">
        <v>804</v>
      </c>
      <c r="F686" s="2" t="str" cm="1">
        <f t="array" ref="F686">INDEX(_xlfn.TEXTSPLIT(E686,"-"),2)</f>
        <v>男装</v>
      </c>
      <c r="G686" s="2" t="str" cm="1">
        <f t="array" ref="G686">INDEX(_xlfn.TEXTSPLIT(E686,"-"),3)</f>
        <v>Polo衫</v>
      </c>
      <c r="H686" s="5">
        <v>44733</v>
      </c>
      <c r="I686" s="5">
        <v>4375698.61</v>
      </c>
      <c r="J686" s="6">
        <v>0.005</v>
      </c>
      <c r="K686" s="6">
        <v>-0.0532</v>
      </c>
    </row>
    <row r="687" ht="14.5" spans="1:11">
      <c r="A687" s="3" t="str">
        <f t="shared" si="33"/>
        <v>2026年</v>
      </c>
      <c r="B687" s="3" t="str">
        <f t="shared" si="34"/>
        <v>1月</v>
      </c>
      <c r="C687" s="4" t="str">
        <f t="shared" si="35"/>
        <v>W4</v>
      </c>
      <c r="D687" s="2" t="s">
        <v>756</v>
      </c>
      <c r="E687" s="2" t="s">
        <v>805</v>
      </c>
      <c r="F687" s="2" t="str" cm="1">
        <f t="array" ref="F687">INDEX(_xlfn.TEXTSPLIT(E687,"-"),2)</f>
        <v>男装</v>
      </c>
      <c r="G687" s="2" t="str" cm="1">
        <f t="array" ref="G687">INDEX(_xlfn.TEXTSPLIT(E687,"-"),3)</f>
        <v>T恤</v>
      </c>
      <c r="H687" s="5">
        <v>345336</v>
      </c>
      <c r="I687" s="5">
        <v>27623859.42</v>
      </c>
      <c r="J687" s="6">
        <v>0.0317</v>
      </c>
      <c r="K687" s="6">
        <v>-0.0716</v>
      </c>
    </row>
    <row r="688" ht="14.5" spans="1:11">
      <c r="A688" s="3" t="str">
        <f t="shared" si="33"/>
        <v>2026年</v>
      </c>
      <c r="B688" s="3" t="str">
        <f t="shared" si="34"/>
        <v>1月</v>
      </c>
      <c r="C688" s="4" t="str">
        <f t="shared" si="35"/>
        <v>W4</v>
      </c>
      <c r="D688" s="2" t="s">
        <v>756</v>
      </c>
      <c r="E688" s="2" t="s">
        <v>806</v>
      </c>
      <c r="F688" s="2" t="str" cm="1">
        <f t="array" ref="F688">INDEX(_xlfn.TEXTSPLIT(E688,"-"),2)</f>
        <v>男装</v>
      </c>
      <c r="G688" s="2" t="str" cm="1">
        <f t="array" ref="G688">INDEX(_xlfn.TEXTSPLIT(E688,"-"),3)</f>
        <v>中老年男装</v>
      </c>
      <c r="H688" s="5">
        <v>136780</v>
      </c>
      <c r="I688" s="5">
        <v>19152325.84</v>
      </c>
      <c r="J688" s="6">
        <v>0.022</v>
      </c>
      <c r="K688" s="6">
        <v>0.2528</v>
      </c>
    </row>
    <row r="689" ht="14.5" spans="1:11">
      <c r="A689" s="3" t="str">
        <f t="shared" si="33"/>
        <v>2026年</v>
      </c>
      <c r="B689" s="3" t="str">
        <f t="shared" si="34"/>
        <v>1月</v>
      </c>
      <c r="C689" s="4" t="str">
        <f t="shared" si="35"/>
        <v>W4</v>
      </c>
      <c r="D689" s="2" t="s">
        <v>756</v>
      </c>
      <c r="E689" s="2" t="s">
        <v>807</v>
      </c>
      <c r="F689" s="2" t="str" cm="1">
        <f t="array" ref="F689">INDEX(_xlfn.TEXTSPLIT(E689,"-"),2)</f>
        <v>男装</v>
      </c>
      <c r="G689" s="2" t="str" cm="1">
        <f t="array" ref="G689">INDEX(_xlfn.TEXTSPLIT(E689,"-"),3)</f>
        <v>休闲裤</v>
      </c>
      <c r="H689" s="5">
        <v>923875</v>
      </c>
      <c r="I689" s="5">
        <v>97180622.75</v>
      </c>
      <c r="J689" s="6">
        <v>0.1115</v>
      </c>
      <c r="K689" s="6">
        <v>-0.0234</v>
      </c>
    </row>
    <row r="690" ht="14.5" spans="1:11">
      <c r="A690" s="3" t="str">
        <f t="shared" si="33"/>
        <v>2026年</v>
      </c>
      <c r="B690" s="3" t="str">
        <f t="shared" si="34"/>
        <v>1月</v>
      </c>
      <c r="C690" s="4" t="str">
        <f t="shared" si="35"/>
        <v>W4</v>
      </c>
      <c r="D690" s="2" t="s">
        <v>756</v>
      </c>
      <c r="E690" s="2" t="s">
        <v>808</v>
      </c>
      <c r="F690" s="2" t="str" cm="1">
        <f t="array" ref="F690">INDEX(_xlfn.TEXTSPLIT(E690,"-"),2)</f>
        <v>男装</v>
      </c>
      <c r="G690" s="2" t="str" cm="1">
        <f t="array" ref="G690">INDEX(_xlfn.TEXTSPLIT(E690,"-"),3)</f>
        <v>卫衣</v>
      </c>
      <c r="H690" s="5">
        <v>579050</v>
      </c>
      <c r="I690" s="5">
        <v>49118629.96</v>
      </c>
      <c r="J690" s="6">
        <v>0.0564</v>
      </c>
      <c r="K690" s="6">
        <v>-0.0652</v>
      </c>
    </row>
    <row r="691" ht="14.5" spans="1:11">
      <c r="A691" s="3" t="str">
        <f t="shared" si="33"/>
        <v>2026年</v>
      </c>
      <c r="B691" s="3" t="str">
        <f t="shared" si="34"/>
        <v>1月</v>
      </c>
      <c r="C691" s="4" t="str">
        <f t="shared" si="35"/>
        <v>W4</v>
      </c>
      <c r="D691" s="2" t="s">
        <v>756</v>
      </c>
      <c r="E691" s="2" t="s">
        <v>809</v>
      </c>
      <c r="F691" s="2" t="str" cm="1">
        <f t="array" ref="F691">INDEX(_xlfn.TEXTSPLIT(E691,"-"),2)</f>
        <v>男装</v>
      </c>
      <c r="G691" s="2" t="str" cm="1">
        <f t="array" ref="G691">INDEX(_xlfn.TEXTSPLIT(E691,"-"),3)</f>
        <v>卫裤</v>
      </c>
      <c r="H691" s="5">
        <v>218455</v>
      </c>
      <c r="I691" s="5">
        <v>21850487.51</v>
      </c>
      <c r="J691" s="6">
        <v>0.0251</v>
      </c>
      <c r="K691" s="6">
        <v>0.1515</v>
      </c>
    </row>
    <row r="692" ht="14.5" spans="1:11">
      <c r="A692" s="3" t="str">
        <f t="shared" si="33"/>
        <v>2026年</v>
      </c>
      <c r="B692" s="3" t="str">
        <f t="shared" si="34"/>
        <v>1月</v>
      </c>
      <c r="C692" s="4" t="str">
        <f t="shared" si="35"/>
        <v>W4</v>
      </c>
      <c r="D692" s="2" t="s">
        <v>756</v>
      </c>
      <c r="E692" s="2" t="s">
        <v>810</v>
      </c>
      <c r="F692" s="2" t="str" cm="1">
        <f t="array" ref="F692">INDEX(_xlfn.TEXTSPLIT(E692,"-"),2)</f>
        <v>男装</v>
      </c>
      <c r="G692" s="2" t="str" cm="1">
        <f t="array" ref="G692">INDEX(_xlfn.TEXTSPLIT(E692,"-"),3)</f>
        <v>大码男装</v>
      </c>
      <c r="H692" s="5">
        <v>48669</v>
      </c>
      <c r="I692" s="5">
        <v>4623409.4</v>
      </c>
      <c r="J692" s="6">
        <v>0.0053</v>
      </c>
      <c r="K692" s="6">
        <v>0.1631</v>
      </c>
    </row>
    <row r="693" ht="14.5" spans="1:11">
      <c r="A693" s="3" t="str">
        <f t="shared" si="33"/>
        <v>2026年</v>
      </c>
      <c r="B693" s="3" t="str">
        <f t="shared" si="34"/>
        <v>1月</v>
      </c>
      <c r="C693" s="4" t="str">
        <f t="shared" si="35"/>
        <v>W4</v>
      </c>
      <c r="D693" s="2" t="s">
        <v>756</v>
      </c>
      <c r="E693" s="2" t="s">
        <v>811</v>
      </c>
      <c r="F693" s="2" t="str" cm="1">
        <f t="array" ref="F693">INDEX(_xlfn.TEXTSPLIT(E693,"-"),2)</f>
        <v>男装</v>
      </c>
      <c r="G693" s="2" t="str" cm="1">
        <f t="array" ref="G693">INDEX(_xlfn.TEXTSPLIT(E693,"-"),3)</f>
        <v>夹克</v>
      </c>
      <c r="H693" s="5">
        <v>408646</v>
      </c>
      <c r="I693" s="5">
        <v>75402784.2</v>
      </c>
      <c r="J693" s="6">
        <v>0.0865</v>
      </c>
      <c r="K693" s="6">
        <v>-0.0687</v>
      </c>
    </row>
    <row r="694" ht="14.5" spans="1:11">
      <c r="A694" s="3" t="str">
        <f t="shared" si="33"/>
        <v>2026年</v>
      </c>
      <c r="B694" s="3" t="str">
        <f t="shared" si="34"/>
        <v>1月</v>
      </c>
      <c r="C694" s="4" t="str">
        <f t="shared" si="35"/>
        <v>W4</v>
      </c>
      <c r="D694" s="2" t="s">
        <v>756</v>
      </c>
      <c r="E694" s="2" t="s">
        <v>812</v>
      </c>
      <c r="F694" s="2" t="str" cm="1">
        <f t="array" ref="F694">INDEX(_xlfn.TEXTSPLIT(E694,"-"),2)</f>
        <v>男装</v>
      </c>
      <c r="G694" s="2" t="str" cm="1">
        <f t="array" ref="G694">INDEX(_xlfn.TEXTSPLIT(E694,"-"),3)</f>
        <v>套装</v>
      </c>
      <c r="H694" s="5">
        <v>45638</v>
      </c>
      <c r="I694" s="5">
        <v>6922759.76</v>
      </c>
      <c r="J694" s="6">
        <v>0.0079</v>
      </c>
      <c r="K694" s="6">
        <v>-0.0837</v>
      </c>
    </row>
    <row r="695" ht="14.5" spans="1:11">
      <c r="A695" s="3" t="str">
        <f t="shared" si="33"/>
        <v>2026年</v>
      </c>
      <c r="B695" s="3" t="str">
        <f t="shared" si="34"/>
        <v>1月</v>
      </c>
      <c r="C695" s="4" t="str">
        <f t="shared" si="35"/>
        <v>W4</v>
      </c>
      <c r="D695" s="2" t="s">
        <v>756</v>
      </c>
      <c r="E695" s="2" t="s">
        <v>813</v>
      </c>
      <c r="F695" s="2" t="str" cm="1">
        <f t="array" ref="F695">INDEX(_xlfn.TEXTSPLIT(E695,"-"),2)</f>
        <v>男装</v>
      </c>
      <c r="G695" s="2" t="str" cm="1">
        <f t="array" ref="G695">INDEX(_xlfn.TEXTSPLIT(E695,"-"),3)</f>
        <v>学生校服</v>
      </c>
      <c r="H695" s="5">
        <v>43</v>
      </c>
      <c r="I695" s="5">
        <v>2658.95</v>
      </c>
      <c r="J695" s="2" t="s">
        <v>713</v>
      </c>
      <c r="K695" s="6">
        <v>-0.094</v>
      </c>
    </row>
    <row r="696" ht="14.5" spans="1:11">
      <c r="A696" s="3" t="str">
        <f t="shared" si="33"/>
        <v>2026年</v>
      </c>
      <c r="B696" s="3" t="str">
        <f t="shared" si="34"/>
        <v>1月</v>
      </c>
      <c r="C696" s="4" t="str">
        <f t="shared" si="35"/>
        <v>W4</v>
      </c>
      <c r="D696" s="2" t="s">
        <v>756</v>
      </c>
      <c r="E696" s="2" t="s">
        <v>814</v>
      </c>
      <c r="F696" s="2" t="str" cm="1">
        <f t="array" ref="F696">INDEX(_xlfn.TEXTSPLIT(E696,"-"),2)</f>
        <v>男装</v>
      </c>
      <c r="G696" s="2" t="str" cm="1">
        <f t="array" ref="G696">INDEX(_xlfn.TEXTSPLIT(E696,"-"),3)</f>
        <v>打底衫</v>
      </c>
      <c r="H696" s="5">
        <v>19437</v>
      </c>
      <c r="I696" s="5">
        <v>1092115.79</v>
      </c>
      <c r="J696" s="6">
        <v>0.0013</v>
      </c>
      <c r="K696" s="6">
        <v>-0.1134</v>
      </c>
    </row>
    <row r="697" ht="14.5" spans="1:11">
      <c r="A697" s="3" t="str">
        <f t="shared" si="33"/>
        <v>2026年</v>
      </c>
      <c r="B697" s="3" t="str">
        <f t="shared" si="34"/>
        <v>1月</v>
      </c>
      <c r="C697" s="4" t="str">
        <f t="shared" si="35"/>
        <v>W4</v>
      </c>
      <c r="D697" s="2" t="s">
        <v>756</v>
      </c>
      <c r="E697" s="2" t="s">
        <v>815</v>
      </c>
      <c r="F697" s="2" t="str" cm="1">
        <f t="array" ref="F697">INDEX(_xlfn.TEXTSPLIT(E697,"-"),2)</f>
        <v>男装</v>
      </c>
      <c r="G697" s="2" t="str" cm="1">
        <f t="array" ref="G697">INDEX(_xlfn.TEXTSPLIT(E697,"-"),3)</f>
        <v>新中式男装</v>
      </c>
      <c r="H697" s="5">
        <v>280</v>
      </c>
      <c r="I697" s="5">
        <v>66695.9</v>
      </c>
      <c r="J697" s="6">
        <v>0.0001</v>
      </c>
      <c r="K697" s="6">
        <v>0.4718</v>
      </c>
    </row>
    <row r="698" ht="14.5" spans="1:11">
      <c r="A698" s="3" t="str">
        <f t="shared" si="33"/>
        <v>2026年</v>
      </c>
      <c r="B698" s="3" t="str">
        <f t="shared" si="34"/>
        <v>1月</v>
      </c>
      <c r="C698" s="4" t="str">
        <f t="shared" si="35"/>
        <v>W4</v>
      </c>
      <c r="D698" s="2" t="s">
        <v>756</v>
      </c>
      <c r="E698" s="2" t="s">
        <v>816</v>
      </c>
      <c r="F698" s="2" t="str" cm="1">
        <f t="array" ref="F698">INDEX(_xlfn.TEXTSPLIT(E698,"-"),2)</f>
        <v>男装</v>
      </c>
      <c r="G698" s="2" t="str" cm="1">
        <f t="array" ref="G698">INDEX(_xlfn.TEXTSPLIT(E698,"-"),3)</f>
        <v>棉衣</v>
      </c>
      <c r="H698" s="5">
        <v>388076</v>
      </c>
      <c r="I698" s="5">
        <v>50329460.66</v>
      </c>
      <c r="J698" s="6">
        <v>0.0578</v>
      </c>
      <c r="K698" s="6">
        <v>-0.0269</v>
      </c>
    </row>
    <row r="699" ht="14.5" spans="1:11">
      <c r="A699" s="3" t="str">
        <f t="shared" si="33"/>
        <v>2026年</v>
      </c>
      <c r="B699" s="3" t="str">
        <f t="shared" si="34"/>
        <v>1月</v>
      </c>
      <c r="C699" s="4" t="str">
        <f t="shared" si="35"/>
        <v>W4</v>
      </c>
      <c r="D699" s="2" t="s">
        <v>756</v>
      </c>
      <c r="E699" s="2" t="s">
        <v>817</v>
      </c>
      <c r="F699" s="2" t="str" cm="1">
        <f t="array" ref="F699">INDEX(_xlfn.TEXTSPLIT(E699,"-"),2)</f>
        <v>男装</v>
      </c>
      <c r="G699" s="2" t="str" cm="1">
        <f t="array" ref="G699">INDEX(_xlfn.TEXTSPLIT(E699,"-"),3)</f>
        <v>棉裤</v>
      </c>
      <c r="H699" s="5">
        <v>42408</v>
      </c>
      <c r="I699" s="5">
        <v>3384113.74</v>
      </c>
      <c r="J699" s="6">
        <v>0.0039</v>
      </c>
      <c r="K699" s="6">
        <v>0.6567</v>
      </c>
    </row>
    <row r="700" ht="14.5" spans="1:11">
      <c r="A700" s="3" t="str">
        <f t="shared" si="33"/>
        <v>2026年</v>
      </c>
      <c r="B700" s="3" t="str">
        <f t="shared" si="34"/>
        <v>1月</v>
      </c>
      <c r="C700" s="4" t="str">
        <f t="shared" si="35"/>
        <v>W4</v>
      </c>
      <c r="D700" s="2" t="s">
        <v>756</v>
      </c>
      <c r="E700" s="2" t="s">
        <v>818</v>
      </c>
      <c r="F700" s="2" t="str" cm="1">
        <f t="array" ref="F700">INDEX(_xlfn.TEXTSPLIT(E700,"-"),2)</f>
        <v>男装</v>
      </c>
      <c r="G700" s="2" t="str" cm="1">
        <f t="array" ref="G700">INDEX(_xlfn.TEXTSPLIT(E700,"-"),3)</f>
        <v>毛呢大衣</v>
      </c>
      <c r="H700" s="5">
        <v>50079</v>
      </c>
      <c r="I700" s="5">
        <v>22161011.78</v>
      </c>
      <c r="J700" s="6">
        <v>0.0254</v>
      </c>
      <c r="K700" s="6">
        <v>-0.0384</v>
      </c>
    </row>
    <row r="701" ht="14.5" spans="1:11">
      <c r="A701" s="3" t="str">
        <f t="shared" si="33"/>
        <v>2026年</v>
      </c>
      <c r="B701" s="3" t="str">
        <f t="shared" si="34"/>
        <v>1月</v>
      </c>
      <c r="C701" s="4" t="str">
        <f t="shared" si="35"/>
        <v>W4</v>
      </c>
      <c r="D701" s="2" t="s">
        <v>756</v>
      </c>
      <c r="E701" s="2" t="s">
        <v>819</v>
      </c>
      <c r="F701" s="2" t="str" cm="1">
        <f t="array" ref="F701">INDEX(_xlfn.TEXTSPLIT(E701,"-"),2)</f>
        <v>男装</v>
      </c>
      <c r="G701" s="2" t="str" cm="1">
        <f t="array" ref="G701">INDEX(_xlfn.TEXTSPLIT(E701,"-"),3)</f>
        <v>民族服装</v>
      </c>
      <c r="H701" s="5">
        <v>6670</v>
      </c>
      <c r="I701" s="5">
        <v>1571435.92</v>
      </c>
      <c r="J701" s="6">
        <v>0.0018</v>
      </c>
      <c r="K701" s="6">
        <v>-0.1242</v>
      </c>
    </row>
    <row r="702" ht="14.5" spans="1:11">
      <c r="A702" s="3" t="str">
        <f t="shared" si="33"/>
        <v>2026年</v>
      </c>
      <c r="B702" s="3" t="str">
        <f t="shared" si="34"/>
        <v>1月</v>
      </c>
      <c r="C702" s="4" t="str">
        <f t="shared" si="35"/>
        <v>W4</v>
      </c>
      <c r="D702" s="2" t="s">
        <v>756</v>
      </c>
      <c r="E702" s="2" t="s">
        <v>820</v>
      </c>
      <c r="F702" s="2" t="str" cm="1">
        <f t="array" ref="F702">INDEX(_xlfn.TEXTSPLIT(E702,"-"),2)</f>
        <v>男装</v>
      </c>
      <c r="G702" s="2" t="str" cm="1">
        <f t="array" ref="G702">INDEX(_xlfn.TEXTSPLIT(E702,"-"),3)</f>
        <v>派克服</v>
      </c>
      <c r="H702" s="5">
        <v>18015</v>
      </c>
      <c r="I702" s="5">
        <v>3711512.66</v>
      </c>
      <c r="J702" s="6">
        <v>0.0043</v>
      </c>
      <c r="K702" s="6">
        <v>0.1631</v>
      </c>
    </row>
    <row r="703" ht="14.5" spans="1:11">
      <c r="A703" s="3" t="str">
        <f t="shared" si="33"/>
        <v>2026年</v>
      </c>
      <c r="B703" s="3" t="str">
        <f t="shared" si="34"/>
        <v>1月</v>
      </c>
      <c r="C703" s="4" t="str">
        <f t="shared" si="35"/>
        <v>W4</v>
      </c>
      <c r="D703" s="2" t="s">
        <v>756</v>
      </c>
      <c r="E703" s="2" t="s">
        <v>821</v>
      </c>
      <c r="F703" s="2" t="str" cm="1">
        <f t="array" ref="F703">INDEX(_xlfn.TEXTSPLIT(E703,"-"),2)</f>
        <v>男装</v>
      </c>
      <c r="G703" s="2" t="str" cm="1">
        <f t="array" ref="G703">INDEX(_xlfn.TEXTSPLIT(E703,"-"),3)</f>
        <v>牛仔裤</v>
      </c>
      <c r="H703" s="5">
        <v>585117</v>
      </c>
      <c r="I703" s="5">
        <v>67033890.53</v>
      </c>
      <c r="J703" s="6">
        <v>0.0769</v>
      </c>
      <c r="K703" s="6">
        <v>-0.0089</v>
      </c>
    </row>
    <row r="704" ht="14.5" spans="1:11">
      <c r="A704" s="3" t="str">
        <f t="shared" si="33"/>
        <v>2026年</v>
      </c>
      <c r="B704" s="3" t="str">
        <f t="shared" si="34"/>
        <v>1月</v>
      </c>
      <c r="C704" s="4" t="str">
        <f t="shared" si="35"/>
        <v>W4</v>
      </c>
      <c r="D704" s="2" t="s">
        <v>756</v>
      </c>
      <c r="E704" s="2" t="s">
        <v>822</v>
      </c>
      <c r="F704" s="2" t="str" cm="1">
        <f t="array" ref="F704">INDEX(_xlfn.TEXTSPLIT(E704,"-"),2)</f>
        <v>男装</v>
      </c>
      <c r="G704" s="2" t="str" cm="1">
        <f t="array" ref="G704">INDEX(_xlfn.TEXTSPLIT(E704,"-"),3)</f>
        <v>皮草</v>
      </c>
      <c r="H704" s="5">
        <v>6689</v>
      </c>
      <c r="I704" s="5">
        <v>7824319.1</v>
      </c>
      <c r="J704" s="6">
        <v>0.009</v>
      </c>
      <c r="K704" s="6">
        <v>-0.1509</v>
      </c>
    </row>
    <row r="705" ht="14.5" spans="1:11">
      <c r="A705" s="3" t="str">
        <f t="shared" si="33"/>
        <v>2026年</v>
      </c>
      <c r="B705" s="3" t="str">
        <f t="shared" si="34"/>
        <v>1月</v>
      </c>
      <c r="C705" s="4" t="str">
        <f t="shared" si="35"/>
        <v>W4</v>
      </c>
      <c r="D705" s="2" t="s">
        <v>756</v>
      </c>
      <c r="E705" s="2" t="s">
        <v>823</v>
      </c>
      <c r="F705" s="2" t="str" cm="1">
        <f t="array" ref="F705">INDEX(_xlfn.TEXTSPLIT(E705,"-"),2)</f>
        <v>男装</v>
      </c>
      <c r="G705" s="2" t="str" cm="1">
        <f t="array" ref="G705">INDEX(_xlfn.TEXTSPLIT(E705,"-"),3)</f>
        <v>皮衣</v>
      </c>
      <c r="H705" s="5">
        <v>53345</v>
      </c>
      <c r="I705" s="5">
        <v>25066683.07</v>
      </c>
      <c r="J705" s="6">
        <v>0.0288</v>
      </c>
      <c r="K705" s="6">
        <v>-0.0427</v>
      </c>
    </row>
    <row r="706" ht="14.5" spans="1:11">
      <c r="A706" s="3" t="str">
        <f t="shared" si="33"/>
        <v>2026年</v>
      </c>
      <c r="B706" s="3" t="str">
        <f t="shared" si="34"/>
        <v>1月</v>
      </c>
      <c r="C706" s="4" t="str">
        <f t="shared" si="35"/>
        <v>W4</v>
      </c>
      <c r="D706" s="2" t="s">
        <v>756</v>
      </c>
      <c r="E706" s="2" t="s">
        <v>824</v>
      </c>
      <c r="F706" s="2" t="str" cm="1">
        <f t="array" ref="F706">INDEX(_xlfn.TEXTSPLIT(E706,"-"),2)</f>
        <v>男装</v>
      </c>
      <c r="G706" s="2" t="str" cm="1">
        <f t="array" ref="G706">INDEX(_xlfn.TEXTSPLIT(E706,"-"),3)</f>
        <v>皮裤</v>
      </c>
      <c r="H706" s="5">
        <v>3699</v>
      </c>
      <c r="I706" s="5">
        <v>552328.79</v>
      </c>
      <c r="J706" s="6">
        <v>0.0006</v>
      </c>
      <c r="K706" s="6">
        <v>-0.6009</v>
      </c>
    </row>
    <row r="707" ht="14.5" spans="1:11">
      <c r="A707" s="3" t="str">
        <f t="shared" si="33"/>
        <v>2026年</v>
      </c>
      <c r="B707" s="3" t="str">
        <f t="shared" si="34"/>
        <v>1月</v>
      </c>
      <c r="C707" s="4" t="str">
        <f t="shared" si="35"/>
        <v>W4</v>
      </c>
      <c r="D707" s="2" t="s">
        <v>756</v>
      </c>
      <c r="E707" s="2" t="s">
        <v>825</v>
      </c>
      <c r="F707" s="2" t="str" cm="1">
        <f t="array" ref="F707">INDEX(_xlfn.TEXTSPLIT(E707,"-"),2)</f>
        <v>男装</v>
      </c>
      <c r="G707" s="2" t="str" cm="1">
        <f t="array" ref="G707">INDEX(_xlfn.TEXTSPLIT(E707,"-"),3)</f>
        <v>短外套</v>
      </c>
      <c r="H707" s="5">
        <v>36310</v>
      </c>
      <c r="I707" s="5">
        <v>3746138.37</v>
      </c>
      <c r="J707" s="6">
        <v>0.0043</v>
      </c>
      <c r="K707" s="6">
        <v>0.2266</v>
      </c>
    </row>
    <row r="708" ht="14.5" spans="1:11">
      <c r="A708" s="3" t="str">
        <f t="shared" si="33"/>
        <v>2026年</v>
      </c>
      <c r="B708" s="3" t="str">
        <f t="shared" si="34"/>
        <v>1月</v>
      </c>
      <c r="C708" s="4" t="str">
        <f t="shared" si="35"/>
        <v>W4</v>
      </c>
      <c r="D708" s="2" t="s">
        <v>756</v>
      </c>
      <c r="E708" s="2" t="s">
        <v>826</v>
      </c>
      <c r="F708" s="2" t="str" cm="1">
        <f t="array" ref="F708">INDEX(_xlfn.TEXTSPLIT(E708,"-"),2)</f>
        <v>男装</v>
      </c>
      <c r="G708" s="2" t="str" cm="1">
        <f t="array" ref="G708">INDEX(_xlfn.TEXTSPLIT(E708,"-"),3)</f>
        <v>短裤</v>
      </c>
      <c r="H708" s="5">
        <v>46149</v>
      </c>
      <c r="I708" s="5">
        <v>1512420.89</v>
      </c>
      <c r="J708" s="6">
        <v>0.0017</v>
      </c>
      <c r="K708" s="6">
        <v>-0.1111</v>
      </c>
    </row>
    <row r="709" ht="14.5" spans="1:11">
      <c r="A709" s="3" t="str">
        <f t="shared" si="33"/>
        <v>2026年</v>
      </c>
      <c r="B709" s="3" t="str">
        <f t="shared" si="34"/>
        <v>1月</v>
      </c>
      <c r="C709" s="4" t="str">
        <f t="shared" si="35"/>
        <v>W4</v>
      </c>
      <c r="D709" s="2" t="s">
        <v>756</v>
      </c>
      <c r="E709" s="2" t="s">
        <v>827</v>
      </c>
      <c r="F709" s="2" t="str" cm="1">
        <f t="array" ref="F709">INDEX(_xlfn.TEXTSPLIT(E709,"-"),2)</f>
        <v>男装</v>
      </c>
      <c r="G709" s="2" t="str" cm="1">
        <f t="array" ref="G709">INDEX(_xlfn.TEXTSPLIT(E709,"-"),3)</f>
        <v>紧身衣</v>
      </c>
      <c r="H709" s="5">
        <v>145</v>
      </c>
      <c r="I709" s="5">
        <v>5838.02</v>
      </c>
      <c r="J709" s="2" t="s">
        <v>713</v>
      </c>
      <c r="K709" s="6">
        <v>0.0185</v>
      </c>
    </row>
    <row r="710" ht="14.5" spans="1:11">
      <c r="A710" s="3" t="str">
        <f t="shared" si="33"/>
        <v>2026年</v>
      </c>
      <c r="B710" s="3" t="str">
        <f t="shared" si="34"/>
        <v>1月</v>
      </c>
      <c r="C710" s="4" t="str">
        <f t="shared" si="35"/>
        <v>W4</v>
      </c>
      <c r="D710" s="2" t="s">
        <v>756</v>
      </c>
      <c r="E710" s="2" t="s">
        <v>828</v>
      </c>
      <c r="F710" s="2" t="str" cm="1">
        <f t="array" ref="F710">INDEX(_xlfn.TEXTSPLIT(E710,"-"),2)</f>
        <v>男装</v>
      </c>
      <c r="G710" s="2" t="str" cm="1">
        <f t="array" ref="G710">INDEX(_xlfn.TEXTSPLIT(E710,"-"),3)</f>
        <v>羊毛衫</v>
      </c>
      <c r="H710" s="5">
        <v>111335</v>
      </c>
      <c r="I710" s="5">
        <v>16739580.65</v>
      </c>
      <c r="J710" s="6">
        <v>0.0192</v>
      </c>
      <c r="K710" s="6">
        <v>-0.1281</v>
      </c>
    </row>
    <row r="711" ht="14.5" spans="1:11">
      <c r="A711" s="3" t="str">
        <f t="shared" si="33"/>
        <v>2026年</v>
      </c>
      <c r="B711" s="3" t="str">
        <f t="shared" si="34"/>
        <v>1月</v>
      </c>
      <c r="C711" s="4" t="str">
        <f t="shared" si="35"/>
        <v>W4</v>
      </c>
      <c r="D711" s="2" t="s">
        <v>756</v>
      </c>
      <c r="E711" s="2" t="s">
        <v>829</v>
      </c>
      <c r="F711" s="2" t="str" cm="1">
        <f t="array" ref="F711">INDEX(_xlfn.TEXTSPLIT(E711,"-"),2)</f>
        <v>男装</v>
      </c>
      <c r="G711" s="2" t="str" cm="1">
        <f t="array" ref="G711">INDEX(_xlfn.TEXTSPLIT(E711,"-"),3)</f>
        <v>羊绒衫</v>
      </c>
      <c r="H711" s="5">
        <v>24650</v>
      </c>
      <c r="I711" s="5">
        <v>6615415.11</v>
      </c>
      <c r="J711" s="6">
        <v>0.0076</v>
      </c>
      <c r="K711" s="6">
        <v>-0.2148</v>
      </c>
    </row>
    <row r="712" ht="14.5" spans="1:11">
      <c r="A712" s="3" t="str">
        <f t="shared" si="33"/>
        <v>2026年</v>
      </c>
      <c r="B712" s="3" t="str">
        <f t="shared" si="34"/>
        <v>1月</v>
      </c>
      <c r="C712" s="4" t="str">
        <f t="shared" si="35"/>
        <v>W4</v>
      </c>
      <c r="D712" s="2" t="s">
        <v>756</v>
      </c>
      <c r="E712" s="2" t="s">
        <v>830</v>
      </c>
      <c r="F712" s="2" t="str" cm="1">
        <f t="array" ref="F712">INDEX(_xlfn.TEXTSPLIT(E712,"-"),2)</f>
        <v>男装</v>
      </c>
      <c r="G712" s="2" t="str" cm="1">
        <f t="array" ref="G712">INDEX(_xlfn.TEXTSPLIT(E712,"-"),3)</f>
        <v>羽绒服</v>
      </c>
      <c r="H712" s="5">
        <v>690326</v>
      </c>
      <c r="I712" s="5">
        <v>265340444.9</v>
      </c>
      <c r="J712" s="6">
        <v>0.3045</v>
      </c>
      <c r="K712" s="6">
        <v>0.028</v>
      </c>
    </row>
    <row r="713" ht="14.5" spans="1:11">
      <c r="A713" s="3" t="str">
        <f t="shared" si="33"/>
        <v>2026年</v>
      </c>
      <c r="B713" s="3" t="str">
        <f t="shared" si="34"/>
        <v>1月</v>
      </c>
      <c r="C713" s="4" t="str">
        <f t="shared" si="35"/>
        <v>W4</v>
      </c>
      <c r="D713" s="2" t="s">
        <v>756</v>
      </c>
      <c r="E713" s="2" t="s">
        <v>831</v>
      </c>
      <c r="F713" s="2" t="str" cm="1">
        <f t="array" ref="F713">INDEX(_xlfn.TEXTSPLIT(E713,"-"),2)</f>
        <v>男装</v>
      </c>
      <c r="G713" s="2" t="str" cm="1">
        <f t="array" ref="G713">INDEX(_xlfn.TEXTSPLIT(E713,"-"),3)</f>
        <v>羽绒裤</v>
      </c>
      <c r="H713" s="5">
        <v>20612</v>
      </c>
      <c r="I713" s="5">
        <v>3801420.09</v>
      </c>
      <c r="J713" s="6">
        <v>0.0044</v>
      </c>
      <c r="K713" s="6">
        <v>0.3637</v>
      </c>
    </row>
    <row r="714" ht="14.5" spans="1:11">
      <c r="A714" s="3" t="str">
        <f t="shared" si="33"/>
        <v>2026年</v>
      </c>
      <c r="B714" s="3" t="str">
        <f t="shared" si="34"/>
        <v>1月</v>
      </c>
      <c r="C714" s="4" t="str">
        <f t="shared" si="35"/>
        <v>W4</v>
      </c>
      <c r="D714" s="2" t="s">
        <v>756</v>
      </c>
      <c r="E714" s="2" t="s">
        <v>832</v>
      </c>
      <c r="F714" s="2" t="str" cm="1">
        <f t="array" ref="F714">INDEX(_xlfn.TEXTSPLIT(E714,"-"),2)</f>
        <v>男装</v>
      </c>
      <c r="G714" s="2" t="str" cm="1">
        <f t="array" ref="G714">INDEX(_xlfn.TEXTSPLIT(E714,"-"),3)</f>
        <v>羽绒马甲</v>
      </c>
      <c r="H714" s="5">
        <v>14563</v>
      </c>
      <c r="I714" s="5">
        <v>2921657.87</v>
      </c>
      <c r="J714" s="6">
        <v>0.0034</v>
      </c>
      <c r="K714" s="6">
        <v>0.1235</v>
      </c>
    </row>
    <row r="715" ht="14.5" spans="1:11">
      <c r="A715" s="3" t="str">
        <f t="shared" si="33"/>
        <v>2026年</v>
      </c>
      <c r="B715" s="3" t="str">
        <f t="shared" si="34"/>
        <v>1月</v>
      </c>
      <c r="C715" s="4" t="str">
        <f t="shared" si="35"/>
        <v>W4</v>
      </c>
      <c r="D715" s="2" t="s">
        <v>756</v>
      </c>
      <c r="E715" s="2" t="s">
        <v>833</v>
      </c>
      <c r="F715" s="2" t="str" cm="1">
        <f t="array" ref="F715">INDEX(_xlfn.TEXTSPLIT(E715,"-"),2)</f>
        <v>男装</v>
      </c>
      <c r="G715" s="2" t="str" cm="1">
        <f t="array" ref="G715">INDEX(_xlfn.TEXTSPLIT(E715,"-"),3)</f>
        <v>背心</v>
      </c>
      <c r="H715" s="5">
        <v>47891</v>
      </c>
      <c r="I715" s="5">
        <v>2939214.39</v>
      </c>
      <c r="J715" s="6">
        <v>0.0034</v>
      </c>
      <c r="K715" s="6">
        <v>0.2923</v>
      </c>
    </row>
    <row r="716" ht="14.5" spans="1:11">
      <c r="A716" s="3" t="str">
        <f t="shared" si="33"/>
        <v>2026年</v>
      </c>
      <c r="B716" s="3" t="str">
        <f t="shared" si="34"/>
        <v>1月</v>
      </c>
      <c r="C716" s="4" t="str">
        <f t="shared" si="35"/>
        <v>W4</v>
      </c>
      <c r="D716" s="2" t="s">
        <v>756</v>
      </c>
      <c r="E716" s="2" t="s">
        <v>834</v>
      </c>
      <c r="F716" s="2" t="str" cm="1">
        <f t="array" ref="F716">INDEX(_xlfn.TEXTSPLIT(E716,"-"),2)</f>
        <v>男装</v>
      </c>
      <c r="G716" s="2" t="str" cm="1">
        <f t="array" ref="G716">INDEX(_xlfn.TEXTSPLIT(E716,"-"),3)</f>
        <v>衬衫</v>
      </c>
      <c r="H716" s="5">
        <v>83005</v>
      </c>
      <c r="I716" s="5">
        <v>10402817.39</v>
      </c>
      <c r="J716" s="6">
        <v>0.0119</v>
      </c>
      <c r="K716" s="6">
        <v>-0.1233</v>
      </c>
    </row>
    <row r="717" ht="14.5" spans="1:11">
      <c r="A717" s="3" t="str">
        <f t="shared" si="33"/>
        <v>2026年</v>
      </c>
      <c r="B717" s="3" t="str">
        <f t="shared" si="34"/>
        <v>1月</v>
      </c>
      <c r="C717" s="4" t="str">
        <f t="shared" si="35"/>
        <v>W4</v>
      </c>
      <c r="D717" s="2" t="s">
        <v>756</v>
      </c>
      <c r="E717" s="2" t="s">
        <v>835</v>
      </c>
      <c r="F717" s="2" t="str" cm="1">
        <f t="array" ref="F717">INDEX(_xlfn.TEXTSPLIT(E717,"-"),2)</f>
        <v>男装</v>
      </c>
      <c r="G717" s="2" t="str" cm="1">
        <f t="array" ref="G717">INDEX(_xlfn.TEXTSPLIT(E717,"-"),3)</f>
        <v>西服</v>
      </c>
      <c r="H717" s="5">
        <v>79092</v>
      </c>
      <c r="I717" s="5">
        <v>17159585.28</v>
      </c>
      <c r="J717" s="6">
        <v>0.0197</v>
      </c>
      <c r="K717" s="6">
        <v>-0.0627</v>
      </c>
    </row>
    <row r="718" ht="14.5" spans="1:11">
      <c r="A718" s="3" t="str">
        <f t="shared" ref="A718:A761" si="36">TEXT(YEAR(D718),"0")&amp;"年"</f>
        <v>2026年</v>
      </c>
      <c r="B718" s="3" t="str">
        <f t="shared" ref="B718:B761" si="37">TEXT(MONTH(D718),"0")&amp;"月"</f>
        <v>1月</v>
      </c>
      <c r="C718" s="4" t="str">
        <f t="shared" ref="C718:C761" si="38">"W"&amp;TEXT(WEEKNUM(D718,2),"0")</f>
        <v>W4</v>
      </c>
      <c r="D718" s="2" t="s">
        <v>756</v>
      </c>
      <c r="E718" s="2" t="s">
        <v>836</v>
      </c>
      <c r="F718" s="2" t="str" cm="1">
        <f t="array" ref="F718">INDEX(_xlfn.TEXTSPLIT(E718,"-"),2)</f>
        <v>男装</v>
      </c>
      <c r="G718" s="2" t="str" cm="1">
        <f t="array" ref="G718">INDEX(_xlfn.TEXTSPLIT(E718,"-"),3)</f>
        <v>连体衣/裤</v>
      </c>
      <c r="H718" s="5">
        <v>573</v>
      </c>
      <c r="I718" s="5">
        <v>23205.63</v>
      </c>
      <c r="J718" s="2" t="s">
        <v>713</v>
      </c>
      <c r="K718" s="6">
        <v>-0.1226</v>
      </c>
    </row>
    <row r="719" ht="14.5" spans="1:11">
      <c r="A719" s="3" t="str">
        <f t="shared" si="36"/>
        <v>2026年</v>
      </c>
      <c r="B719" s="3" t="str">
        <f t="shared" si="37"/>
        <v>1月</v>
      </c>
      <c r="C719" s="4" t="str">
        <f t="shared" si="38"/>
        <v>W4</v>
      </c>
      <c r="D719" s="2" t="s">
        <v>756</v>
      </c>
      <c r="E719" s="2" t="s">
        <v>837</v>
      </c>
      <c r="F719" s="2" t="str" cm="1">
        <f t="array" ref="F719">INDEX(_xlfn.TEXTSPLIT(E719,"-"),2)</f>
        <v>男装</v>
      </c>
      <c r="G719" s="2" t="str" cm="1">
        <f t="array" ref="G719">INDEX(_xlfn.TEXTSPLIT(E719,"-"),3)</f>
        <v>速干/三防T恤</v>
      </c>
      <c r="H719" s="5">
        <v>796</v>
      </c>
      <c r="I719" s="5">
        <v>114390.81</v>
      </c>
      <c r="J719" s="6">
        <v>0.0001</v>
      </c>
      <c r="K719" s="6">
        <v>0.5441</v>
      </c>
    </row>
    <row r="720" ht="14.5" spans="1:11">
      <c r="A720" s="3" t="str">
        <f t="shared" si="36"/>
        <v>2026年</v>
      </c>
      <c r="B720" s="3" t="str">
        <f t="shared" si="37"/>
        <v>1月</v>
      </c>
      <c r="C720" s="4" t="str">
        <f t="shared" si="38"/>
        <v>W4</v>
      </c>
      <c r="D720" s="2" t="s">
        <v>756</v>
      </c>
      <c r="E720" s="2" t="s">
        <v>838</v>
      </c>
      <c r="F720" s="2" t="str" cm="1">
        <f t="array" ref="F720">INDEX(_xlfn.TEXTSPLIT(E720,"-"),2)</f>
        <v>男装</v>
      </c>
      <c r="G720" s="2" t="str" cm="1">
        <f t="array" ref="G720">INDEX(_xlfn.TEXTSPLIT(E720,"-"),3)</f>
        <v>针织衫/毛衣</v>
      </c>
      <c r="H720" s="5">
        <v>370799</v>
      </c>
      <c r="I720" s="5">
        <v>44152833.63</v>
      </c>
      <c r="J720" s="6">
        <v>0.0507</v>
      </c>
      <c r="K720" s="6">
        <v>-0.0548</v>
      </c>
    </row>
    <row r="721" ht="14.5" spans="1:11">
      <c r="A721" s="3" t="str">
        <f t="shared" si="36"/>
        <v>2026年</v>
      </c>
      <c r="B721" s="3" t="str">
        <f t="shared" si="37"/>
        <v>1月</v>
      </c>
      <c r="C721" s="4" t="str">
        <f t="shared" si="38"/>
        <v>W4</v>
      </c>
      <c r="D721" s="2" t="s">
        <v>756</v>
      </c>
      <c r="E721" s="2" t="s">
        <v>839</v>
      </c>
      <c r="F721" s="2" t="str" cm="1">
        <f t="array" ref="F721">INDEX(_xlfn.TEXTSPLIT(E721,"-"),2)</f>
        <v>男装</v>
      </c>
      <c r="G721" s="2" t="str" cm="1">
        <f t="array" ref="G721">INDEX(_xlfn.TEXTSPLIT(E721,"-"),3)</f>
        <v>防晒服</v>
      </c>
      <c r="H721" s="5">
        <v>176</v>
      </c>
      <c r="I721" s="5">
        <v>14182.85</v>
      </c>
      <c r="J721" s="2" t="s">
        <v>713</v>
      </c>
      <c r="K721" s="6">
        <v>-0.3793</v>
      </c>
    </row>
    <row r="722" ht="14.5" spans="1:11">
      <c r="A722" s="3" t="str">
        <f t="shared" si="36"/>
        <v>2026年</v>
      </c>
      <c r="B722" s="3" t="str">
        <f t="shared" si="37"/>
        <v>1月</v>
      </c>
      <c r="C722" s="4" t="str">
        <f t="shared" si="38"/>
        <v>W4</v>
      </c>
      <c r="D722" s="2" t="s">
        <v>756</v>
      </c>
      <c r="E722" s="2" t="s">
        <v>840</v>
      </c>
      <c r="F722" s="2" t="str" cm="1">
        <f t="array" ref="F722">INDEX(_xlfn.TEXTSPLIT(E722,"-"),2)</f>
        <v>男装</v>
      </c>
      <c r="G722" s="2" t="str" cm="1">
        <f t="array" ref="G722">INDEX(_xlfn.TEXTSPLIT(E722,"-"),3)</f>
        <v>风衣</v>
      </c>
      <c r="H722" s="5">
        <v>6092</v>
      </c>
      <c r="I722" s="5">
        <v>2288899.44</v>
      </c>
      <c r="J722" s="6">
        <v>0.0026</v>
      </c>
      <c r="K722" s="6">
        <v>-0.0806</v>
      </c>
    </row>
    <row r="723" ht="14.5" spans="1:11">
      <c r="A723" s="3" t="str">
        <f t="shared" si="36"/>
        <v>2026年</v>
      </c>
      <c r="B723" s="3" t="str">
        <f t="shared" si="37"/>
        <v>1月</v>
      </c>
      <c r="C723" s="4" t="str">
        <f t="shared" si="38"/>
        <v>W4</v>
      </c>
      <c r="D723" s="2" t="s">
        <v>756</v>
      </c>
      <c r="E723" s="2" t="s">
        <v>841</v>
      </c>
      <c r="F723" s="2" t="str" cm="1">
        <f t="array" ref="F723">INDEX(_xlfn.TEXTSPLIT(E723,"-"),2)</f>
        <v>男装</v>
      </c>
      <c r="G723" s="2" t="str" cm="1">
        <f t="array" ref="G723">INDEX(_xlfn.TEXTSPLIT(E723,"-"),3)</f>
        <v>马甲</v>
      </c>
      <c r="H723" s="5">
        <v>49519</v>
      </c>
      <c r="I723" s="5">
        <v>4655048.83</v>
      </c>
      <c r="J723" s="6">
        <v>0.0053</v>
      </c>
      <c r="K723" s="6">
        <v>-0.0062</v>
      </c>
    </row>
    <row r="724" ht="14.5" spans="1:11">
      <c r="A724" s="3" t="str">
        <f t="shared" si="36"/>
        <v>2026年</v>
      </c>
      <c r="B724" s="3" t="str">
        <f t="shared" si="37"/>
        <v>1月</v>
      </c>
      <c r="C724" s="4" t="str">
        <f t="shared" si="38"/>
        <v>W4</v>
      </c>
      <c r="D724" s="2" t="s">
        <v>757</v>
      </c>
      <c r="E724" s="2" t="s">
        <v>804</v>
      </c>
      <c r="F724" s="2" t="str" cm="1">
        <f t="array" ref="F724">INDEX(_xlfn.TEXTSPLIT(E724,"-"),2)</f>
        <v>男装</v>
      </c>
      <c r="G724" s="2" t="str" cm="1">
        <f t="array" ref="G724">INDEX(_xlfn.TEXTSPLIT(E724,"-"),3)</f>
        <v>Polo衫</v>
      </c>
      <c r="H724" s="5">
        <v>30948</v>
      </c>
      <c r="I724" s="5">
        <v>2831035.08</v>
      </c>
      <c r="J724" s="6">
        <v>0.0044</v>
      </c>
      <c r="K724" s="6">
        <v>-0.353</v>
      </c>
    </row>
    <row r="725" ht="14.5" spans="1:11">
      <c r="A725" s="3" t="str">
        <f t="shared" si="36"/>
        <v>2026年</v>
      </c>
      <c r="B725" s="3" t="str">
        <f t="shared" si="37"/>
        <v>1月</v>
      </c>
      <c r="C725" s="4" t="str">
        <f t="shared" si="38"/>
        <v>W4</v>
      </c>
      <c r="D725" s="2" t="s">
        <v>757</v>
      </c>
      <c r="E725" s="2" t="s">
        <v>805</v>
      </c>
      <c r="F725" s="2" t="str" cm="1">
        <f t="array" ref="F725">INDEX(_xlfn.TEXTSPLIT(E725,"-"),2)</f>
        <v>男装</v>
      </c>
      <c r="G725" s="2" t="str" cm="1">
        <f t="array" ref="G725">INDEX(_xlfn.TEXTSPLIT(E725,"-"),3)</f>
        <v>T恤</v>
      </c>
      <c r="H725" s="5">
        <v>214297</v>
      </c>
      <c r="I725" s="5">
        <v>16813240.44</v>
      </c>
      <c r="J725" s="6">
        <v>0.0264</v>
      </c>
      <c r="K725" s="6">
        <v>-0.3914</v>
      </c>
    </row>
    <row r="726" ht="14.5" spans="1:11">
      <c r="A726" s="3" t="str">
        <f t="shared" si="36"/>
        <v>2026年</v>
      </c>
      <c r="B726" s="3" t="str">
        <f t="shared" si="37"/>
        <v>1月</v>
      </c>
      <c r="C726" s="4" t="str">
        <f t="shared" si="38"/>
        <v>W4</v>
      </c>
      <c r="D726" s="2" t="s">
        <v>757</v>
      </c>
      <c r="E726" s="2" t="s">
        <v>806</v>
      </c>
      <c r="F726" s="2" t="str" cm="1">
        <f t="array" ref="F726">INDEX(_xlfn.TEXTSPLIT(E726,"-"),2)</f>
        <v>男装</v>
      </c>
      <c r="G726" s="2" t="str" cm="1">
        <f t="array" ref="G726">INDEX(_xlfn.TEXTSPLIT(E726,"-"),3)</f>
        <v>中老年男装</v>
      </c>
      <c r="H726" s="5">
        <v>74117</v>
      </c>
      <c r="I726" s="5">
        <v>11464483.71</v>
      </c>
      <c r="J726" s="6">
        <v>0.018</v>
      </c>
      <c r="K726" s="6">
        <v>-0.4014</v>
      </c>
    </row>
    <row r="727" ht="14.5" spans="1:11">
      <c r="A727" s="3" t="str">
        <f t="shared" si="36"/>
        <v>2026年</v>
      </c>
      <c r="B727" s="3" t="str">
        <f t="shared" si="37"/>
        <v>1月</v>
      </c>
      <c r="C727" s="4" t="str">
        <f t="shared" si="38"/>
        <v>W4</v>
      </c>
      <c r="D727" s="2" t="s">
        <v>757</v>
      </c>
      <c r="E727" s="2" t="s">
        <v>807</v>
      </c>
      <c r="F727" s="2" t="str" cm="1">
        <f t="array" ref="F727">INDEX(_xlfn.TEXTSPLIT(E727,"-"),2)</f>
        <v>男装</v>
      </c>
      <c r="G727" s="2" t="str" cm="1">
        <f t="array" ref="G727">INDEX(_xlfn.TEXTSPLIT(E727,"-"),3)</f>
        <v>休闲裤</v>
      </c>
      <c r="H727" s="5">
        <v>705776</v>
      </c>
      <c r="I727" s="5">
        <v>71924657.6</v>
      </c>
      <c r="J727" s="6">
        <v>0.1128</v>
      </c>
      <c r="K727" s="6">
        <v>-0.2599</v>
      </c>
    </row>
    <row r="728" ht="14.5" spans="1:11">
      <c r="A728" s="3" t="str">
        <f t="shared" si="36"/>
        <v>2026年</v>
      </c>
      <c r="B728" s="3" t="str">
        <f t="shared" si="37"/>
        <v>1月</v>
      </c>
      <c r="C728" s="4" t="str">
        <f t="shared" si="38"/>
        <v>W4</v>
      </c>
      <c r="D728" s="2" t="s">
        <v>757</v>
      </c>
      <c r="E728" s="2" t="s">
        <v>808</v>
      </c>
      <c r="F728" s="2" t="str" cm="1">
        <f t="array" ref="F728">INDEX(_xlfn.TEXTSPLIT(E728,"-"),2)</f>
        <v>男装</v>
      </c>
      <c r="G728" s="2" t="str" cm="1">
        <f t="array" ref="G728">INDEX(_xlfn.TEXTSPLIT(E728,"-"),3)</f>
        <v>卫衣</v>
      </c>
      <c r="H728" s="5">
        <v>436155</v>
      </c>
      <c r="I728" s="5">
        <v>36247474.51</v>
      </c>
      <c r="J728" s="6">
        <v>0.0569</v>
      </c>
      <c r="K728" s="6">
        <v>-0.262</v>
      </c>
    </row>
    <row r="729" ht="14.5" spans="1:11">
      <c r="A729" s="3" t="str">
        <f t="shared" si="36"/>
        <v>2026年</v>
      </c>
      <c r="B729" s="3" t="str">
        <f t="shared" si="37"/>
        <v>1月</v>
      </c>
      <c r="C729" s="4" t="str">
        <f t="shared" si="38"/>
        <v>W4</v>
      </c>
      <c r="D729" s="2" t="s">
        <v>757</v>
      </c>
      <c r="E729" s="2" t="s">
        <v>809</v>
      </c>
      <c r="F729" s="2" t="str" cm="1">
        <f t="array" ref="F729">INDEX(_xlfn.TEXTSPLIT(E729,"-"),2)</f>
        <v>男装</v>
      </c>
      <c r="G729" s="2" t="str" cm="1">
        <f t="array" ref="G729">INDEX(_xlfn.TEXTSPLIT(E729,"-"),3)</f>
        <v>卫裤</v>
      </c>
      <c r="H729" s="5">
        <v>155162</v>
      </c>
      <c r="I729" s="5">
        <v>15289841.65</v>
      </c>
      <c r="J729" s="6">
        <v>0.024</v>
      </c>
      <c r="K729" s="6">
        <v>-0.3003</v>
      </c>
    </row>
    <row r="730" ht="14.5" spans="1:11">
      <c r="A730" s="3" t="str">
        <f t="shared" si="36"/>
        <v>2026年</v>
      </c>
      <c r="B730" s="3" t="str">
        <f t="shared" si="37"/>
        <v>1月</v>
      </c>
      <c r="C730" s="4" t="str">
        <f t="shared" si="38"/>
        <v>W4</v>
      </c>
      <c r="D730" s="2" t="s">
        <v>757</v>
      </c>
      <c r="E730" s="2" t="s">
        <v>810</v>
      </c>
      <c r="F730" s="2" t="str" cm="1">
        <f t="array" ref="F730">INDEX(_xlfn.TEXTSPLIT(E730,"-"),2)</f>
        <v>男装</v>
      </c>
      <c r="G730" s="2" t="str" cm="1">
        <f t="array" ref="G730">INDEX(_xlfn.TEXTSPLIT(E730,"-"),3)</f>
        <v>大码男装</v>
      </c>
      <c r="H730" s="5">
        <v>25699</v>
      </c>
      <c r="I730" s="5">
        <v>2165323.54</v>
      </c>
      <c r="J730" s="6">
        <v>0.0034</v>
      </c>
      <c r="K730" s="6">
        <v>-0.5317</v>
      </c>
    </row>
    <row r="731" ht="14.5" spans="1:11">
      <c r="A731" s="3" t="str">
        <f t="shared" si="36"/>
        <v>2026年</v>
      </c>
      <c r="B731" s="3" t="str">
        <f t="shared" si="37"/>
        <v>1月</v>
      </c>
      <c r="C731" s="4" t="str">
        <f t="shared" si="38"/>
        <v>W4</v>
      </c>
      <c r="D731" s="2" t="s">
        <v>757</v>
      </c>
      <c r="E731" s="2" t="s">
        <v>811</v>
      </c>
      <c r="F731" s="2" t="str" cm="1">
        <f t="array" ref="F731">INDEX(_xlfn.TEXTSPLIT(E731,"-"),2)</f>
        <v>男装</v>
      </c>
      <c r="G731" s="2" t="str" cm="1">
        <f t="array" ref="G731">INDEX(_xlfn.TEXTSPLIT(E731,"-"),3)</f>
        <v>夹克</v>
      </c>
      <c r="H731" s="5">
        <v>305234</v>
      </c>
      <c r="I731" s="5">
        <v>53641763.22</v>
      </c>
      <c r="J731" s="6">
        <v>0.0842</v>
      </c>
      <c r="K731" s="6">
        <v>-0.2886</v>
      </c>
    </row>
    <row r="732" ht="14.5" spans="1:11">
      <c r="A732" s="3" t="str">
        <f t="shared" si="36"/>
        <v>2026年</v>
      </c>
      <c r="B732" s="3" t="str">
        <f t="shared" si="37"/>
        <v>1月</v>
      </c>
      <c r="C732" s="4" t="str">
        <f t="shared" si="38"/>
        <v>W4</v>
      </c>
      <c r="D732" s="2" t="s">
        <v>757</v>
      </c>
      <c r="E732" s="2" t="s">
        <v>812</v>
      </c>
      <c r="F732" s="2" t="str" cm="1">
        <f t="array" ref="F732">INDEX(_xlfn.TEXTSPLIT(E732,"-"),2)</f>
        <v>男装</v>
      </c>
      <c r="G732" s="2" t="str" cm="1">
        <f t="array" ref="G732">INDEX(_xlfn.TEXTSPLIT(E732,"-"),3)</f>
        <v>套装</v>
      </c>
      <c r="H732" s="5">
        <v>33409</v>
      </c>
      <c r="I732" s="5">
        <v>4978356.97</v>
      </c>
      <c r="J732" s="6">
        <v>0.0078</v>
      </c>
      <c r="K732" s="6">
        <v>-0.2809</v>
      </c>
    </row>
    <row r="733" ht="14.5" spans="1:11">
      <c r="A733" s="3" t="str">
        <f t="shared" si="36"/>
        <v>2026年</v>
      </c>
      <c r="B733" s="3" t="str">
        <f t="shared" si="37"/>
        <v>1月</v>
      </c>
      <c r="C733" s="4" t="str">
        <f t="shared" si="38"/>
        <v>W4</v>
      </c>
      <c r="D733" s="2" t="s">
        <v>757</v>
      </c>
      <c r="E733" s="2" t="s">
        <v>813</v>
      </c>
      <c r="F733" s="2" t="str" cm="1">
        <f t="array" ref="F733">INDEX(_xlfn.TEXTSPLIT(E733,"-"),2)</f>
        <v>男装</v>
      </c>
      <c r="G733" s="2" t="str" cm="1">
        <f t="array" ref="G733">INDEX(_xlfn.TEXTSPLIT(E733,"-"),3)</f>
        <v>学生校服</v>
      </c>
      <c r="H733" s="5">
        <v>20</v>
      </c>
      <c r="I733" s="5">
        <v>1744.77</v>
      </c>
      <c r="J733" s="2" t="s">
        <v>713</v>
      </c>
      <c r="K733" s="6">
        <v>-0.3438</v>
      </c>
    </row>
    <row r="734" ht="14.5" spans="1:11">
      <c r="A734" s="3" t="str">
        <f t="shared" si="36"/>
        <v>2026年</v>
      </c>
      <c r="B734" s="3" t="str">
        <f t="shared" si="37"/>
        <v>1月</v>
      </c>
      <c r="C734" s="4" t="str">
        <f t="shared" si="38"/>
        <v>W4</v>
      </c>
      <c r="D734" s="2" t="s">
        <v>757</v>
      </c>
      <c r="E734" s="2" t="s">
        <v>814</v>
      </c>
      <c r="F734" s="2" t="str" cm="1">
        <f t="array" ref="F734">INDEX(_xlfn.TEXTSPLIT(E734,"-"),2)</f>
        <v>男装</v>
      </c>
      <c r="G734" s="2" t="str" cm="1">
        <f t="array" ref="G734">INDEX(_xlfn.TEXTSPLIT(E734,"-"),3)</f>
        <v>打底衫</v>
      </c>
      <c r="H734" s="5">
        <v>14854</v>
      </c>
      <c r="I734" s="5">
        <v>1036332.55</v>
      </c>
      <c r="J734" s="6">
        <v>0.0016</v>
      </c>
      <c r="K734" s="6">
        <v>-0.0511</v>
      </c>
    </row>
    <row r="735" ht="14.5" spans="1:11">
      <c r="A735" s="3" t="str">
        <f t="shared" si="36"/>
        <v>2026年</v>
      </c>
      <c r="B735" s="3" t="str">
        <f t="shared" si="37"/>
        <v>1月</v>
      </c>
      <c r="C735" s="4" t="str">
        <f t="shared" si="38"/>
        <v>W4</v>
      </c>
      <c r="D735" s="2" t="s">
        <v>757</v>
      </c>
      <c r="E735" s="2" t="s">
        <v>815</v>
      </c>
      <c r="F735" s="2" t="str" cm="1">
        <f t="array" ref="F735">INDEX(_xlfn.TEXTSPLIT(E735,"-"),2)</f>
        <v>男装</v>
      </c>
      <c r="G735" s="2" t="str" cm="1">
        <f t="array" ref="G735">INDEX(_xlfn.TEXTSPLIT(E735,"-"),3)</f>
        <v>新中式男装</v>
      </c>
      <c r="H735" s="5">
        <v>174</v>
      </c>
      <c r="I735" s="5">
        <v>49747.82</v>
      </c>
      <c r="J735" s="6">
        <v>0.0001</v>
      </c>
      <c r="K735" s="6">
        <v>-0.2541</v>
      </c>
    </row>
    <row r="736" ht="14.5" spans="1:11">
      <c r="A736" s="3" t="str">
        <f t="shared" si="36"/>
        <v>2026年</v>
      </c>
      <c r="B736" s="3" t="str">
        <f t="shared" si="37"/>
        <v>1月</v>
      </c>
      <c r="C736" s="4" t="str">
        <f t="shared" si="38"/>
        <v>W4</v>
      </c>
      <c r="D736" s="2" t="s">
        <v>757</v>
      </c>
      <c r="E736" s="2" t="s">
        <v>816</v>
      </c>
      <c r="F736" s="2" t="str" cm="1">
        <f t="array" ref="F736">INDEX(_xlfn.TEXTSPLIT(E736,"-"),2)</f>
        <v>男装</v>
      </c>
      <c r="G736" s="2" t="str" cm="1">
        <f t="array" ref="G736">INDEX(_xlfn.TEXTSPLIT(E736,"-"),3)</f>
        <v>棉衣</v>
      </c>
      <c r="H736" s="5">
        <v>302571</v>
      </c>
      <c r="I736" s="5">
        <v>38122069.13</v>
      </c>
      <c r="J736" s="6">
        <v>0.0598</v>
      </c>
      <c r="K736" s="6">
        <v>-0.2425</v>
      </c>
    </row>
    <row r="737" ht="14.5" spans="1:11">
      <c r="A737" s="3" t="str">
        <f t="shared" si="36"/>
        <v>2026年</v>
      </c>
      <c r="B737" s="3" t="str">
        <f t="shared" si="37"/>
        <v>1月</v>
      </c>
      <c r="C737" s="4" t="str">
        <f t="shared" si="38"/>
        <v>W4</v>
      </c>
      <c r="D737" s="2" t="s">
        <v>757</v>
      </c>
      <c r="E737" s="2" t="s">
        <v>817</v>
      </c>
      <c r="F737" s="2" t="str" cm="1">
        <f t="array" ref="F737">INDEX(_xlfn.TEXTSPLIT(E737,"-"),2)</f>
        <v>男装</v>
      </c>
      <c r="G737" s="2" t="str" cm="1">
        <f t="array" ref="G737">INDEX(_xlfn.TEXTSPLIT(E737,"-"),3)</f>
        <v>棉裤</v>
      </c>
      <c r="H737" s="5">
        <v>32802</v>
      </c>
      <c r="I737" s="5">
        <v>2264207.85</v>
      </c>
      <c r="J737" s="6">
        <v>0.0036</v>
      </c>
      <c r="K737" s="6">
        <v>-0.3309</v>
      </c>
    </row>
    <row r="738" ht="14.5" spans="1:11">
      <c r="A738" s="3" t="str">
        <f t="shared" si="36"/>
        <v>2026年</v>
      </c>
      <c r="B738" s="3" t="str">
        <f t="shared" si="37"/>
        <v>1月</v>
      </c>
      <c r="C738" s="4" t="str">
        <f t="shared" si="38"/>
        <v>W4</v>
      </c>
      <c r="D738" s="2" t="s">
        <v>757</v>
      </c>
      <c r="E738" s="2" t="s">
        <v>818</v>
      </c>
      <c r="F738" s="2" t="str" cm="1">
        <f t="array" ref="F738">INDEX(_xlfn.TEXTSPLIT(E738,"-"),2)</f>
        <v>男装</v>
      </c>
      <c r="G738" s="2" t="str" cm="1">
        <f t="array" ref="G738">INDEX(_xlfn.TEXTSPLIT(E738,"-"),3)</f>
        <v>毛呢大衣</v>
      </c>
      <c r="H738" s="5">
        <v>35869</v>
      </c>
      <c r="I738" s="5">
        <v>15330269.38</v>
      </c>
      <c r="J738" s="6">
        <v>0.0241</v>
      </c>
      <c r="K738" s="6">
        <v>-0.3082</v>
      </c>
    </row>
    <row r="739" ht="14.5" spans="1:11">
      <c r="A739" s="3" t="str">
        <f t="shared" si="36"/>
        <v>2026年</v>
      </c>
      <c r="B739" s="3" t="str">
        <f t="shared" si="37"/>
        <v>1月</v>
      </c>
      <c r="C739" s="4" t="str">
        <f t="shared" si="38"/>
        <v>W4</v>
      </c>
      <c r="D739" s="2" t="s">
        <v>757</v>
      </c>
      <c r="E739" s="2" t="s">
        <v>819</v>
      </c>
      <c r="F739" s="2" t="str" cm="1">
        <f t="array" ref="F739">INDEX(_xlfn.TEXTSPLIT(E739,"-"),2)</f>
        <v>男装</v>
      </c>
      <c r="G739" s="2" t="str" cm="1">
        <f t="array" ref="G739">INDEX(_xlfn.TEXTSPLIT(E739,"-"),3)</f>
        <v>民族服装</v>
      </c>
      <c r="H739" s="5">
        <v>4496</v>
      </c>
      <c r="I739" s="5">
        <v>1018286.95</v>
      </c>
      <c r="J739" s="6">
        <v>0.0016</v>
      </c>
      <c r="K739" s="6">
        <v>-0.352</v>
      </c>
    </row>
    <row r="740" ht="14.5" spans="1:11">
      <c r="A740" s="3" t="str">
        <f t="shared" si="36"/>
        <v>2026年</v>
      </c>
      <c r="B740" s="3" t="str">
        <f t="shared" si="37"/>
        <v>1月</v>
      </c>
      <c r="C740" s="4" t="str">
        <f t="shared" si="38"/>
        <v>W4</v>
      </c>
      <c r="D740" s="2" t="s">
        <v>757</v>
      </c>
      <c r="E740" s="2" t="s">
        <v>820</v>
      </c>
      <c r="F740" s="2" t="str" cm="1">
        <f t="array" ref="F740">INDEX(_xlfn.TEXTSPLIT(E740,"-"),2)</f>
        <v>男装</v>
      </c>
      <c r="G740" s="2" t="str" cm="1">
        <f t="array" ref="G740">INDEX(_xlfn.TEXTSPLIT(E740,"-"),3)</f>
        <v>派克服</v>
      </c>
      <c r="H740" s="5">
        <v>15039</v>
      </c>
      <c r="I740" s="5">
        <v>3417851.02</v>
      </c>
      <c r="J740" s="6">
        <v>0.0054</v>
      </c>
      <c r="K740" s="6">
        <v>-0.0791</v>
      </c>
    </row>
    <row r="741" ht="14.5" spans="1:11">
      <c r="A741" s="3" t="str">
        <f t="shared" si="36"/>
        <v>2026年</v>
      </c>
      <c r="B741" s="3" t="str">
        <f t="shared" si="37"/>
        <v>1月</v>
      </c>
      <c r="C741" s="4" t="str">
        <f t="shared" si="38"/>
        <v>W4</v>
      </c>
      <c r="D741" s="2" t="s">
        <v>757</v>
      </c>
      <c r="E741" s="2" t="s">
        <v>821</v>
      </c>
      <c r="F741" s="2" t="str" cm="1">
        <f t="array" ref="F741">INDEX(_xlfn.TEXTSPLIT(E741,"-"),2)</f>
        <v>男装</v>
      </c>
      <c r="G741" s="2" t="str" cm="1">
        <f t="array" ref="G741">INDEX(_xlfn.TEXTSPLIT(E741,"-"),3)</f>
        <v>牛仔裤</v>
      </c>
      <c r="H741" s="5">
        <v>447457</v>
      </c>
      <c r="I741" s="5">
        <v>49426409.13</v>
      </c>
      <c r="J741" s="6">
        <v>0.0775</v>
      </c>
      <c r="K741" s="6">
        <v>-0.2627</v>
      </c>
    </row>
    <row r="742" ht="14.5" spans="1:11">
      <c r="A742" s="3" t="str">
        <f t="shared" si="36"/>
        <v>2026年</v>
      </c>
      <c r="B742" s="3" t="str">
        <f t="shared" si="37"/>
        <v>1月</v>
      </c>
      <c r="C742" s="4" t="str">
        <f t="shared" si="38"/>
        <v>W4</v>
      </c>
      <c r="D742" s="2" t="s">
        <v>757</v>
      </c>
      <c r="E742" s="2" t="s">
        <v>822</v>
      </c>
      <c r="F742" s="2" t="str" cm="1">
        <f t="array" ref="F742">INDEX(_xlfn.TEXTSPLIT(E742,"-"),2)</f>
        <v>男装</v>
      </c>
      <c r="G742" s="2" t="str" cm="1">
        <f t="array" ref="G742">INDEX(_xlfn.TEXTSPLIT(E742,"-"),3)</f>
        <v>皮草</v>
      </c>
      <c r="H742" s="5">
        <v>4791</v>
      </c>
      <c r="I742" s="5">
        <v>4686297.01</v>
      </c>
      <c r="J742" s="6">
        <v>0.0074</v>
      </c>
      <c r="K742" s="6">
        <v>-0.4011</v>
      </c>
    </row>
    <row r="743" ht="14.5" spans="1:11">
      <c r="A743" s="3" t="str">
        <f t="shared" si="36"/>
        <v>2026年</v>
      </c>
      <c r="B743" s="3" t="str">
        <f t="shared" si="37"/>
        <v>1月</v>
      </c>
      <c r="C743" s="4" t="str">
        <f t="shared" si="38"/>
        <v>W4</v>
      </c>
      <c r="D743" s="2" t="s">
        <v>757</v>
      </c>
      <c r="E743" s="2" t="s">
        <v>823</v>
      </c>
      <c r="F743" s="2" t="str" cm="1">
        <f t="array" ref="F743">INDEX(_xlfn.TEXTSPLIT(E743,"-"),2)</f>
        <v>男装</v>
      </c>
      <c r="G743" s="2" t="str" cm="1">
        <f t="array" ref="G743">INDEX(_xlfn.TEXTSPLIT(E743,"-"),3)</f>
        <v>皮衣</v>
      </c>
      <c r="H743" s="5">
        <v>39206</v>
      </c>
      <c r="I743" s="5">
        <v>19144652.55</v>
      </c>
      <c r="J743" s="7">
        <v>0.03</v>
      </c>
      <c r="K743" s="6">
        <v>-0.2363</v>
      </c>
    </row>
    <row r="744" ht="14.5" spans="1:11">
      <c r="A744" s="3" t="str">
        <f t="shared" si="36"/>
        <v>2026年</v>
      </c>
      <c r="B744" s="3" t="str">
        <f t="shared" si="37"/>
        <v>1月</v>
      </c>
      <c r="C744" s="4" t="str">
        <f t="shared" si="38"/>
        <v>W4</v>
      </c>
      <c r="D744" s="2" t="s">
        <v>757</v>
      </c>
      <c r="E744" s="2" t="s">
        <v>824</v>
      </c>
      <c r="F744" s="2" t="str" cm="1">
        <f t="array" ref="F744">INDEX(_xlfn.TEXTSPLIT(E744,"-"),2)</f>
        <v>男装</v>
      </c>
      <c r="G744" s="2" t="str" cm="1">
        <f t="array" ref="G744">INDEX(_xlfn.TEXTSPLIT(E744,"-"),3)</f>
        <v>皮裤</v>
      </c>
      <c r="H744" s="5">
        <v>2267</v>
      </c>
      <c r="I744" s="5">
        <v>353508.7</v>
      </c>
      <c r="J744" s="6">
        <v>0.0006</v>
      </c>
      <c r="K744" s="7">
        <v>-0.36</v>
      </c>
    </row>
    <row r="745" ht="14.5" spans="1:11">
      <c r="A745" s="3" t="str">
        <f t="shared" si="36"/>
        <v>2026年</v>
      </c>
      <c r="B745" s="3" t="str">
        <f t="shared" si="37"/>
        <v>1月</v>
      </c>
      <c r="C745" s="4" t="str">
        <f t="shared" si="38"/>
        <v>W4</v>
      </c>
      <c r="D745" s="2" t="s">
        <v>757</v>
      </c>
      <c r="E745" s="2" t="s">
        <v>825</v>
      </c>
      <c r="F745" s="2" t="str" cm="1">
        <f t="array" ref="F745">INDEX(_xlfn.TEXTSPLIT(E745,"-"),2)</f>
        <v>男装</v>
      </c>
      <c r="G745" s="2" t="str" cm="1">
        <f t="array" ref="G745">INDEX(_xlfn.TEXTSPLIT(E745,"-"),3)</f>
        <v>短外套</v>
      </c>
      <c r="H745" s="5">
        <v>28333</v>
      </c>
      <c r="I745" s="5">
        <v>2248507.02</v>
      </c>
      <c r="J745" s="6">
        <v>0.0035</v>
      </c>
      <c r="K745" s="6">
        <v>-0.3998</v>
      </c>
    </row>
    <row r="746" ht="14.5" spans="1:11">
      <c r="A746" s="3" t="str">
        <f t="shared" si="36"/>
        <v>2026年</v>
      </c>
      <c r="B746" s="3" t="str">
        <f t="shared" si="37"/>
        <v>1月</v>
      </c>
      <c r="C746" s="4" t="str">
        <f t="shared" si="38"/>
        <v>W4</v>
      </c>
      <c r="D746" s="2" t="s">
        <v>757</v>
      </c>
      <c r="E746" s="2" t="s">
        <v>826</v>
      </c>
      <c r="F746" s="2" t="str" cm="1">
        <f t="array" ref="F746">INDEX(_xlfn.TEXTSPLIT(E746,"-"),2)</f>
        <v>男装</v>
      </c>
      <c r="G746" s="2" t="str" cm="1">
        <f t="array" ref="G746">INDEX(_xlfn.TEXTSPLIT(E746,"-"),3)</f>
        <v>短裤</v>
      </c>
      <c r="H746" s="5">
        <v>36579</v>
      </c>
      <c r="I746" s="5">
        <v>1199657.65</v>
      </c>
      <c r="J746" s="6">
        <v>0.0019</v>
      </c>
      <c r="K746" s="6">
        <v>-0.2068</v>
      </c>
    </row>
    <row r="747" ht="14.5" spans="1:11">
      <c r="A747" s="3" t="str">
        <f t="shared" si="36"/>
        <v>2026年</v>
      </c>
      <c r="B747" s="3" t="str">
        <f t="shared" si="37"/>
        <v>1月</v>
      </c>
      <c r="C747" s="4" t="str">
        <f t="shared" si="38"/>
        <v>W4</v>
      </c>
      <c r="D747" s="2" t="s">
        <v>757</v>
      </c>
      <c r="E747" s="2" t="s">
        <v>827</v>
      </c>
      <c r="F747" s="2" t="str" cm="1">
        <f t="array" ref="F747">INDEX(_xlfn.TEXTSPLIT(E747,"-"),2)</f>
        <v>男装</v>
      </c>
      <c r="G747" s="2" t="str" cm="1">
        <f t="array" ref="G747">INDEX(_xlfn.TEXTSPLIT(E747,"-"),3)</f>
        <v>紧身衣</v>
      </c>
      <c r="H747" s="5">
        <v>94</v>
      </c>
      <c r="I747" s="5">
        <v>3619.23</v>
      </c>
      <c r="J747" s="2" t="s">
        <v>713</v>
      </c>
      <c r="K747" s="6">
        <v>-0.3801</v>
      </c>
    </row>
    <row r="748" ht="14.5" spans="1:11">
      <c r="A748" s="3" t="str">
        <f t="shared" si="36"/>
        <v>2026年</v>
      </c>
      <c r="B748" s="3" t="str">
        <f t="shared" si="37"/>
        <v>1月</v>
      </c>
      <c r="C748" s="4" t="str">
        <f t="shared" si="38"/>
        <v>W4</v>
      </c>
      <c r="D748" s="2" t="s">
        <v>757</v>
      </c>
      <c r="E748" s="2" t="s">
        <v>828</v>
      </c>
      <c r="F748" s="2" t="str" cm="1">
        <f t="array" ref="F748">INDEX(_xlfn.TEXTSPLIT(E748,"-"),2)</f>
        <v>男装</v>
      </c>
      <c r="G748" s="2" t="str" cm="1">
        <f t="array" ref="G748">INDEX(_xlfn.TEXTSPLIT(E748,"-"),3)</f>
        <v>羊毛衫</v>
      </c>
      <c r="H748" s="5">
        <v>90890</v>
      </c>
      <c r="I748" s="5">
        <v>12827697.9</v>
      </c>
      <c r="J748" s="6">
        <v>0.0201</v>
      </c>
      <c r="K748" s="6">
        <v>-0.2337</v>
      </c>
    </row>
    <row r="749" ht="14.5" spans="1:11">
      <c r="A749" s="3" t="str">
        <f t="shared" si="36"/>
        <v>2026年</v>
      </c>
      <c r="B749" s="3" t="str">
        <f t="shared" si="37"/>
        <v>1月</v>
      </c>
      <c r="C749" s="4" t="str">
        <f t="shared" si="38"/>
        <v>W4</v>
      </c>
      <c r="D749" s="2" t="s">
        <v>757</v>
      </c>
      <c r="E749" s="2" t="s">
        <v>829</v>
      </c>
      <c r="F749" s="2" t="str" cm="1">
        <f t="array" ref="F749">INDEX(_xlfn.TEXTSPLIT(E749,"-"),2)</f>
        <v>男装</v>
      </c>
      <c r="G749" s="2" t="str" cm="1">
        <f t="array" ref="G749">INDEX(_xlfn.TEXTSPLIT(E749,"-"),3)</f>
        <v>羊绒衫</v>
      </c>
      <c r="H749" s="5">
        <v>14026</v>
      </c>
      <c r="I749" s="5">
        <v>4503656.26</v>
      </c>
      <c r="J749" s="6">
        <v>0.0071</v>
      </c>
      <c r="K749" s="6">
        <v>-0.3192</v>
      </c>
    </row>
    <row r="750" ht="14.5" spans="1:11">
      <c r="A750" s="3" t="str">
        <f t="shared" si="36"/>
        <v>2026年</v>
      </c>
      <c r="B750" s="3" t="str">
        <f t="shared" si="37"/>
        <v>1月</v>
      </c>
      <c r="C750" s="4" t="str">
        <f t="shared" si="38"/>
        <v>W4</v>
      </c>
      <c r="D750" s="2" t="s">
        <v>757</v>
      </c>
      <c r="E750" s="2" t="s">
        <v>830</v>
      </c>
      <c r="F750" s="2" t="str" cm="1">
        <f t="array" ref="F750">INDEX(_xlfn.TEXTSPLIT(E750,"-"),2)</f>
        <v>男装</v>
      </c>
      <c r="G750" s="2" t="str" cm="1">
        <f t="array" ref="G750">INDEX(_xlfn.TEXTSPLIT(E750,"-"),3)</f>
        <v>羽绒服</v>
      </c>
      <c r="H750" s="5">
        <v>519471</v>
      </c>
      <c r="I750" s="5">
        <v>205635645.3</v>
      </c>
      <c r="J750" s="6">
        <v>0.3226</v>
      </c>
      <c r="K750" s="6">
        <v>-0.225</v>
      </c>
    </row>
    <row r="751" ht="14.5" spans="1:11">
      <c r="A751" s="3" t="str">
        <f t="shared" si="36"/>
        <v>2026年</v>
      </c>
      <c r="B751" s="3" t="str">
        <f t="shared" si="37"/>
        <v>1月</v>
      </c>
      <c r="C751" s="4" t="str">
        <f t="shared" si="38"/>
        <v>W4</v>
      </c>
      <c r="D751" s="2" t="s">
        <v>757</v>
      </c>
      <c r="E751" s="2" t="s">
        <v>831</v>
      </c>
      <c r="F751" s="2" t="str" cm="1">
        <f t="array" ref="F751">INDEX(_xlfn.TEXTSPLIT(E751,"-"),2)</f>
        <v>男装</v>
      </c>
      <c r="G751" s="2" t="str" cm="1">
        <f t="array" ref="G751">INDEX(_xlfn.TEXTSPLIT(E751,"-"),3)</f>
        <v>羽绒裤</v>
      </c>
      <c r="H751" s="5">
        <v>13764</v>
      </c>
      <c r="I751" s="5">
        <v>2236061.87</v>
      </c>
      <c r="J751" s="6">
        <v>0.0035</v>
      </c>
      <c r="K751" s="6">
        <v>-0.4118</v>
      </c>
    </row>
    <row r="752" ht="14.5" spans="1:11">
      <c r="A752" s="3" t="str">
        <f t="shared" si="36"/>
        <v>2026年</v>
      </c>
      <c r="B752" s="3" t="str">
        <f t="shared" si="37"/>
        <v>1月</v>
      </c>
      <c r="C752" s="4" t="str">
        <f t="shared" si="38"/>
        <v>W4</v>
      </c>
      <c r="D752" s="2" t="s">
        <v>757</v>
      </c>
      <c r="E752" s="2" t="s">
        <v>832</v>
      </c>
      <c r="F752" s="2" t="str" cm="1">
        <f t="array" ref="F752">INDEX(_xlfn.TEXTSPLIT(E752,"-"),2)</f>
        <v>男装</v>
      </c>
      <c r="G752" s="2" t="str" cm="1">
        <f t="array" ref="G752">INDEX(_xlfn.TEXTSPLIT(E752,"-"),3)</f>
        <v>羽绒马甲</v>
      </c>
      <c r="H752" s="5">
        <v>9676</v>
      </c>
      <c r="I752" s="5">
        <v>1696876.06</v>
      </c>
      <c r="J752" s="6">
        <v>0.0027</v>
      </c>
      <c r="K752" s="6">
        <v>-0.4192</v>
      </c>
    </row>
    <row r="753" ht="14.5" spans="1:11">
      <c r="A753" s="3" t="str">
        <f t="shared" si="36"/>
        <v>2026年</v>
      </c>
      <c r="B753" s="3" t="str">
        <f t="shared" si="37"/>
        <v>1月</v>
      </c>
      <c r="C753" s="4" t="str">
        <f t="shared" si="38"/>
        <v>W4</v>
      </c>
      <c r="D753" s="2" t="s">
        <v>757</v>
      </c>
      <c r="E753" s="2" t="s">
        <v>833</v>
      </c>
      <c r="F753" s="2" t="str" cm="1">
        <f t="array" ref="F753">INDEX(_xlfn.TEXTSPLIT(E753,"-"),2)</f>
        <v>男装</v>
      </c>
      <c r="G753" s="2" t="str" cm="1">
        <f t="array" ref="G753">INDEX(_xlfn.TEXTSPLIT(E753,"-"),3)</f>
        <v>背心</v>
      </c>
      <c r="H753" s="5">
        <v>31170</v>
      </c>
      <c r="I753" s="5">
        <v>1773634.77</v>
      </c>
      <c r="J753" s="6">
        <v>0.0028</v>
      </c>
      <c r="K753" s="6">
        <v>-0.3966</v>
      </c>
    </row>
    <row r="754" ht="14.5" spans="1:11">
      <c r="A754" s="3" t="str">
        <f t="shared" si="36"/>
        <v>2026年</v>
      </c>
      <c r="B754" s="3" t="str">
        <f t="shared" si="37"/>
        <v>1月</v>
      </c>
      <c r="C754" s="4" t="str">
        <f t="shared" si="38"/>
        <v>W4</v>
      </c>
      <c r="D754" s="2" t="s">
        <v>757</v>
      </c>
      <c r="E754" s="2" t="s">
        <v>834</v>
      </c>
      <c r="F754" s="2" t="str" cm="1">
        <f t="array" ref="F754">INDEX(_xlfn.TEXTSPLIT(E754,"-"),2)</f>
        <v>男装</v>
      </c>
      <c r="G754" s="2" t="str" cm="1">
        <f t="array" ref="G754">INDEX(_xlfn.TEXTSPLIT(E754,"-"),3)</f>
        <v>衬衫</v>
      </c>
      <c r="H754" s="5">
        <v>54874</v>
      </c>
      <c r="I754" s="5">
        <v>6680758.45</v>
      </c>
      <c r="J754" s="6">
        <v>0.0105</v>
      </c>
      <c r="K754" s="6">
        <v>-0.3578</v>
      </c>
    </row>
    <row r="755" ht="14.5" spans="1:11">
      <c r="A755" s="3" t="str">
        <f t="shared" si="36"/>
        <v>2026年</v>
      </c>
      <c r="B755" s="3" t="str">
        <f t="shared" si="37"/>
        <v>1月</v>
      </c>
      <c r="C755" s="4" t="str">
        <f t="shared" si="38"/>
        <v>W4</v>
      </c>
      <c r="D755" s="2" t="s">
        <v>757</v>
      </c>
      <c r="E755" s="2" t="s">
        <v>835</v>
      </c>
      <c r="F755" s="2" t="str" cm="1">
        <f t="array" ref="F755">INDEX(_xlfn.TEXTSPLIT(E755,"-"),2)</f>
        <v>男装</v>
      </c>
      <c r="G755" s="2" t="str" cm="1">
        <f t="array" ref="G755">INDEX(_xlfn.TEXTSPLIT(E755,"-"),3)</f>
        <v>西服</v>
      </c>
      <c r="H755" s="5">
        <v>57606</v>
      </c>
      <c r="I755" s="5">
        <v>11213858.54</v>
      </c>
      <c r="J755" s="6">
        <v>0.0176</v>
      </c>
      <c r="K755" s="6">
        <v>-0.3465</v>
      </c>
    </row>
    <row r="756" ht="14.5" spans="1:11">
      <c r="A756" s="3" t="str">
        <f t="shared" si="36"/>
        <v>2026年</v>
      </c>
      <c r="B756" s="3" t="str">
        <f t="shared" si="37"/>
        <v>1月</v>
      </c>
      <c r="C756" s="4" t="str">
        <f t="shared" si="38"/>
        <v>W4</v>
      </c>
      <c r="D756" s="2" t="s">
        <v>757</v>
      </c>
      <c r="E756" s="2" t="s">
        <v>836</v>
      </c>
      <c r="F756" s="2" t="str" cm="1">
        <f t="array" ref="F756">INDEX(_xlfn.TEXTSPLIT(E756,"-"),2)</f>
        <v>男装</v>
      </c>
      <c r="G756" s="2" t="str" cm="1">
        <f t="array" ref="G756">INDEX(_xlfn.TEXTSPLIT(E756,"-"),3)</f>
        <v>连体衣/裤</v>
      </c>
      <c r="H756" s="5">
        <v>466</v>
      </c>
      <c r="I756" s="5">
        <v>16064.23</v>
      </c>
      <c r="J756" s="2" t="s">
        <v>713</v>
      </c>
      <c r="K756" s="6">
        <v>-0.3077</v>
      </c>
    </row>
    <row r="757" ht="14.5" spans="1:11">
      <c r="A757" s="3" t="str">
        <f t="shared" si="36"/>
        <v>2026年</v>
      </c>
      <c r="B757" s="3" t="str">
        <f t="shared" si="37"/>
        <v>1月</v>
      </c>
      <c r="C757" s="4" t="str">
        <f t="shared" si="38"/>
        <v>W4</v>
      </c>
      <c r="D757" s="2" t="s">
        <v>757</v>
      </c>
      <c r="E757" s="2" t="s">
        <v>837</v>
      </c>
      <c r="F757" s="2" t="str" cm="1">
        <f t="array" ref="F757">INDEX(_xlfn.TEXTSPLIT(E757,"-"),2)</f>
        <v>男装</v>
      </c>
      <c r="G757" s="2" t="str" cm="1">
        <f t="array" ref="G757">INDEX(_xlfn.TEXTSPLIT(E757,"-"),3)</f>
        <v>速干/三防T恤</v>
      </c>
      <c r="H757" s="5">
        <v>377</v>
      </c>
      <c r="I757" s="5">
        <v>48278.67</v>
      </c>
      <c r="J757" s="6">
        <v>0.0001</v>
      </c>
      <c r="K757" s="6">
        <v>-0.5779</v>
      </c>
    </row>
    <row r="758" ht="14.5" spans="1:11">
      <c r="A758" s="3" t="str">
        <f t="shared" si="36"/>
        <v>2026年</v>
      </c>
      <c r="B758" s="3" t="str">
        <f t="shared" si="37"/>
        <v>1月</v>
      </c>
      <c r="C758" s="4" t="str">
        <f t="shared" si="38"/>
        <v>W4</v>
      </c>
      <c r="D758" s="2" t="s">
        <v>757</v>
      </c>
      <c r="E758" s="2" t="s">
        <v>838</v>
      </c>
      <c r="F758" s="2" t="str" cm="1">
        <f t="array" ref="F758">INDEX(_xlfn.TEXTSPLIT(E758,"-"),2)</f>
        <v>男装</v>
      </c>
      <c r="G758" s="2" t="str" cm="1">
        <f t="array" ref="G758">INDEX(_xlfn.TEXTSPLIT(E758,"-"),3)</f>
        <v>针织衫/毛衣</v>
      </c>
      <c r="H758" s="5">
        <v>268020</v>
      </c>
      <c r="I758" s="5">
        <v>32698109.52</v>
      </c>
      <c r="J758" s="6">
        <v>0.0513</v>
      </c>
      <c r="K758" s="6">
        <v>-0.2594</v>
      </c>
    </row>
    <row r="759" ht="14.5" spans="1:11">
      <c r="A759" s="3" t="str">
        <f t="shared" si="36"/>
        <v>2026年</v>
      </c>
      <c r="B759" s="3" t="str">
        <f t="shared" si="37"/>
        <v>1月</v>
      </c>
      <c r="C759" s="4" t="str">
        <f t="shared" si="38"/>
        <v>W4</v>
      </c>
      <c r="D759" s="2" t="s">
        <v>757</v>
      </c>
      <c r="E759" s="2" t="s">
        <v>839</v>
      </c>
      <c r="F759" s="2" t="str" cm="1">
        <f t="array" ref="F759">INDEX(_xlfn.TEXTSPLIT(E759,"-"),2)</f>
        <v>男装</v>
      </c>
      <c r="G759" s="2" t="str" cm="1">
        <f t="array" ref="G759">INDEX(_xlfn.TEXTSPLIT(E759,"-"),3)</f>
        <v>防晒服</v>
      </c>
      <c r="H759" s="5">
        <v>90</v>
      </c>
      <c r="I759" s="5">
        <v>6775.37</v>
      </c>
      <c r="J759" s="2" t="s">
        <v>713</v>
      </c>
      <c r="K759" s="6">
        <v>-0.5223</v>
      </c>
    </row>
    <row r="760" ht="14.5" spans="1:11">
      <c r="A760" s="3" t="str">
        <f t="shared" si="36"/>
        <v>2026年</v>
      </c>
      <c r="B760" s="3" t="str">
        <f t="shared" si="37"/>
        <v>1月</v>
      </c>
      <c r="C760" s="4" t="str">
        <f t="shared" si="38"/>
        <v>W4</v>
      </c>
      <c r="D760" s="2" t="s">
        <v>757</v>
      </c>
      <c r="E760" s="2" t="s">
        <v>840</v>
      </c>
      <c r="F760" s="2" t="str" cm="1">
        <f t="array" ref="F760">INDEX(_xlfn.TEXTSPLIT(E760,"-"),2)</f>
        <v>男装</v>
      </c>
      <c r="G760" s="2" t="str" cm="1">
        <f t="array" ref="G760">INDEX(_xlfn.TEXTSPLIT(E760,"-"),3)</f>
        <v>风衣</v>
      </c>
      <c r="H760" s="5">
        <v>3360</v>
      </c>
      <c r="I760" s="5">
        <v>1064549.71</v>
      </c>
      <c r="J760" s="6">
        <v>0.0017</v>
      </c>
      <c r="K760" s="6">
        <v>-0.5349</v>
      </c>
    </row>
    <row r="761" ht="14.5" spans="1:11">
      <c r="A761" s="3" t="str">
        <f t="shared" si="36"/>
        <v>2026年</v>
      </c>
      <c r="B761" s="3" t="str">
        <f t="shared" si="37"/>
        <v>1月</v>
      </c>
      <c r="C761" s="4" t="str">
        <f t="shared" si="38"/>
        <v>W4</v>
      </c>
      <c r="D761" s="2" t="s">
        <v>757</v>
      </c>
      <c r="E761" s="2" t="s">
        <v>841</v>
      </c>
      <c r="F761" s="2" t="str" cm="1">
        <f t="array" ref="F761">INDEX(_xlfn.TEXTSPLIT(E761,"-"),2)</f>
        <v>男装</v>
      </c>
      <c r="G761" s="2" t="str" cm="1">
        <f t="array" ref="G761">INDEX(_xlfn.TEXTSPLIT(E761,"-"),3)</f>
        <v>马甲</v>
      </c>
      <c r="H761" s="5">
        <v>38948</v>
      </c>
      <c r="I761" s="5">
        <v>3288713.27</v>
      </c>
      <c r="J761" s="6">
        <v>0.0052</v>
      </c>
      <c r="K761" s="6">
        <v>-0.2935</v>
      </c>
    </row>
    <row r="762" ht="14.5" spans="1:11">
      <c r="A762" s="3" t="str">
        <f t="shared" ref="A762:A792" si="39">TEXT(YEAR(D762),"0")&amp;"年"</f>
        <v>2026年</v>
      </c>
      <c r="B762" s="3" t="str">
        <f t="shared" ref="B762:B792" si="40">TEXT(MONTH(D762),"0")&amp;"月"</f>
        <v>1月</v>
      </c>
      <c r="C762" s="4" t="str">
        <f t="shared" ref="C762:C792" si="41">"W"&amp;TEXT(WEEKNUM(D762,2),"0")</f>
        <v>W4</v>
      </c>
      <c r="D762" s="2" t="s">
        <v>758</v>
      </c>
      <c r="E762" s="2" t="s">
        <v>804</v>
      </c>
      <c r="F762" s="2" t="str" cm="1">
        <f t="array" ref="F762">INDEX(_xlfn.TEXTSPLIT(E762,"-"),2)</f>
        <v>男装</v>
      </c>
      <c r="G762" s="2" t="str" cm="1">
        <f t="array" ref="G762">INDEX(_xlfn.TEXTSPLIT(E762,"-"),3)</f>
        <v>Polo衫</v>
      </c>
      <c r="H762" s="5">
        <v>50320</v>
      </c>
      <c r="I762" s="5">
        <v>4674169.99</v>
      </c>
      <c r="J762" s="6">
        <v>0.0046</v>
      </c>
      <c r="K762" s="6">
        <v>-0.0492</v>
      </c>
    </row>
    <row r="763" ht="14.5" spans="1:11">
      <c r="A763" s="3" t="str">
        <f t="shared" si="39"/>
        <v>2026年</v>
      </c>
      <c r="B763" s="3" t="str">
        <f t="shared" si="40"/>
        <v>1月</v>
      </c>
      <c r="C763" s="4" t="str">
        <f t="shared" si="41"/>
        <v>W4</v>
      </c>
      <c r="D763" s="2" t="s">
        <v>758</v>
      </c>
      <c r="E763" s="2" t="s">
        <v>805</v>
      </c>
      <c r="F763" s="2" t="str" cm="1">
        <f t="array" ref="F763">INDEX(_xlfn.TEXTSPLIT(E763,"-"),2)</f>
        <v>男装</v>
      </c>
      <c r="G763" s="2" t="str" cm="1">
        <f t="array" ref="G763">INDEX(_xlfn.TEXTSPLIT(E763,"-"),3)</f>
        <v>T恤</v>
      </c>
      <c r="H763" s="5">
        <v>383490</v>
      </c>
      <c r="I763" s="5">
        <v>30444743.81</v>
      </c>
      <c r="J763" s="7">
        <v>0.03</v>
      </c>
      <c r="K763" s="6">
        <v>0.0313</v>
      </c>
    </row>
    <row r="764" ht="14.5" spans="1:11">
      <c r="A764" s="3" t="str">
        <f t="shared" si="39"/>
        <v>2026年</v>
      </c>
      <c r="B764" s="3" t="str">
        <f t="shared" si="40"/>
        <v>1月</v>
      </c>
      <c r="C764" s="4" t="str">
        <f t="shared" si="41"/>
        <v>W4</v>
      </c>
      <c r="D764" s="2" t="s">
        <v>758</v>
      </c>
      <c r="E764" s="2" t="s">
        <v>806</v>
      </c>
      <c r="F764" s="2" t="str" cm="1">
        <f t="array" ref="F764">INDEX(_xlfn.TEXTSPLIT(E764,"-"),2)</f>
        <v>男装</v>
      </c>
      <c r="G764" s="2" t="str" cm="1">
        <f t="array" ref="G764">INDEX(_xlfn.TEXTSPLIT(E764,"-"),3)</f>
        <v>中老年男装</v>
      </c>
      <c r="H764" s="5">
        <v>140615</v>
      </c>
      <c r="I764" s="5">
        <v>19103738.02</v>
      </c>
      <c r="J764" s="6">
        <v>0.0188</v>
      </c>
      <c r="K764" s="6">
        <v>-0.0184</v>
      </c>
    </row>
    <row r="765" ht="14.5" spans="1:11">
      <c r="A765" s="3" t="str">
        <f t="shared" si="39"/>
        <v>2026年</v>
      </c>
      <c r="B765" s="3" t="str">
        <f t="shared" si="40"/>
        <v>1月</v>
      </c>
      <c r="C765" s="4" t="str">
        <f t="shared" si="41"/>
        <v>W4</v>
      </c>
      <c r="D765" s="2" t="s">
        <v>758</v>
      </c>
      <c r="E765" s="2" t="s">
        <v>807</v>
      </c>
      <c r="F765" s="2" t="str" cm="1">
        <f t="array" ref="F765">INDEX(_xlfn.TEXTSPLIT(E765,"-"),2)</f>
        <v>男装</v>
      </c>
      <c r="G765" s="2" t="str" cm="1">
        <f t="array" ref="G765">INDEX(_xlfn.TEXTSPLIT(E765,"-"),3)</f>
        <v>休闲裤</v>
      </c>
      <c r="H765" s="5">
        <v>1155161</v>
      </c>
      <c r="I765" s="5">
        <v>118816670.89</v>
      </c>
      <c r="J765" s="6">
        <v>0.1171</v>
      </c>
      <c r="K765" s="6">
        <v>0.0254</v>
      </c>
    </row>
    <row r="766" ht="14.5" spans="1:11">
      <c r="A766" s="3" t="str">
        <f t="shared" si="39"/>
        <v>2026年</v>
      </c>
      <c r="B766" s="3" t="str">
        <f t="shared" si="40"/>
        <v>1月</v>
      </c>
      <c r="C766" s="4" t="str">
        <f t="shared" si="41"/>
        <v>W4</v>
      </c>
      <c r="D766" s="2" t="s">
        <v>758</v>
      </c>
      <c r="E766" s="2" t="s">
        <v>808</v>
      </c>
      <c r="F766" s="2" t="str" cm="1">
        <f t="array" ref="F766">INDEX(_xlfn.TEXTSPLIT(E766,"-"),2)</f>
        <v>男装</v>
      </c>
      <c r="G766" s="2" t="str" cm="1">
        <f t="array" ref="G766">INDEX(_xlfn.TEXTSPLIT(E766,"-"),3)</f>
        <v>卫衣</v>
      </c>
      <c r="H766" s="5">
        <v>735359</v>
      </c>
      <c r="I766" s="5">
        <v>60366711.91</v>
      </c>
      <c r="J766" s="6">
        <v>0.0595</v>
      </c>
      <c r="K766" s="6">
        <v>0.0177</v>
      </c>
    </row>
    <row r="767" ht="14.5" spans="1:11">
      <c r="A767" s="3" t="str">
        <f t="shared" si="39"/>
        <v>2026年</v>
      </c>
      <c r="B767" s="3" t="str">
        <f t="shared" si="40"/>
        <v>1月</v>
      </c>
      <c r="C767" s="4" t="str">
        <f t="shared" si="41"/>
        <v>W4</v>
      </c>
      <c r="D767" s="2" t="s">
        <v>758</v>
      </c>
      <c r="E767" s="2" t="s">
        <v>809</v>
      </c>
      <c r="F767" s="2" t="str" cm="1">
        <f t="array" ref="F767">INDEX(_xlfn.TEXTSPLIT(E767,"-"),2)</f>
        <v>男装</v>
      </c>
      <c r="G767" s="2" t="str" cm="1">
        <f t="array" ref="G767">INDEX(_xlfn.TEXTSPLIT(E767,"-"),3)</f>
        <v>卫裤</v>
      </c>
      <c r="H767" s="5">
        <v>260805</v>
      </c>
      <c r="I767" s="5">
        <v>24220371.75</v>
      </c>
      <c r="J767" s="6">
        <v>0.0239</v>
      </c>
      <c r="K767" s="6">
        <v>0.0134</v>
      </c>
    </row>
    <row r="768" ht="14.5" spans="1:11">
      <c r="A768" s="3" t="str">
        <f t="shared" si="39"/>
        <v>2026年</v>
      </c>
      <c r="B768" s="3" t="str">
        <f t="shared" si="40"/>
        <v>1月</v>
      </c>
      <c r="C768" s="4" t="str">
        <f t="shared" si="41"/>
        <v>W4</v>
      </c>
      <c r="D768" s="2" t="s">
        <v>758</v>
      </c>
      <c r="E768" s="2" t="s">
        <v>810</v>
      </c>
      <c r="F768" s="2" t="str" cm="1">
        <f t="array" ref="F768">INDEX(_xlfn.TEXTSPLIT(E768,"-"),2)</f>
        <v>男装</v>
      </c>
      <c r="G768" s="2" t="str" cm="1">
        <f t="array" ref="G768">INDEX(_xlfn.TEXTSPLIT(E768,"-"),3)</f>
        <v>大码男装</v>
      </c>
      <c r="H768" s="5">
        <v>59811</v>
      </c>
      <c r="I768" s="5">
        <v>4928993.31</v>
      </c>
      <c r="J768" s="6">
        <v>0.0049</v>
      </c>
      <c r="K768" s="6">
        <v>-0.0056</v>
      </c>
    </row>
    <row r="769" ht="14.5" spans="1:11">
      <c r="A769" s="3" t="str">
        <f t="shared" si="39"/>
        <v>2026年</v>
      </c>
      <c r="B769" s="3" t="str">
        <f t="shared" si="40"/>
        <v>1月</v>
      </c>
      <c r="C769" s="4" t="str">
        <f t="shared" si="41"/>
        <v>W4</v>
      </c>
      <c r="D769" s="2" t="s">
        <v>758</v>
      </c>
      <c r="E769" s="2" t="s">
        <v>811</v>
      </c>
      <c r="F769" s="2" t="str" cm="1">
        <f t="array" ref="F769">INDEX(_xlfn.TEXTSPLIT(E769,"-"),2)</f>
        <v>男装</v>
      </c>
      <c r="G769" s="2" t="str" cm="1">
        <f t="array" ref="G769">INDEX(_xlfn.TEXTSPLIT(E769,"-"),3)</f>
        <v>夹克</v>
      </c>
      <c r="H769" s="5">
        <v>503186</v>
      </c>
      <c r="I769" s="5">
        <v>88470205.74</v>
      </c>
      <c r="J769" s="6">
        <v>0.0872</v>
      </c>
      <c r="K769" s="6">
        <v>-0.0258</v>
      </c>
    </row>
    <row r="770" ht="14.5" spans="1:11">
      <c r="A770" s="3" t="str">
        <f t="shared" si="39"/>
        <v>2026年</v>
      </c>
      <c r="B770" s="3" t="str">
        <f t="shared" si="40"/>
        <v>1月</v>
      </c>
      <c r="C770" s="4" t="str">
        <f t="shared" si="41"/>
        <v>W4</v>
      </c>
      <c r="D770" s="2" t="s">
        <v>758</v>
      </c>
      <c r="E770" s="2" t="s">
        <v>812</v>
      </c>
      <c r="F770" s="2" t="str" cm="1">
        <f t="array" ref="F770">INDEX(_xlfn.TEXTSPLIT(E770,"-"),2)</f>
        <v>男装</v>
      </c>
      <c r="G770" s="2" t="str" cm="1">
        <f t="array" ref="G770">INDEX(_xlfn.TEXTSPLIT(E770,"-"),3)</f>
        <v>套装</v>
      </c>
      <c r="H770" s="5">
        <v>57032</v>
      </c>
      <c r="I770" s="5">
        <v>9794763.81</v>
      </c>
      <c r="J770" s="6">
        <v>0.0097</v>
      </c>
      <c r="K770" s="6">
        <v>0.2693</v>
      </c>
    </row>
    <row r="771" ht="14.5" spans="1:11">
      <c r="A771" s="3" t="str">
        <f t="shared" si="39"/>
        <v>2026年</v>
      </c>
      <c r="B771" s="3" t="str">
        <f t="shared" si="40"/>
        <v>1月</v>
      </c>
      <c r="C771" s="4" t="str">
        <f t="shared" si="41"/>
        <v>W4</v>
      </c>
      <c r="D771" s="2" t="s">
        <v>758</v>
      </c>
      <c r="E771" s="2" t="s">
        <v>813</v>
      </c>
      <c r="F771" s="2" t="str" cm="1">
        <f t="array" ref="F771">INDEX(_xlfn.TEXTSPLIT(E771,"-"),2)</f>
        <v>男装</v>
      </c>
      <c r="G771" s="2" t="str" cm="1">
        <f t="array" ref="G771">INDEX(_xlfn.TEXTSPLIT(E771,"-"),3)</f>
        <v>学生校服</v>
      </c>
      <c r="H771" s="5">
        <v>90</v>
      </c>
      <c r="I771" s="5">
        <v>9398.49</v>
      </c>
      <c r="J771" s="2" t="s">
        <v>713</v>
      </c>
      <c r="K771" s="6">
        <v>4.0522</v>
      </c>
    </row>
    <row r="772" ht="14.5" spans="1:11">
      <c r="A772" s="3" t="str">
        <f t="shared" si="39"/>
        <v>2026年</v>
      </c>
      <c r="B772" s="3" t="str">
        <f t="shared" si="40"/>
        <v>1月</v>
      </c>
      <c r="C772" s="4" t="str">
        <f t="shared" si="41"/>
        <v>W4</v>
      </c>
      <c r="D772" s="2" t="s">
        <v>758</v>
      </c>
      <c r="E772" s="2" t="s">
        <v>814</v>
      </c>
      <c r="F772" s="2" t="str" cm="1">
        <f t="array" ref="F772">INDEX(_xlfn.TEXTSPLIT(E772,"-"),2)</f>
        <v>男装</v>
      </c>
      <c r="G772" s="2" t="str" cm="1">
        <f t="array" ref="G772">INDEX(_xlfn.TEXTSPLIT(E772,"-"),3)</f>
        <v>打底衫</v>
      </c>
      <c r="H772" s="5">
        <v>26236</v>
      </c>
      <c r="I772" s="5">
        <v>1499961.09</v>
      </c>
      <c r="J772" s="6">
        <v>0.0015</v>
      </c>
      <c r="K772" s="6">
        <v>0.1851</v>
      </c>
    </row>
    <row r="773" ht="14.5" spans="1:11">
      <c r="A773" s="3" t="str">
        <f t="shared" si="39"/>
        <v>2026年</v>
      </c>
      <c r="B773" s="3" t="str">
        <f t="shared" si="40"/>
        <v>1月</v>
      </c>
      <c r="C773" s="4" t="str">
        <f t="shared" si="41"/>
        <v>W4</v>
      </c>
      <c r="D773" s="2" t="s">
        <v>758</v>
      </c>
      <c r="E773" s="2" t="s">
        <v>815</v>
      </c>
      <c r="F773" s="2" t="str" cm="1">
        <f t="array" ref="F773">INDEX(_xlfn.TEXTSPLIT(E773,"-"),2)</f>
        <v>男装</v>
      </c>
      <c r="G773" s="2" t="str" cm="1">
        <f t="array" ref="G773">INDEX(_xlfn.TEXTSPLIT(E773,"-"),3)</f>
        <v>新中式男装</v>
      </c>
      <c r="H773" s="5">
        <v>270</v>
      </c>
      <c r="I773" s="5">
        <v>106629.9</v>
      </c>
      <c r="J773" s="6">
        <v>0.0001</v>
      </c>
      <c r="K773" s="6">
        <v>0.2531</v>
      </c>
    </row>
    <row r="774" ht="14.5" spans="1:11">
      <c r="A774" s="3" t="str">
        <f t="shared" si="39"/>
        <v>2026年</v>
      </c>
      <c r="B774" s="3" t="str">
        <f t="shared" si="40"/>
        <v>1月</v>
      </c>
      <c r="C774" s="4" t="str">
        <f t="shared" si="41"/>
        <v>W4</v>
      </c>
      <c r="D774" s="2" t="s">
        <v>758</v>
      </c>
      <c r="E774" s="2" t="s">
        <v>816</v>
      </c>
      <c r="F774" s="2" t="str" cm="1">
        <f t="array" ref="F774">INDEX(_xlfn.TEXTSPLIT(E774,"-"),2)</f>
        <v>男装</v>
      </c>
      <c r="G774" s="2" t="str" cm="1">
        <f t="array" ref="G774">INDEX(_xlfn.TEXTSPLIT(E774,"-"),3)</f>
        <v>棉衣</v>
      </c>
      <c r="H774" s="5">
        <v>505608</v>
      </c>
      <c r="I774" s="5">
        <v>66284663.03</v>
      </c>
      <c r="J774" s="6">
        <v>0.0654</v>
      </c>
      <c r="K774" s="6">
        <v>0.0747</v>
      </c>
    </row>
    <row r="775" ht="14.5" spans="1:11">
      <c r="A775" s="3" t="str">
        <f t="shared" si="39"/>
        <v>2026年</v>
      </c>
      <c r="B775" s="3" t="str">
        <f t="shared" si="40"/>
        <v>1月</v>
      </c>
      <c r="C775" s="4" t="str">
        <f t="shared" si="41"/>
        <v>W4</v>
      </c>
      <c r="D775" s="2" t="s">
        <v>758</v>
      </c>
      <c r="E775" s="2" t="s">
        <v>817</v>
      </c>
      <c r="F775" s="2" t="str" cm="1">
        <f t="array" ref="F775">INDEX(_xlfn.TEXTSPLIT(E775,"-"),2)</f>
        <v>男装</v>
      </c>
      <c r="G775" s="2" t="str" cm="1">
        <f t="array" ref="G775">INDEX(_xlfn.TEXTSPLIT(E775,"-"),3)</f>
        <v>棉裤</v>
      </c>
      <c r="H775" s="5">
        <v>60021</v>
      </c>
      <c r="I775" s="5">
        <v>3885811.18</v>
      </c>
      <c r="J775" s="6">
        <v>0.0038</v>
      </c>
      <c r="K775" s="6">
        <v>0.1477</v>
      </c>
    </row>
    <row r="776" ht="14.5" spans="1:11">
      <c r="A776" s="3" t="str">
        <f t="shared" si="39"/>
        <v>2026年</v>
      </c>
      <c r="B776" s="3" t="str">
        <f t="shared" si="40"/>
        <v>1月</v>
      </c>
      <c r="C776" s="4" t="str">
        <f t="shared" si="41"/>
        <v>W4</v>
      </c>
      <c r="D776" s="2" t="s">
        <v>758</v>
      </c>
      <c r="E776" s="2" t="s">
        <v>818</v>
      </c>
      <c r="F776" s="2" t="str" cm="1">
        <f t="array" ref="F776">INDEX(_xlfn.TEXTSPLIT(E776,"-"),2)</f>
        <v>男装</v>
      </c>
      <c r="G776" s="2" t="str" cm="1">
        <f t="array" ref="G776">INDEX(_xlfn.TEXTSPLIT(E776,"-"),3)</f>
        <v>毛呢大衣</v>
      </c>
      <c r="H776" s="5">
        <v>56570</v>
      </c>
      <c r="I776" s="5">
        <v>25919205.37</v>
      </c>
      <c r="J776" s="6">
        <v>0.0256</v>
      </c>
      <c r="K776" s="6">
        <v>0.029</v>
      </c>
    </row>
    <row r="777" ht="14.5" spans="1:11">
      <c r="A777" s="3" t="str">
        <f t="shared" si="39"/>
        <v>2026年</v>
      </c>
      <c r="B777" s="3" t="str">
        <f t="shared" si="40"/>
        <v>1月</v>
      </c>
      <c r="C777" s="4" t="str">
        <f t="shared" si="41"/>
        <v>W4</v>
      </c>
      <c r="D777" s="2" t="s">
        <v>758</v>
      </c>
      <c r="E777" s="2" t="s">
        <v>819</v>
      </c>
      <c r="F777" s="2" t="str" cm="1">
        <f t="array" ref="F777">INDEX(_xlfn.TEXTSPLIT(E777,"-"),2)</f>
        <v>男装</v>
      </c>
      <c r="G777" s="2" t="str" cm="1">
        <f t="array" ref="G777">INDEX(_xlfn.TEXTSPLIT(E777,"-"),3)</f>
        <v>民族服装</v>
      </c>
      <c r="H777" s="5">
        <v>7155</v>
      </c>
      <c r="I777" s="5">
        <v>1834549.32</v>
      </c>
      <c r="J777" s="6">
        <v>0.0018</v>
      </c>
      <c r="K777" s="6">
        <v>-0.0143</v>
      </c>
    </row>
    <row r="778" ht="14.5" spans="1:11">
      <c r="A778" s="3" t="str">
        <f t="shared" si="39"/>
        <v>2026年</v>
      </c>
      <c r="B778" s="3" t="str">
        <f t="shared" si="40"/>
        <v>1月</v>
      </c>
      <c r="C778" s="4" t="str">
        <f t="shared" si="41"/>
        <v>W4</v>
      </c>
      <c r="D778" s="2" t="s">
        <v>758</v>
      </c>
      <c r="E778" s="2" t="s">
        <v>820</v>
      </c>
      <c r="F778" s="2" t="str" cm="1">
        <f t="array" ref="F778">INDEX(_xlfn.TEXTSPLIT(E778,"-"),2)</f>
        <v>男装</v>
      </c>
      <c r="G778" s="2" t="str" cm="1">
        <f t="array" ref="G778">INDEX(_xlfn.TEXTSPLIT(E778,"-"),3)</f>
        <v>派克服</v>
      </c>
      <c r="H778" s="5">
        <v>23292</v>
      </c>
      <c r="I778" s="5">
        <v>4903117.26</v>
      </c>
      <c r="J778" s="6">
        <v>0.0048</v>
      </c>
      <c r="K778" s="6">
        <v>0.0657</v>
      </c>
    </row>
    <row r="779" ht="14.5" spans="1:11">
      <c r="A779" s="3" t="str">
        <f t="shared" si="39"/>
        <v>2026年</v>
      </c>
      <c r="B779" s="3" t="str">
        <f t="shared" si="40"/>
        <v>1月</v>
      </c>
      <c r="C779" s="4" t="str">
        <f t="shared" si="41"/>
        <v>W4</v>
      </c>
      <c r="D779" s="2" t="s">
        <v>758</v>
      </c>
      <c r="E779" s="2" t="s">
        <v>821</v>
      </c>
      <c r="F779" s="2" t="str" cm="1">
        <f t="array" ref="F779">INDEX(_xlfn.TEXTSPLIT(E779,"-"),2)</f>
        <v>男装</v>
      </c>
      <c r="G779" s="2" t="str" cm="1">
        <f t="array" ref="G779">INDEX(_xlfn.TEXTSPLIT(E779,"-"),3)</f>
        <v>牛仔裤</v>
      </c>
      <c r="H779" s="5">
        <v>687105</v>
      </c>
      <c r="I779" s="5">
        <v>76169616.41</v>
      </c>
      <c r="J779" s="6">
        <v>0.0751</v>
      </c>
      <c r="K779" s="6">
        <v>-0.007</v>
      </c>
    </row>
    <row r="780" ht="14.5" spans="1:11">
      <c r="A780" s="3" t="str">
        <f t="shared" si="39"/>
        <v>2026年</v>
      </c>
      <c r="B780" s="3" t="str">
        <f t="shared" si="40"/>
        <v>1月</v>
      </c>
      <c r="C780" s="4" t="str">
        <f t="shared" si="41"/>
        <v>W4</v>
      </c>
      <c r="D780" s="2" t="s">
        <v>758</v>
      </c>
      <c r="E780" s="2" t="s">
        <v>822</v>
      </c>
      <c r="F780" s="2" t="str" cm="1">
        <f t="array" ref="F780">INDEX(_xlfn.TEXTSPLIT(E780,"-"),2)</f>
        <v>男装</v>
      </c>
      <c r="G780" s="2" t="str" cm="1">
        <f t="array" ref="G780">INDEX(_xlfn.TEXTSPLIT(E780,"-"),3)</f>
        <v>皮草</v>
      </c>
      <c r="H780" s="5">
        <v>7547</v>
      </c>
      <c r="I780" s="5">
        <v>9788414.37</v>
      </c>
      <c r="J780" s="6">
        <v>0.0097</v>
      </c>
      <c r="K780" s="6">
        <v>-0.0492</v>
      </c>
    </row>
    <row r="781" ht="14.5" spans="1:11">
      <c r="A781" s="3" t="str">
        <f t="shared" si="39"/>
        <v>2026年</v>
      </c>
      <c r="B781" s="3" t="str">
        <f t="shared" si="40"/>
        <v>1月</v>
      </c>
      <c r="C781" s="4" t="str">
        <f t="shared" si="41"/>
        <v>W4</v>
      </c>
      <c r="D781" s="2" t="s">
        <v>758</v>
      </c>
      <c r="E781" s="2" t="s">
        <v>823</v>
      </c>
      <c r="F781" s="2" t="str" cm="1">
        <f t="array" ref="F781">INDEX(_xlfn.TEXTSPLIT(E781,"-"),2)</f>
        <v>男装</v>
      </c>
      <c r="G781" s="2" t="str" cm="1">
        <f t="array" ref="G781">INDEX(_xlfn.TEXTSPLIT(E781,"-"),3)</f>
        <v>皮衣</v>
      </c>
      <c r="H781" s="5">
        <v>61331</v>
      </c>
      <c r="I781" s="5">
        <v>30991629.86</v>
      </c>
      <c r="J781" s="6">
        <v>0.0306</v>
      </c>
      <c r="K781" s="6">
        <v>0.0254</v>
      </c>
    </row>
    <row r="782" ht="14.5" spans="1:11">
      <c r="A782" s="3" t="str">
        <f t="shared" si="39"/>
        <v>2026年</v>
      </c>
      <c r="B782" s="3" t="str">
        <f t="shared" si="40"/>
        <v>1月</v>
      </c>
      <c r="C782" s="4" t="str">
        <f t="shared" si="41"/>
        <v>W4</v>
      </c>
      <c r="D782" s="2" t="s">
        <v>758</v>
      </c>
      <c r="E782" s="2" t="s">
        <v>824</v>
      </c>
      <c r="F782" s="2" t="str" cm="1">
        <f t="array" ref="F782">INDEX(_xlfn.TEXTSPLIT(E782,"-"),2)</f>
        <v>男装</v>
      </c>
      <c r="G782" s="2" t="str" cm="1">
        <f t="array" ref="G782">INDEX(_xlfn.TEXTSPLIT(E782,"-"),3)</f>
        <v>皮裤</v>
      </c>
      <c r="H782" s="5">
        <v>5570</v>
      </c>
      <c r="I782" s="5">
        <v>945058.99</v>
      </c>
      <c r="J782" s="6">
        <v>0.0009</v>
      </c>
      <c r="K782" s="6">
        <v>0.6594</v>
      </c>
    </row>
    <row r="783" ht="14.5" spans="1:11">
      <c r="A783" s="3" t="str">
        <f t="shared" si="39"/>
        <v>2026年</v>
      </c>
      <c r="B783" s="3" t="str">
        <f t="shared" si="40"/>
        <v>1月</v>
      </c>
      <c r="C783" s="4" t="str">
        <f t="shared" si="41"/>
        <v>W4</v>
      </c>
      <c r="D783" s="2" t="s">
        <v>758</v>
      </c>
      <c r="E783" s="2" t="s">
        <v>825</v>
      </c>
      <c r="F783" s="2" t="str" cm="1">
        <f t="array" ref="F783">INDEX(_xlfn.TEXTSPLIT(E783,"-"),2)</f>
        <v>男装</v>
      </c>
      <c r="G783" s="2" t="str" cm="1">
        <f t="array" ref="G783">INDEX(_xlfn.TEXTSPLIT(E783,"-"),3)</f>
        <v>短外套</v>
      </c>
      <c r="H783" s="5">
        <v>46306</v>
      </c>
      <c r="I783" s="5">
        <v>3975774.98</v>
      </c>
      <c r="J783" s="6">
        <v>0.0039</v>
      </c>
      <c r="K783" s="6">
        <v>0.1926</v>
      </c>
    </row>
    <row r="784" ht="14.5" spans="1:11">
      <c r="A784" s="3" t="str">
        <f t="shared" si="39"/>
        <v>2026年</v>
      </c>
      <c r="B784" s="3" t="str">
        <f t="shared" si="40"/>
        <v>1月</v>
      </c>
      <c r="C784" s="4" t="str">
        <f t="shared" si="41"/>
        <v>W4</v>
      </c>
      <c r="D784" s="2" t="s">
        <v>758</v>
      </c>
      <c r="E784" s="2" t="s">
        <v>826</v>
      </c>
      <c r="F784" s="2" t="str" cm="1">
        <f t="array" ref="F784">INDEX(_xlfn.TEXTSPLIT(E784,"-"),2)</f>
        <v>男装</v>
      </c>
      <c r="G784" s="2" t="str" cm="1">
        <f t="array" ref="G784">INDEX(_xlfn.TEXTSPLIT(E784,"-"),3)</f>
        <v>短裤</v>
      </c>
      <c r="H784" s="5">
        <v>45412</v>
      </c>
      <c r="I784" s="5">
        <v>1634142.51</v>
      </c>
      <c r="J784" s="6">
        <v>0.0016</v>
      </c>
      <c r="K784" s="6">
        <v>0.0654</v>
      </c>
    </row>
    <row r="785" ht="14.5" spans="1:11">
      <c r="A785" s="3" t="str">
        <f t="shared" si="39"/>
        <v>2026年</v>
      </c>
      <c r="B785" s="3" t="str">
        <f t="shared" si="40"/>
        <v>1月</v>
      </c>
      <c r="C785" s="4" t="str">
        <f t="shared" si="41"/>
        <v>W4</v>
      </c>
      <c r="D785" s="2" t="s">
        <v>758</v>
      </c>
      <c r="E785" s="2" t="s">
        <v>827</v>
      </c>
      <c r="F785" s="2" t="str" cm="1">
        <f t="array" ref="F785">INDEX(_xlfn.TEXTSPLIT(E785,"-"),2)</f>
        <v>男装</v>
      </c>
      <c r="G785" s="2" t="str" cm="1">
        <f t="array" ref="G785">INDEX(_xlfn.TEXTSPLIT(E785,"-"),3)</f>
        <v>紧身衣</v>
      </c>
      <c r="H785" s="5">
        <v>121</v>
      </c>
      <c r="I785" s="5">
        <v>4739.8</v>
      </c>
      <c r="J785" s="2" t="s">
        <v>713</v>
      </c>
      <c r="K785" s="6">
        <v>0.4489</v>
      </c>
    </row>
    <row r="786" ht="14.5" spans="1:11">
      <c r="A786" s="3" t="str">
        <f t="shared" si="39"/>
        <v>2026年</v>
      </c>
      <c r="B786" s="3" t="str">
        <f t="shared" si="40"/>
        <v>1月</v>
      </c>
      <c r="C786" s="4" t="str">
        <f t="shared" si="41"/>
        <v>W4</v>
      </c>
      <c r="D786" s="2" t="s">
        <v>758</v>
      </c>
      <c r="E786" s="2" t="s">
        <v>828</v>
      </c>
      <c r="F786" s="2" t="str" cm="1">
        <f t="array" ref="F786">INDEX(_xlfn.TEXTSPLIT(E786,"-"),2)</f>
        <v>男装</v>
      </c>
      <c r="G786" s="2" t="str" cm="1">
        <f t="array" ref="G786">INDEX(_xlfn.TEXTSPLIT(E786,"-"),3)</f>
        <v>羊毛衫</v>
      </c>
      <c r="H786" s="5">
        <v>131171</v>
      </c>
      <c r="I786" s="5">
        <v>19134006.82</v>
      </c>
      <c r="J786" s="6">
        <v>0.0189</v>
      </c>
      <c r="K786" s="6">
        <v>-0.0534</v>
      </c>
    </row>
    <row r="787" ht="14.5" spans="1:11">
      <c r="A787" s="3" t="str">
        <f t="shared" si="39"/>
        <v>2026年</v>
      </c>
      <c r="B787" s="3" t="str">
        <f t="shared" si="40"/>
        <v>1月</v>
      </c>
      <c r="C787" s="4" t="str">
        <f t="shared" si="41"/>
        <v>W4</v>
      </c>
      <c r="D787" s="2" t="s">
        <v>758</v>
      </c>
      <c r="E787" s="2" t="s">
        <v>829</v>
      </c>
      <c r="F787" s="2" t="str" cm="1">
        <f t="array" ref="F787">INDEX(_xlfn.TEXTSPLIT(E787,"-"),2)</f>
        <v>男装</v>
      </c>
      <c r="G787" s="2" t="str" cm="1">
        <f t="array" ref="G787">INDEX(_xlfn.TEXTSPLIT(E787,"-"),3)</f>
        <v>羊绒衫</v>
      </c>
      <c r="H787" s="5">
        <v>26377</v>
      </c>
      <c r="I787" s="5">
        <v>8083347</v>
      </c>
      <c r="J787" s="6">
        <v>0.008</v>
      </c>
      <c r="K787" s="6">
        <v>-0.0013</v>
      </c>
    </row>
    <row r="788" ht="14.5" spans="1:11">
      <c r="A788" s="3" t="str">
        <f t="shared" si="39"/>
        <v>2026年</v>
      </c>
      <c r="B788" s="3" t="str">
        <f t="shared" si="40"/>
        <v>1月</v>
      </c>
      <c r="C788" s="4" t="str">
        <f t="shared" si="41"/>
        <v>W4</v>
      </c>
      <c r="D788" s="2" t="s">
        <v>758</v>
      </c>
      <c r="E788" s="2" t="s">
        <v>830</v>
      </c>
      <c r="F788" s="2" t="str" cm="1">
        <f t="array" ref="F788">INDEX(_xlfn.TEXTSPLIT(E788,"-"),2)</f>
        <v>男装</v>
      </c>
      <c r="G788" s="2" t="str" cm="1">
        <f t="array" ref="G788">INDEX(_xlfn.TEXTSPLIT(E788,"-"),3)</f>
        <v>羽绒服</v>
      </c>
      <c r="H788" s="5">
        <v>785033</v>
      </c>
      <c r="I788" s="5">
        <v>296315195.2</v>
      </c>
      <c r="J788" s="6">
        <v>0.2921</v>
      </c>
      <c r="K788" s="6">
        <v>-0.0811</v>
      </c>
    </row>
    <row r="789" ht="14.5" spans="1:11">
      <c r="A789" s="3" t="str">
        <f t="shared" si="39"/>
        <v>2026年</v>
      </c>
      <c r="B789" s="3" t="str">
        <f t="shared" si="40"/>
        <v>1月</v>
      </c>
      <c r="C789" s="4" t="str">
        <f t="shared" si="41"/>
        <v>W4</v>
      </c>
      <c r="D789" s="2" t="s">
        <v>758</v>
      </c>
      <c r="E789" s="2" t="s">
        <v>831</v>
      </c>
      <c r="F789" s="2" t="str" cm="1">
        <f t="array" ref="F789">INDEX(_xlfn.TEXTSPLIT(E789,"-"),2)</f>
        <v>男装</v>
      </c>
      <c r="G789" s="2" t="str" cm="1">
        <f t="array" ref="G789">INDEX(_xlfn.TEXTSPLIT(E789,"-"),3)</f>
        <v>羽绒裤</v>
      </c>
      <c r="H789" s="5">
        <v>23117</v>
      </c>
      <c r="I789" s="5">
        <v>4169343.62</v>
      </c>
      <c r="J789" s="6">
        <v>0.0041</v>
      </c>
      <c r="K789" s="6">
        <v>0.1417</v>
      </c>
    </row>
    <row r="790" ht="14.5" spans="1:11">
      <c r="A790" s="3" t="str">
        <f t="shared" si="39"/>
        <v>2026年</v>
      </c>
      <c r="B790" s="3" t="str">
        <f t="shared" si="40"/>
        <v>1月</v>
      </c>
      <c r="C790" s="4" t="str">
        <f t="shared" si="41"/>
        <v>W4</v>
      </c>
      <c r="D790" s="2" t="s">
        <v>758</v>
      </c>
      <c r="E790" s="2" t="s">
        <v>832</v>
      </c>
      <c r="F790" s="2" t="str" cm="1">
        <f t="array" ref="F790">INDEX(_xlfn.TEXTSPLIT(E790,"-"),2)</f>
        <v>男装</v>
      </c>
      <c r="G790" s="2" t="str" cm="1">
        <f t="array" ref="G790">INDEX(_xlfn.TEXTSPLIT(E790,"-"),3)</f>
        <v>羽绒马甲</v>
      </c>
      <c r="H790" s="5">
        <v>15071</v>
      </c>
      <c r="I790" s="5">
        <v>2981938.36</v>
      </c>
      <c r="J790" s="6">
        <v>0.0029</v>
      </c>
      <c r="K790" s="6">
        <v>-0.1147</v>
      </c>
    </row>
    <row r="791" ht="14.5" spans="1:11">
      <c r="A791" s="3" t="str">
        <f t="shared" si="39"/>
        <v>2026年</v>
      </c>
      <c r="B791" s="3" t="str">
        <f t="shared" si="40"/>
        <v>1月</v>
      </c>
      <c r="C791" s="4" t="str">
        <f t="shared" si="41"/>
        <v>W4</v>
      </c>
      <c r="D791" s="2" t="s">
        <v>758</v>
      </c>
      <c r="E791" s="2" t="s">
        <v>833</v>
      </c>
      <c r="F791" s="2" t="str" cm="1">
        <f t="array" ref="F791">INDEX(_xlfn.TEXTSPLIT(E791,"-"),2)</f>
        <v>男装</v>
      </c>
      <c r="G791" s="2" t="str" cm="1">
        <f t="array" ref="G791">INDEX(_xlfn.TEXTSPLIT(E791,"-"),3)</f>
        <v>背心</v>
      </c>
      <c r="H791" s="5">
        <v>50972</v>
      </c>
      <c r="I791" s="5">
        <v>3236378.74</v>
      </c>
      <c r="J791" s="6">
        <v>0.0032</v>
      </c>
      <c r="K791" s="6">
        <v>0.098</v>
      </c>
    </row>
    <row r="792" ht="14.5" spans="1:11">
      <c r="A792" s="3" t="str">
        <f t="shared" si="39"/>
        <v>2026年</v>
      </c>
      <c r="B792" s="3" t="str">
        <f t="shared" si="40"/>
        <v>1月</v>
      </c>
      <c r="C792" s="4" t="str">
        <f t="shared" si="41"/>
        <v>W4</v>
      </c>
      <c r="D792" s="2" t="s">
        <v>758</v>
      </c>
      <c r="E792" s="2" t="s">
        <v>834</v>
      </c>
      <c r="F792" s="2" t="str" cm="1">
        <f t="array" ref="F792">INDEX(_xlfn.TEXTSPLIT(E792,"-"),2)</f>
        <v>男装</v>
      </c>
      <c r="G792" s="2" t="str" cm="1">
        <f t="array" ref="G792">INDEX(_xlfn.TEXTSPLIT(E792,"-"),3)</f>
        <v>衬衫</v>
      </c>
      <c r="H792" s="5">
        <v>89662</v>
      </c>
      <c r="I792" s="5">
        <v>11729679.38</v>
      </c>
      <c r="J792" s="6">
        <v>0.0116</v>
      </c>
      <c r="K792" s="6">
        <v>0.0363</v>
      </c>
    </row>
    <row r="793" ht="14.5" spans="1:11">
      <c r="A793" s="3" t="str">
        <f t="shared" ref="A793:A824" si="42">TEXT(YEAR(D793),"0")&amp;"年"</f>
        <v>2026年</v>
      </c>
      <c r="B793" s="3" t="str">
        <f t="shared" ref="B793:B824" si="43">TEXT(MONTH(D793),"0")&amp;"月"</f>
        <v>1月</v>
      </c>
      <c r="C793" s="4" t="str">
        <f t="shared" ref="C793:C824" si="44">"W"&amp;TEXT(WEEKNUM(D793,2),"0")</f>
        <v>W4</v>
      </c>
      <c r="D793" s="2" t="s">
        <v>758</v>
      </c>
      <c r="E793" s="2" t="s">
        <v>835</v>
      </c>
      <c r="F793" s="2" t="str" cm="1">
        <f t="array" ref="F793">INDEX(_xlfn.TEXTSPLIT(E793,"-"),2)</f>
        <v>男装</v>
      </c>
      <c r="G793" s="2" t="str" cm="1">
        <f t="array" ref="G793">INDEX(_xlfn.TEXTSPLIT(E793,"-"),3)</f>
        <v>西服</v>
      </c>
      <c r="H793" s="5">
        <v>92889</v>
      </c>
      <c r="I793" s="5">
        <v>18767121.03</v>
      </c>
      <c r="J793" s="6">
        <v>0.0185</v>
      </c>
      <c r="K793" s="6">
        <v>-0.0029</v>
      </c>
    </row>
    <row r="794" ht="14.5" spans="1:11">
      <c r="A794" s="3" t="str">
        <f t="shared" si="42"/>
        <v>2026年</v>
      </c>
      <c r="B794" s="3" t="str">
        <f t="shared" si="43"/>
        <v>1月</v>
      </c>
      <c r="C794" s="4" t="str">
        <f t="shared" si="44"/>
        <v>W4</v>
      </c>
      <c r="D794" s="2" t="s">
        <v>758</v>
      </c>
      <c r="E794" s="2" t="s">
        <v>836</v>
      </c>
      <c r="F794" s="2" t="str" cm="1">
        <f t="array" ref="F794">INDEX(_xlfn.TEXTSPLIT(E794,"-"),2)</f>
        <v>男装</v>
      </c>
      <c r="G794" s="2" t="str" cm="1">
        <f t="array" ref="G794">INDEX(_xlfn.TEXTSPLIT(E794,"-"),3)</f>
        <v>连体衣/裤</v>
      </c>
      <c r="H794" s="5">
        <v>578</v>
      </c>
      <c r="I794" s="5">
        <v>22021.26</v>
      </c>
      <c r="J794" s="2" t="s">
        <v>713</v>
      </c>
      <c r="K794" s="6">
        <v>-0.0742</v>
      </c>
    </row>
    <row r="795" ht="14.5" spans="1:11">
      <c r="A795" s="3" t="str">
        <f t="shared" si="42"/>
        <v>2026年</v>
      </c>
      <c r="B795" s="3" t="str">
        <f t="shared" si="43"/>
        <v>1月</v>
      </c>
      <c r="C795" s="4" t="str">
        <f t="shared" si="44"/>
        <v>W4</v>
      </c>
      <c r="D795" s="2" t="s">
        <v>758</v>
      </c>
      <c r="E795" s="2" t="s">
        <v>837</v>
      </c>
      <c r="F795" s="2" t="str" cm="1">
        <f t="array" ref="F795">INDEX(_xlfn.TEXTSPLIT(E795,"-"),2)</f>
        <v>男装</v>
      </c>
      <c r="G795" s="2" t="str" cm="1">
        <f t="array" ref="G795">INDEX(_xlfn.TEXTSPLIT(E795,"-"),3)</f>
        <v>速干/三防T恤</v>
      </c>
      <c r="H795" s="5">
        <v>524</v>
      </c>
      <c r="I795" s="5">
        <v>52428.31</v>
      </c>
      <c r="J795" s="6">
        <v>0.0001</v>
      </c>
      <c r="K795" s="6">
        <v>-0.1538</v>
      </c>
    </row>
    <row r="796" ht="14.5" spans="1:11">
      <c r="A796" s="3" t="str">
        <f t="shared" si="42"/>
        <v>2026年</v>
      </c>
      <c r="B796" s="3" t="str">
        <f t="shared" si="43"/>
        <v>1月</v>
      </c>
      <c r="C796" s="4" t="str">
        <f t="shared" si="44"/>
        <v>W4</v>
      </c>
      <c r="D796" s="2" t="s">
        <v>758</v>
      </c>
      <c r="E796" s="2" t="s">
        <v>838</v>
      </c>
      <c r="F796" s="2" t="str" cm="1">
        <f t="array" ref="F796">INDEX(_xlfn.TEXTSPLIT(E796,"-"),2)</f>
        <v>男装</v>
      </c>
      <c r="G796" s="2" t="str" cm="1">
        <f t="array" ref="G796">INDEX(_xlfn.TEXTSPLIT(E796,"-"),3)</f>
        <v>针织衫/毛衣</v>
      </c>
      <c r="H796" s="5">
        <v>473167</v>
      </c>
      <c r="I796" s="5">
        <v>53489820.69</v>
      </c>
      <c r="J796" s="6">
        <v>0.0527</v>
      </c>
      <c r="K796" s="6">
        <v>-0.0199</v>
      </c>
    </row>
    <row r="797" ht="14.5" spans="1:11">
      <c r="A797" s="3" t="str">
        <f t="shared" si="42"/>
        <v>2026年</v>
      </c>
      <c r="B797" s="3" t="str">
        <f t="shared" si="43"/>
        <v>1月</v>
      </c>
      <c r="C797" s="4" t="str">
        <f t="shared" si="44"/>
        <v>W4</v>
      </c>
      <c r="D797" s="2" t="s">
        <v>758</v>
      </c>
      <c r="E797" s="2" t="s">
        <v>839</v>
      </c>
      <c r="F797" s="2" t="str" cm="1">
        <f t="array" ref="F797">INDEX(_xlfn.TEXTSPLIT(E797,"-"),2)</f>
        <v>男装</v>
      </c>
      <c r="G797" s="2" t="str" cm="1">
        <f t="array" ref="G797">INDEX(_xlfn.TEXTSPLIT(E797,"-"),3)</f>
        <v>防晒服</v>
      </c>
      <c r="H797" s="5">
        <v>232</v>
      </c>
      <c r="I797" s="5">
        <v>19803.19</v>
      </c>
      <c r="J797" s="2" t="s">
        <v>713</v>
      </c>
      <c r="K797" s="6">
        <v>0.2382</v>
      </c>
    </row>
    <row r="798" ht="14.5" spans="1:11">
      <c r="A798" s="3" t="str">
        <f t="shared" si="42"/>
        <v>2026年</v>
      </c>
      <c r="B798" s="3" t="str">
        <f t="shared" si="43"/>
        <v>1月</v>
      </c>
      <c r="C798" s="4" t="str">
        <f t="shared" si="44"/>
        <v>W4</v>
      </c>
      <c r="D798" s="2" t="s">
        <v>758</v>
      </c>
      <c r="E798" s="2" t="s">
        <v>840</v>
      </c>
      <c r="F798" s="2" t="str" cm="1">
        <f t="array" ref="F798">INDEX(_xlfn.TEXTSPLIT(E798,"-"),2)</f>
        <v>男装</v>
      </c>
      <c r="G798" s="2" t="str" cm="1">
        <f t="array" ref="G798">INDEX(_xlfn.TEXTSPLIT(E798,"-"),3)</f>
        <v>风衣</v>
      </c>
      <c r="H798" s="5">
        <v>6172</v>
      </c>
      <c r="I798" s="5">
        <v>2101313.22</v>
      </c>
      <c r="J798" s="6">
        <v>0.0021</v>
      </c>
      <c r="K798" s="6">
        <v>-0.006</v>
      </c>
    </row>
    <row r="799" ht="14.5" spans="1:11">
      <c r="A799" s="3" t="str">
        <f t="shared" si="42"/>
        <v>2026年</v>
      </c>
      <c r="B799" s="3" t="str">
        <f t="shared" si="43"/>
        <v>1月</v>
      </c>
      <c r="C799" s="4" t="str">
        <f t="shared" si="44"/>
        <v>W4</v>
      </c>
      <c r="D799" s="2" t="s">
        <v>758</v>
      </c>
      <c r="E799" s="2" t="s">
        <v>841</v>
      </c>
      <c r="F799" s="2" t="str" cm="1">
        <f t="array" ref="F799">INDEX(_xlfn.TEXTSPLIT(E799,"-"),2)</f>
        <v>男装</v>
      </c>
      <c r="G799" s="2" t="str" cm="1">
        <f t="array" ref="G799">INDEX(_xlfn.TEXTSPLIT(E799,"-"),3)</f>
        <v>马甲</v>
      </c>
      <c r="H799" s="5">
        <v>64089</v>
      </c>
      <c r="I799" s="5">
        <v>5387429.11</v>
      </c>
      <c r="J799" s="6">
        <v>0.0053</v>
      </c>
      <c r="K799" s="6">
        <v>0.003</v>
      </c>
    </row>
    <row r="800" ht="14.5" spans="1:11">
      <c r="A800" s="3" t="str">
        <f t="shared" si="42"/>
        <v>2026年</v>
      </c>
      <c r="B800" s="3" t="str">
        <f t="shared" si="43"/>
        <v>1月</v>
      </c>
      <c r="C800" s="4" t="str">
        <f t="shared" si="44"/>
        <v>W4</v>
      </c>
      <c r="D800" s="2" t="s">
        <v>759</v>
      </c>
      <c r="E800" s="2" t="s">
        <v>804</v>
      </c>
      <c r="F800" s="2" t="str" cm="1">
        <f t="array" ref="F800">INDEX(_xlfn.TEXTSPLIT(E800,"-"),2)</f>
        <v>男装</v>
      </c>
      <c r="G800" s="2" t="str" cm="1">
        <f t="array" ref="G800">INDEX(_xlfn.TEXTSPLIT(E800,"-"),3)</f>
        <v>Polo衫</v>
      </c>
      <c r="H800" s="5">
        <v>42746</v>
      </c>
      <c r="I800" s="5">
        <v>4165537.92</v>
      </c>
      <c r="J800" s="6">
        <v>0.0045</v>
      </c>
      <c r="K800" s="6">
        <v>-0.1088</v>
      </c>
    </row>
    <row r="801" ht="14.5" spans="1:11">
      <c r="A801" s="3" t="str">
        <f t="shared" si="42"/>
        <v>2026年</v>
      </c>
      <c r="B801" s="3" t="str">
        <f t="shared" si="43"/>
        <v>1月</v>
      </c>
      <c r="C801" s="4" t="str">
        <f t="shared" si="44"/>
        <v>W4</v>
      </c>
      <c r="D801" s="2" t="s">
        <v>759</v>
      </c>
      <c r="E801" s="2" t="s">
        <v>805</v>
      </c>
      <c r="F801" s="2" t="str" cm="1">
        <f t="array" ref="F801">INDEX(_xlfn.TEXTSPLIT(E801,"-"),2)</f>
        <v>男装</v>
      </c>
      <c r="G801" s="2" t="str" cm="1">
        <f t="array" ref="G801">INDEX(_xlfn.TEXTSPLIT(E801,"-"),3)</f>
        <v>T恤</v>
      </c>
      <c r="H801" s="5">
        <v>355091</v>
      </c>
      <c r="I801" s="5">
        <v>27360242.85</v>
      </c>
      <c r="J801" s="6">
        <v>0.0297</v>
      </c>
      <c r="K801" s="6">
        <v>-0.1013</v>
      </c>
    </row>
    <row r="802" ht="14.5" spans="1:11">
      <c r="A802" s="3" t="str">
        <f t="shared" si="42"/>
        <v>2026年</v>
      </c>
      <c r="B802" s="3" t="str">
        <f t="shared" si="43"/>
        <v>1月</v>
      </c>
      <c r="C802" s="4" t="str">
        <f t="shared" si="44"/>
        <v>W4</v>
      </c>
      <c r="D802" s="2" t="s">
        <v>759</v>
      </c>
      <c r="E802" s="2" t="s">
        <v>806</v>
      </c>
      <c r="F802" s="2" t="str" cm="1">
        <f t="array" ref="F802">INDEX(_xlfn.TEXTSPLIT(E802,"-"),2)</f>
        <v>男装</v>
      </c>
      <c r="G802" s="2" t="str" cm="1">
        <f t="array" ref="G802">INDEX(_xlfn.TEXTSPLIT(E802,"-"),3)</f>
        <v>中老年男装</v>
      </c>
      <c r="H802" s="5">
        <v>171975</v>
      </c>
      <c r="I802" s="5">
        <v>24102953.32</v>
      </c>
      <c r="J802" s="6">
        <v>0.0261</v>
      </c>
      <c r="K802" s="6">
        <v>0.2617</v>
      </c>
    </row>
    <row r="803" ht="14.5" spans="1:11">
      <c r="A803" s="3" t="str">
        <f t="shared" si="42"/>
        <v>2026年</v>
      </c>
      <c r="B803" s="3" t="str">
        <f t="shared" si="43"/>
        <v>1月</v>
      </c>
      <c r="C803" s="4" t="str">
        <f t="shared" si="44"/>
        <v>W4</v>
      </c>
      <c r="D803" s="2" t="s">
        <v>759</v>
      </c>
      <c r="E803" s="2" t="s">
        <v>807</v>
      </c>
      <c r="F803" s="2" t="str" cm="1">
        <f t="array" ref="F803">INDEX(_xlfn.TEXTSPLIT(E803,"-"),2)</f>
        <v>男装</v>
      </c>
      <c r="G803" s="2" t="str" cm="1">
        <f t="array" ref="G803">INDEX(_xlfn.TEXTSPLIT(E803,"-"),3)</f>
        <v>休闲裤</v>
      </c>
      <c r="H803" s="5">
        <v>1074823</v>
      </c>
      <c r="I803" s="5">
        <v>109762759.41</v>
      </c>
      <c r="J803" s="6">
        <v>0.1191</v>
      </c>
      <c r="K803" s="6">
        <v>-0.0762</v>
      </c>
    </row>
    <row r="804" ht="14.5" spans="1:11">
      <c r="A804" s="3" t="str">
        <f t="shared" si="42"/>
        <v>2026年</v>
      </c>
      <c r="B804" s="3" t="str">
        <f t="shared" si="43"/>
        <v>1月</v>
      </c>
      <c r="C804" s="4" t="str">
        <f t="shared" si="44"/>
        <v>W4</v>
      </c>
      <c r="D804" s="2" t="s">
        <v>759</v>
      </c>
      <c r="E804" s="2" t="s">
        <v>808</v>
      </c>
      <c r="F804" s="2" t="str" cm="1">
        <f t="array" ref="F804">INDEX(_xlfn.TEXTSPLIT(E804,"-"),2)</f>
        <v>男装</v>
      </c>
      <c r="G804" s="2" t="str" cm="1">
        <f t="array" ref="G804">INDEX(_xlfn.TEXTSPLIT(E804,"-"),3)</f>
        <v>卫衣</v>
      </c>
      <c r="H804" s="5">
        <v>655368</v>
      </c>
      <c r="I804" s="5">
        <v>53662641.74</v>
      </c>
      <c r="J804" s="6">
        <v>0.0582</v>
      </c>
      <c r="K804" s="6">
        <v>-0.1111</v>
      </c>
    </row>
    <row r="805" ht="14.5" spans="1:11">
      <c r="A805" s="3" t="str">
        <f t="shared" si="42"/>
        <v>2026年</v>
      </c>
      <c r="B805" s="3" t="str">
        <f t="shared" si="43"/>
        <v>1月</v>
      </c>
      <c r="C805" s="4" t="str">
        <f t="shared" si="44"/>
        <v>W4</v>
      </c>
      <c r="D805" s="2" t="s">
        <v>759</v>
      </c>
      <c r="E805" s="2" t="s">
        <v>809</v>
      </c>
      <c r="F805" s="2" t="str" cm="1">
        <f t="array" ref="F805">INDEX(_xlfn.TEXTSPLIT(E805,"-"),2)</f>
        <v>男装</v>
      </c>
      <c r="G805" s="2" t="str" cm="1">
        <f t="array" ref="G805">INDEX(_xlfn.TEXTSPLIT(E805,"-"),3)</f>
        <v>卫裤</v>
      </c>
      <c r="H805" s="5">
        <v>231558</v>
      </c>
      <c r="I805" s="5">
        <v>22558934.96</v>
      </c>
      <c r="J805" s="6">
        <v>0.0245</v>
      </c>
      <c r="K805" s="6">
        <v>-0.0686</v>
      </c>
    </row>
    <row r="806" ht="14.5" spans="1:11">
      <c r="A806" s="3" t="str">
        <f t="shared" si="42"/>
        <v>2026年</v>
      </c>
      <c r="B806" s="3" t="str">
        <f t="shared" si="43"/>
        <v>1月</v>
      </c>
      <c r="C806" s="4" t="str">
        <f t="shared" si="44"/>
        <v>W4</v>
      </c>
      <c r="D806" s="2" t="s">
        <v>759</v>
      </c>
      <c r="E806" s="2" t="s">
        <v>810</v>
      </c>
      <c r="F806" s="2" t="str" cm="1">
        <f t="array" ref="F806">INDEX(_xlfn.TEXTSPLIT(E806,"-"),2)</f>
        <v>男装</v>
      </c>
      <c r="G806" s="2" t="str" cm="1">
        <f t="array" ref="G806">INDEX(_xlfn.TEXTSPLIT(E806,"-"),3)</f>
        <v>大码男装</v>
      </c>
      <c r="H806" s="5">
        <v>57944</v>
      </c>
      <c r="I806" s="5">
        <v>4862401.93</v>
      </c>
      <c r="J806" s="6">
        <v>0.0053</v>
      </c>
      <c r="K806" s="6">
        <v>-0.0135</v>
      </c>
    </row>
    <row r="807" ht="14.5" spans="1:11">
      <c r="A807" s="3" t="str">
        <f t="shared" si="42"/>
        <v>2026年</v>
      </c>
      <c r="B807" s="3" t="str">
        <f t="shared" si="43"/>
        <v>1月</v>
      </c>
      <c r="C807" s="4" t="str">
        <f t="shared" si="44"/>
        <v>W4</v>
      </c>
      <c r="D807" s="2" t="s">
        <v>759</v>
      </c>
      <c r="E807" s="2" t="s">
        <v>811</v>
      </c>
      <c r="F807" s="2" t="str" cm="1">
        <f t="array" ref="F807">INDEX(_xlfn.TEXTSPLIT(E807,"-"),2)</f>
        <v>男装</v>
      </c>
      <c r="G807" s="2" t="str" cm="1">
        <f t="array" ref="G807">INDEX(_xlfn.TEXTSPLIT(E807,"-"),3)</f>
        <v>夹克</v>
      </c>
      <c r="H807" s="5">
        <v>467510</v>
      </c>
      <c r="I807" s="5">
        <v>81100143.22</v>
      </c>
      <c r="J807" s="6">
        <v>0.088</v>
      </c>
      <c r="K807" s="6">
        <v>-0.0833</v>
      </c>
    </row>
    <row r="808" ht="14.5" spans="1:11">
      <c r="A808" s="3" t="str">
        <f t="shared" si="42"/>
        <v>2026年</v>
      </c>
      <c r="B808" s="3" t="str">
        <f t="shared" si="43"/>
        <v>1月</v>
      </c>
      <c r="C808" s="4" t="str">
        <f t="shared" si="44"/>
        <v>W4</v>
      </c>
      <c r="D808" s="2" t="s">
        <v>759</v>
      </c>
      <c r="E808" s="2" t="s">
        <v>812</v>
      </c>
      <c r="F808" s="2" t="str" cm="1">
        <f t="array" ref="F808">INDEX(_xlfn.TEXTSPLIT(E808,"-"),2)</f>
        <v>男装</v>
      </c>
      <c r="G808" s="2" t="str" cm="1">
        <f t="array" ref="G808">INDEX(_xlfn.TEXTSPLIT(E808,"-"),3)</f>
        <v>套装</v>
      </c>
      <c r="H808" s="5">
        <v>57501</v>
      </c>
      <c r="I808" s="5">
        <v>10660138.41</v>
      </c>
      <c r="J808" s="6">
        <v>0.0116</v>
      </c>
      <c r="K808" s="6">
        <v>0.0884</v>
      </c>
    </row>
    <row r="809" ht="14.5" spans="1:11">
      <c r="A809" s="3" t="str">
        <f t="shared" si="42"/>
        <v>2026年</v>
      </c>
      <c r="B809" s="3" t="str">
        <f t="shared" si="43"/>
        <v>1月</v>
      </c>
      <c r="C809" s="4" t="str">
        <f t="shared" si="44"/>
        <v>W4</v>
      </c>
      <c r="D809" s="2" t="s">
        <v>759</v>
      </c>
      <c r="E809" s="2" t="s">
        <v>813</v>
      </c>
      <c r="F809" s="2" t="str" cm="1">
        <f t="array" ref="F809">INDEX(_xlfn.TEXTSPLIT(E809,"-"),2)</f>
        <v>男装</v>
      </c>
      <c r="G809" s="2" t="str" cm="1">
        <f t="array" ref="G809">INDEX(_xlfn.TEXTSPLIT(E809,"-"),3)</f>
        <v>学生校服</v>
      </c>
      <c r="H809" s="5">
        <v>62</v>
      </c>
      <c r="I809" s="5">
        <v>4288.69</v>
      </c>
      <c r="J809" s="2" t="s">
        <v>713</v>
      </c>
      <c r="K809" s="6">
        <v>-0.5437</v>
      </c>
    </row>
    <row r="810" ht="14.5" spans="1:11">
      <c r="A810" s="3" t="str">
        <f t="shared" si="42"/>
        <v>2026年</v>
      </c>
      <c r="B810" s="3" t="str">
        <f t="shared" si="43"/>
        <v>1月</v>
      </c>
      <c r="C810" s="4" t="str">
        <f t="shared" si="44"/>
        <v>W4</v>
      </c>
      <c r="D810" s="2" t="s">
        <v>759</v>
      </c>
      <c r="E810" s="2" t="s">
        <v>814</v>
      </c>
      <c r="F810" s="2" t="str" cm="1">
        <f t="array" ref="F810">INDEX(_xlfn.TEXTSPLIT(E810,"-"),2)</f>
        <v>男装</v>
      </c>
      <c r="G810" s="2" t="str" cm="1">
        <f t="array" ref="G810">INDEX(_xlfn.TEXTSPLIT(E810,"-"),3)</f>
        <v>打底衫</v>
      </c>
      <c r="H810" s="5">
        <v>25750</v>
      </c>
      <c r="I810" s="5">
        <v>1613218.2</v>
      </c>
      <c r="J810" s="6">
        <v>0.0017</v>
      </c>
      <c r="K810" s="6">
        <v>0.0755</v>
      </c>
    </row>
    <row r="811" ht="14.5" spans="1:11">
      <c r="A811" s="3" t="str">
        <f t="shared" si="42"/>
        <v>2026年</v>
      </c>
      <c r="B811" s="3" t="str">
        <f t="shared" si="43"/>
        <v>1月</v>
      </c>
      <c r="C811" s="4" t="str">
        <f t="shared" si="44"/>
        <v>W4</v>
      </c>
      <c r="D811" s="2" t="s">
        <v>759</v>
      </c>
      <c r="E811" s="2" t="s">
        <v>815</v>
      </c>
      <c r="F811" s="2" t="str" cm="1">
        <f t="array" ref="F811">INDEX(_xlfn.TEXTSPLIT(E811,"-"),2)</f>
        <v>男装</v>
      </c>
      <c r="G811" s="2" t="str" cm="1">
        <f t="array" ref="G811">INDEX(_xlfn.TEXTSPLIT(E811,"-"),3)</f>
        <v>新中式男装</v>
      </c>
      <c r="H811" s="5">
        <v>166</v>
      </c>
      <c r="I811" s="5">
        <v>38254.13</v>
      </c>
      <c r="J811" s="2" t="s">
        <v>713</v>
      </c>
      <c r="K811" s="6">
        <v>-0.6412</v>
      </c>
    </row>
    <row r="812" ht="14.5" spans="1:11">
      <c r="A812" s="3" t="str">
        <f t="shared" si="42"/>
        <v>2026年</v>
      </c>
      <c r="B812" s="3" t="str">
        <f t="shared" si="43"/>
        <v>1月</v>
      </c>
      <c r="C812" s="4" t="str">
        <f t="shared" si="44"/>
        <v>W4</v>
      </c>
      <c r="D812" s="2" t="s">
        <v>759</v>
      </c>
      <c r="E812" s="2" t="s">
        <v>816</v>
      </c>
      <c r="F812" s="2" t="str" cm="1">
        <f t="array" ref="F812">INDEX(_xlfn.TEXTSPLIT(E812,"-"),2)</f>
        <v>男装</v>
      </c>
      <c r="G812" s="2" t="str" cm="1">
        <f t="array" ref="G812">INDEX(_xlfn.TEXTSPLIT(E812,"-"),3)</f>
        <v>棉衣</v>
      </c>
      <c r="H812" s="5">
        <v>454553</v>
      </c>
      <c r="I812" s="5">
        <v>57524794.52</v>
      </c>
      <c r="J812" s="6">
        <v>0.0624</v>
      </c>
      <c r="K812" s="6">
        <v>-0.1322</v>
      </c>
    </row>
    <row r="813" ht="14.5" spans="1:11">
      <c r="A813" s="3" t="str">
        <f t="shared" si="42"/>
        <v>2026年</v>
      </c>
      <c r="B813" s="3" t="str">
        <f t="shared" si="43"/>
        <v>1月</v>
      </c>
      <c r="C813" s="4" t="str">
        <f t="shared" si="44"/>
        <v>W4</v>
      </c>
      <c r="D813" s="2" t="s">
        <v>759</v>
      </c>
      <c r="E813" s="2" t="s">
        <v>817</v>
      </c>
      <c r="F813" s="2" t="str" cm="1">
        <f t="array" ref="F813">INDEX(_xlfn.TEXTSPLIT(E813,"-"),2)</f>
        <v>男装</v>
      </c>
      <c r="G813" s="2" t="str" cm="1">
        <f t="array" ref="G813">INDEX(_xlfn.TEXTSPLIT(E813,"-"),3)</f>
        <v>棉裤</v>
      </c>
      <c r="H813" s="5">
        <v>48686</v>
      </c>
      <c r="I813" s="5">
        <v>3217367.63</v>
      </c>
      <c r="J813" s="6">
        <v>0.0035</v>
      </c>
      <c r="K813" s="6">
        <v>-0.172</v>
      </c>
    </row>
    <row r="814" ht="14.5" spans="1:11">
      <c r="A814" s="3" t="str">
        <f t="shared" si="42"/>
        <v>2026年</v>
      </c>
      <c r="B814" s="3" t="str">
        <f t="shared" si="43"/>
        <v>1月</v>
      </c>
      <c r="C814" s="4" t="str">
        <f t="shared" si="44"/>
        <v>W4</v>
      </c>
      <c r="D814" s="2" t="s">
        <v>759</v>
      </c>
      <c r="E814" s="2" t="s">
        <v>818</v>
      </c>
      <c r="F814" s="2" t="str" cm="1">
        <f t="array" ref="F814">INDEX(_xlfn.TEXTSPLIT(E814,"-"),2)</f>
        <v>男装</v>
      </c>
      <c r="G814" s="2" t="str" cm="1">
        <f t="array" ref="G814">INDEX(_xlfn.TEXTSPLIT(E814,"-"),3)</f>
        <v>毛呢大衣</v>
      </c>
      <c r="H814" s="5">
        <v>47448</v>
      </c>
      <c r="I814" s="5">
        <v>20370819.84</v>
      </c>
      <c r="J814" s="6">
        <v>0.0221</v>
      </c>
      <c r="K814" s="6">
        <v>-0.2141</v>
      </c>
    </row>
    <row r="815" ht="14.5" spans="1:11">
      <c r="A815" s="3" t="str">
        <f t="shared" si="42"/>
        <v>2026年</v>
      </c>
      <c r="B815" s="3" t="str">
        <f t="shared" si="43"/>
        <v>1月</v>
      </c>
      <c r="C815" s="4" t="str">
        <f t="shared" si="44"/>
        <v>W4</v>
      </c>
      <c r="D815" s="2" t="s">
        <v>759</v>
      </c>
      <c r="E815" s="2" t="s">
        <v>819</v>
      </c>
      <c r="F815" s="2" t="str" cm="1">
        <f t="array" ref="F815">INDEX(_xlfn.TEXTSPLIT(E815,"-"),2)</f>
        <v>男装</v>
      </c>
      <c r="G815" s="2" t="str" cm="1">
        <f t="array" ref="G815">INDEX(_xlfn.TEXTSPLIT(E815,"-"),3)</f>
        <v>民族服装</v>
      </c>
      <c r="H815" s="5">
        <v>6829</v>
      </c>
      <c r="I815" s="5">
        <v>1705850.11</v>
      </c>
      <c r="J815" s="6">
        <v>0.0019</v>
      </c>
      <c r="K815" s="6">
        <v>-0.0702</v>
      </c>
    </row>
    <row r="816" ht="14.5" spans="1:11">
      <c r="A816" s="3" t="str">
        <f t="shared" si="42"/>
        <v>2026年</v>
      </c>
      <c r="B816" s="3" t="str">
        <f t="shared" si="43"/>
        <v>1月</v>
      </c>
      <c r="C816" s="4" t="str">
        <f t="shared" si="44"/>
        <v>W4</v>
      </c>
      <c r="D816" s="2" t="s">
        <v>759</v>
      </c>
      <c r="E816" s="2" t="s">
        <v>820</v>
      </c>
      <c r="F816" s="2" t="str" cm="1">
        <f t="array" ref="F816">INDEX(_xlfn.TEXTSPLIT(E816,"-"),2)</f>
        <v>男装</v>
      </c>
      <c r="G816" s="2" t="str" cm="1">
        <f t="array" ref="G816">INDEX(_xlfn.TEXTSPLIT(E816,"-"),3)</f>
        <v>派克服</v>
      </c>
      <c r="H816" s="5">
        <v>21692</v>
      </c>
      <c r="I816" s="5">
        <v>4499476.8</v>
      </c>
      <c r="J816" s="6">
        <v>0.0049</v>
      </c>
      <c r="K816" s="6">
        <v>-0.0823</v>
      </c>
    </row>
    <row r="817" ht="14.5" spans="1:11">
      <c r="A817" s="3" t="str">
        <f t="shared" si="42"/>
        <v>2026年</v>
      </c>
      <c r="B817" s="3" t="str">
        <f t="shared" si="43"/>
        <v>1月</v>
      </c>
      <c r="C817" s="4" t="str">
        <f t="shared" si="44"/>
        <v>W4</v>
      </c>
      <c r="D817" s="2" t="s">
        <v>759</v>
      </c>
      <c r="E817" s="2" t="s">
        <v>821</v>
      </c>
      <c r="F817" s="2" t="str" cm="1">
        <f t="array" ref="F817">INDEX(_xlfn.TEXTSPLIT(E817,"-"),2)</f>
        <v>男装</v>
      </c>
      <c r="G817" s="2" t="str" cm="1">
        <f t="array" ref="G817">INDEX(_xlfn.TEXTSPLIT(E817,"-"),3)</f>
        <v>牛仔裤</v>
      </c>
      <c r="H817" s="5">
        <v>631225</v>
      </c>
      <c r="I817" s="5">
        <v>69117392.02</v>
      </c>
      <c r="J817" s="6">
        <v>0.075</v>
      </c>
      <c r="K817" s="6">
        <v>-0.0926</v>
      </c>
    </row>
    <row r="818" ht="14.5" spans="1:11">
      <c r="A818" s="3" t="str">
        <f t="shared" si="42"/>
        <v>2026年</v>
      </c>
      <c r="B818" s="3" t="str">
        <f t="shared" si="43"/>
        <v>1月</v>
      </c>
      <c r="C818" s="4" t="str">
        <f t="shared" si="44"/>
        <v>W4</v>
      </c>
      <c r="D818" s="2" t="s">
        <v>759</v>
      </c>
      <c r="E818" s="2" t="s">
        <v>822</v>
      </c>
      <c r="F818" s="2" t="str" cm="1">
        <f t="array" ref="F818">INDEX(_xlfn.TEXTSPLIT(E818,"-"),2)</f>
        <v>男装</v>
      </c>
      <c r="G818" s="2" t="str" cm="1">
        <f t="array" ref="G818">INDEX(_xlfn.TEXTSPLIT(E818,"-"),3)</f>
        <v>皮草</v>
      </c>
      <c r="H818" s="5">
        <v>6290</v>
      </c>
      <c r="I818" s="5">
        <v>7311756.41</v>
      </c>
      <c r="J818" s="6">
        <v>0.0079</v>
      </c>
      <c r="K818" s="6">
        <v>-0.253</v>
      </c>
    </row>
    <row r="819" ht="14.5" spans="1:11">
      <c r="A819" s="3" t="str">
        <f t="shared" si="42"/>
        <v>2026年</v>
      </c>
      <c r="B819" s="3" t="str">
        <f t="shared" si="43"/>
        <v>1月</v>
      </c>
      <c r="C819" s="4" t="str">
        <f t="shared" si="44"/>
        <v>W4</v>
      </c>
      <c r="D819" s="2" t="s">
        <v>759</v>
      </c>
      <c r="E819" s="2" t="s">
        <v>823</v>
      </c>
      <c r="F819" s="2" t="str" cm="1">
        <f t="array" ref="F819">INDEX(_xlfn.TEXTSPLIT(E819,"-"),2)</f>
        <v>男装</v>
      </c>
      <c r="G819" s="2" t="str" cm="1">
        <f t="array" ref="G819">INDEX(_xlfn.TEXTSPLIT(E819,"-"),3)</f>
        <v>皮衣</v>
      </c>
      <c r="H819" s="5">
        <v>54054</v>
      </c>
      <c r="I819" s="5">
        <v>26134801.06</v>
      </c>
      <c r="J819" s="6">
        <v>0.0283</v>
      </c>
      <c r="K819" s="6">
        <v>-0.1567</v>
      </c>
    </row>
    <row r="820" ht="14.5" spans="1:11">
      <c r="A820" s="3" t="str">
        <f t="shared" si="42"/>
        <v>2026年</v>
      </c>
      <c r="B820" s="3" t="str">
        <f t="shared" si="43"/>
        <v>1月</v>
      </c>
      <c r="C820" s="4" t="str">
        <f t="shared" si="44"/>
        <v>W4</v>
      </c>
      <c r="D820" s="2" t="s">
        <v>759</v>
      </c>
      <c r="E820" s="2" t="s">
        <v>824</v>
      </c>
      <c r="F820" s="2" t="str" cm="1">
        <f t="array" ref="F820">INDEX(_xlfn.TEXTSPLIT(E820,"-"),2)</f>
        <v>男装</v>
      </c>
      <c r="G820" s="2" t="str" cm="1">
        <f t="array" ref="G820">INDEX(_xlfn.TEXTSPLIT(E820,"-"),3)</f>
        <v>皮裤</v>
      </c>
      <c r="H820" s="5">
        <v>3368</v>
      </c>
      <c r="I820" s="5">
        <v>472733.66</v>
      </c>
      <c r="J820" s="6">
        <v>0.0005</v>
      </c>
      <c r="K820" s="6">
        <v>-0.4998</v>
      </c>
    </row>
    <row r="821" ht="14.5" spans="1:11">
      <c r="A821" s="3" t="str">
        <f t="shared" si="42"/>
        <v>2026年</v>
      </c>
      <c r="B821" s="3" t="str">
        <f t="shared" si="43"/>
        <v>1月</v>
      </c>
      <c r="C821" s="4" t="str">
        <f t="shared" si="44"/>
        <v>W4</v>
      </c>
      <c r="D821" s="2" t="s">
        <v>759</v>
      </c>
      <c r="E821" s="2" t="s">
        <v>825</v>
      </c>
      <c r="F821" s="2" t="str" cm="1">
        <f t="array" ref="F821">INDEX(_xlfn.TEXTSPLIT(E821,"-"),2)</f>
        <v>男装</v>
      </c>
      <c r="G821" s="2" t="str" cm="1">
        <f t="array" ref="G821">INDEX(_xlfn.TEXTSPLIT(E821,"-"),3)</f>
        <v>短外套</v>
      </c>
      <c r="H821" s="5">
        <v>38873</v>
      </c>
      <c r="I821" s="5">
        <v>4219772.68</v>
      </c>
      <c r="J821" s="6">
        <v>0.0046</v>
      </c>
      <c r="K821" s="6">
        <v>0.0614</v>
      </c>
    </row>
    <row r="822" ht="14.5" spans="1:11">
      <c r="A822" s="3" t="str">
        <f t="shared" si="42"/>
        <v>2026年</v>
      </c>
      <c r="B822" s="3" t="str">
        <f t="shared" si="43"/>
        <v>1月</v>
      </c>
      <c r="C822" s="4" t="str">
        <f t="shared" si="44"/>
        <v>W4</v>
      </c>
      <c r="D822" s="2" t="s">
        <v>759</v>
      </c>
      <c r="E822" s="2" t="s">
        <v>826</v>
      </c>
      <c r="F822" s="2" t="str" cm="1">
        <f t="array" ref="F822">INDEX(_xlfn.TEXTSPLIT(E822,"-"),2)</f>
        <v>男装</v>
      </c>
      <c r="G822" s="2" t="str" cm="1">
        <f t="array" ref="G822">INDEX(_xlfn.TEXTSPLIT(E822,"-"),3)</f>
        <v>短裤</v>
      </c>
      <c r="H822" s="5">
        <v>44789</v>
      </c>
      <c r="I822" s="5">
        <v>1516657.34</v>
      </c>
      <c r="J822" s="6">
        <v>0.0016</v>
      </c>
      <c r="K822" s="6">
        <v>-0.0719</v>
      </c>
    </row>
    <row r="823" ht="14.5" spans="1:11">
      <c r="A823" s="3" t="str">
        <f t="shared" si="42"/>
        <v>2026年</v>
      </c>
      <c r="B823" s="3" t="str">
        <f t="shared" si="43"/>
        <v>1月</v>
      </c>
      <c r="C823" s="4" t="str">
        <f t="shared" si="44"/>
        <v>W4</v>
      </c>
      <c r="D823" s="2" t="s">
        <v>759</v>
      </c>
      <c r="E823" s="2" t="s">
        <v>827</v>
      </c>
      <c r="F823" s="2" t="str" cm="1">
        <f t="array" ref="F823">INDEX(_xlfn.TEXTSPLIT(E823,"-"),2)</f>
        <v>男装</v>
      </c>
      <c r="G823" s="2" t="str" cm="1">
        <f t="array" ref="G823">INDEX(_xlfn.TEXTSPLIT(E823,"-"),3)</f>
        <v>紧身衣</v>
      </c>
      <c r="H823" s="5">
        <v>253</v>
      </c>
      <c r="I823" s="5">
        <v>10418.8</v>
      </c>
      <c r="J823" s="2" t="s">
        <v>713</v>
      </c>
      <c r="K823" s="6">
        <v>1.1982</v>
      </c>
    </row>
    <row r="824" ht="14.5" spans="1:11">
      <c r="A824" s="3" t="str">
        <f t="shared" si="42"/>
        <v>2026年</v>
      </c>
      <c r="B824" s="3" t="str">
        <f t="shared" si="43"/>
        <v>1月</v>
      </c>
      <c r="C824" s="4" t="str">
        <f t="shared" si="44"/>
        <v>W4</v>
      </c>
      <c r="D824" s="2" t="s">
        <v>759</v>
      </c>
      <c r="E824" s="2" t="s">
        <v>828</v>
      </c>
      <c r="F824" s="2" t="str" cm="1">
        <f t="array" ref="F824">INDEX(_xlfn.TEXTSPLIT(E824,"-"),2)</f>
        <v>男装</v>
      </c>
      <c r="G824" s="2" t="str" cm="1">
        <f t="array" ref="G824">INDEX(_xlfn.TEXTSPLIT(E824,"-"),3)</f>
        <v>羊毛衫</v>
      </c>
      <c r="H824" s="5">
        <v>126446</v>
      </c>
      <c r="I824" s="5">
        <v>17887046.57</v>
      </c>
      <c r="J824" s="6">
        <v>0.0194</v>
      </c>
      <c r="K824" s="6">
        <v>-0.0652</v>
      </c>
    </row>
    <row r="825" ht="14.5" spans="1:11">
      <c r="A825" s="3" t="str">
        <f t="shared" ref="A825:A856" si="45">TEXT(YEAR(D825),"0")&amp;"年"</f>
        <v>2026年</v>
      </c>
      <c r="B825" s="3" t="str">
        <f t="shared" ref="B825:B856" si="46">TEXT(MONTH(D825),"0")&amp;"月"</f>
        <v>1月</v>
      </c>
      <c r="C825" s="4" t="str">
        <f t="shared" ref="C825:C856" si="47">"W"&amp;TEXT(WEEKNUM(D825,2),"0")</f>
        <v>W4</v>
      </c>
      <c r="D825" s="2" t="s">
        <v>759</v>
      </c>
      <c r="E825" s="2" t="s">
        <v>829</v>
      </c>
      <c r="F825" s="2" t="str" cm="1">
        <f t="array" ref="F825">INDEX(_xlfn.TEXTSPLIT(E825,"-"),2)</f>
        <v>男装</v>
      </c>
      <c r="G825" s="2" t="str" cm="1">
        <f t="array" ref="G825">INDEX(_xlfn.TEXTSPLIT(E825,"-"),3)</f>
        <v>羊绒衫</v>
      </c>
      <c r="H825" s="5">
        <v>25920</v>
      </c>
      <c r="I825" s="5">
        <v>6936025.56</v>
      </c>
      <c r="J825" s="6">
        <v>0.0075</v>
      </c>
      <c r="K825" s="6">
        <v>-0.1419</v>
      </c>
    </row>
    <row r="826" ht="14.5" spans="1:11">
      <c r="A826" s="3" t="str">
        <f t="shared" si="45"/>
        <v>2026年</v>
      </c>
      <c r="B826" s="3" t="str">
        <f t="shared" si="46"/>
        <v>1月</v>
      </c>
      <c r="C826" s="4" t="str">
        <f t="shared" si="47"/>
        <v>W4</v>
      </c>
      <c r="D826" s="2" t="s">
        <v>759</v>
      </c>
      <c r="E826" s="2" t="s">
        <v>830</v>
      </c>
      <c r="F826" s="2" t="str" cm="1">
        <f t="array" ref="F826">INDEX(_xlfn.TEXTSPLIT(E826,"-"),2)</f>
        <v>男装</v>
      </c>
      <c r="G826" s="2" t="str" cm="1">
        <f t="array" ref="G826">INDEX(_xlfn.TEXTSPLIT(E826,"-"),3)</f>
        <v>羽绒服</v>
      </c>
      <c r="H826" s="5">
        <v>719898</v>
      </c>
      <c r="I826" s="5">
        <v>271378800.78</v>
      </c>
      <c r="J826" s="6">
        <v>0.2944</v>
      </c>
      <c r="K826" s="6">
        <v>-0.0842</v>
      </c>
    </row>
    <row r="827" ht="14.5" spans="1:11">
      <c r="A827" s="3" t="str">
        <f t="shared" si="45"/>
        <v>2026年</v>
      </c>
      <c r="B827" s="3" t="str">
        <f t="shared" si="46"/>
        <v>1月</v>
      </c>
      <c r="C827" s="4" t="str">
        <f t="shared" si="47"/>
        <v>W4</v>
      </c>
      <c r="D827" s="2" t="s">
        <v>759</v>
      </c>
      <c r="E827" s="2" t="s">
        <v>831</v>
      </c>
      <c r="F827" s="2" t="str" cm="1">
        <f t="array" ref="F827">INDEX(_xlfn.TEXTSPLIT(E827,"-"),2)</f>
        <v>男装</v>
      </c>
      <c r="G827" s="2" t="str" cm="1">
        <f t="array" ref="G827">INDEX(_xlfn.TEXTSPLIT(E827,"-"),3)</f>
        <v>羽绒裤</v>
      </c>
      <c r="H827" s="5">
        <v>22707</v>
      </c>
      <c r="I827" s="5">
        <v>3210681.22</v>
      </c>
      <c r="J827" s="6">
        <v>0.0035</v>
      </c>
      <c r="K827" s="6">
        <v>-0.2299</v>
      </c>
    </row>
    <row r="828" ht="14.5" spans="1:11">
      <c r="A828" s="3" t="str">
        <f t="shared" si="45"/>
        <v>2026年</v>
      </c>
      <c r="B828" s="3" t="str">
        <f t="shared" si="46"/>
        <v>1月</v>
      </c>
      <c r="C828" s="4" t="str">
        <f t="shared" si="47"/>
        <v>W4</v>
      </c>
      <c r="D828" s="2" t="s">
        <v>759</v>
      </c>
      <c r="E828" s="2" t="s">
        <v>832</v>
      </c>
      <c r="F828" s="2" t="str" cm="1">
        <f t="array" ref="F828">INDEX(_xlfn.TEXTSPLIT(E828,"-"),2)</f>
        <v>男装</v>
      </c>
      <c r="G828" s="2" t="str" cm="1">
        <f t="array" ref="G828">INDEX(_xlfn.TEXTSPLIT(E828,"-"),3)</f>
        <v>羽绒马甲</v>
      </c>
      <c r="H828" s="5">
        <v>13421</v>
      </c>
      <c r="I828" s="5">
        <v>2590326.25</v>
      </c>
      <c r="J828" s="6">
        <v>0.0028</v>
      </c>
      <c r="K828" s="6">
        <v>-0.1313</v>
      </c>
    </row>
    <row r="829" ht="14.5" spans="1:11">
      <c r="A829" s="3" t="str">
        <f t="shared" si="45"/>
        <v>2026年</v>
      </c>
      <c r="B829" s="3" t="str">
        <f t="shared" si="46"/>
        <v>1月</v>
      </c>
      <c r="C829" s="4" t="str">
        <f t="shared" si="47"/>
        <v>W4</v>
      </c>
      <c r="D829" s="2" t="s">
        <v>759</v>
      </c>
      <c r="E829" s="2" t="s">
        <v>833</v>
      </c>
      <c r="F829" s="2" t="str" cm="1">
        <f t="array" ref="F829">INDEX(_xlfn.TEXTSPLIT(E829,"-"),2)</f>
        <v>男装</v>
      </c>
      <c r="G829" s="2" t="str" cm="1">
        <f t="array" ref="G829">INDEX(_xlfn.TEXTSPLIT(E829,"-"),3)</f>
        <v>背心</v>
      </c>
      <c r="H829" s="5">
        <v>48305</v>
      </c>
      <c r="I829" s="5">
        <v>3015868.58</v>
      </c>
      <c r="J829" s="6">
        <v>0.0033</v>
      </c>
      <c r="K829" s="6">
        <v>-0.0681</v>
      </c>
    </row>
    <row r="830" ht="14.5" spans="1:11">
      <c r="A830" s="3" t="str">
        <f t="shared" si="45"/>
        <v>2026年</v>
      </c>
      <c r="B830" s="3" t="str">
        <f t="shared" si="46"/>
        <v>1月</v>
      </c>
      <c r="C830" s="4" t="str">
        <f t="shared" si="47"/>
        <v>W4</v>
      </c>
      <c r="D830" s="2" t="s">
        <v>759</v>
      </c>
      <c r="E830" s="2" t="s">
        <v>834</v>
      </c>
      <c r="F830" s="2" t="str" cm="1">
        <f t="array" ref="F830">INDEX(_xlfn.TEXTSPLIT(E830,"-"),2)</f>
        <v>男装</v>
      </c>
      <c r="G830" s="2" t="str" cm="1">
        <f t="array" ref="G830">INDEX(_xlfn.TEXTSPLIT(E830,"-"),3)</f>
        <v>衬衫</v>
      </c>
      <c r="H830" s="5">
        <v>78684</v>
      </c>
      <c r="I830" s="5">
        <v>10123584.93</v>
      </c>
      <c r="J830" s="6">
        <v>0.011</v>
      </c>
      <c r="K830" s="6">
        <v>-0.1369</v>
      </c>
    </row>
    <row r="831" ht="14.5" spans="1:11">
      <c r="A831" s="3" t="str">
        <f t="shared" si="45"/>
        <v>2026年</v>
      </c>
      <c r="B831" s="3" t="str">
        <f t="shared" si="46"/>
        <v>1月</v>
      </c>
      <c r="C831" s="4" t="str">
        <f t="shared" si="47"/>
        <v>W4</v>
      </c>
      <c r="D831" s="2" t="s">
        <v>759</v>
      </c>
      <c r="E831" s="2" t="s">
        <v>835</v>
      </c>
      <c r="F831" s="2" t="str" cm="1">
        <f t="array" ref="F831">INDEX(_xlfn.TEXTSPLIT(E831,"-"),2)</f>
        <v>男装</v>
      </c>
      <c r="G831" s="2" t="str" cm="1">
        <f t="array" ref="G831">INDEX(_xlfn.TEXTSPLIT(E831,"-"),3)</f>
        <v>西服</v>
      </c>
      <c r="H831" s="5">
        <v>84668</v>
      </c>
      <c r="I831" s="5">
        <v>16916698.39</v>
      </c>
      <c r="J831" s="6">
        <v>0.0184</v>
      </c>
      <c r="K831" s="6">
        <v>-0.0986</v>
      </c>
    </row>
    <row r="832" ht="14.5" spans="1:11">
      <c r="A832" s="3" t="str">
        <f t="shared" si="45"/>
        <v>2026年</v>
      </c>
      <c r="B832" s="3" t="str">
        <f t="shared" si="46"/>
        <v>1月</v>
      </c>
      <c r="C832" s="4" t="str">
        <f t="shared" si="47"/>
        <v>W4</v>
      </c>
      <c r="D832" s="2" t="s">
        <v>759</v>
      </c>
      <c r="E832" s="2" t="s">
        <v>836</v>
      </c>
      <c r="F832" s="2" t="str" cm="1">
        <f t="array" ref="F832">INDEX(_xlfn.TEXTSPLIT(E832,"-"),2)</f>
        <v>男装</v>
      </c>
      <c r="G832" s="2" t="str" cm="1">
        <f t="array" ref="G832">INDEX(_xlfn.TEXTSPLIT(E832,"-"),3)</f>
        <v>连体衣/裤</v>
      </c>
      <c r="H832" s="5">
        <v>481</v>
      </c>
      <c r="I832" s="5">
        <v>15154.36</v>
      </c>
      <c r="J832" s="2" t="s">
        <v>713</v>
      </c>
      <c r="K832" s="6">
        <v>-0.3118</v>
      </c>
    </row>
    <row r="833" ht="14.5" spans="1:11">
      <c r="A833" s="3" t="str">
        <f t="shared" si="45"/>
        <v>2026年</v>
      </c>
      <c r="B833" s="3" t="str">
        <f t="shared" si="46"/>
        <v>1月</v>
      </c>
      <c r="C833" s="4" t="str">
        <f t="shared" si="47"/>
        <v>W4</v>
      </c>
      <c r="D833" s="2" t="s">
        <v>759</v>
      </c>
      <c r="E833" s="2" t="s">
        <v>837</v>
      </c>
      <c r="F833" s="2" t="str" cm="1">
        <f t="array" ref="F833">INDEX(_xlfn.TEXTSPLIT(E833,"-"),2)</f>
        <v>男装</v>
      </c>
      <c r="G833" s="2" t="str" cm="1">
        <f t="array" ref="G833">INDEX(_xlfn.TEXTSPLIT(E833,"-"),3)</f>
        <v>速干/三防T恤</v>
      </c>
      <c r="H833" s="5">
        <v>488</v>
      </c>
      <c r="I833" s="5">
        <v>40312.01</v>
      </c>
      <c r="J833" s="2" t="s">
        <v>713</v>
      </c>
      <c r="K833" s="6">
        <v>-0.2311</v>
      </c>
    </row>
    <row r="834" ht="14.5" spans="1:11">
      <c r="A834" s="3" t="str">
        <f t="shared" si="45"/>
        <v>2026年</v>
      </c>
      <c r="B834" s="3" t="str">
        <f t="shared" si="46"/>
        <v>1月</v>
      </c>
      <c r="C834" s="4" t="str">
        <f t="shared" si="47"/>
        <v>W4</v>
      </c>
      <c r="D834" s="2" t="s">
        <v>759</v>
      </c>
      <c r="E834" s="2" t="s">
        <v>838</v>
      </c>
      <c r="F834" s="2" t="str" cm="1">
        <f t="array" ref="F834">INDEX(_xlfn.TEXTSPLIT(E834,"-"),2)</f>
        <v>男装</v>
      </c>
      <c r="G834" s="2" t="str" cm="1">
        <f t="array" ref="G834">INDEX(_xlfn.TEXTSPLIT(E834,"-"),3)</f>
        <v>针织衫/毛衣</v>
      </c>
      <c r="H834" s="5">
        <v>437076</v>
      </c>
      <c r="I834" s="5">
        <v>46730406.23</v>
      </c>
      <c r="J834" s="6">
        <v>0.0507</v>
      </c>
      <c r="K834" s="6">
        <v>-0.1264</v>
      </c>
    </row>
    <row r="835" ht="14.5" spans="1:11">
      <c r="A835" s="3" t="str">
        <f t="shared" si="45"/>
        <v>2026年</v>
      </c>
      <c r="B835" s="3" t="str">
        <f t="shared" si="46"/>
        <v>1月</v>
      </c>
      <c r="C835" s="4" t="str">
        <f t="shared" si="47"/>
        <v>W4</v>
      </c>
      <c r="D835" s="2" t="s">
        <v>759</v>
      </c>
      <c r="E835" s="2" t="s">
        <v>839</v>
      </c>
      <c r="F835" s="2" t="str" cm="1">
        <f t="array" ref="F835">INDEX(_xlfn.TEXTSPLIT(E835,"-"),2)</f>
        <v>男装</v>
      </c>
      <c r="G835" s="2" t="str" cm="1">
        <f t="array" ref="G835">INDEX(_xlfn.TEXTSPLIT(E835,"-"),3)</f>
        <v>防晒服</v>
      </c>
      <c r="H835" s="5">
        <v>112</v>
      </c>
      <c r="I835" s="5">
        <v>9312.81</v>
      </c>
      <c r="J835" s="2" t="s">
        <v>713</v>
      </c>
      <c r="K835" s="6">
        <v>-0.5297</v>
      </c>
    </row>
    <row r="836" ht="14.5" spans="1:11">
      <c r="A836" s="3" t="str">
        <f t="shared" si="45"/>
        <v>2026年</v>
      </c>
      <c r="B836" s="3" t="str">
        <f t="shared" si="46"/>
        <v>1月</v>
      </c>
      <c r="C836" s="4" t="str">
        <f t="shared" si="47"/>
        <v>W4</v>
      </c>
      <c r="D836" s="2" t="s">
        <v>759</v>
      </c>
      <c r="E836" s="2" t="s">
        <v>840</v>
      </c>
      <c r="F836" s="2" t="str" cm="1">
        <f t="array" ref="F836">INDEX(_xlfn.TEXTSPLIT(E836,"-"),2)</f>
        <v>男装</v>
      </c>
      <c r="G836" s="2" t="str" cm="1">
        <f t="array" ref="G836">INDEX(_xlfn.TEXTSPLIT(E836,"-"),3)</f>
        <v>风衣</v>
      </c>
      <c r="H836" s="5">
        <v>5804</v>
      </c>
      <c r="I836" s="5">
        <v>2072719.01</v>
      </c>
      <c r="J836" s="6">
        <v>0.0022</v>
      </c>
      <c r="K836" s="6">
        <v>-0.0136</v>
      </c>
    </row>
    <row r="837" ht="14.5" spans="1:11">
      <c r="A837" s="3" t="str">
        <f t="shared" si="45"/>
        <v>2026年</v>
      </c>
      <c r="B837" s="3" t="str">
        <f t="shared" si="46"/>
        <v>1月</v>
      </c>
      <c r="C837" s="4" t="str">
        <f t="shared" si="47"/>
        <v>W4</v>
      </c>
      <c r="D837" s="2" t="s">
        <v>759</v>
      </c>
      <c r="E837" s="2" t="s">
        <v>841</v>
      </c>
      <c r="F837" s="2" t="str" cm="1">
        <f t="array" ref="F837">INDEX(_xlfn.TEXTSPLIT(E837,"-"),2)</f>
        <v>男装</v>
      </c>
      <c r="G837" s="2" t="str" cm="1">
        <f t="array" ref="G837">INDEX(_xlfn.TEXTSPLIT(E837,"-"),3)</f>
        <v>马甲</v>
      </c>
      <c r="H837" s="5">
        <v>63745</v>
      </c>
      <c r="I837" s="5">
        <v>4948013.54</v>
      </c>
      <c r="J837" s="6">
        <v>0.0054</v>
      </c>
      <c r="K837" s="6">
        <v>-0.0816</v>
      </c>
    </row>
    <row r="838" ht="14.5" spans="1:11">
      <c r="A838" s="3" t="str">
        <f t="shared" si="45"/>
        <v>2026年</v>
      </c>
      <c r="B838" s="3" t="str">
        <f t="shared" si="46"/>
        <v>1月</v>
      </c>
      <c r="C838" s="4" t="str">
        <f t="shared" si="47"/>
        <v>W4</v>
      </c>
      <c r="D838" s="2" t="s">
        <v>760</v>
      </c>
      <c r="E838" s="2" t="s">
        <v>804</v>
      </c>
      <c r="F838" s="2" t="str" cm="1">
        <f t="array" ref="F838">INDEX(_xlfn.TEXTSPLIT(E838,"-"),2)</f>
        <v>男装</v>
      </c>
      <c r="G838" s="2" t="str" cm="1">
        <f t="array" ref="G838">INDEX(_xlfn.TEXTSPLIT(E838,"-"),3)</f>
        <v>Polo衫</v>
      </c>
      <c r="H838" s="5">
        <v>42772</v>
      </c>
      <c r="I838" s="5">
        <v>4038766.99</v>
      </c>
      <c r="J838" s="6">
        <v>0.0046</v>
      </c>
      <c r="K838" s="6">
        <v>-0.0304</v>
      </c>
    </row>
    <row r="839" ht="14.5" spans="1:11">
      <c r="A839" s="3" t="str">
        <f t="shared" si="45"/>
        <v>2026年</v>
      </c>
      <c r="B839" s="3" t="str">
        <f t="shared" si="46"/>
        <v>1月</v>
      </c>
      <c r="C839" s="4" t="str">
        <f t="shared" si="47"/>
        <v>W4</v>
      </c>
      <c r="D839" s="2" t="s">
        <v>760</v>
      </c>
      <c r="E839" s="2" t="s">
        <v>805</v>
      </c>
      <c r="F839" s="2" t="str" cm="1">
        <f t="array" ref="F839">INDEX(_xlfn.TEXTSPLIT(E839,"-"),2)</f>
        <v>男装</v>
      </c>
      <c r="G839" s="2" t="str" cm="1">
        <f t="array" ref="G839">INDEX(_xlfn.TEXTSPLIT(E839,"-"),3)</f>
        <v>T恤</v>
      </c>
      <c r="H839" s="5">
        <v>358450</v>
      </c>
      <c r="I839" s="5">
        <v>27248361.46</v>
      </c>
      <c r="J839" s="6">
        <v>0.0308</v>
      </c>
      <c r="K839" s="6">
        <v>-0.0041</v>
      </c>
    </row>
    <row r="840" ht="14.5" spans="1:11">
      <c r="A840" s="3" t="str">
        <f t="shared" si="45"/>
        <v>2026年</v>
      </c>
      <c r="B840" s="3" t="str">
        <f t="shared" si="46"/>
        <v>1月</v>
      </c>
      <c r="C840" s="4" t="str">
        <f t="shared" si="47"/>
        <v>W4</v>
      </c>
      <c r="D840" s="2" t="s">
        <v>760</v>
      </c>
      <c r="E840" s="2" t="s">
        <v>806</v>
      </c>
      <c r="F840" s="2" t="str" cm="1">
        <f t="array" ref="F840">INDEX(_xlfn.TEXTSPLIT(E840,"-"),2)</f>
        <v>男装</v>
      </c>
      <c r="G840" s="2" t="str" cm="1">
        <f t="array" ref="G840">INDEX(_xlfn.TEXTSPLIT(E840,"-"),3)</f>
        <v>中老年男装</v>
      </c>
      <c r="H840" s="5">
        <v>190317</v>
      </c>
      <c r="I840" s="5">
        <v>26359790.4</v>
      </c>
      <c r="J840" s="6">
        <v>0.0298</v>
      </c>
      <c r="K840" s="6">
        <v>0.0936</v>
      </c>
    </row>
    <row r="841" ht="14.5" spans="1:11">
      <c r="A841" s="3" t="str">
        <f t="shared" si="45"/>
        <v>2026年</v>
      </c>
      <c r="B841" s="3" t="str">
        <f t="shared" si="46"/>
        <v>1月</v>
      </c>
      <c r="C841" s="4" t="str">
        <f t="shared" si="47"/>
        <v>W4</v>
      </c>
      <c r="D841" s="2" t="s">
        <v>760</v>
      </c>
      <c r="E841" s="2" t="s">
        <v>807</v>
      </c>
      <c r="F841" s="2" t="str" cm="1">
        <f t="array" ref="F841">INDEX(_xlfn.TEXTSPLIT(E841,"-"),2)</f>
        <v>男装</v>
      </c>
      <c r="G841" s="2" t="str" cm="1">
        <f t="array" ref="G841">INDEX(_xlfn.TEXTSPLIT(E841,"-"),3)</f>
        <v>休闲裤</v>
      </c>
      <c r="H841" s="5">
        <v>1010439</v>
      </c>
      <c r="I841" s="5">
        <v>102955254.65</v>
      </c>
      <c r="J841" s="6">
        <v>0.1163</v>
      </c>
      <c r="K841" s="6">
        <v>-0.062</v>
      </c>
    </row>
    <row r="842" ht="14.5" spans="1:11">
      <c r="A842" s="3" t="str">
        <f t="shared" si="45"/>
        <v>2026年</v>
      </c>
      <c r="B842" s="3" t="str">
        <f t="shared" si="46"/>
        <v>1月</v>
      </c>
      <c r="C842" s="4" t="str">
        <f t="shared" si="47"/>
        <v>W4</v>
      </c>
      <c r="D842" s="2" t="s">
        <v>760</v>
      </c>
      <c r="E842" s="2" t="s">
        <v>808</v>
      </c>
      <c r="F842" s="2" t="str" cm="1">
        <f t="array" ref="F842">INDEX(_xlfn.TEXTSPLIT(E842,"-"),2)</f>
        <v>男装</v>
      </c>
      <c r="G842" s="2" t="str" cm="1">
        <f t="array" ref="G842">INDEX(_xlfn.TEXTSPLIT(E842,"-"),3)</f>
        <v>卫衣</v>
      </c>
      <c r="H842" s="5">
        <v>615745</v>
      </c>
      <c r="I842" s="5">
        <v>49679143.99</v>
      </c>
      <c r="J842" s="6">
        <v>0.0561</v>
      </c>
      <c r="K842" s="6">
        <v>-0.0742</v>
      </c>
    </row>
    <row r="843" ht="14.5" spans="1:11">
      <c r="A843" s="3" t="str">
        <f t="shared" si="45"/>
        <v>2026年</v>
      </c>
      <c r="B843" s="3" t="str">
        <f t="shared" si="46"/>
        <v>1月</v>
      </c>
      <c r="C843" s="4" t="str">
        <f t="shared" si="47"/>
        <v>W4</v>
      </c>
      <c r="D843" s="2" t="s">
        <v>760</v>
      </c>
      <c r="E843" s="2" t="s">
        <v>809</v>
      </c>
      <c r="F843" s="2" t="str" cm="1">
        <f t="array" ref="F843">INDEX(_xlfn.TEXTSPLIT(E843,"-"),2)</f>
        <v>男装</v>
      </c>
      <c r="G843" s="2" t="str" cm="1">
        <f t="array" ref="G843">INDEX(_xlfn.TEXTSPLIT(E843,"-"),3)</f>
        <v>卫裤</v>
      </c>
      <c r="H843" s="5">
        <v>214480</v>
      </c>
      <c r="I843" s="5">
        <v>21502420.57</v>
      </c>
      <c r="J843" s="6">
        <v>0.0243</v>
      </c>
      <c r="K843" s="6">
        <v>-0.0468</v>
      </c>
    </row>
    <row r="844" ht="14.5" spans="1:11">
      <c r="A844" s="3" t="str">
        <f t="shared" si="45"/>
        <v>2026年</v>
      </c>
      <c r="B844" s="3" t="str">
        <f t="shared" si="46"/>
        <v>1月</v>
      </c>
      <c r="C844" s="4" t="str">
        <f t="shared" si="47"/>
        <v>W4</v>
      </c>
      <c r="D844" s="2" t="s">
        <v>760</v>
      </c>
      <c r="E844" s="2" t="s">
        <v>810</v>
      </c>
      <c r="F844" s="2" t="str" cm="1">
        <f t="array" ref="F844">INDEX(_xlfn.TEXTSPLIT(E844,"-"),2)</f>
        <v>男装</v>
      </c>
      <c r="G844" s="2" t="str" cm="1">
        <f t="array" ref="G844">INDEX(_xlfn.TEXTSPLIT(E844,"-"),3)</f>
        <v>大码男装</v>
      </c>
      <c r="H844" s="5">
        <v>50035</v>
      </c>
      <c r="I844" s="5">
        <v>4336127.26</v>
      </c>
      <c r="J844" s="6">
        <v>0.0049</v>
      </c>
      <c r="K844" s="6">
        <v>-0.1082</v>
      </c>
    </row>
    <row r="845" ht="14.5" spans="1:11">
      <c r="A845" s="3" t="str">
        <f t="shared" si="45"/>
        <v>2026年</v>
      </c>
      <c r="B845" s="3" t="str">
        <f t="shared" si="46"/>
        <v>1月</v>
      </c>
      <c r="C845" s="4" t="str">
        <f t="shared" si="47"/>
        <v>W4</v>
      </c>
      <c r="D845" s="2" t="s">
        <v>760</v>
      </c>
      <c r="E845" s="2" t="s">
        <v>811</v>
      </c>
      <c r="F845" s="2" t="str" cm="1">
        <f t="array" ref="F845">INDEX(_xlfn.TEXTSPLIT(E845,"-"),2)</f>
        <v>男装</v>
      </c>
      <c r="G845" s="2" t="str" cm="1">
        <f t="array" ref="G845">INDEX(_xlfn.TEXTSPLIT(E845,"-"),3)</f>
        <v>夹克</v>
      </c>
      <c r="H845" s="5">
        <v>486134</v>
      </c>
      <c r="I845" s="5">
        <v>84373675.94</v>
      </c>
      <c r="J845" s="6">
        <v>0.0953</v>
      </c>
      <c r="K845" s="6">
        <v>0.0404</v>
      </c>
    </row>
    <row r="846" ht="14.5" spans="1:11">
      <c r="A846" s="3" t="str">
        <f t="shared" si="45"/>
        <v>2026年</v>
      </c>
      <c r="B846" s="3" t="str">
        <f t="shared" si="46"/>
        <v>1月</v>
      </c>
      <c r="C846" s="4" t="str">
        <f t="shared" si="47"/>
        <v>W4</v>
      </c>
      <c r="D846" s="2" t="s">
        <v>760</v>
      </c>
      <c r="E846" s="2" t="s">
        <v>812</v>
      </c>
      <c r="F846" s="2" t="str" cm="1">
        <f t="array" ref="F846">INDEX(_xlfn.TEXTSPLIT(E846,"-"),2)</f>
        <v>男装</v>
      </c>
      <c r="G846" s="2" t="str" cm="1">
        <f t="array" ref="G846">INDEX(_xlfn.TEXTSPLIT(E846,"-"),3)</f>
        <v>套装</v>
      </c>
      <c r="H846" s="5">
        <v>51132</v>
      </c>
      <c r="I846" s="5">
        <v>8767822.03</v>
      </c>
      <c r="J846" s="6">
        <v>0.0099</v>
      </c>
      <c r="K846" s="6">
        <v>-0.1775</v>
      </c>
    </row>
    <row r="847" ht="14.5" spans="1:11">
      <c r="A847" s="3" t="str">
        <f t="shared" si="45"/>
        <v>2026年</v>
      </c>
      <c r="B847" s="3" t="str">
        <f t="shared" si="46"/>
        <v>1月</v>
      </c>
      <c r="C847" s="4" t="str">
        <f t="shared" si="47"/>
        <v>W4</v>
      </c>
      <c r="D847" s="2" t="s">
        <v>760</v>
      </c>
      <c r="E847" s="2" t="s">
        <v>813</v>
      </c>
      <c r="F847" s="2" t="str" cm="1">
        <f t="array" ref="F847">INDEX(_xlfn.TEXTSPLIT(E847,"-"),2)</f>
        <v>男装</v>
      </c>
      <c r="G847" s="2" t="str" cm="1">
        <f t="array" ref="G847">INDEX(_xlfn.TEXTSPLIT(E847,"-"),3)</f>
        <v>学生校服</v>
      </c>
      <c r="H847" s="5">
        <v>60</v>
      </c>
      <c r="I847" s="5">
        <v>5325.17</v>
      </c>
      <c r="J847" s="2" t="s">
        <v>713</v>
      </c>
      <c r="K847" s="6">
        <v>0.2417</v>
      </c>
    </row>
    <row r="848" ht="14.5" spans="1:11">
      <c r="A848" s="3" t="str">
        <f t="shared" si="45"/>
        <v>2026年</v>
      </c>
      <c r="B848" s="3" t="str">
        <f t="shared" si="46"/>
        <v>1月</v>
      </c>
      <c r="C848" s="4" t="str">
        <f t="shared" si="47"/>
        <v>W4</v>
      </c>
      <c r="D848" s="2" t="s">
        <v>760</v>
      </c>
      <c r="E848" s="2" t="s">
        <v>814</v>
      </c>
      <c r="F848" s="2" t="str" cm="1">
        <f t="array" ref="F848">INDEX(_xlfn.TEXTSPLIT(E848,"-"),2)</f>
        <v>男装</v>
      </c>
      <c r="G848" s="2" t="str" cm="1">
        <f t="array" ref="G848">INDEX(_xlfn.TEXTSPLIT(E848,"-"),3)</f>
        <v>打底衫</v>
      </c>
      <c r="H848" s="5">
        <v>23824</v>
      </c>
      <c r="I848" s="5">
        <v>1445196</v>
      </c>
      <c r="J848" s="6">
        <v>0.0016</v>
      </c>
      <c r="K848" s="6">
        <v>-0.1042</v>
      </c>
    </row>
    <row r="849" ht="14.5" spans="1:11">
      <c r="A849" s="3" t="str">
        <f t="shared" si="45"/>
        <v>2026年</v>
      </c>
      <c r="B849" s="3" t="str">
        <f t="shared" si="46"/>
        <v>1月</v>
      </c>
      <c r="C849" s="4" t="str">
        <f t="shared" si="47"/>
        <v>W4</v>
      </c>
      <c r="D849" s="2" t="s">
        <v>760</v>
      </c>
      <c r="E849" s="2" t="s">
        <v>815</v>
      </c>
      <c r="F849" s="2" t="str" cm="1">
        <f t="array" ref="F849">INDEX(_xlfn.TEXTSPLIT(E849,"-"),2)</f>
        <v>男装</v>
      </c>
      <c r="G849" s="2" t="str" cm="1">
        <f t="array" ref="G849">INDEX(_xlfn.TEXTSPLIT(E849,"-"),3)</f>
        <v>新中式男装</v>
      </c>
      <c r="H849" s="5">
        <v>878</v>
      </c>
      <c r="I849" s="5">
        <v>164653.46</v>
      </c>
      <c r="J849" s="6">
        <v>0.0002</v>
      </c>
      <c r="K849" s="6">
        <v>3.3042</v>
      </c>
    </row>
    <row r="850" ht="14.5" spans="1:11">
      <c r="A850" s="3" t="str">
        <f t="shared" si="45"/>
        <v>2026年</v>
      </c>
      <c r="B850" s="3" t="str">
        <f t="shared" si="46"/>
        <v>1月</v>
      </c>
      <c r="C850" s="4" t="str">
        <f t="shared" si="47"/>
        <v>W4</v>
      </c>
      <c r="D850" s="2" t="s">
        <v>760</v>
      </c>
      <c r="E850" s="2" t="s">
        <v>816</v>
      </c>
      <c r="F850" s="2" t="str" cm="1">
        <f t="array" ref="F850">INDEX(_xlfn.TEXTSPLIT(E850,"-"),2)</f>
        <v>男装</v>
      </c>
      <c r="G850" s="2" t="str" cm="1">
        <f t="array" ref="G850">INDEX(_xlfn.TEXTSPLIT(E850,"-"),3)</f>
        <v>棉衣</v>
      </c>
      <c r="H850" s="5">
        <v>440293</v>
      </c>
      <c r="I850" s="5">
        <v>56912824.08</v>
      </c>
      <c r="J850" s="6">
        <v>0.0643</v>
      </c>
      <c r="K850" s="6">
        <v>-0.0106</v>
      </c>
    </row>
    <row r="851" ht="14.5" spans="1:11">
      <c r="A851" s="3" t="str">
        <f t="shared" si="45"/>
        <v>2026年</v>
      </c>
      <c r="B851" s="3" t="str">
        <f t="shared" si="46"/>
        <v>1月</v>
      </c>
      <c r="C851" s="4" t="str">
        <f t="shared" si="47"/>
        <v>W4</v>
      </c>
      <c r="D851" s="2" t="s">
        <v>760</v>
      </c>
      <c r="E851" s="2" t="s">
        <v>817</v>
      </c>
      <c r="F851" s="2" t="str" cm="1">
        <f t="array" ref="F851">INDEX(_xlfn.TEXTSPLIT(E851,"-"),2)</f>
        <v>男装</v>
      </c>
      <c r="G851" s="2" t="str" cm="1">
        <f t="array" ref="G851">INDEX(_xlfn.TEXTSPLIT(E851,"-"),3)</f>
        <v>棉裤</v>
      </c>
      <c r="H851" s="5">
        <v>37512</v>
      </c>
      <c r="I851" s="5">
        <v>2613257.24</v>
      </c>
      <c r="J851" s="6">
        <v>0.003</v>
      </c>
      <c r="K851" s="6">
        <v>-0.1878</v>
      </c>
    </row>
    <row r="852" ht="14.5" spans="1:11">
      <c r="A852" s="3" t="str">
        <f t="shared" si="45"/>
        <v>2026年</v>
      </c>
      <c r="B852" s="3" t="str">
        <f t="shared" si="46"/>
        <v>1月</v>
      </c>
      <c r="C852" s="4" t="str">
        <f t="shared" si="47"/>
        <v>W4</v>
      </c>
      <c r="D852" s="2" t="s">
        <v>760</v>
      </c>
      <c r="E852" s="2" t="s">
        <v>818</v>
      </c>
      <c r="F852" s="2" t="str" cm="1">
        <f t="array" ref="F852">INDEX(_xlfn.TEXTSPLIT(E852,"-"),2)</f>
        <v>男装</v>
      </c>
      <c r="G852" s="2" t="str" cm="1">
        <f t="array" ref="G852">INDEX(_xlfn.TEXTSPLIT(E852,"-"),3)</f>
        <v>毛呢大衣</v>
      </c>
      <c r="H852" s="5">
        <v>50492</v>
      </c>
      <c r="I852" s="5">
        <v>21241258.8</v>
      </c>
      <c r="J852" s="6">
        <v>0.024</v>
      </c>
      <c r="K852" s="6">
        <v>0.0427</v>
      </c>
    </row>
    <row r="853" ht="14.5" spans="1:11">
      <c r="A853" s="3" t="str">
        <f t="shared" si="45"/>
        <v>2026年</v>
      </c>
      <c r="B853" s="3" t="str">
        <f t="shared" si="46"/>
        <v>1月</v>
      </c>
      <c r="C853" s="4" t="str">
        <f t="shared" si="47"/>
        <v>W4</v>
      </c>
      <c r="D853" s="2" t="s">
        <v>760</v>
      </c>
      <c r="E853" s="2" t="s">
        <v>819</v>
      </c>
      <c r="F853" s="2" t="str" cm="1">
        <f t="array" ref="F853">INDEX(_xlfn.TEXTSPLIT(E853,"-"),2)</f>
        <v>男装</v>
      </c>
      <c r="G853" s="2" t="str" cm="1">
        <f t="array" ref="G853">INDEX(_xlfn.TEXTSPLIT(E853,"-"),3)</f>
        <v>民族服装</v>
      </c>
      <c r="H853" s="5">
        <v>6552</v>
      </c>
      <c r="I853" s="5">
        <v>1639944.56</v>
      </c>
      <c r="J853" s="6">
        <v>0.0019</v>
      </c>
      <c r="K853" s="6">
        <v>-0.0386</v>
      </c>
    </row>
    <row r="854" ht="14.5" spans="1:11">
      <c r="A854" s="3" t="str">
        <f t="shared" si="45"/>
        <v>2026年</v>
      </c>
      <c r="B854" s="3" t="str">
        <f t="shared" si="46"/>
        <v>1月</v>
      </c>
      <c r="C854" s="4" t="str">
        <f t="shared" si="47"/>
        <v>W4</v>
      </c>
      <c r="D854" s="2" t="s">
        <v>760</v>
      </c>
      <c r="E854" s="2" t="s">
        <v>820</v>
      </c>
      <c r="F854" s="2" t="str" cm="1">
        <f t="array" ref="F854">INDEX(_xlfn.TEXTSPLIT(E854,"-"),2)</f>
        <v>男装</v>
      </c>
      <c r="G854" s="2" t="str" cm="1">
        <f t="array" ref="G854">INDEX(_xlfn.TEXTSPLIT(E854,"-"),3)</f>
        <v>派克服</v>
      </c>
      <c r="H854" s="5">
        <v>15916</v>
      </c>
      <c r="I854" s="5">
        <v>3682164.72</v>
      </c>
      <c r="J854" s="6">
        <v>0.0042</v>
      </c>
      <c r="K854" s="6">
        <v>-0.1816</v>
      </c>
    </row>
    <row r="855" ht="14.5" spans="1:11">
      <c r="A855" s="3" t="str">
        <f t="shared" si="45"/>
        <v>2026年</v>
      </c>
      <c r="B855" s="3" t="str">
        <f t="shared" si="46"/>
        <v>1月</v>
      </c>
      <c r="C855" s="4" t="str">
        <f t="shared" si="47"/>
        <v>W4</v>
      </c>
      <c r="D855" s="2" t="s">
        <v>760</v>
      </c>
      <c r="E855" s="2" t="s">
        <v>821</v>
      </c>
      <c r="F855" s="2" t="str" cm="1">
        <f t="array" ref="F855">INDEX(_xlfn.TEXTSPLIT(E855,"-"),2)</f>
        <v>男装</v>
      </c>
      <c r="G855" s="2" t="str" cm="1">
        <f t="array" ref="G855">INDEX(_xlfn.TEXTSPLIT(E855,"-"),3)</f>
        <v>牛仔裤</v>
      </c>
      <c r="H855" s="5">
        <v>623556</v>
      </c>
      <c r="I855" s="5">
        <v>68193807.52</v>
      </c>
      <c r="J855" s="6">
        <v>0.077</v>
      </c>
      <c r="K855" s="6">
        <v>-0.0134</v>
      </c>
    </row>
    <row r="856" ht="14.5" spans="1:11">
      <c r="A856" s="3" t="str">
        <f t="shared" si="45"/>
        <v>2026年</v>
      </c>
      <c r="B856" s="3" t="str">
        <f t="shared" si="46"/>
        <v>1月</v>
      </c>
      <c r="C856" s="4" t="str">
        <f t="shared" si="47"/>
        <v>W4</v>
      </c>
      <c r="D856" s="2" t="s">
        <v>760</v>
      </c>
      <c r="E856" s="2" t="s">
        <v>822</v>
      </c>
      <c r="F856" s="2" t="str" cm="1">
        <f t="array" ref="F856">INDEX(_xlfn.TEXTSPLIT(E856,"-"),2)</f>
        <v>男装</v>
      </c>
      <c r="G856" s="2" t="str" cm="1">
        <f t="array" ref="G856">INDEX(_xlfn.TEXTSPLIT(E856,"-"),3)</f>
        <v>皮草</v>
      </c>
      <c r="H856" s="5">
        <v>7801</v>
      </c>
      <c r="I856" s="5">
        <v>8197505.36</v>
      </c>
      <c r="J856" s="6">
        <v>0.0093</v>
      </c>
      <c r="K856" s="6">
        <v>0.1211</v>
      </c>
    </row>
    <row r="857" ht="14.5" spans="1:11">
      <c r="A857" s="3" t="str">
        <f t="shared" ref="A857:A888" si="48">TEXT(YEAR(D857),"0")&amp;"年"</f>
        <v>2026年</v>
      </c>
      <c r="B857" s="3" t="str">
        <f t="shared" ref="B857:B888" si="49">TEXT(MONTH(D857),"0")&amp;"月"</f>
        <v>1月</v>
      </c>
      <c r="C857" s="4" t="str">
        <f t="shared" ref="C857:C888" si="50">"W"&amp;TEXT(WEEKNUM(D857,2),"0")</f>
        <v>W4</v>
      </c>
      <c r="D857" s="2" t="s">
        <v>760</v>
      </c>
      <c r="E857" s="2" t="s">
        <v>823</v>
      </c>
      <c r="F857" s="2" t="str" cm="1">
        <f t="array" ref="F857">INDEX(_xlfn.TEXTSPLIT(E857,"-"),2)</f>
        <v>男装</v>
      </c>
      <c r="G857" s="2" t="str" cm="1">
        <f t="array" ref="G857">INDEX(_xlfn.TEXTSPLIT(E857,"-"),3)</f>
        <v>皮衣</v>
      </c>
      <c r="H857" s="5">
        <v>53601</v>
      </c>
      <c r="I857" s="5">
        <v>24964103.81</v>
      </c>
      <c r="J857" s="6">
        <v>0.0282</v>
      </c>
      <c r="K857" s="6">
        <v>-0.0448</v>
      </c>
    </row>
    <row r="858" ht="14.5" spans="1:11">
      <c r="A858" s="3" t="str">
        <f t="shared" si="48"/>
        <v>2026年</v>
      </c>
      <c r="B858" s="3" t="str">
        <f t="shared" si="49"/>
        <v>1月</v>
      </c>
      <c r="C858" s="4" t="str">
        <f t="shared" si="50"/>
        <v>W4</v>
      </c>
      <c r="D858" s="2" t="s">
        <v>760</v>
      </c>
      <c r="E858" s="2" t="s">
        <v>824</v>
      </c>
      <c r="F858" s="2" t="str" cm="1">
        <f t="array" ref="F858">INDEX(_xlfn.TEXTSPLIT(E858,"-"),2)</f>
        <v>男装</v>
      </c>
      <c r="G858" s="2" t="str" cm="1">
        <f t="array" ref="G858">INDEX(_xlfn.TEXTSPLIT(E858,"-"),3)</f>
        <v>皮裤</v>
      </c>
      <c r="H858" s="5">
        <v>3377</v>
      </c>
      <c r="I858" s="5">
        <v>534859.04</v>
      </c>
      <c r="J858" s="6">
        <v>0.0006</v>
      </c>
      <c r="K858" s="6">
        <v>0.1314</v>
      </c>
    </row>
    <row r="859" ht="14.5" spans="1:11">
      <c r="A859" s="3" t="str">
        <f t="shared" si="48"/>
        <v>2026年</v>
      </c>
      <c r="B859" s="3" t="str">
        <f t="shared" si="49"/>
        <v>1月</v>
      </c>
      <c r="C859" s="4" t="str">
        <f t="shared" si="50"/>
        <v>W4</v>
      </c>
      <c r="D859" s="2" t="s">
        <v>760</v>
      </c>
      <c r="E859" s="2" t="s">
        <v>825</v>
      </c>
      <c r="F859" s="2" t="str" cm="1">
        <f t="array" ref="F859">INDEX(_xlfn.TEXTSPLIT(E859,"-"),2)</f>
        <v>男装</v>
      </c>
      <c r="G859" s="2" t="str" cm="1">
        <f t="array" ref="G859">INDEX(_xlfn.TEXTSPLIT(E859,"-"),3)</f>
        <v>短外套</v>
      </c>
      <c r="H859" s="5">
        <v>46754</v>
      </c>
      <c r="I859" s="5">
        <v>4813923.53</v>
      </c>
      <c r="J859" s="6">
        <v>0.0054</v>
      </c>
      <c r="K859" s="6">
        <v>0.1408</v>
      </c>
    </row>
    <row r="860" ht="14.5" spans="1:11">
      <c r="A860" s="3" t="str">
        <f t="shared" si="48"/>
        <v>2026年</v>
      </c>
      <c r="B860" s="3" t="str">
        <f t="shared" si="49"/>
        <v>1月</v>
      </c>
      <c r="C860" s="4" t="str">
        <f t="shared" si="50"/>
        <v>W4</v>
      </c>
      <c r="D860" s="2" t="s">
        <v>760</v>
      </c>
      <c r="E860" s="2" t="s">
        <v>826</v>
      </c>
      <c r="F860" s="2" t="str" cm="1">
        <f t="array" ref="F860">INDEX(_xlfn.TEXTSPLIT(E860,"-"),2)</f>
        <v>男装</v>
      </c>
      <c r="G860" s="2" t="str" cm="1">
        <f t="array" ref="G860">INDEX(_xlfn.TEXTSPLIT(E860,"-"),3)</f>
        <v>短裤</v>
      </c>
      <c r="H860" s="5">
        <v>43235</v>
      </c>
      <c r="I860" s="5">
        <v>1572722.89</v>
      </c>
      <c r="J860" s="6">
        <v>0.0018</v>
      </c>
      <c r="K860" s="6">
        <v>0.037</v>
      </c>
    </row>
    <row r="861" ht="14.5" spans="1:11">
      <c r="A861" s="3" t="str">
        <f t="shared" si="48"/>
        <v>2026年</v>
      </c>
      <c r="B861" s="3" t="str">
        <f t="shared" si="49"/>
        <v>1月</v>
      </c>
      <c r="C861" s="4" t="str">
        <f t="shared" si="50"/>
        <v>W4</v>
      </c>
      <c r="D861" s="2" t="s">
        <v>760</v>
      </c>
      <c r="E861" s="2" t="s">
        <v>827</v>
      </c>
      <c r="F861" s="2" t="str" cm="1">
        <f t="array" ref="F861">INDEX(_xlfn.TEXTSPLIT(E861,"-"),2)</f>
        <v>男装</v>
      </c>
      <c r="G861" s="2" t="str" cm="1">
        <f t="array" ref="G861">INDEX(_xlfn.TEXTSPLIT(E861,"-"),3)</f>
        <v>紧身衣</v>
      </c>
      <c r="H861" s="5">
        <v>81</v>
      </c>
      <c r="I861" s="5">
        <v>2890.4</v>
      </c>
      <c r="J861" s="2" t="s">
        <v>713</v>
      </c>
      <c r="K861" s="6">
        <v>-0.7226</v>
      </c>
    </row>
    <row r="862" ht="14.5" spans="1:11">
      <c r="A862" s="3" t="str">
        <f t="shared" si="48"/>
        <v>2026年</v>
      </c>
      <c r="B862" s="3" t="str">
        <f t="shared" si="49"/>
        <v>1月</v>
      </c>
      <c r="C862" s="4" t="str">
        <f t="shared" si="50"/>
        <v>W4</v>
      </c>
      <c r="D862" s="2" t="s">
        <v>760</v>
      </c>
      <c r="E862" s="2" t="s">
        <v>828</v>
      </c>
      <c r="F862" s="2" t="str" cm="1">
        <f t="array" ref="F862">INDEX(_xlfn.TEXTSPLIT(E862,"-"),2)</f>
        <v>男装</v>
      </c>
      <c r="G862" s="2" t="str" cm="1">
        <f t="array" ref="G862">INDEX(_xlfn.TEXTSPLIT(E862,"-"),3)</f>
        <v>羊毛衫</v>
      </c>
      <c r="H862" s="5">
        <v>111243</v>
      </c>
      <c r="I862" s="5">
        <v>15889435.15</v>
      </c>
      <c r="J862" s="6">
        <v>0.018</v>
      </c>
      <c r="K862" s="6">
        <v>-0.1117</v>
      </c>
    </row>
    <row r="863" ht="14.5" spans="1:11">
      <c r="A863" s="3" t="str">
        <f t="shared" si="48"/>
        <v>2026年</v>
      </c>
      <c r="B863" s="3" t="str">
        <f t="shared" si="49"/>
        <v>1月</v>
      </c>
      <c r="C863" s="4" t="str">
        <f t="shared" si="50"/>
        <v>W4</v>
      </c>
      <c r="D863" s="2" t="s">
        <v>760</v>
      </c>
      <c r="E863" s="2" t="s">
        <v>829</v>
      </c>
      <c r="F863" s="2" t="str" cm="1">
        <f t="array" ref="F863">INDEX(_xlfn.TEXTSPLIT(E863,"-"),2)</f>
        <v>男装</v>
      </c>
      <c r="G863" s="2" t="str" cm="1">
        <f t="array" ref="G863">INDEX(_xlfn.TEXTSPLIT(E863,"-"),3)</f>
        <v>羊绒衫</v>
      </c>
      <c r="H863" s="5">
        <v>23450</v>
      </c>
      <c r="I863" s="5">
        <v>6869447.47</v>
      </c>
      <c r="J863" s="6">
        <v>0.0078</v>
      </c>
      <c r="K863" s="6">
        <v>-0.0096</v>
      </c>
    </row>
    <row r="864" ht="14.5" spans="1:11">
      <c r="A864" s="3" t="str">
        <f t="shared" si="48"/>
        <v>2026年</v>
      </c>
      <c r="B864" s="3" t="str">
        <f t="shared" si="49"/>
        <v>1月</v>
      </c>
      <c r="C864" s="4" t="str">
        <f t="shared" si="50"/>
        <v>W4</v>
      </c>
      <c r="D864" s="2" t="s">
        <v>760</v>
      </c>
      <c r="E864" s="2" t="s">
        <v>830</v>
      </c>
      <c r="F864" s="2" t="str" cm="1">
        <f t="array" ref="F864">INDEX(_xlfn.TEXTSPLIT(E864,"-"),2)</f>
        <v>男装</v>
      </c>
      <c r="G864" s="2" t="str" cm="1">
        <f t="array" ref="G864">INDEX(_xlfn.TEXTSPLIT(E864,"-"),3)</f>
        <v>羽绒服</v>
      </c>
      <c r="H864" s="5">
        <v>666103</v>
      </c>
      <c r="I864" s="5">
        <v>251670858.05</v>
      </c>
      <c r="J864" s="6">
        <v>0.2844</v>
      </c>
      <c r="K864" s="6">
        <v>-0.0726</v>
      </c>
    </row>
    <row r="865" ht="14.5" spans="1:11">
      <c r="A865" s="3" t="str">
        <f t="shared" si="48"/>
        <v>2026年</v>
      </c>
      <c r="B865" s="3" t="str">
        <f t="shared" si="49"/>
        <v>1月</v>
      </c>
      <c r="C865" s="4" t="str">
        <f t="shared" si="50"/>
        <v>W4</v>
      </c>
      <c r="D865" s="2" t="s">
        <v>760</v>
      </c>
      <c r="E865" s="2" t="s">
        <v>831</v>
      </c>
      <c r="F865" s="2" t="str" cm="1">
        <f t="array" ref="F865">INDEX(_xlfn.TEXTSPLIT(E865,"-"),2)</f>
        <v>男装</v>
      </c>
      <c r="G865" s="2" t="str" cm="1">
        <f t="array" ref="G865">INDEX(_xlfn.TEXTSPLIT(E865,"-"),3)</f>
        <v>羽绒裤</v>
      </c>
      <c r="H865" s="5">
        <v>20056</v>
      </c>
      <c r="I865" s="5">
        <v>2910804.85</v>
      </c>
      <c r="J865" s="6">
        <v>0.0033</v>
      </c>
      <c r="K865" s="6">
        <v>-0.0934</v>
      </c>
    </row>
    <row r="866" ht="14.5" spans="1:11">
      <c r="A866" s="3" t="str">
        <f t="shared" si="48"/>
        <v>2026年</v>
      </c>
      <c r="B866" s="3" t="str">
        <f t="shared" si="49"/>
        <v>1月</v>
      </c>
      <c r="C866" s="4" t="str">
        <f t="shared" si="50"/>
        <v>W4</v>
      </c>
      <c r="D866" s="2" t="s">
        <v>760</v>
      </c>
      <c r="E866" s="2" t="s">
        <v>832</v>
      </c>
      <c r="F866" s="2" t="str" cm="1">
        <f t="array" ref="F866">INDEX(_xlfn.TEXTSPLIT(E866,"-"),2)</f>
        <v>男装</v>
      </c>
      <c r="G866" s="2" t="str" cm="1">
        <f t="array" ref="G866">INDEX(_xlfn.TEXTSPLIT(E866,"-"),3)</f>
        <v>羽绒马甲</v>
      </c>
      <c r="H866" s="5">
        <v>12356</v>
      </c>
      <c r="I866" s="5">
        <v>2456810.42</v>
      </c>
      <c r="J866" s="6">
        <v>0.0028</v>
      </c>
      <c r="K866" s="6">
        <v>-0.0515</v>
      </c>
    </row>
    <row r="867" ht="14.5" spans="1:11">
      <c r="A867" s="3" t="str">
        <f t="shared" si="48"/>
        <v>2026年</v>
      </c>
      <c r="B867" s="3" t="str">
        <f t="shared" si="49"/>
        <v>1月</v>
      </c>
      <c r="C867" s="4" t="str">
        <f t="shared" si="50"/>
        <v>W4</v>
      </c>
      <c r="D867" s="2" t="s">
        <v>760</v>
      </c>
      <c r="E867" s="2" t="s">
        <v>833</v>
      </c>
      <c r="F867" s="2" t="str" cm="1">
        <f t="array" ref="F867">INDEX(_xlfn.TEXTSPLIT(E867,"-"),2)</f>
        <v>男装</v>
      </c>
      <c r="G867" s="2" t="str" cm="1">
        <f t="array" ref="G867">INDEX(_xlfn.TEXTSPLIT(E867,"-"),3)</f>
        <v>背心</v>
      </c>
      <c r="H867" s="5">
        <v>44565</v>
      </c>
      <c r="I867" s="5">
        <v>2642720.48</v>
      </c>
      <c r="J867" s="6">
        <v>0.003</v>
      </c>
      <c r="K867" s="6">
        <v>-0.1237</v>
      </c>
    </row>
    <row r="868" ht="14.5" spans="1:11">
      <c r="A868" s="3" t="str">
        <f t="shared" si="48"/>
        <v>2026年</v>
      </c>
      <c r="B868" s="3" t="str">
        <f t="shared" si="49"/>
        <v>1月</v>
      </c>
      <c r="C868" s="4" t="str">
        <f t="shared" si="50"/>
        <v>W4</v>
      </c>
      <c r="D868" s="2" t="s">
        <v>760</v>
      </c>
      <c r="E868" s="2" t="s">
        <v>834</v>
      </c>
      <c r="F868" s="2" t="str" cm="1">
        <f t="array" ref="F868">INDEX(_xlfn.TEXTSPLIT(E868,"-"),2)</f>
        <v>男装</v>
      </c>
      <c r="G868" s="2" t="str" cm="1">
        <f t="array" ref="G868">INDEX(_xlfn.TEXTSPLIT(E868,"-"),3)</f>
        <v>衬衫</v>
      </c>
      <c r="H868" s="5">
        <v>77094</v>
      </c>
      <c r="I868" s="5">
        <v>9657014.77</v>
      </c>
      <c r="J868" s="6">
        <v>0.0109</v>
      </c>
      <c r="K868" s="6">
        <v>-0.0461</v>
      </c>
    </row>
    <row r="869" ht="14.5" spans="1:11">
      <c r="A869" s="3" t="str">
        <f t="shared" si="48"/>
        <v>2026年</v>
      </c>
      <c r="B869" s="3" t="str">
        <f t="shared" si="49"/>
        <v>1月</v>
      </c>
      <c r="C869" s="4" t="str">
        <f t="shared" si="50"/>
        <v>W4</v>
      </c>
      <c r="D869" s="2" t="s">
        <v>760</v>
      </c>
      <c r="E869" s="2" t="s">
        <v>835</v>
      </c>
      <c r="F869" s="2" t="str" cm="1">
        <f t="array" ref="F869">INDEX(_xlfn.TEXTSPLIT(E869,"-"),2)</f>
        <v>男装</v>
      </c>
      <c r="G869" s="2" t="str" cm="1">
        <f t="array" ref="G869">INDEX(_xlfn.TEXTSPLIT(E869,"-"),3)</f>
        <v>西服</v>
      </c>
      <c r="H869" s="5">
        <v>82897</v>
      </c>
      <c r="I869" s="5">
        <v>16527466.45</v>
      </c>
      <c r="J869" s="6">
        <v>0.0187</v>
      </c>
      <c r="K869" s="6">
        <v>-0.023</v>
      </c>
    </row>
    <row r="870" ht="14.5" spans="1:11">
      <c r="A870" s="3" t="str">
        <f t="shared" si="48"/>
        <v>2026年</v>
      </c>
      <c r="B870" s="3" t="str">
        <f t="shared" si="49"/>
        <v>1月</v>
      </c>
      <c r="C870" s="4" t="str">
        <f t="shared" si="50"/>
        <v>W4</v>
      </c>
      <c r="D870" s="2" t="s">
        <v>760</v>
      </c>
      <c r="E870" s="2" t="s">
        <v>836</v>
      </c>
      <c r="F870" s="2" t="str" cm="1">
        <f t="array" ref="F870">INDEX(_xlfn.TEXTSPLIT(E870,"-"),2)</f>
        <v>男装</v>
      </c>
      <c r="G870" s="2" t="str" cm="1">
        <f t="array" ref="G870">INDEX(_xlfn.TEXTSPLIT(E870,"-"),3)</f>
        <v>连体衣/裤</v>
      </c>
      <c r="H870" s="5">
        <v>681</v>
      </c>
      <c r="I870" s="5">
        <v>24608.03</v>
      </c>
      <c r="J870" s="2" t="s">
        <v>713</v>
      </c>
      <c r="K870" s="6">
        <v>0.6238</v>
      </c>
    </row>
    <row r="871" ht="14.5" spans="1:11">
      <c r="A871" s="3" t="str">
        <f t="shared" si="48"/>
        <v>2026年</v>
      </c>
      <c r="B871" s="3" t="str">
        <f t="shared" si="49"/>
        <v>1月</v>
      </c>
      <c r="C871" s="4" t="str">
        <f t="shared" si="50"/>
        <v>W4</v>
      </c>
      <c r="D871" s="2" t="s">
        <v>760</v>
      </c>
      <c r="E871" s="2" t="s">
        <v>837</v>
      </c>
      <c r="F871" s="2" t="str" cm="1">
        <f t="array" ref="F871">INDEX(_xlfn.TEXTSPLIT(E871,"-"),2)</f>
        <v>男装</v>
      </c>
      <c r="G871" s="2" t="str" cm="1">
        <f t="array" ref="G871">INDEX(_xlfn.TEXTSPLIT(E871,"-"),3)</f>
        <v>速干/三防T恤</v>
      </c>
      <c r="H871" s="5">
        <v>649</v>
      </c>
      <c r="I871" s="5">
        <v>86436.95</v>
      </c>
      <c r="J871" s="6">
        <v>0.0001</v>
      </c>
      <c r="K871" s="6">
        <v>1.1442</v>
      </c>
    </row>
    <row r="872" ht="14.5" spans="1:11">
      <c r="A872" s="3" t="str">
        <f t="shared" si="48"/>
        <v>2026年</v>
      </c>
      <c r="B872" s="3" t="str">
        <f t="shared" si="49"/>
        <v>1月</v>
      </c>
      <c r="C872" s="4" t="str">
        <f t="shared" si="50"/>
        <v>W4</v>
      </c>
      <c r="D872" s="2" t="s">
        <v>760</v>
      </c>
      <c r="E872" s="2" t="s">
        <v>838</v>
      </c>
      <c r="F872" s="2" t="str" cm="1">
        <f t="array" ref="F872">INDEX(_xlfn.TEXTSPLIT(E872,"-"),2)</f>
        <v>男装</v>
      </c>
      <c r="G872" s="2" t="str" cm="1">
        <f t="array" ref="G872">INDEX(_xlfn.TEXTSPLIT(E872,"-"),3)</f>
        <v>针织衫/毛衣</v>
      </c>
      <c r="H872" s="5">
        <v>411107</v>
      </c>
      <c r="I872" s="5">
        <v>44528242.98</v>
      </c>
      <c r="J872" s="6">
        <v>0.0503</v>
      </c>
      <c r="K872" s="6">
        <v>-0.0471</v>
      </c>
    </row>
    <row r="873" ht="14.5" spans="1:11">
      <c r="A873" s="3" t="str">
        <f t="shared" si="48"/>
        <v>2026年</v>
      </c>
      <c r="B873" s="3" t="str">
        <f t="shared" si="49"/>
        <v>1月</v>
      </c>
      <c r="C873" s="4" t="str">
        <f t="shared" si="50"/>
        <v>W4</v>
      </c>
      <c r="D873" s="2" t="s">
        <v>760</v>
      </c>
      <c r="E873" s="2" t="s">
        <v>839</v>
      </c>
      <c r="F873" s="2" t="str" cm="1">
        <f t="array" ref="F873">INDEX(_xlfn.TEXTSPLIT(E873,"-"),2)</f>
        <v>男装</v>
      </c>
      <c r="G873" s="2" t="str" cm="1">
        <f t="array" ref="G873">INDEX(_xlfn.TEXTSPLIT(E873,"-"),3)</f>
        <v>防晒服</v>
      </c>
      <c r="H873" s="5">
        <v>148</v>
      </c>
      <c r="I873" s="5">
        <v>13308.1</v>
      </c>
      <c r="J873" s="2" t="s">
        <v>713</v>
      </c>
      <c r="K873" s="6">
        <v>0.429</v>
      </c>
    </row>
    <row r="874" ht="14.5" spans="1:11">
      <c r="A874" s="3" t="str">
        <f t="shared" si="48"/>
        <v>2026年</v>
      </c>
      <c r="B874" s="3" t="str">
        <f t="shared" si="49"/>
        <v>1月</v>
      </c>
      <c r="C874" s="4" t="str">
        <f t="shared" si="50"/>
        <v>W4</v>
      </c>
      <c r="D874" s="2" t="s">
        <v>760</v>
      </c>
      <c r="E874" s="2" t="s">
        <v>840</v>
      </c>
      <c r="F874" s="2" t="str" cm="1">
        <f t="array" ref="F874">INDEX(_xlfn.TEXTSPLIT(E874,"-"),2)</f>
        <v>男装</v>
      </c>
      <c r="G874" s="2" t="str" cm="1">
        <f t="array" ref="G874">INDEX(_xlfn.TEXTSPLIT(E874,"-"),3)</f>
        <v>风衣</v>
      </c>
      <c r="H874" s="5">
        <v>5535</v>
      </c>
      <c r="I874" s="5">
        <v>1923930.44</v>
      </c>
      <c r="J874" s="6">
        <v>0.0022</v>
      </c>
      <c r="K874" s="6">
        <v>-0.0718</v>
      </c>
    </row>
    <row r="875" ht="14.5" spans="1:11">
      <c r="A875" s="3" t="str">
        <f t="shared" si="48"/>
        <v>2026年</v>
      </c>
      <c r="B875" s="3" t="str">
        <f t="shared" si="49"/>
        <v>1月</v>
      </c>
      <c r="C875" s="4" t="str">
        <f t="shared" si="50"/>
        <v>W4</v>
      </c>
      <c r="D875" s="2" t="s">
        <v>760</v>
      </c>
      <c r="E875" s="2" t="s">
        <v>841</v>
      </c>
      <c r="F875" s="2" t="str" cm="1">
        <f t="array" ref="F875">INDEX(_xlfn.TEXTSPLIT(E875,"-"),2)</f>
        <v>男装</v>
      </c>
      <c r="G875" s="2" t="str" cm="1">
        <f t="array" ref="G875">INDEX(_xlfn.TEXTSPLIT(E875,"-"),3)</f>
        <v>马甲</v>
      </c>
      <c r="H875" s="5">
        <v>58807</v>
      </c>
      <c r="I875" s="5">
        <v>4624678.17</v>
      </c>
      <c r="J875" s="6">
        <v>0.0052</v>
      </c>
      <c r="K875" s="6">
        <v>-0.0653</v>
      </c>
    </row>
    <row r="876" ht="14.5" spans="1:11">
      <c r="A876" s="3" t="str">
        <f t="shared" si="48"/>
        <v>2026年</v>
      </c>
      <c r="B876" s="3" t="str">
        <f t="shared" si="49"/>
        <v>1月</v>
      </c>
      <c r="C876" s="4" t="str">
        <f t="shared" si="50"/>
        <v>W4</v>
      </c>
      <c r="D876" s="2" t="s">
        <v>761</v>
      </c>
      <c r="E876" s="2" t="s">
        <v>804</v>
      </c>
      <c r="F876" s="2" t="str" cm="1">
        <f t="array" ref="F876">INDEX(_xlfn.TEXTSPLIT(E876,"-"),2)</f>
        <v>男装</v>
      </c>
      <c r="G876" s="2" t="str" cm="1">
        <f t="array" ref="G876">INDEX(_xlfn.TEXTSPLIT(E876,"-"),3)</f>
        <v>Polo衫</v>
      </c>
      <c r="H876" s="5">
        <v>41316</v>
      </c>
      <c r="I876" s="5">
        <v>4046984.65</v>
      </c>
      <c r="J876" s="6">
        <v>0.0043</v>
      </c>
      <c r="K876" s="6">
        <v>0.002</v>
      </c>
    </row>
    <row r="877" ht="14.5" spans="1:11">
      <c r="A877" s="3" t="str">
        <f t="shared" si="48"/>
        <v>2026年</v>
      </c>
      <c r="B877" s="3" t="str">
        <f t="shared" si="49"/>
        <v>1月</v>
      </c>
      <c r="C877" s="4" t="str">
        <f t="shared" si="50"/>
        <v>W4</v>
      </c>
      <c r="D877" s="2" t="s">
        <v>761</v>
      </c>
      <c r="E877" s="2" t="s">
        <v>805</v>
      </c>
      <c r="F877" s="2" t="str" cm="1">
        <f t="array" ref="F877">INDEX(_xlfn.TEXTSPLIT(E877,"-"),2)</f>
        <v>男装</v>
      </c>
      <c r="G877" s="2" t="str" cm="1">
        <f t="array" ref="G877">INDEX(_xlfn.TEXTSPLIT(E877,"-"),3)</f>
        <v>T恤</v>
      </c>
      <c r="H877" s="5">
        <v>377980</v>
      </c>
      <c r="I877" s="5">
        <v>33212316.06</v>
      </c>
      <c r="J877" s="6">
        <v>0.0357</v>
      </c>
      <c r="K877" s="6">
        <v>0.2189</v>
      </c>
    </row>
    <row r="878" ht="14.5" spans="1:11">
      <c r="A878" s="3" t="str">
        <f t="shared" si="48"/>
        <v>2026年</v>
      </c>
      <c r="B878" s="3" t="str">
        <f t="shared" si="49"/>
        <v>1月</v>
      </c>
      <c r="C878" s="4" t="str">
        <f t="shared" si="50"/>
        <v>W4</v>
      </c>
      <c r="D878" s="2" t="s">
        <v>761</v>
      </c>
      <c r="E878" s="2" t="s">
        <v>806</v>
      </c>
      <c r="F878" s="2" t="str" cm="1">
        <f t="array" ref="F878">INDEX(_xlfn.TEXTSPLIT(E878,"-"),2)</f>
        <v>男装</v>
      </c>
      <c r="G878" s="2" t="str" cm="1">
        <f t="array" ref="G878">INDEX(_xlfn.TEXTSPLIT(E878,"-"),3)</f>
        <v>中老年男装</v>
      </c>
      <c r="H878" s="5">
        <v>141192</v>
      </c>
      <c r="I878" s="5">
        <v>19963920.04</v>
      </c>
      <c r="J878" s="6">
        <v>0.0215</v>
      </c>
      <c r="K878" s="6">
        <v>-0.2426</v>
      </c>
    </row>
    <row r="879" ht="14.5" spans="1:11">
      <c r="A879" s="3" t="str">
        <f t="shared" si="48"/>
        <v>2026年</v>
      </c>
      <c r="B879" s="3" t="str">
        <f t="shared" si="49"/>
        <v>1月</v>
      </c>
      <c r="C879" s="4" t="str">
        <f t="shared" si="50"/>
        <v>W4</v>
      </c>
      <c r="D879" s="2" t="s">
        <v>761</v>
      </c>
      <c r="E879" s="2" t="s">
        <v>807</v>
      </c>
      <c r="F879" s="2" t="str" cm="1">
        <f t="array" ref="F879">INDEX(_xlfn.TEXTSPLIT(E879,"-"),2)</f>
        <v>男装</v>
      </c>
      <c r="G879" s="2" t="str" cm="1">
        <f t="array" ref="G879">INDEX(_xlfn.TEXTSPLIT(E879,"-"),3)</f>
        <v>休闲裤</v>
      </c>
      <c r="H879" s="5">
        <v>1010967</v>
      </c>
      <c r="I879" s="5">
        <v>109499380.82</v>
      </c>
      <c r="J879" s="6">
        <v>0.1177</v>
      </c>
      <c r="K879" s="6">
        <v>0.0636</v>
      </c>
    </row>
    <row r="880" ht="14.5" spans="1:11">
      <c r="A880" s="3" t="str">
        <f t="shared" si="48"/>
        <v>2026年</v>
      </c>
      <c r="B880" s="3" t="str">
        <f t="shared" si="49"/>
        <v>1月</v>
      </c>
      <c r="C880" s="4" t="str">
        <f t="shared" si="50"/>
        <v>W4</v>
      </c>
      <c r="D880" s="2" t="s">
        <v>761</v>
      </c>
      <c r="E880" s="2" t="s">
        <v>808</v>
      </c>
      <c r="F880" s="2" t="str" cm="1">
        <f t="array" ref="F880">INDEX(_xlfn.TEXTSPLIT(E880,"-"),2)</f>
        <v>男装</v>
      </c>
      <c r="G880" s="2" t="str" cm="1">
        <f t="array" ref="G880">INDEX(_xlfn.TEXTSPLIT(E880,"-"),3)</f>
        <v>卫衣</v>
      </c>
      <c r="H880" s="5">
        <v>640833</v>
      </c>
      <c r="I880" s="5">
        <v>54712739.3</v>
      </c>
      <c r="J880" s="6">
        <v>0.0588</v>
      </c>
      <c r="K880" s="6">
        <v>0.1013</v>
      </c>
    </row>
    <row r="881" ht="14.5" spans="1:11">
      <c r="A881" s="3" t="str">
        <f t="shared" si="48"/>
        <v>2026年</v>
      </c>
      <c r="B881" s="3" t="str">
        <f t="shared" si="49"/>
        <v>1月</v>
      </c>
      <c r="C881" s="4" t="str">
        <f t="shared" si="50"/>
        <v>W4</v>
      </c>
      <c r="D881" s="2" t="s">
        <v>761</v>
      </c>
      <c r="E881" s="2" t="s">
        <v>809</v>
      </c>
      <c r="F881" s="2" t="str" cm="1">
        <f t="array" ref="F881">INDEX(_xlfn.TEXTSPLIT(E881,"-"),2)</f>
        <v>男装</v>
      </c>
      <c r="G881" s="2" t="str" cm="1">
        <f t="array" ref="G881">INDEX(_xlfn.TEXTSPLIT(E881,"-"),3)</f>
        <v>卫裤</v>
      </c>
      <c r="H881" s="5">
        <v>202624</v>
      </c>
      <c r="I881" s="5">
        <v>20311577.34</v>
      </c>
      <c r="J881" s="6">
        <v>0.0218</v>
      </c>
      <c r="K881" s="6">
        <v>-0.0554</v>
      </c>
    </row>
    <row r="882" ht="14.5" spans="1:11">
      <c r="A882" s="3" t="str">
        <f t="shared" si="48"/>
        <v>2026年</v>
      </c>
      <c r="B882" s="3" t="str">
        <f t="shared" si="49"/>
        <v>1月</v>
      </c>
      <c r="C882" s="4" t="str">
        <f t="shared" si="50"/>
        <v>W4</v>
      </c>
      <c r="D882" s="2" t="s">
        <v>761</v>
      </c>
      <c r="E882" s="2" t="s">
        <v>810</v>
      </c>
      <c r="F882" s="2" t="str" cm="1">
        <f t="array" ref="F882">INDEX(_xlfn.TEXTSPLIT(E882,"-"),2)</f>
        <v>男装</v>
      </c>
      <c r="G882" s="2" t="str" cm="1">
        <f t="array" ref="G882">INDEX(_xlfn.TEXTSPLIT(E882,"-"),3)</f>
        <v>大码男装</v>
      </c>
      <c r="H882" s="5">
        <v>47716</v>
      </c>
      <c r="I882" s="5">
        <v>4181475.17</v>
      </c>
      <c r="J882" s="6">
        <v>0.0045</v>
      </c>
      <c r="K882" s="6">
        <v>-0.0357</v>
      </c>
    </row>
    <row r="883" ht="14.5" spans="1:11">
      <c r="A883" s="3" t="str">
        <f t="shared" si="48"/>
        <v>2026年</v>
      </c>
      <c r="B883" s="3" t="str">
        <f t="shared" si="49"/>
        <v>1月</v>
      </c>
      <c r="C883" s="4" t="str">
        <f t="shared" si="50"/>
        <v>W4</v>
      </c>
      <c r="D883" s="2" t="s">
        <v>761</v>
      </c>
      <c r="E883" s="2" t="s">
        <v>811</v>
      </c>
      <c r="F883" s="2" t="str" cm="1">
        <f t="array" ref="F883">INDEX(_xlfn.TEXTSPLIT(E883,"-"),2)</f>
        <v>男装</v>
      </c>
      <c r="G883" s="2" t="str" cm="1">
        <f t="array" ref="G883">INDEX(_xlfn.TEXTSPLIT(E883,"-"),3)</f>
        <v>夹克</v>
      </c>
      <c r="H883" s="5">
        <v>472998</v>
      </c>
      <c r="I883" s="5">
        <v>87503144</v>
      </c>
      <c r="J883" s="6">
        <v>0.094</v>
      </c>
      <c r="K883" s="6">
        <v>0.0371</v>
      </c>
    </row>
    <row r="884" ht="14.5" spans="1:11">
      <c r="A884" s="3" t="str">
        <f t="shared" si="48"/>
        <v>2026年</v>
      </c>
      <c r="B884" s="3" t="str">
        <f t="shared" si="49"/>
        <v>1月</v>
      </c>
      <c r="C884" s="4" t="str">
        <f t="shared" si="50"/>
        <v>W4</v>
      </c>
      <c r="D884" s="2" t="s">
        <v>761</v>
      </c>
      <c r="E884" s="2" t="s">
        <v>812</v>
      </c>
      <c r="F884" s="2" t="str" cm="1">
        <f t="array" ref="F884">INDEX(_xlfn.TEXTSPLIT(E884,"-"),2)</f>
        <v>男装</v>
      </c>
      <c r="G884" s="2" t="str" cm="1">
        <f t="array" ref="G884">INDEX(_xlfn.TEXTSPLIT(E884,"-"),3)</f>
        <v>套装</v>
      </c>
      <c r="H884" s="5">
        <v>52291</v>
      </c>
      <c r="I884" s="5">
        <v>8163269.12</v>
      </c>
      <c r="J884" s="6">
        <v>0.0088</v>
      </c>
      <c r="K884" s="6">
        <v>-0.069</v>
      </c>
    </row>
    <row r="885" ht="14.5" spans="1:11">
      <c r="A885" s="3" t="str">
        <f t="shared" si="48"/>
        <v>2026年</v>
      </c>
      <c r="B885" s="3" t="str">
        <f t="shared" si="49"/>
        <v>1月</v>
      </c>
      <c r="C885" s="4" t="str">
        <f t="shared" si="50"/>
        <v>W4</v>
      </c>
      <c r="D885" s="2" t="s">
        <v>761</v>
      </c>
      <c r="E885" s="2" t="s">
        <v>813</v>
      </c>
      <c r="F885" s="2" t="str" cm="1">
        <f t="array" ref="F885">INDEX(_xlfn.TEXTSPLIT(E885,"-"),2)</f>
        <v>男装</v>
      </c>
      <c r="G885" s="2" t="str" cm="1">
        <f t="array" ref="G885">INDEX(_xlfn.TEXTSPLIT(E885,"-"),3)</f>
        <v>学生校服</v>
      </c>
      <c r="H885" s="5">
        <v>24</v>
      </c>
      <c r="I885" s="5">
        <v>1490.85</v>
      </c>
      <c r="J885" s="2" t="s">
        <v>713</v>
      </c>
      <c r="K885" s="7">
        <v>-0.72</v>
      </c>
    </row>
    <row r="886" ht="14.5" spans="1:11">
      <c r="A886" s="3" t="str">
        <f t="shared" si="48"/>
        <v>2026年</v>
      </c>
      <c r="B886" s="3" t="str">
        <f t="shared" si="49"/>
        <v>1月</v>
      </c>
      <c r="C886" s="4" t="str">
        <f t="shared" si="50"/>
        <v>W4</v>
      </c>
      <c r="D886" s="2" t="s">
        <v>761</v>
      </c>
      <c r="E886" s="2" t="s">
        <v>814</v>
      </c>
      <c r="F886" s="2" t="str" cm="1">
        <f t="array" ref="F886">INDEX(_xlfn.TEXTSPLIT(E886,"-"),2)</f>
        <v>男装</v>
      </c>
      <c r="G886" s="2" t="str" cm="1">
        <f t="array" ref="G886">INDEX(_xlfn.TEXTSPLIT(E886,"-"),3)</f>
        <v>打底衫</v>
      </c>
      <c r="H886" s="5">
        <v>26048</v>
      </c>
      <c r="I886" s="5">
        <v>1467335.8</v>
      </c>
      <c r="J886" s="6">
        <v>0.0016</v>
      </c>
      <c r="K886" s="6">
        <v>0.0153</v>
      </c>
    </row>
    <row r="887" ht="14.5" spans="1:11">
      <c r="A887" s="3" t="str">
        <f t="shared" si="48"/>
        <v>2026年</v>
      </c>
      <c r="B887" s="3" t="str">
        <f t="shared" si="49"/>
        <v>1月</v>
      </c>
      <c r="C887" s="4" t="str">
        <f t="shared" si="50"/>
        <v>W4</v>
      </c>
      <c r="D887" s="2" t="s">
        <v>761</v>
      </c>
      <c r="E887" s="2" t="s">
        <v>815</v>
      </c>
      <c r="F887" s="2" t="str" cm="1">
        <f t="array" ref="F887">INDEX(_xlfn.TEXTSPLIT(E887,"-"),2)</f>
        <v>男装</v>
      </c>
      <c r="G887" s="2" t="str" cm="1">
        <f t="array" ref="G887">INDEX(_xlfn.TEXTSPLIT(E887,"-"),3)</f>
        <v>新中式男装</v>
      </c>
      <c r="H887" s="5">
        <v>632</v>
      </c>
      <c r="I887" s="5">
        <v>107001.54</v>
      </c>
      <c r="J887" s="6">
        <v>0.0001</v>
      </c>
      <c r="K887" s="6">
        <v>-0.3501</v>
      </c>
    </row>
    <row r="888" ht="14.5" spans="1:11">
      <c r="A888" s="3" t="str">
        <f t="shared" si="48"/>
        <v>2026年</v>
      </c>
      <c r="B888" s="3" t="str">
        <f t="shared" si="49"/>
        <v>1月</v>
      </c>
      <c r="C888" s="4" t="str">
        <f t="shared" si="50"/>
        <v>W4</v>
      </c>
      <c r="D888" s="2" t="s">
        <v>761</v>
      </c>
      <c r="E888" s="2" t="s">
        <v>816</v>
      </c>
      <c r="F888" s="2" t="str" cm="1">
        <f t="array" ref="F888">INDEX(_xlfn.TEXTSPLIT(E888,"-"),2)</f>
        <v>男装</v>
      </c>
      <c r="G888" s="2" t="str" cm="1">
        <f t="array" ref="G888">INDEX(_xlfn.TEXTSPLIT(E888,"-"),3)</f>
        <v>棉衣</v>
      </c>
      <c r="H888" s="5">
        <v>432088</v>
      </c>
      <c r="I888" s="5">
        <v>58313651.75</v>
      </c>
      <c r="J888" s="6">
        <v>0.0627</v>
      </c>
      <c r="K888" s="6">
        <v>0.0246</v>
      </c>
    </row>
    <row r="889" ht="14.5" spans="1:11">
      <c r="A889" s="3" t="str">
        <f t="shared" ref="A889:A913" si="51">TEXT(YEAR(D889),"0")&amp;"年"</f>
        <v>2026年</v>
      </c>
      <c r="B889" s="3" t="str">
        <f t="shared" ref="B889:B913" si="52">TEXT(MONTH(D889),"0")&amp;"月"</f>
        <v>1月</v>
      </c>
      <c r="C889" s="4" t="str">
        <f t="shared" ref="C889:C913" si="53">"W"&amp;TEXT(WEEKNUM(D889,2),"0")</f>
        <v>W4</v>
      </c>
      <c r="D889" s="2" t="s">
        <v>761</v>
      </c>
      <c r="E889" s="2" t="s">
        <v>817</v>
      </c>
      <c r="F889" s="2" t="str" cm="1">
        <f t="array" ref="F889">INDEX(_xlfn.TEXTSPLIT(E889,"-"),2)</f>
        <v>男装</v>
      </c>
      <c r="G889" s="2" t="str" cm="1">
        <f t="array" ref="G889">INDEX(_xlfn.TEXTSPLIT(E889,"-"),3)</f>
        <v>棉裤</v>
      </c>
      <c r="H889" s="5">
        <v>31742</v>
      </c>
      <c r="I889" s="5">
        <v>2427531.79</v>
      </c>
      <c r="J889" s="6">
        <v>0.0026</v>
      </c>
      <c r="K889" s="6">
        <v>-0.0711</v>
      </c>
    </row>
    <row r="890" ht="14.5" spans="1:11">
      <c r="A890" s="3" t="str">
        <f t="shared" si="51"/>
        <v>2026年</v>
      </c>
      <c r="B890" s="3" t="str">
        <f t="shared" si="52"/>
        <v>1月</v>
      </c>
      <c r="C890" s="4" t="str">
        <f t="shared" si="53"/>
        <v>W4</v>
      </c>
      <c r="D890" s="2" t="s">
        <v>761</v>
      </c>
      <c r="E890" s="2" t="s">
        <v>818</v>
      </c>
      <c r="F890" s="2" t="str" cm="1">
        <f t="array" ref="F890">INDEX(_xlfn.TEXTSPLIT(E890,"-"),2)</f>
        <v>男装</v>
      </c>
      <c r="G890" s="2" t="str" cm="1">
        <f t="array" ref="G890">INDEX(_xlfn.TEXTSPLIT(E890,"-"),3)</f>
        <v>毛呢大衣</v>
      </c>
      <c r="H890" s="5">
        <v>48181</v>
      </c>
      <c r="I890" s="5">
        <v>20941212.61</v>
      </c>
      <c r="J890" s="6">
        <v>0.0225</v>
      </c>
      <c r="K890" s="6">
        <v>-0.0141</v>
      </c>
    </row>
    <row r="891" ht="14.5" spans="1:11">
      <c r="A891" s="3" t="str">
        <f t="shared" si="51"/>
        <v>2026年</v>
      </c>
      <c r="B891" s="3" t="str">
        <f t="shared" si="52"/>
        <v>1月</v>
      </c>
      <c r="C891" s="4" t="str">
        <f t="shared" si="53"/>
        <v>W4</v>
      </c>
      <c r="D891" s="2" t="s">
        <v>761</v>
      </c>
      <c r="E891" s="2" t="s">
        <v>819</v>
      </c>
      <c r="F891" s="2" t="str" cm="1">
        <f t="array" ref="F891">INDEX(_xlfn.TEXTSPLIT(E891,"-"),2)</f>
        <v>男装</v>
      </c>
      <c r="G891" s="2" t="str" cm="1">
        <f t="array" ref="G891">INDEX(_xlfn.TEXTSPLIT(E891,"-"),3)</f>
        <v>民族服装</v>
      </c>
      <c r="H891" s="5">
        <v>7546</v>
      </c>
      <c r="I891" s="5">
        <v>1937421.16</v>
      </c>
      <c r="J891" s="6">
        <v>0.0021</v>
      </c>
      <c r="K891" s="6">
        <v>0.1814</v>
      </c>
    </row>
    <row r="892" ht="14.5" spans="1:11">
      <c r="A892" s="3" t="str">
        <f t="shared" si="51"/>
        <v>2026年</v>
      </c>
      <c r="B892" s="3" t="str">
        <f t="shared" si="52"/>
        <v>1月</v>
      </c>
      <c r="C892" s="4" t="str">
        <f t="shared" si="53"/>
        <v>W4</v>
      </c>
      <c r="D892" s="2" t="s">
        <v>761</v>
      </c>
      <c r="E892" s="2" t="s">
        <v>820</v>
      </c>
      <c r="F892" s="2" t="str" cm="1">
        <f t="array" ref="F892">INDEX(_xlfn.TEXTSPLIT(E892,"-"),2)</f>
        <v>男装</v>
      </c>
      <c r="G892" s="2" t="str" cm="1">
        <f t="array" ref="G892">INDEX(_xlfn.TEXTSPLIT(E892,"-"),3)</f>
        <v>派克服</v>
      </c>
      <c r="H892" s="5">
        <v>11865</v>
      </c>
      <c r="I892" s="5">
        <v>2808547.07</v>
      </c>
      <c r="J892" s="6">
        <v>0.003</v>
      </c>
      <c r="K892" s="6">
        <v>-0.2373</v>
      </c>
    </row>
    <row r="893" ht="14.5" spans="1:11">
      <c r="A893" s="3" t="str">
        <f t="shared" si="51"/>
        <v>2026年</v>
      </c>
      <c r="B893" s="3" t="str">
        <f t="shared" si="52"/>
        <v>1月</v>
      </c>
      <c r="C893" s="4" t="str">
        <f t="shared" si="53"/>
        <v>W4</v>
      </c>
      <c r="D893" s="2" t="s">
        <v>761</v>
      </c>
      <c r="E893" s="2" t="s">
        <v>821</v>
      </c>
      <c r="F893" s="2" t="str" cm="1">
        <f t="array" ref="F893">INDEX(_xlfn.TEXTSPLIT(E893,"-"),2)</f>
        <v>男装</v>
      </c>
      <c r="G893" s="2" t="str" cm="1">
        <f t="array" ref="G893">INDEX(_xlfn.TEXTSPLIT(E893,"-"),3)</f>
        <v>牛仔裤</v>
      </c>
      <c r="H893" s="5">
        <v>626490</v>
      </c>
      <c r="I893" s="5">
        <v>70477590.69</v>
      </c>
      <c r="J893" s="6">
        <v>0.0757</v>
      </c>
      <c r="K893" s="6">
        <v>0.0335</v>
      </c>
    </row>
    <row r="894" ht="14.5" spans="1:11">
      <c r="A894" s="3" t="str">
        <f t="shared" si="51"/>
        <v>2026年</v>
      </c>
      <c r="B894" s="3" t="str">
        <f t="shared" si="52"/>
        <v>1月</v>
      </c>
      <c r="C894" s="4" t="str">
        <f t="shared" si="53"/>
        <v>W4</v>
      </c>
      <c r="D894" s="2" t="s">
        <v>761</v>
      </c>
      <c r="E894" s="2" t="s">
        <v>822</v>
      </c>
      <c r="F894" s="2" t="str" cm="1">
        <f t="array" ref="F894">INDEX(_xlfn.TEXTSPLIT(E894,"-"),2)</f>
        <v>男装</v>
      </c>
      <c r="G894" s="2" t="str" cm="1">
        <f t="array" ref="G894">INDEX(_xlfn.TEXTSPLIT(E894,"-"),3)</f>
        <v>皮草</v>
      </c>
      <c r="H894" s="5">
        <v>7714</v>
      </c>
      <c r="I894" s="5">
        <v>6867481.07</v>
      </c>
      <c r="J894" s="6">
        <v>0.0074</v>
      </c>
      <c r="K894" s="6">
        <v>-0.1622</v>
      </c>
    </row>
    <row r="895" ht="14.5" spans="1:11">
      <c r="A895" s="3" t="str">
        <f t="shared" si="51"/>
        <v>2026年</v>
      </c>
      <c r="B895" s="3" t="str">
        <f t="shared" si="52"/>
        <v>1月</v>
      </c>
      <c r="C895" s="4" t="str">
        <f t="shared" si="53"/>
        <v>W4</v>
      </c>
      <c r="D895" s="2" t="s">
        <v>761</v>
      </c>
      <c r="E895" s="2" t="s">
        <v>823</v>
      </c>
      <c r="F895" s="2" t="str" cm="1">
        <f t="array" ref="F895">INDEX(_xlfn.TEXTSPLIT(E895,"-"),2)</f>
        <v>男装</v>
      </c>
      <c r="G895" s="2" t="str" cm="1">
        <f t="array" ref="G895">INDEX(_xlfn.TEXTSPLIT(E895,"-"),3)</f>
        <v>皮衣</v>
      </c>
      <c r="H895" s="5">
        <v>52656</v>
      </c>
      <c r="I895" s="5">
        <v>27093420.44</v>
      </c>
      <c r="J895" s="6">
        <v>0.0291</v>
      </c>
      <c r="K895" s="6">
        <v>0.0853</v>
      </c>
    </row>
    <row r="896" ht="14.5" spans="1:11">
      <c r="A896" s="3" t="str">
        <f t="shared" si="51"/>
        <v>2026年</v>
      </c>
      <c r="B896" s="3" t="str">
        <f t="shared" si="52"/>
        <v>1月</v>
      </c>
      <c r="C896" s="4" t="str">
        <f t="shared" si="53"/>
        <v>W4</v>
      </c>
      <c r="D896" s="2" t="s">
        <v>761</v>
      </c>
      <c r="E896" s="2" t="s">
        <v>824</v>
      </c>
      <c r="F896" s="2" t="str" cm="1">
        <f t="array" ref="F896">INDEX(_xlfn.TEXTSPLIT(E896,"-"),2)</f>
        <v>男装</v>
      </c>
      <c r="G896" s="2" t="str" cm="1">
        <f t="array" ref="G896">INDEX(_xlfn.TEXTSPLIT(E896,"-"),3)</f>
        <v>皮裤</v>
      </c>
      <c r="H896" s="5">
        <v>3066</v>
      </c>
      <c r="I896" s="5">
        <v>748304.5</v>
      </c>
      <c r="J896" s="6">
        <v>0.0008</v>
      </c>
      <c r="K896" s="6">
        <v>0.3991</v>
      </c>
    </row>
    <row r="897" ht="14.5" spans="1:11">
      <c r="A897" s="3" t="str">
        <f t="shared" si="51"/>
        <v>2026年</v>
      </c>
      <c r="B897" s="3" t="str">
        <f t="shared" si="52"/>
        <v>1月</v>
      </c>
      <c r="C897" s="4" t="str">
        <f t="shared" si="53"/>
        <v>W4</v>
      </c>
      <c r="D897" s="2" t="s">
        <v>761</v>
      </c>
      <c r="E897" s="2" t="s">
        <v>825</v>
      </c>
      <c r="F897" s="2" t="str" cm="1">
        <f t="array" ref="F897">INDEX(_xlfn.TEXTSPLIT(E897,"-"),2)</f>
        <v>男装</v>
      </c>
      <c r="G897" s="2" t="str" cm="1">
        <f t="array" ref="G897">INDEX(_xlfn.TEXTSPLIT(E897,"-"),3)</f>
        <v>短外套</v>
      </c>
      <c r="H897" s="5">
        <v>54958</v>
      </c>
      <c r="I897" s="5">
        <v>5549532.98</v>
      </c>
      <c r="J897" s="6">
        <v>0.006</v>
      </c>
      <c r="K897" s="6">
        <v>0.1528</v>
      </c>
    </row>
    <row r="898" ht="14.5" spans="1:11">
      <c r="A898" s="3" t="str">
        <f t="shared" si="51"/>
        <v>2026年</v>
      </c>
      <c r="B898" s="3" t="str">
        <f t="shared" si="52"/>
        <v>1月</v>
      </c>
      <c r="C898" s="4" t="str">
        <f t="shared" si="53"/>
        <v>W4</v>
      </c>
      <c r="D898" s="2" t="s">
        <v>761</v>
      </c>
      <c r="E898" s="2" t="s">
        <v>826</v>
      </c>
      <c r="F898" s="2" t="str" cm="1">
        <f t="array" ref="F898">INDEX(_xlfn.TEXTSPLIT(E898,"-"),2)</f>
        <v>男装</v>
      </c>
      <c r="G898" s="2" t="str" cm="1">
        <f t="array" ref="G898">INDEX(_xlfn.TEXTSPLIT(E898,"-"),3)</f>
        <v>短裤</v>
      </c>
      <c r="H898" s="5">
        <v>50745</v>
      </c>
      <c r="I898" s="5">
        <v>2684582.68</v>
      </c>
      <c r="J898" s="6">
        <v>0.0029</v>
      </c>
      <c r="K898" s="6">
        <v>0.707</v>
      </c>
    </row>
    <row r="899" ht="14.5" spans="1:11">
      <c r="A899" s="3" t="str">
        <f t="shared" si="51"/>
        <v>2026年</v>
      </c>
      <c r="B899" s="3" t="str">
        <f t="shared" si="52"/>
        <v>1月</v>
      </c>
      <c r="C899" s="4" t="str">
        <f t="shared" si="53"/>
        <v>W4</v>
      </c>
      <c r="D899" s="2" t="s">
        <v>761</v>
      </c>
      <c r="E899" s="2" t="s">
        <v>827</v>
      </c>
      <c r="F899" s="2" t="str" cm="1">
        <f t="array" ref="F899">INDEX(_xlfn.TEXTSPLIT(E899,"-"),2)</f>
        <v>男装</v>
      </c>
      <c r="G899" s="2" t="str" cm="1">
        <f t="array" ref="G899">INDEX(_xlfn.TEXTSPLIT(E899,"-"),3)</f>
        <v>紧身衣</v>
      </c>
      <c r="H899" s="5">
        <v>149</v>
      </c>
      <c r="I899" s="5">
        <v>5717.7</v>
      </c>
      <c r="J899" s="2" t="s">
        <v>713</v>
      </c>
      <c r="K899" s="6">
        <v>0.9782</v>
      </c>
    </row>
    <row r="900" ht="14.5" spans="1:11">
      <c r="A900" s="3" t="str">
        <f t="shared" si="51"/>
        <v>2026年</v>
      </c>
      <c r="B900" s="3" t="str">
        <f t="shared" si="52"/>
        <v>1月</v>
      </c>
      <c r="C900" s="4" t="str">
        <f t="shared" si="53"/>
        <v>W4</v>
      </c>
      <c r="D900" s="2" t="s">
        <v>761</v>
      </c>
      <c r="E900" s="2" t="s">
        <v>828</v>
      </c>
      <c r="F900" s="2" t="str" cm="1">
        <f t="array" ref="F900">INDEX(_xlfn.TEXTSPLIT(E900,"-"),2)</f>
        <v>男装</v>
      </c>
      <c r="G900" s="2" t="str" cm="1">
        <f t="array" ref="G900">INDEX(_xlfn.TEXTSPLIT(E900,"-"),3)</f>
        <v>羊毛衫</v>
      </c>
      <c r="H900" s="5">
        <v>124820</v>
      </c>
      <c r="I900" s="5">
        <v>19363752.53</v>
      </c>
      <c r="J900" s="6">
        <v>0.0208</v>
      </c>
      <c r="K900" s="6">
        <v>0.2187</v>
      </c>
    </row>
    <row r="901" ht="14.5" spans="1:11">
      <c r="A901" s="3" t="str">
        <f t="shared" si="51"/>
        <v>2026年</v>
      </c>
      <c r="B901" s="3" t="str">
        <f t="shared" si="52"/>
        <v>1月</v>
      </c>
      <c r="C901" s="4" t="str">
        <f t="shared" si="53"/>
        <v>W4</v>
      </c>
      <c r="D901" s="2" t="s">
        <v>761</v>
      </c>
      <c r="E901" s="2" t="s">
        <v>829</v>
      </c>
      <c r="F901" s="2" t="str" cm="1">
        <f t="array" ref="F901">INDEX(_xlfn.TEXTSPLIT(E901,"-"),2)</f>
        <v>男装</v>
      </c>
      <c r="G901" s="2" t="str" cm="1">
        <f t="array" ref="G901">INDEX(_xlfn.TEXTSPLIT(E901,"-"),3)</f>
        <v>羊绒衫</v>
      </c>
      <c r="H901" s="5">
        <v>25100</v>
      </c>
      <c r="I901" s="5">
        <v>8051700.55</v>
      </c>
      <c r="J901" s="6">
        <v>0.0087</v>
      </c>
      <c r="K901" s="6">
        <v>0.1721</v>
      </c>
    </row>
    <row r="902" ht="14.5" spans="1:11">
      <c r="A902" s="3" t="str">
        <f t="shared" si="51"/>
        <v>2026年</v>
      </c>
      <c r="B902" s="3" t="str">
        <f t="shared" si="52"/>
        <v>1月</v>
      </c>
      <c r="C902" s="4" t="str">
        <f t="shared" si="53"/>
        <v>W4</v>
      </c>
      <c r="D902" s="2" t="s">
        <v>761</v>
      </c>
      <c r="E902" s="2" t="s">
        <v>830</v>
      </c>
      <c r="F902" s="2" t="str" cm="1">
        <f t="array" ref="F902">INDEX(_xlfn.TEXTSPLIT(E902,"-"),2)</f>
        <v>男装</v>
      </c>
      <c r="G902" s="2" t="str" cm="1">
        <f t="array" ref="G902">INDEX(_xlfn.TEXTSPLIT(E902,"-"),3)</f>
        <v>羽绒服</v>
      </c>
      <c r="H902" s="5">
        <v>699228</v>
      </c>
      <c r="I902" s="5">
        <v>259828190.36</v>
      </c>
      <c r="J902" s="6">
        <v>0.2792</v>
      </c>
      <c r="K902" s="6">
        <v>0.0324</v>
      </c>
    </row>
    <row r="903" ht="14.5" spans="1:11">
      <c r="A903" s="3" t="str">
        <f t="shared" si="51"/>
        <v>2026年</v>
      </c>
      <c r="B903" s="3" t="str">
        <f t="shared" si="52"/>
        <v>1月</v>
      </c>
      <c r="C903" s="4" t="str">
        <f t="shared" si="53"/>
        <v>W4</v>
      </c>
      <c r="D903" s="2" t="s">
        <v>761</v>
      </c>
      <c r="E903" s="2" t="s">
        <v>831</v>
      </c>
      <c r="F903" s="2" t="str" cm="1">
        <f t="array" ref="F903">INDEX(_xlfn.TEXTSPLIT(E903,"-"),2)</f>
        <v>男装</v>
      </c>
      <c r="G903" s="2" t="str" cm="1">
        <f t="array" ref="G903">INDEX(_xlfn.TEXTSPLIT(E903,"-"),3)</f>
        <v>羽绒裤</v>
      </c>
      <c r="H903" s="5">
        <v>14329</v>
      </c>
      <c r="I903" s="5">
        <v>2215088.94</v>
      </c>
      <c r="J903" s="6">
        <v>0.0024</v>
      </c>
      <c r="K903" s="6">
        <v>-0.239</v>
      </c>
    </row>
    <row r="904" ht="14.5" spans="1:11">
      <c r="A904" s="3" t="str">
        <f t="shared" si="51"/>
        <v>2026年</v>
      </c>
      <c r="B904" s="3" t="str">
        <f t="shared" si="52"/>
        <v>1月</v>
      </c>
      <c r="C904" s="4" t="str">
        <f t="shared" si="53"/>
        <v>W4</v>
      </c>
      <c r="D904" s="2" t="s">
        <v>761</v>
      </c>
      <c r="E904" s="2" t="s">
        <v>832</v>
      </c>
      <c r="F904" s="2" t="str" cm="1">
        <f t="array" ref="F904">INDEX(_xlfn.TEXTSPLIT(E904,"-"),2)</f>
        <v>男装</v>
      </c>
      <c r="G904" s="2" t="str" cm="1">
        <f t="array" ref="G904">INDEX(_xlfn.TEXTSPLIT(E904,"-"),3)</f>
        <v>羽绒马甲</v>
      </c>
      <c r="H904" s="5">
        <v>12191</v>
      </c>
      <c r="I904" s="5">
        <v>2405149.24</v>
      </c>
      <c r="J904" s="6">
        <v>0.0026</v>
      </c>
      <c r="K904" s="6">
        <v>-0.021</v>
      </c>
    </row>
    <row r="905" ht="14.5" spans="1:11">
      <c r="A905" s="3" t="str">
        <f t="shared" si="51"/>
        <v>2026年</v>
      </c>
      <c r="B905" s="3" t="str">
        <f t="shared" si="52"/>
        <v>1月</v>
      </c>
      <c r="C905" s="4" t="str">
        <f t="shared" si="53"/>
        <v>W4</v>
      </c>
      <c r="D905" s="2" t="s">
        <v>761</v>
      </c>
      <c r="E905" s="2" t="s">
        <v>833</v>
      </c>
      <c r="F905" s="2" t="str" cm="1">
        <f t="array" ref="F905">INDEX(_xlfn.TEXTSPLIT(E905,"-"),2)</f>
        <v>男装</v>
      </c>
      <c r="G905" s="2" t="str" cm="1">
        <f t="array" ref="G905">INDEX(_xlfn.TEXTSPLIT(E905,"-"),3)</f>
        <v>背心</v>
      </c>
      <c r="H905" s="5">
        <v>38220</v>
      </c>
      <c r="I905" s="5">
        <v>2489756.38</v>
      </c>
      <c r="J905" s="6">
        <v>0.0027</v>
      </c>
      <c r="K905" s="6">
        <v>-0.0579</v>
      </c>
    </row>
    <row r="906" ht="14.5" spans="1:11">
      <c r="A906" s="3" t="str">
        <f t="shared" si="51"/>
        <v>2026年</v>
      </c>
      <c r="B906" s="3" t="str">
        <f t="shared" si="52"/>
        <v>1月</v>
      </c>
      <c r="C906" s="4" t="str">
        <f t="shared" si="53"/>
        <v>W4</v>
      </c>
      <c r="D906" s="2" t="s">
        <v>761</v>
      </c>
      <c r="E906" s="2" t="s">
        <v>834</v>
      </c>
      <c r="F906" s="2" t="str" cm="1">
        <f t="array" ref="F906">INDEX(_xlfn.TEXTSPLIT(E906,"-"),2)</f>
        <v>男装</v>
      </c>
      <c r="G906" s="2" t="str" cm="1">
        <f t="array" ref="G906">INDEX(_xlfn.TEXTSPLIT(E906,"-"),3)</f>
        <v>衬衫</v>
      </c>
      <c r="H906" s="5">
        <v>88598</v>
      </c>
      <c r="I906" s="5">
        <v>11868042.81</v>
      </c>
      <c r="J906" s="6">
        <v>0.0128</v>
      </c>
      <c r="K906" s="6">
        <v>0.229</v>
      </c>
    </row>
    <row r="907" ht="14.5" spans="1:11">
      <c r="A907" s="3" t="str">
        <f t="shared" si="51"/>
        <v>2026年</v>
      </c>
      <c r="B907" s="3" t="str">
        <f t="shared" si="52"/>
        <v>1月</v>
      </c>
      <c r="C907" s="4" t="str">
        <f t="shared" si="53"/>
        <v>W4</v>
      </c>
      <c r="D907" s="2" t="s">
        <v>761</v>
      </c>
      <c r="E907" s="2" t="s">
        <v>835</v>
      </c>
      <c r="F907" s="2" t="str" cm="1">
        <f t="array" ref="F907">INDEX(_xlfn.TEXTSPLIT(E907,"-"),2)</f>
        <v>男装</v>
      </c>
      <c r="G907" s="2" t="str" cm="1">
        <f t="array" ref="G907">INDEX(_xlfn.TEXTSPLIT(E907,"-"),3)</f>
        <v>西服</v>
      </c>
      <c r="H907" s="5">
        <v>88199</v>
      </c>
      <c r="I907" s="5">
        <v>18172886.88</v>
      </c>
      <c r="J907" s="6">
        <v>0.0195</v>
      </c>
      <c r="K907" s="6">
        <v>0.0996</v>
      </c>
    </row>
    <row r="908" ht="14.5" spans="1:11">
      <c r="A908" s="3" t="str">
        <f t="shared" si="51"/>
        <v>2026年</v>
      </c>
      <c r="B908" s="3" t="str">
        <f t="shared" si="52"/>
        <v>1月</v>
      </c>
      <c r="C908" s="4" t="str">
        <f t="shared" si="53"/>
        <v>W4</v>
      </c>
      <c r="D908" s="2" t="s">
        <v>761</v>
      </c>
      <c r="E908" s="2" t="s">
        <v>836</v>
      </c>
      <c r="F908" s="2" t="str" cm="1">
        <f t="array" ref="F908">INDEX(_xlfn.TEXTSPLIT(E908,"-"),2)</f>
        <v>男装</v>
      </c>
      <c r="G908" s="2" t="str" cm="1">
        <f t="array" ref="G908">INDEX(_xlfn.TEXTSPLIT(E908,"-"),3)</f>
        <v>连体衣/裤</v>
      </c>
      <c r="H908" s="5">
        <v>899</v>
      </c>
      <c r="I908" s="5">
        <v>30276.98</v>
      </c>
      <c r="J908" s="2" t="s">
        <v>713</v>
      </c>
      <c r="K908" s="6">
        <v>0.2304</v>
      </c>
    </row>
    <row r="909" ht="14.5" spans="1:11">
      <c r="A909" s="3" t="str">
        <f t="shared" si="51"/>
        <v>2026年</v>
      </c>
      <c r="B909" s="3" t="str">
        <f t="shared" si="52"/>
        <v>1月</v>
      </c>
      <c r="C909" s="4" t="str">
        <f t="shared" si="53"/>
        <v>W4</v>
      </c>
      <c r="D909" s="2" t="s">
        <v>761</v>
      </c>
      <c r="E909" s="2" t="s">
        <v>837</v>
      </c>
      <c r="F909" s="2" t="str" cm="1">
        <f t="array" ref="F909">INDEX(_xlfn.TEXTSPLIT(E909,"-"),2)</f>
        <v>男装</v>
      </c>
      <c r="G909" s="2" t="str" cm="1">
        <f t="array" ref="G909">INDEX(_xlfn.TEXTSPLIT(E909,"-"),3)</f>
        <v>速干/三防T恤</v>
      </c>
      <c r="H909" s="5">
        <v>540</v>
      </c>
      <c r="I909" s="5">
        <v>55472.33</v>
      </c>
      <c r="J909" s="6">
        <v>0.0001</v>
      </c>
      <c r="K909" s="6">
        <v>-0.3582</v>
      </c>
    </row>
    <row r="910" ht="14.5" spans="1:11">
      <c r="A910" s="3" t="str">
        <f t="shared" si="51"/>
        <v>2026年</v>
      </c>
      <c r="B910" s="3" t="str">
        <f t="shared" si="52"/>
        <v>1月</v>
      </c>
      <c r="C910" s="4" t="str">
        <f t="shared" si="53"/>
        <v>W4</v>
      </c>
      <c r="D910" s="2" t="s">
        <v>761</v>
      </c>
      <c r="E910" s="2" t="s">
        <v>838</v>
      </c>
      <c r="F910" s="2" t="str" cm="1">
        <f t="array" ref="F910">INDEX(_xlfn.TEXTSPLIT(E910,"-"),2)</f>
        <v>男装</v>
      </c>
      <c r="G910" s="2" t="str" cm="1">
        <f t="array" ref="G910">INDEX(_xlfn.TEXTSPLIT(E910,"-"),3)</f>
        <v>针织衫/毛衣</v>
      </c>
      <c r="H910" s="5">
        <v>408688</v>
      </c>
      <c r="I910" s="5">
        <v>49896229.44</v>
      </c>
      <c r="J910" s="6">
        <v>0.0536</v>
      </c>
      <c r="K910" s="6">
        <v>0.1206</v>
      </c>
    </row>
    <row r="911" ht="14.5" spans="1:11">
      <c r="A911" s="3" t="str">
        <f t="shared" si="51"/>
        <v>2026年</v>
      </c>
      <c r="B911" s="3" t="str">
        <f t="shared" si="52"/>
        <v>1月</v>
      </c>
      <c r="C911" s="4" t="str">
        <f t="shared" si="53"/>
        <v>W4</v>
      </c>
      <c r="D911" s="2" t="s">
        <v>761</v>
      </c>
      <c r="E911" s="2" t="s">
        <v>839</v>
      </c>
      <c r="F911" s="2" t="str" cm="1">
        <f t="array" ref="F911">INDEX(_xlfn.TEXTSPLIT(E911,"-"),2)</f>
        <v>男装</v>
      </c>
      <c r="G911" s="2" t="str" cm="1">
        <f t="array" ref="G911">INDEX(_xlfn.TEXTSPLIT(E911,"-"),3)</f>
        <v>防晒服</v>
      </c>
      <c r="H911" s="5">
        <v>146</v>
      </c>
      <c r="I911" s="5">
        <v>12623.54</v>
      </c>
      <c r="J911" s="2" t="s">
        <v>713</v>
      </c>
      <c r="K911" s="6">
        <v>-0.0514</v>
      </c>
    </row>
    <row r="912" ht="14.5" spans="1:11">
      <c r="A912" s="3" t="str">
        <f t="shared" si="51"/>
        <v>2026年</v>
      </c>
      <c r="B912" s="3" t="str">
        <f t="shared" si="52"/>
        <v>1月</v>
      </c>
      <c r="C912" s="4" t="str">
        <f t="shared" si="53"/>
        <v>W4</v>
      </c>
      <c r="D912" s="2" t="s">
        <v>761</v>
      </c>
      <c r="E912" s="2" t="s">
        <v>840</v>
      </c>
      <c r="F912" s="2" t="str" cm="1">
        <f t="array" ref="F912">INDEX(_xlfn.TEXTSPLIT(E912,"-"),2)</f>
        <v>男装</v>
      </c>
      <c r="G912" s="2" t="str" cm="1">
        <f t="array" ref="G912">INDEX(_xlfn.TEXTSPLIT(E912,"-"),3)</f>
        <v>风衣</v>
      </c>
      <c r="H912" s="5">
        <v>6765</v>
      </c>
      <c r="I912" s="5">
        <v>2661151.57</v>
      </c>
      <c r="J912" s="6">
        <v>0.0029</v>
      </c>
      <c r="K912" s="6">
        <v>0.3832</v>
      </c>
    </row>
    <row r="913" ht="14.5" spans="1:11">
      <c r="A913" s="3" t="str">
        <f t="shared" si="51"/>
        <v>2026年</v>
      </c>
      <c r="B913" s="3" t="str">
        <f t="shared" si="52"/>
        <v>1月</v>
      </c>
      <c r="C913" s="4" t="str">
        <f t="shared" si="53"/>
        <v>W4</v>
      </c>
      <c r="D913" s="2" t="s">
        <v>761</v>
      </c>
      <c r="E913" s="2" t="s">
        <v>841</v>
      </c>
      <c r="F913" s="2" t="str" cm="1">
        <f t="array" ref="F913">INDEX(_xlfn.TEXTSPLIT(E913,"-"),2)</f>
        <v>男装</v>
      </c>
      <c r="G913" s="2" t="str" cm="1">
        <f t="array" ref="G913">INDEX(_xlfn.TEXTSPLIT(E913,"-"),3)</f>
        <v>马甲</v>
      </c>
      <c r="H913" s="5">
        <v>60036</v>
      </c>
      <c r="I913" s="5">
        <v>10411110.18</v>
      </c>
      <c r="J913" s="6">
        <v>0.0112</v>
      </c>
      <c r="K913" s="6">
        <v>1.2512</v>
      </c>
    </row>
    <row r="914" ht="14.5" spans="1:11">
      <c r="A914" s="3" t="str">
        <f t="shared" ref="A914:A951" si="54">TEXT(YEAR(D914),"0")&amp;"年"</f>
        <v>2026年</v>
      </c>
      <c r="B914" s="3" t="str">
        <f t="shared" ref="B914:B951" si="55">TEXT(MONTH(D914),"0")&amp;"月"</f>
        <v>1月</v>
      </c>
      <c r="C914" s="4" t="str">
        <f t="shared" ref="C914:C951" si="56">"W"&amp;TEXT(WEEKNUM(D914,2),"0")</f>
        <v>W4</v>
      </c>
      <c r="D914" s="2" t="s">
        <v>762</v>
      </c>
      <c r="E914" s="2" t="s">
        <v>804</v>
      </c>
      <c r="F914" s="2" t="str" cm="1">
        <f t="array" ref="F914">INDEX(_xlfn.TEXTSPLIT(E914,"-"),2)</f>
        <v>男装</v>
      </c>
      <c r="G914" s="2" t="str" cm="1">
        <f t="array" ref="G914">INDEX(_xlfn.TEXTSPLIT(E914,"-"),3)</f>
        <v>Polo衫</v>
      </c>
      <c r="H914" s="5">
        <v>51337</v>
      </c>
      <c r="I914" s="5">
        <v>4912371.22</v>
      </c>
      <c r="J914" s="6">
        <v>0.0052</v>
      </c>
      <c r="K914" s="6">
        <v>0.1142</v>
      </c>
    </row>
    <row r="915" ht="14.5" spans="1:11">
      <c r="A915" s="3" t="str">
        <f t="shared" si="54"/>
        <v>2026年</v>
      </c>
      <c r="B915" s="3" t="str">
        <f t="shared" si="55"/>
        <v>1月</v>
      </c>
      <c r="C915" s="4" t="str">
        <f t="shared" si="56"/>
        <v>W4</v>
      </c>
      <c r="D915" s="2" t="s">
        <v>762</v>
      </c>
      <c r="E915" s="2" t="s">
        <v>805</v>
      </c>
      <c r="F915" s="2" t="str" cm="1">
        <f t="array" ref="F915">INDEX(_xlfn.TEXTSPLIT(E915,"-"),2)</f>
        <v>男装</v>
      </c>
      <c r="G915" s="2" t="str" cm="1">
        <f t="array" ref="G915">INDEX(_xlfn.TEXTSPLIT(E915,"-"),3)</f>
        <v>T恤</v>
      </c>
      <c r="H915" s="5">
        <v>394023</v>
      </c>
      <c r="I915" s="5">
        <v>31377002.79</v>
      </c>
      <c r="J915" s="6">
        <v>0.0333</v>
      </c>
      <c r="K915" s="6">
        <v>-0.0638</v>
      </c>
    </row>
    <row r="916" ht="14.5" spans="1:11">
      <c r="A916" s="3" t="str">
        <f t="shared" si="54"/>
        <v>2026年</v>
      </c>
      <c r="B916" s="3" t="str">
        <f t="shared" si="55"/>
        <v>1月</v>
      </c>
      <c r="C916" s="4" t="str">
        <f t="shared" si="56"/>
        <v>W4</v>
      </c>
      <c r="D916" s="2" t="s">
        <v>762</v>
      </c>
      <c r="E916" s="2" t="s">
        <v>806</v>
      </c>
      <c r="F916" s="2" t="str" cm="1">
        <f t="array" ref="F916">INDEX(_xlfn.TEXTSPLIT(E916,"-"),2)</f>
        <v>男装</v>
      </c>
      <c r="G916" s="2" t="str" cm="1">
        <f t="array" ref="G916">INDEX(_xlfn.TEXTSPLIT(E916,"-"),3)</f>
        <v>中老年男装</v>
      </c>
      <c r="H916" s="5">
        <v>144210</v>
      </c>
      <c r="I916" s="5">
        <v>19581040.88</v>
      </c>
      <c r="J916" s="6">
        <v>0.0208</v>
      </c>
      <c r="K916" s="6">
        <v>-0.0369</v>
      </c>
    </row>
    <row r="917" ht="14.5" spans="1:11">
      <c r="A917" s="3" t="str">
        <f t="shared" si="54"/>
        <v>2026年</v>
      </c>
      <c r="B917" s="3" t="str">
        <f t="shared" si="55"/>
        <v>1月</v>
      </c>
      <c r="C917" s="4" t="str">
        <f t="shared" si="56"/>
        <v>W4</v>
      </c>
      <c r="D917" s="2" t="s">
        <v>762</v>
      </c>
      <c r="E917" s="2" t="s">
        <v>807</v>
      </c>
      <c r="F917" s="2" t="str" cm="1">
        <f t="array" ref="F917">INDEX(_xlfn.TEXTSPLIT(E917,"-"),2)</f>
        <v>男装</v>
      </c>
      <c r="G917" s="2" t="str" cm="1">
        <f t="array" ref="G917">INDEX(_xlfn.TEXTSPLIT(E917,"-"),3)</f>
        <v>休闲裤</v>
      </c>
      <c r="H917" s="5">
        <v>1062150</v>
      </c>
      <c r="I917" s="5">
        <v>110887169.4</v>
      </c>
      <c r="J917" s="6">
        <v>0.1176</v>
      </c>
      <c r="K917" s="6">
        <v>0.0096</v>
      </c>
    </row>
    <row r="918" ht="14.5" spans="1:11">
      <c r="A918" s="3" t="str">
        <f t="shared" si="54"/>
        <v>2026年</v>
      </c>
      <c r="B918" s="3" t="str">
        <f t="shared" si="55"/>
        <v>1月</v>
      </c>
      <c r="C918" s="4" t="str">
        <f t="shared" si="56"/>
        <v>W4</v>
      </c>
      <c r="D918" s="2" t="s">
        <v>762</v>
      </c>
      <c r="E918" s="2" t="s">
        <v>808</v>
      </c>
      <c r="F918" s="2" t="str" cm="1">
        <f t="array" ref="F918">INDEX(_xlfn.TEXTSPLIT(E918,"-"),2)</f>
        <v>男装</v>
      </c>
      <c r="G918" s="2" t="str" cm="1">
        <f t="array" ref="G918">INDEX(_xlfn.TEXTSPLIT(E918,"-"),3)</f>
        <v>卫衣</v>
      </c>
      <c r="H918" s="5">
        <v>662673</v>
      </c>
      <c r="I918" s="5">
        <v>56326820.54</v>
      </c>
      <c r="J918" s="6">
        <v>0.0597</v>
      </c>
      <c r="K918" s="6">
        <v>0.0321</v>
      </c>
    </row>
    <row r="919" ht="14.5" spans="1:11">
      <c r="A919" s="3" t="str">
        <f t="shared" si="54"/>
        <v>2026年</v>
      </c>
      <c r="B919" s="3" t="str">
        <f t="shared" si="55"/>
        <v>1月</v>
      </c>
      <c r="C919" s="4" t="str">
        <f t="shared" si="56"/>
        <v>W4</v>
      </c>
      <c r="D919" s="2" t="s">
        <v>762</v>
      </c>
      <c r="E919" s="2" t="s">
        <v>809</v>
      </c>
      <c r="F919" s="2" t="str" cm="1">
        <f t="array" ref="F919">INDEX(_xlfn.TEXTSPLIT(E919,"-"),2)</f>
        <v>男装</v>
      </c>
      <c r="G919" s="2" t="str" cm="1">
        <f t="array" ref="G919">INDEX(_xlfn.TEXTSPLIT(E919,"-"),3)</f>
        <v>卫裤</v>
      </c>
      <c r="H919" s="5">
        <v>213823</v>
      </c>
      <c r="I919" s="5">
        <v>20900851.56</v>
      </c>
      <c r="J919" s="6">
        <v>0.0222</v>
      </c>
      <c r="K919" s="6">
        <v>0.0068</v>
      </c>
    </row>
    <row r="920" ht="14.5" spans="1:11">
      <c r="A920" s="3" t="str">
        <f t="shared" si="54"/>
        <v>2026年</v>
      </c>
      <c r="B920" s="3" t="str">
        <f t="shared" si="55"/>
        <v>1月</v>
      </c>
      <c r="C920" s="4" t="str">
        <f t="shared" si="56"/>
        <v>W4</v>
      </c>
      <c r="D920" s="2" t="s">
        <v>762</v>
      </c>
      <c r="E920" s="2" t="s">
        <v>810</v>
      </c>
      <c r="F920" s="2" t="str" cm="1">
        <f t="array" ref="F920">INDEX(_xlfn.TEXTSPLIT(E920,"-"),2)</f>
        <v>男装</v>
      </c>
      <c r="G920" s="2" t="str" cm="1">
        <f t="array" ref="G920">INDEX(_xlfn.TEXTSPLIT(E920,"-"),3)</f>
        <v>大码男装</v>
      </c>
      <c r="H920" s="5">
        <v>48764</v>
      </c>
      <c r="I920" s="5">
        <v>4211605.46</v>
      </c>
      <c r="J920" s="6">
        <v>0.0045</v>
      </c>
      <c r="K920" s="6">
        <v>-0.0088</v>
      </c>
    </row>
    <row r="921" ht="14.5" spans="1:11">
      <c r="A921" s="3" t="str">
        <f t="shared" si="54"/>
        <v>2026年</v>
      </c>
      <c r="B921" s="3" t="str">
        <f t="shared" si="55"/>
        <v>1月</v>
      </c>
      <c r="C921" s="4" t="str">
        <f t="shared" si="56"/>
        <v>W4</v>
      </c>
      <c r="D921" s="2" t="s">
        <v>762</v>
      </c>
      <c r="E921" s="2" t="s">
        <v>811</v>
      </c>
      <c r="F921" s="2" t="str" cm="1">
        <f t="array" ref="F921">INDEX(_xlfn.TEXTSPLIT(E921,"-"),2)</f>
        <v>男装</v>
      </c>
      <c r="G921" s="2" t="str" cm="1">
        <f t="array" ref="G921">INDEX(_xlfn.TEXTSPLIT(E921,"-"),3)</f>
        <v>夹克</v>
      </c>
      <c r="H921" s="5">
        <v>482413</v>
      </c>
      <c r="I921" s="5">
        <v>92845742.05</v>
      </c>
      <c r="J921" s="6">
        <v>0.0984</v>
      </c>
      <c r="K921" s="6">
        <v>0.0548</v>
      </c>
    </row>
    <row r="922" ht="14.5" spans="1:11">
      <c r="A922" s="3" t="str">
        <f t="shared" si="54"/>
        <v>2026年</v>
      </c>
      <c r="B922" s="3" t="str">
        <f t="shared" si="55"/>
        <v>1月</v>
      </c>
      <c r="C922" s="4" t="str">
        <f t="shared" si="56"/>
        <v>W4</v>
      </c>
      <c r="D922" s="2" t="s">
        <v>762</v>
      </c>
      <c r="E922" s="2" t="s">
        <v>812</v>
      </c>
      <c r="F922" s="2" t="str" cm="1">
        <f t="array" ref="F922">INDEX(_xlfn.TEXTSPLIT(E922,"-"),2)</f>
        <v>男装</v>
      </c>
      <c r="G922" s="2" t="str" cm="1">
        <f t="array" ref="G922">INDEX(_xlfn.TEXTSPLIT(E922,"-"),3)</f>
        <v>套装</v>
      </c>
      <c r="H922" s="5">
        <v>57311</v>
      </c>
      <c r="I922" s="5">
        <v>8853824.15</v>
      </c>
      <c r="J922" s="6">
        <v>0.0094</v>
      </c>
      <c r="K922" s="6">
        <v>0.0639</v>
      </c>
    </row>
    <row r="923" ht="14.5" spans="1:11">
      <c r="A923" s="3" t="str">
        <f t="shared" si="54"/>
        <v>2026年</v>
      </c>
      <c r="B923" s="3" t="str">
        <f t="shared" si="55"/>
        <v>1月</v>
      </c>
      <c r="C923" s="4" t="str">
        <f t="shared" si="56"/>
        <v>W4</v>
      </c>
      <c r="D923" s="2" t="s">
        <v>762</v>
      </c>
      <c r="E923" s="2" t="s">
        <v>813</v>
      </c>
      <c r="F923" s="2" t="str" cm="1">
        <f t="array" ref="F923">INDEX(_xlfn.TEXTSPLIT(E923,"-"),2)</f>
        <v>男装</v>
      </c>
      <c r="G923" s="2" t="str" cm="1">
        <f t="array" ref="G923">INDEX(_xlfn.TEXTSPLIT(E923,"-"),3)</f>
        <v>学生校服</v>
      </c>
      <c r="H923" s="5">
        <v>29</v>
      </c>
      <c r="I923" s="5">
        <v>3453.18</v>
      </c>
      <c r="J923" s="2" t="s">
        <v>713</v>
      </c>
      <c r="K923" s="6">
        <v>1.3162</v>
      </c>
    </row>
    <row r="924" ht="14.5" spans="1:11">
      <c r="A924" s="3" t="str">
        <f t="shared" si="54"/>
        <v>2026年</v>
      </c>
      <c r="B924" s="3" t="str">
        <f t="shared" si="55"/>
        <v>1月</v>
      </c>
      <c r="C924" s="4" t="str">
        <f t="shared" si="56"/>
        <v>W4</v>
      </c>
      <c r="D924" s="2" t="s">
        <v>762</v>
      </c>
      <c r="E924" s="2" t="s">
        <v>814</v>
      </c>
      <c r="F924" s="2" t="str" cm="1">
        <f t="array" ref="F924">INDEX(_xlfn.TEXTSPLIT(E924,"-"),2)</f>
        <v>男装</v>
      </c>
      <c r="G924" s="2" t="str" cm="1">
        <f t="array" ref="G924">INDEX(_xlfn.TEXTSPLIT(E924,"-"),3)</f>
        <v>打底衫</v>
      </c>
      <c r="H924" s="5">
        <v>24659</v>
      </c>
      <c r="I924" s="5">
        <v>1535706.38</v>
      </c>
      <c r="J924" s="6">
        <v>0.0016</v>
      </c>
      <c r="K924" s="6">
        <v>0.1248</v>
      </c>
    </row>
    <row r="925" ht="14.5" spans="1:11">
      <c r="A925" s="3" t="str">
        <f t="shared" si="54"/>
        <v>2026年</v>
      </c>
      <c r="B925" s="3" t="str">
        <f t="shared" si="55"/>
        <v>1月</v>
      </c>
      <c r="C925" s="4" t="str">
        <f t="shared" si="56"/>
        <v>W4</v>
      </c>
      <c r="D925" s="2" t="s">
        <v>762</v>
      </c>
      <c r="E925" s="2" t="s">
        <v>815</v>
      </c>
      <c r="F925" s="2" t="str" cm="1">
        <f t="array" ref="F925">INDEX(_xlfn.TEXTSPLIT(E925,"-"),2)</f>
        <v>男装</v>
      </c>
      <c r="G925" s="2" t="str" cm="1">
        <f t="array" ref="G925">INDEX(_xlfn.TEXTSPLIT(E925,"-"),3)</f>
        <v>新中式男装</v>
      </c>
      <c r="H925" s="5">
        <v>809</v>
      </c>
      <c r="I925" s="5">
        <v>224327.55</v>
      </c>
      <c r="J925" s="6">
        <v>0.0002</v>
      </c>
      <c r="K925" s="6">
        <v>1.0965</v>
      </c>
    </row>
    <row r="926" ht="14.5" spans="1:11">
      <c r="A926" s="3" t="str">
        <f t="shared" si="54"/>
        <v>2026年</v>
      </c>
      <c r="B926" s="3" t="str">
        <f t="shared" si="55"/>
        <v>1月</v>
      </c>
      <c r="C926" s="4" t="str">
        <f t="shared" si="56"/>
        <v>W4</v>
      </c>
      <c r="D926" s="2" t="s">
        <v>762</v>
      </c>
      <c r="E926" s="2" t="s">
        <v>816</v>
      </c>
      <c r="F926" s="2" t="str" cm="1">
        <f t="array" ref="F926">INDEX(_xlfn.TEXTSPLIT(E926,"-"),2)</f>
        <v>男装</v>
      </c>
      <c r="G926" s="2" t="str" cm="1">
        <f t="array" ref="G926">INDEX(_xlfn.TEXTSPLIT(E926,"-"),3)</f>
        <v>棉衣</v>
      </c>
      <c r="H926" s="5">
        <v>429665</v>
      </c>
      <c r="I926" s="5">
        <v>56708162.31</v>
      </c>
      <c r="J926" s="6">
        <v>0.0601</v>
      </c>
      <c r="K926" s="6">
        <v>-0.0167</v>
      </c>
    </row>
    <row r="927" ht="14.5" spans="1:11">
      <c r="A927" s="3" t="str">
        <f t="shared" si="54"/>
        <v>2026年</v>
      </c>
      <c r="B927" s="3" t="str">
        <f t="shared" si="55"/>
        <v>1月</v>
      </c>
      <c r="C927" s="4" t="str">
        <f t="shared" si="56"/>
        <v>W4</v>
      </c>
      <c r="D927" s="2" t="s">
        <v>762</v>
      </c>
      <c r="E927" s="2" t="s">
        <v>817</v>
      </c>
      <c r="F927" s="2" t="str" cm="1">
        <f t="array" ref="F927">INDEX(_xlfn.TEXTSPLIT(E927,"-"),2)</f>
        <v>男装</v>
      </c>
      <c r="G927" s="2" t="str" cm="1">
        <f t="array" ref="G927">INDEX(_xlfn.TEXTSPLIT(E927,"-"),3)</f>
        <v>棉裤</v>
      </c>
      <c r="H927" s="5">
        <v>31650</v>
      </c>
      <c r="I927" s="5">
        <v>2255303.17</v>
      </c>
      <c r="J927" s="6">
        <v>0.0024</v>
      </c>
      <c r="K927" s="6">
        <v>-0.0697</v>
      </c>
    </row>
    <row r="928" ht="14.5" spans="1:11">
      <c r="A928" s="3" t="str">
        <f t="shared" si="54"/>
        <v>2026年</v>
      </c>
      <c r="B928" s="3" t="str">
        <f t="shared" si="55"/>
        <v>1月</v>
      </c>
      <c r="C928" s="4" t="str">
        <f t="shared" si="56"/>
        <v>W4</v>
      </c>
      <c r="D928" s="2" t="s">
        <v>762</v>
      </c>
      <c r="E928" s="2" t="s">
        <v>818</v>
      </c>
      <c r="F928" s="2" t="str" cm="1">
        <f t="array" ref="F928">INDEX(_xlfn.TEXTSPLIT(E928,"-"),2)</f>
        <v>男装</v>
      </c>
      <c r="G928" s="2" t="str" cm="1">
        <f t="array" ref="G928">INDEX(_xlfn.TEXTSPLIT(E928,"-"),3)</f>
        <v>毛呢大衣</v>
      </c>
      <c r="H928" s="5">
        <v>52289</v>
      </c>
      <c r="I928" s="5">
        <v>22380031.1</v>
      </c>
      <c r="J928" s="6">
        <v>0.0237</v>
      </c>
      <c r="K928" s="6">
        <v>0.0793</v>
      </c>
    </row>
    <row r="929" ht="14.5" spans="1:11">
      <c r="A929" s="3" t="str">
        <f t="shared" si="54"/>
        <v>2026年</v>
      </c>
      <c r="B929" s="3" t="str">
        <f t="shared" si="55"/>
        <v>1月</v>
      </c>
      <c r="C929" s="4" t="str">
        <f t="shared" si="56"/>
        <v>W4</v>
      </c>
      <c r="D929" s="2" t="s">
        <v>762</v>
      </c>
      <c r="E929" s="2" t="s">
        <v>819</v>
      </c>
      <c r="F929" s="2" t="str" cm="1">
        <f t="array" ref="F929">INDEX(_xlfn.TEXTSPLIT(E929,"-"),2)</f>
        <v>男装</v>
      </c>
      <c r="G929" s="2" t="str" cm="1">
        <f t="array" ref="G929">INDEX(_xlfn.TEXTSPLIT(E929,"-"),3)</f>
        <v>民族服装</v>
      </c>
      <c r="H929" s="5">
        <v>7651</v>
      </c>
      <c r="I929" s="5">
        <v>1798327.42</v>
      </c>
      <c r="J929" s="6">
        <v>0.0019</v>
      </c>
      <c r="K929" s="6">
        <v>-0.1026</v>
      </c>
    </row>
    <row r="930" ht="14.5" spans="1:11">
      <c r="A930" s="3" t="str">
        <f t="shared" si="54"/>
        <v>2026年</v>
      </c>
      <c r="B930" s="3" t="str">
        <f t="shared" si="55"/>
        <v>1月</v>
      </c>
      <c r="C930" s="4" t="str">
        <f t="shared" si="56"/>
        <v>W4</v>
      </c>
      <c r="D930" s="2" t="s">
        <v>762</v>
      </c>
      <c r="E930" s="2" t="s">
        <v>820</v>
      </c>
      <c r="F930" s="2" t="str" cm="1">
        <f t="array" ref="F930">INDEX(_xlfn.TEXTSPLIT(E930,"-"),2)</f>
        <v>男装</v>
      </c>
      <c r="G930" s="2" t="str" cm="1">
        <f t="array" ref="G930">INDEX(_xlfn.TEXTSPLIT(E930,"-"),3)</f>
        <v>派克服</v>
      </c>
      <c r="H930" s="5">
        <v>14844</v>
      </c>
      <c r="I930" s="5">
        <v>3046901.07</v>
      </c>
      <c r="J930" s="6">
        <v>0.0032</v>
      </c>
      <c r="K930" s="6">
        <v>0.0455</v>
      </c>
    </row>
    <row r="931" ht="14.5" spans="1:11">
      <c r="A931" s="3" t="str">
        <f t="shared" si="54"/>
        <v>2026年</v>
      </c>
      <c r="B931" s="3" t="str">
        <f t="shared" si="55"/>
        <v>1月</v>
      </c>
      <c r="C931" s="4" t="str">
        <f t="shared" si="56"/>
        <v>W4</v>
      </c>
      <c r="D931" s="2" t="s">
        <v>762</v>
      </c>
      <c r="E931" s="2" t="s">
        <v>821</v>
      </c>
      <c r="F931" s="2" t="str" cm="1">
        <f t="array" ref="F931">INDEX(_xlfn.TEXTSPLIT(E931,"-"),2)</f>
        <v>男装</v>
      </c>
      <c r="G931" s="2" t="str" cm="1">
        <f t="array" ref="G931">INDEX(_xlfn.TEXTSPLIT(E931,"-"),3)</f>
        <v>牛仔裤</v>
      </c>
      <c r="H931" s="5">
        <v>688012</v>
      </c>
      <c r="I931" s="5">
        <v>77235916.48</v>
      </c>
      <c r="J931" s="6">
        <v>0.0819</v>
      </c>
      <c r="K931" s="6">
        <v>0.0978</v>
      </c>
    </row>
    <row r="932" ht="14.5" spans="1:11">
      <c r="A932" s="3" t="str">
        <f t="shared" si="54"/>
        <v>2026年</v>
      </c>
      <c r="B932" s="3" t="str">
        <f t="shared" si="55"/>
        <v>1月</v>
      </c>
      <c r="C932" s="4" t="str">
        <f t="shared" si="56"/>
        <v>W4</v>
      </c>
      <c r="D932" s="2" t="s">
        <v>762</v>
      </c>
      <c r="E932" s="2" t="s">
        <v>822</v>
      </c>
      <c r="F932" s="2" t="str" cm="1">
        <f t="array" ref="F932">INDEX(_xlfn.TEXTSPLIT(E932,"-"),2)</f>
        <v>男装</v>
      </c>
      <c r="G932" s="2" t="str" cm="1">
        <f t="array" ref="G932">INDEX(_xlfn.TEXTSPLIT(E932,"-"),3)</f>
        <v>皮草</v>
      </c>
      <c r="H932" s="5">
        <v>5828</v>
      </c>
      <c r="I932" s="5">
        <v>6291801.54</v>
      </c>
      <c r="J932" s="6">
        <v>0.0067</v>
      </c>
      <c r="K932" s="7">
        <v>-0.15</v>
      </c>
    </row>
    <row r="933" ht="14.5" spans="1:11">
      <c r="A933" s="3" t="str">
        <f t="shared" si="54"/>
        <v>2026年</v>
      </c>
      <c r="B933" s="3" t="str">
        <f t="shared" si="55"/>
        <v>1月</v>
      </c>
      <c r="C933" s="4" t="str">
        <f t="shared" si="56"/>
        <v>W4</v>
      </c>
      <c r="D933" s="2" t="s">
        <v>762</v>
      </c>
      <c r="E933" s="2" t="s">
        <v>823</v>
      </c>
      <c r="F933" s="2" t="str" cm="1">
        <f t="array" ref="F933">INDEX(_xlfn.TEXTSPLIT(E933,"-"),2)</f>
        <v>男装</v>
      </c>
      <c r="G933" s="2" t="str" cm="1">
        <f t="array" ref="G933">INDEX(_xlfn.TEXTSPLIT(E933,"-"),3)</f>
        <v>皮衣</v>
      </c>
      <c r="H933" s="5">
        <v>60586</v>
      </c>
      <c r="I933" s="5">
        <v>29801703.6</v>
      </c>
      <c r="J933" s="6">
        <v>0.0316</v>
      </c>
      <c r="K933" s="6">
        <v>0.0586</v>
      </c>
    </row>
    <row r="934" ht="14.5" spans="1:11">
      <c r="A934" s="3" t="str">
        <f t="shared" si="54"/>
        <v>2026年</v>
      </c>
      <c r="B934" s="3" t="str">
        <f t="shared" si="55"/>
        <v>1月</v>
      </c>
      <c r="C934" s="4" t="str">
        <f t="shared" si="56"/>
        <v>W4</v>
      </c>
      <c r="D934" s="2" t="s">
        <v>762</v>
      </c>
      <c r="E934" s="2" t="s">
        <v>824</v>
      </c>
      <c r="F934" s="2" t="str" cm="1">
        <f t="array" ref="F934">INDEX(_xlfn.TEXTSPLIT(E934,"-"),2)</f>
        <v>男装</v>
      </c>
      <c r="G934" s="2" t="str" cm="1">
        <f t="array" ref="G934">INDEX(_xlfn.TEXTSPLIT(E934,"-"),3)</f>
        <v>皮裤</v>
      </c>
      <c r="H934" s="5">
        <v>3705</v>
      </c>
      <c r="I934" s="5">
        <v>541335.71</v>
      </c>
      <c r="J934" s="6">
        <v>0.0006</v>
      </c>
      <c r="K934" s="6">
        <v>-0.2847</v>
      </c>
    </row>
    <row r="935" ht="14.5" spans="1:11">
      <c r="A935" s="3" t="str">
        <f t="shared" si="54"/>
        <v>2026年</v>
      </c>
      <c r="B935" s="3" t="str">
        <f t="shared" si="55"/>
        <v>1月</v>
      </c>
      <c r="C935" s="4" t="str">
        <f t="shared" si="56"/>
        <v>W4</v>
      </c>
      <c r="D935" s="2" t="s">
        <v>762</v>
      </c>
      <c r="E935" s="2" t="s">
        <v>825</v>
      </c>
      <c r="F935" s="2" t="str" cm="1">
        <f t="array" ref="F935">INDEX(_xlfn.TEXTSPLIT(E935,"-"),2)</f>
        <v>男装</v>
      </c>
      <c r="G935" s="2" t="str" cm="1">
        <f t="array" ref="G935">INDEX(_xlfn.TEXTSPLIT(E935,"-"),3)</f>
        <v>短外套</v>
      </c>
      <c r="H935" s="5">
        <v>33477</v>
      </c>
      <c r="I935" s="5">
        <v>3334437.06</v>
      </c>
      <c r="J935" s="6">
        <v>0.0035</v>
      </c>
      <c r="K935" s="6">
        <v>-0.4035</v>
      </c>
    </row>
    <row r="936" ht="14.5" spans="1:11">
      <c r="A936" s="3" t="str">
        <f t="shared" si="54"/>
        <v>2026年</v>
      </c>
      <c r="B936" s="3" t="str">
        <f t="shared" si="55"/>
        <v>1月</v>
      </c>
      <c r="C936" s="4" t="str">
        <f t="shared" si="56"/>
        <v>W4</v>
      </c>
      <c r="D936" s="2" t="s">
        <v>762</v>
      </c>
      <c r="E936" s="2" t="s">
        <v>826</v>
      </c>
      <c r="F936" s="2" t="str" cm="1">
        <f t="array" ref="F936">INDEX(_xlfn.TEXTSPLIT(E936,"-"),2)</f>
        <v>男装</v>
      </c>
      <c r="G936" s="2" t="str" cm="1">
        <f t="array" ref="G936">INDEX(_xlfn.TEXTSPLIT(E936,"-"),3)</f>
        <v>短裤</v>
      </c>
      <c r="H936" s="5">
        <v>45476</v>
      </c>
      <c r="I936" s="5">
        <v>1719197.02</v>
      </c>
      <c r="J936" s="6">
        <v>0.0018</v>
      </c>
      <c r="K936" s="6">
        <v>-0.3564</v>
      </c>
    </row>
    <row r="937" ht="14.5" spans="1:11">
      <c r="A937" s="3" t="str">
        <f t="shared" si="54"/>
        <v>2026年</v>
      </c>
      <c r="B937" s="3" t="str">
        <f t="shared" si="55"/>
        <v>1月</v>
      </c>
      <c r="C937" s="4" t="str">
        <f t="shared" si="56"/>
        <v>W4</v>
      </c>
      <c r="D937" s="2" t="s">
        <v>762</v>
      </c>
      <c r="E937" s="2" t="s">
        <v>827</v>
      </c>
      <c r="F937" s="2" t="str" cm="1">
        <f t="array" ref="F937">INDEX(_xlfn.TEXTSPLIT(E937,"-"),2)</f>
        <v>男装</v>
      </c>
      <c r="G937" s="2" t="str" cm="1">
        <f t="array" ref="G937">INDEX(_xlfn.TEXTSPLIT(E937,"-"),3)</f>
        <v>紧身衣</v>
      </c>
      <c r="H937" s="5">
        <v>101</v>
      </c>
      <c r="I937" s="5">
        <v>3508.43</v>
      </c>
      <c r="J937" s="2" t="s">
        <v>713</v>
      </c>
      <c r="K937" s="6">
        <v>-0.3864</v>
      </c>
    </row>
    <row r="938" ht="14.5" spans="1:11">
      <c r="A938" s="3" t="str">
        <f t="shared" si="54"/>
        <v>2026年</v>
      </c>
      <c r="B938" s="3" t="str">
        <f t="shared" si="55"/>
        <v>1月</v>
      </c>
      <c r="C938" s="4" t="str">
        <f t="shared" si="56"/>
        <v>W4</v>
      </c>
      <c r="D938" s="2" t="s">
        <v>762</v>
      </c>
      <c r="E938" s="2" t="s">
        <v>828</v>
      </c>
      <c r="F938" s="2" t="str" cm="1">
        <f t="array" ref="F938">INDEX(_xlfn.TEXTSPLIT(E938,"-"),2)</f>
        <v>男装</v>
      </c>
      <c r="G938" s="2" t="str" cm="1">
        <f t="array" ref="G938">INDEX(_xlfn.TEXTSPLIT(E938,"-"),3)</f>
        <v>羊毛衫</v>
      </c>
      <c r="H938" s="5">
        <v>132431</v>
      </c>
      <c r="I938" s="5">
        <v>18371233.72</v>
      </c>
      <c r="J938" s="6">
        <v>0.0195</v>
      </c>
      <c r="K938" s="6">
        <v>-0.0426</v>
      </c>
    </row>
    <row r="939" ht="14.5" spans="1:11">
      <c r="A939" s="3" t="str">
        <f t="shared" si="54"/>
        <v>2026年</v>
      </c>
      <c r="B939" s="3" t="str">
        <f t="shared" si="55"/>
        <v>1月</v>
      </c>
      <c r="C939" s="4" t="str">
        <f t="shared" si="56"/>
        <v>W4</v>
      </c>
      <c r="D939" s="2" t="s">
        <v>762</v>
      </c>
      <c r="E939" s="2" t="s">
        <v>829</v>
      </c>
      <c r="F939" s="2" t="str" cm="1">
        <f t="array" ref="F939">INDEX(_xlfn.TEXTSPLIT(E939,"-"),2)</f>
        <v>男装</v>
      </c>
      <c r="G939" s="2" t="str" cm="1">
        <f t="array" ref="G939">INDEX(_xlfn.TEXTSPLIT(E939,"-"),3)</f>
        <v>羊绒衫</v>
      </c>
      <c r="H939" s="5">
        <v>23915</v>
      </c>
      <c r="I939" s="5">
        <v>7559947.46</v>
      </c>
      <c r="J939" s="6">
        <v>0.008</v>
      </c>
      <c r="K939" s="6">
        <v>-0.1176</v>
      </c>
    </row>
    <row r="940" ht="14.5" spans="1:11">
      <c r="A940" s="3" t="str">
        <f t="shared" si="54"/>
        <v>2026年</v>
      </c>
      <c r="B940" s="3" t="str">
        <f t="shared" si="55"/>
        <v>1月</v>
      </c>
      <c r="C940" s="4" t="str">
        <f t="shared" si="56"/>
        <v>W4</v>
      </c>
      <c r="D940" s="2" t="s">
        <v>762</v>
      </c>
      <c r="E940" s="2" t="s">
        <v>830</v>
      </c>
      <c r="F940" s="2" t="str" cm="1">
        <f t="array" ref="F940">INDEX(_xlfn.TEXTSPLIT(E940,"-"),2)</f>
        <v>男装</v>
      </c>
      <c r="G940" s="2" t="str" cm="1">
        <f t="array" ref="G940">INDEX(_xlfn.TEXTSPLIT(E940,"-"),3)</f>
        <v>羽绒服</v>
      </c>
      <c r="H940" s="5">
        <v>723718</v>
      </c>
      <c r="I940" s="5">
        <v>265347125.47</v>
      </c>
      <c r="J940" s="6">
        <v>0.2813</v>
      </c>
      <c r="K940" s="6">
        <v>0.0108</v>
      </c>
    </row>
    <row r="941" ht="14.5" spans="1:11">
      <c r="A941" s="3" t="str">
        <f t="shared" si="54"/>
        <v>2026年</v>
      </c>
      <c r="B941" s="3" t="str">
        <f t="shared" si="55"/>
        <v>1月</v>
      </c>
      <c r="C941" s="4" t="str">
        <f t="shared" si="56"/>
        <v>W4</v>
      </c>
      <c r="D941" s="2" t="s">
        <v>762</v>
      </c>
      <c r="E941" s="2" t="s">
        <v>831</v>
      </c>
      <c r="F941" s="2" t="str" cm="1">
        <f t="array" ref="F941">INDEX(_xlfn.TEXTSPLIT(E941,"-"),2)</f>
        <v>男装</v>
      </c>
      <c r="G941" s="2" t="str" cm="1">
        <f t="array" ref="G941">INDEX(_xlfn.TEXTSPLIT(E941,"-"),3)</f>
        <v>羽绒裤</v>
      </c>
      <c r="H941" s="5">
        <v>12555</v>
      </c>
      <c r="I941" s="5">
        <v>1919872.28</v>
      </c>
      <c r="J941" s="6">
        <v>0.002</v>
      </c>
      <c r="K941" s="6">
        <v>-0.1343</v>
      </c>
    </row>
    <row r="942" ht="14.5" spans="1:11">
      <c r="A942" s="3" t="str">
        <f t="shared" si="54"/>
        <v>2026年</v>
      </c>
      <c r="B942" s="3" t="str">
        <f t="shared" si="55"/>
        <v>1月</v>
      </c>
      <c r="C942" s="4" t="str">
        <f t="shared" si="56"/>
        <v>W4</v>
      </c>
      <c r="D942" s="2" t="s">
        <v>762</v>
      </c>
      <c r="E942" s="2" t="s">
        <v>832</v>
      </c>
      <c r="F942" s="2" t="str" cm="1">
        <f t="array" ref="F942">INDEX(_xlfn.TEXTSPLIT(E942,"-"),2)</f>
        <v>男装</v>
      </c>
      <c r="G942" s="2" t="str" cm="1">
        <f t="array" ref="G942">INDEX(_xlfn.TEXTSPLIT(E942,"-"),3)</f>
        <v>羽绒马甲</v>
      </c>
      <c r="H942" s="5">
        <v>14104</v>
      </c>
      <c r="I942" s="5">
        <v>3023802.84</v>
      </c>
      <c r="J942" s="6">
        <v>0.0032</v>
      </c>
      <c r="K942" s="6">
        <v>0.2336</v>
      </c>
    </row>
    <row r="943" ht="14.5" spans="1:11">
      <c r="A943" s="3" t="str">
        <f t="shared" si="54"/>
        <v>2026年</v>
      </c>
      <c r="B943" s="3" t="str">
        <f t="shared" si="55"/>
        <v>1月</v>
      </c>
      <c r="C943" s="4" t="str">
        <f t="shared" si="56"/>
        <v>W4</v>
      </c>
      <c r="D943" s="2" t="s">
        <v>762</v>
      </c>
      <c r="E943" s="2" t="s">
        <v>833</v>
      </c>
      <c r="F943" s="2" t="str" cm="1">
        <f t="array" ref="F943">INDEX(_xlfn.TEXTSPLIT(E943,"-"),2)</f>
        <v>男装</v>
      </c>
      <c r="G943" s="2" t="str" cm="1">
        <f t="array" ref="G943">INDEX(_xlfn.TEXTSPLIT(E943,"-"),3)</f>
        <v>背心</v>
      </c>
      <c r="H943" s="5">
        <v>40728</v>
      </c>
      <c r="I943" s="5">
        <v>2356249.53</v>
      </c>
      <c r="J943" s="6">
        <v>0.0025</v>
      </c>
      <c r="K943" s="6">
        <v>-0.0457</v>
      </c>
    </row>
    <row r="944" ht="14.5" spans="1:11">
      <c r="A944" s="3" t="str">
        <f t="shared" si="54"/>
        <v>2026年</v>
      </c>
      <c r="B944" s="3" t="str">
        <f t="shared" si="55"/>
        <v>1月</v>
      </c>
      <c r="C944" s="4" t="str">
        <f t="shared" si="56"/>
        <v>W4</v>
      </c>
      <c r="D944" s="2" t="s">
        <v>762</v>
      </c>
      <c r="E944" s="2" t="s">
        <v>834</v>
      </c>
      <c r="F944" s="2" t="str" cm="1">
        <f t="array" ref="F944">INDEX(_xlfn.TEXTSPLIT(E944,"-"),2)</f>
        <v>男装</v>
      </c>
      <c r="G944" s="2" t="str" cm="1">
        <f t="array" ref="G944">INDEX(_xlfn.TEXTSPLIT(E944,"-"),3)</f>
        <v>衬衫</v>
      </c>
      <c r="H944" s="5">
        <v>88662</v>
      </c>
      <c r="I944" s="5">
        <v>10763321.52</v>
      </c>
      <c r="J944" s="6">
        <v>0.0114</v>
      </c>
      <c r="K944" s="6">
        <v>-0.0927</v>
      </c>
    </row>
    <row r="945" ht="14.5" spans="1:11">
      <c r="A945" s="3" t="str">
        <f t="shared" si="54"/>
        <v>2026年</v>
      </c>
      <c r="B945" s="3" t="str">
        <f t="shared" si="55"/>
        <v>1月</v>
      </c>
      <c r="C945" s="4" t="str">
        <f t="shared" si="56"/>
        <v>W4</v>
      </c>
      <c r="D945" s="2" t="s">
        <v>762</v>
      </c>
      <c r="E945" s="2" t="s">
        <v>835</v>
      </c>
      <c r="F945" s="2" t="str" cm="1">
        <f t="array" ref="F945">INDEX(_xlfn.TEXTSPLIT(E945,"-"),2)</f>
        <v>男装</v>
      </c>
      <c r="G945" s="2" t="str" cm="1">
        <f t="array" ref="G945">INDEX(_xlfn.TEXTSPLIT(E945,"-"),3)</f>
        <v>西服</v>
      </c>
      <c r="H945" s="5">
        <v>97336</v>
      </c>
      <c r="I945" s="5">
        <v>18768443.32</v>
      </c>
      <c r="J945" s="6">
        <v>0.0199</v>
      </c>
      <c r="K945" s="6">
        <v>0.0219</v>
      </c>
    </row>
    <row r="946" ht="14.5" spans="1:11">
      <c r="A946" s="3" t="str">
        <f t="shared" si="54"/>
        <v>2026年</v>
      </c>
      <c r="B946" s="3" t="str">
        <f t="shared" si="55"/>
        <v>1月</v>
      </c>
      <c r="C946" s="4" t="str">
        <f t="shared" si="56"/>
        <v>W4</v>
      </c>
      <c r="D946" s="2" t="s">
        <v>762</v>
      </c>
      <c r="E946" s="2" t="s">
        <v>836</v>
      </c>
      <c r="F946" s="2" t="str" cm="1">
        <f t="array" ref="F946">INDEX(_xlfn.TEXTSPLIT(E946,"-"),2)</f>
        <v>男装</v>
      </c>
      <c r="G946" s="2" t="str" cm="1">
        <f t="array" ref="G946">INDEX(_xlfn.TEXTSPLIT(E946,"-"),3)</f>
        <v>连体衣/裤</v>
      </c>
      <c r="H946" s="5">
        <v>908</v>
      </c>
      <c r="I946" s="5">
        <v>27335.43</v>
      </c>
      <c r="J946" s="2" t="s">
        <v>713</v>
      </c>
      <c r="K946" s="6">
        <v>-0.0882</v>
      </c>
    </row>
    <row r="947" ht="14.5" spans="1:11">
      <c r="A947" s="3" t="str">
        <f t="shared" si="54"/>
        <v>2026年</v>
      </c>
      <c r="B947" s="3" t="str">
        <f t="shared" si="55"/>
        <v>1月</v>
      </c>
      <c r="C947" s="4" t="str">
        <f t="shared" si="56"/>
        <v>W4</v>
      </c>
      <c r="D947" s="2" t="s">
        <v>762</v>
      </c>
      <c r="E947" s="2" t="s">
        <v>837</v>
      </c>
      <c r="F947" s="2" t="str" cm="1">
        <f t="array" ref="F947">INDEX(_xlfn.TEXTSPLIT(E947,"-"),2)</f>
        <v>男装</v>
      </c>
      <c r="G947" s="2" t="str" cm="1">
        <f t="array" ref="G947">INDEX(_xlfn.TEXTSPLIT(E947,"-"),3)</f>
        <v>速干/三防T恤</v>
      </c>
      <c r="H947" s="5">
        <v>251</v>
      </c>
      <c r="I947" s="5">
        <v>30717.35</v>
      </c>
      <c r="J947" s="2" t="s">
        <v>713</v>
      </c>
      <c r="K947" s="6">
        <v>-0.4386</v>
      </c>
    </row>
    <row r="948" ht="14.5" spans="1:11">
      <c r="A948" s="3" t="str">
        <f t="shared" si="54"/>
        <v>2026年</v>
      </c>
      <c r="B948" s="3" t="str">
        <f t="shared" si="55"/>
        <v>1月</v>
      </c>
      <c r="C948" s="4" t="str">
        <f t="shared" si="56"/>
        <v>W4</v>
      </c>
      <c r="D948" s="2" t="s">
        <v>762</v>
      </c>
      <c r="E948" s="2" t="s">
        <v>838</v>
      </c>
      <c r="F948" s="2" t="str" cm="1">
        <f t="array" ref="F948">INDEX(_xlfn.TEXTSPLIT(E948,"-"),2)</f>
        <v>男装</v>
      </c>
      <c r="G948" s="2" t="str" cm="1">
        <f t="array" ref="G948">INDEX(_xlfn.TEXTSPLIT(E948,"-"),3)</f>
        <v>针织衫/毛衣</v>
      </c>
      <c r="H948" s="5">
        <v>439365</v>
      </c>
      <c r="I948" s="5">
        <v>50566014.77</v>
      </c>
      <c r="J948" s="6">
        <v>0.0536</v>
      </c>
      <c r="K948" s="6">
        <v>0.0119</v>
      </c>
    </row>
    <row r="949" ht="14.5" spans="1:11">
      <c r="A949" s="3" t="str">
        <f t="shared" si="54"/>
        <v>2026年</v>
      </c>
      <c r="B949" s="3" t="str">
        <f t="shared" si="55"/>
        <v>1月</v>
      </c>
      <c r="C949" s="4" t="str">
        <f t="shared" si="56"/>
        <v>W4</v>
      </c>
      <c r="D949" s="2" t="s">
        <v>762</v>
      </c>
      <c r="E949" s="2" t="s">
        <v>839</v>
      </c>
      <c r="F949" s="2" t="str" cm="1">
        <f t="array" ref="F949">INDEX(_xlfn.TEXTSPLIT(E949,"-"),2)</f>
        <v>男装</v>
      </c>
      <c r="G949" s="2" t="str" cm="1">
        <f t="array" ref="G949">INDEX(_xlfn.TEXTSPLIT(E949,"-"),3)</f>
        <v>防晒服</v>
      </c>
      <c r="H949" s="5">
        <v>170</v>
      </c>
      <c r="I949" s="5">
        <v>16332.78</v>
      </c>
      <c r="J949" s="2" t="s">
        <v>713</v>
      </c>
      <c r="K949" s="6">
        <v>0.1945</v>
      </c>
    </row>
    <row r="950" ht="14.5" spans="1:11">
      <c r="A950" s="3" t="str">
        <f t="shared" si="54"/>
        <v>2026年</v>
      </c>
      <c r="B950" s="3" t="str">
        <f t="shared" si="55"/>
        <v>1月</v>
      </c>
      <c r="C950" s="4" t="str">
        <f t="shared" si="56"/>
        <v>W4</v>
      </c>
      <c r="D950" s="2" t="s">
        <v>762</v>
      </c>
      <c r="E950" s="2" t="s">
        <v>840</v>
      </c>
      <c r="F950" s="2" t="str" cm="1">
        <f t="array" ref="F950">INDEX(_xlfn.TEXTSPLIT(E950,"-"),2)</f>
        <v>男装</v>
      </c>
      <c r="G950" s="2" t="str" cm="1">
        <f t="array" ref="G950">INDEX(_xlfn.TEXTSPLIT(E950,"-"),3)</f>
        <v>风衣</v>
      </c>
      <c r="H950" s="5">
        <v>7024</v>
      </c>
      <c r="I950" s="5">
        <v>2451005.06</v>
      </c>
      <c r="J950" s="6">
        <v>0.0026</v>
      </c>
      <c r="K950" s="6">
        <v>-0.0624</v>
      </c>
    </row>
    <row r="951" ht="14.5" spans="1:11">
      <c r="A951" s="3" t="str">
        <f t="shared" si="54"/>
        <v>2026年</v>
      </c>
      <c r="B951" s="3" t="str">
        <f t="shared" si="55"/>
        <v>1月</v>
      </c>
      <c r="C951" s="4" t="str">
        <f t="shared" si="56"/>
        <v>W4</v>
      </c>
      <c r="D951" s="2" t="s">
        <v>762</v>
      </c>
      <c r="E951" s="2" t="s">
        <v>841</v>
      </c>
      <c r="F951" s="2" t="str" cm="1">
        <f t="array" ref="F951">INDEX(_xlfn.TEXTSPLIT(E951,"-"),2)</f>
        <v>男装</v>
      </c>
      <c r="G951" s="2" t="str" cm="1">
        <f t="array" ref="G951">INDEX(_xlfn.TEXTSPLIT(E951,"-"),3)</f>
        <v>马甲</v>
      </c>
      <c r="H951" s="5">
        <v>50772</v>
      </c>
      <c r="I951" s="5">
        <v>5256542.27</v>
      </c>
      <c r="J951" s="6">
        <v>0.0056</v>
      </c>
      <c r="K951" s="6">
        <v>-0.4947</v>
      </c>
    </row>
    <row r="952" ht="14.5" spans="1:11">
      <c r="A952" s="3" t="str">
        <f t="shared" ref="A952:A983" si="57">TEXT(YEAR(D952),"0")&amp;"年"</f>
        <v>2026年</v>
      </c>
      <c r="B952" s="3" t="str">
        <f t="shared" ref="B952:B983" si="58">TEXT(MONTH(D952),"0")&amp;"月"</f>
        <v>1月</v>
      </c>
      <c r="C952" s="4" t="str">
        <f t="shared" ref="C952:C983" si="59">"W"&amp;TEXT(WEEKNUM(D952,2),"0")</f>
        <v>W5</v>
      </c>
      <c r="D952" s="2" t="s">
        <v>763</v>
      </c>
      <c r="E952" s="2" t="s">
        <v>804</v>
      </c>
      <c r="F952" s="2" t="str" cm="1">
        <f t="array" ref="F952">INDEX(_xlfn.TEXTSPLIT(E952,"-"),2)</f>
        <v>男装</v>
      </c>
      <c r="G952" s="2" t="str" cm="1">
        <f t="array" ref="G952">INDEX(_xlfn.TEXTSPLIT(E952,"-"),3)</f>
        <v>Polo衫</v>
      </c>
      <c r="H952" s="5">
        <v>49363</v>
      </c>
      <c r="I952" s="5">
        <v>4483815.13</v>
      </c>
      <c r="J952" s="6">
        <v>0.005</v>
      </c>
      <c r="K952" s="6">
        <v>-0.1604</v>
      </c>
    </row>
    <row r="953" ht="14.5" spans="1:11">
      <c r="A953" s="3" t="str">
        <f t="shared" si="57"/>
        <v>2026年</v>
      </c>
      <c r="B953" s="3" t="str">
        <f t="shared" si="58"/>
        <v>1月</v>
      </c>
      <c r="C953" s="4" t="str">
        <f t="shared" si="59"/>
        <v>W5</v>
      </c>
      <c r="D953" s="2" t="s">
        <v>763</v>
      </c>
      <c r="E953" s="2" t="s">
        <v>805</v>
      </c>
      <c r="F953" s="2" t="str" cm="1">
        <f t="array" ref="F953">INDEX(_xlfn.TEXTSPLIT(E953,"-"),2)</f>
        <v>男装</v>
      </c>
      <c r="G953" s="2" t="str" cm="1">
        <f t="array" ref="G953">INDEX(_xlfn.TEXTSPLIT(E953,"-"),3)</f>
        <v>T恤</v>
      </c>
      <c r="H953" s="5">
        <v>401573</v>
      </c>
      <c r="I953" s="5">
        <v>31971253.47</v>
      </c>
      <c r="J953" s="6">
        <v>0.0353</v>
      </c>
      <c r="K953" s="6">
        <v>-0.1188</v>
      </c>
    </row>
    <row r="954" ht="14.5" spans="1:11">
      <c r="A954" s="3" t="str">
        <f t="shared" si="57"/>
        <v>2026年</v>
      </c>
      <c r="B954" s="3" t="str">
        <f t="shared" si="58"/>
        <v>1月</v>
      </c>
      <c r="C954" s="4" t="str">
        <f t="shared" si="59"/>
        <v>W5</v>
      </c>
      <c r="D954" s="2" t="s">
        <v>763</v>
      </c>
      <c r="E954" s="2" t="s">
        <v>806</v>
      </c>
      <c r="F954" s="2" t="str" cm="1">
        <f t="array" ref="F954">INDEX(_xlfn.TEXTSPLIT(E954,"-"),2)</f>
        <v>男装</v>
      </c>
      <c r="G954" s="2" t="str" cm="1">
        <f t="array" ref="G954">INDEX(_xlfn.TEXTSPLIT(E954,"-"),3)</f>
        <v>中老年男装</v>
      </c>
      <c r="H954" s="5">
        <v>103667</v>
      </c>
      <c r="I954" s="5">
        <v>14919320.79</v>
      </c>
      <c r="J954" s="6">
        <v>0.0165</v>
      </c>
      <c r="K954" s="6">
        <v>-0.1195</v>
      </c>
    </row>
    <row r="955" ht="14.5" spans="1:11">
      <c r="A955" s="3" t="str">
        <f t="shared" si="57"/>
        <v>2026年</v>
      </c>
      <c r="B955" s="3" t="str">
        <f t="shared" si="58"/>
        <v>1月</v>
      </c>
      <c r="C955" s="4" t="str">
        <f t="shared" si="59"/>
        <v>W5</v>
      </c>
      <c r="D955" s="2" t="s">
        <v>763</v>
      </c>
      <c r="E955" s="2" t="s">
        <v>807</v>
      </c>
      <c r="F955" s="2" t="str" cm="1">
        <f t="array" ref="F955">INDEX(_xlfn.TEXTSPLIT(E955,"-"),2)</f>
        <v>男装</v>
      </c>
      <c r="G955" s="2" t="str" cm="1">
        <f t="array" ref="G955">INDEX(_xlfn.TEXTSPLIT(E955,"-"),3)</f>
        <v>休闲裤</v>
      </c>
      <c r="H955" s="5">
        <v>971716</v>
      </c>
      <c r="I955" s="5">
        <v>104513128.25</v>
      </c>
      <c r="J955" s="6">
        <v>0.1154</v>
      </c>
      <c r="K955" s="6">
        <v>-0.1519</v>
      </c>
    </row>
    <row r="956" ht="14.5" spans="1:11">
      <c r="A956" s="3" t="str">
        <f t="shared" si="57"/>
        <v>2026年</v>
      </c>
      <c r="B956" s="3" t="str">
        <f t="shared" si="58"/>
        <v>1月</v>
      </c>
      <c r="C956" s="4" t="str">
        <f t="shared" si="59"/>
        <v>W5</v>
      </c>
      <c r="D956" s="2" t="s">
        <v>763</v>
      </c>
      <c r="E956" s="2" t="s">
        <v>808</v>
      </c>
      <c r="F956" s="2" t="str" cm="1">
        <f t="array" ref="F956">INDEX(_xlfn.TEXTSPLIT(E956,"-"),2)</f>
        <v>男装</v>
      </c>
      <c r="G956" s="2" t="str" cm="1">
        <f t="array" ref="G956">INDEX(_xlfn.TEXTSPLIT(E956,"-"),3)</f>
        <v>卫衣</v>
      </c>
      <c r="H956" s="5">
        <v>608385</v>
      </c>
      <c r="I956" s="5">
        <v>52304715.53</v>
      </c>
      <c r="J956" s="6">
        <v>0.0578</v>
      </c>
      <c r="K956" s="6">
        <v>-0.184</v>
      </c>
    </row>
    <row r="957" ht="14.5" spans="1:11">
      <c r="A957" s="3" t="str">
        <f t="shared" si="57"/>
        <v>2026年</v>
      </c>
      <c r="B957" s="3" t="str">
        <f t="shared" si="58"/>
        <v>1月</v>
      </c>
      <c r="C957" s="4" t="str">
        <f t="shared" si="59"/>
        <v>W5</v>
      </c>
      <c r="D957" s="2" t="s">
        <v>763</v>
      </c>
      <c r="E957" s="2" t="s">
        <v>809</v>
      </c>
      <c r="F957" s="2" t="str" cm="1">
        <f t="array" ref="F957">INDEX(_xlfn.TEXTSPLIT(E957,"-"),2)</f>
        <v>男装</v>
      </c>
      <c r="G957" s="2" t="str" cm="1">
        <f t="array" ref="G957">INDEX(_xlfn.TEXTSPLIT(E957,"-"),3)</f>
        <v>卫裤</v>
      </c>
      <c r="H957" s="5">
        <v>203650</v>
      </c>
      <c r="I957" s="5">
        <v>19932555.04</v>
      </c>
      <c r="J957" s="6">
        <v>0.022</v>
      </c>
      <c r="K957" s="6">
        <v>-0.1126</v>
      </c>
    </row>
    <row r="958" ht="14.5" spans="1:11">
      <c r="A958" s="3" t="str">
        <f t="shared" si="57"/>
        <v>2026年</v>
      </c>
      <c r="B958" s="3" t="str">
        <f t="shared" si="58"/>
        <v>1月</v>
      </c>
      <c r="C958" s="4" t="str">
        <f t="shared" si="59"/>
        <v>W5</v>
      </c>
      <c r="D958" s="2" t="s">
        <v>763</v>
      </c>
      <c r="E958" s="2" t="s">
        <v>810</v>
      </c>
      <c r="F958" s="2" t="str" cm="1">
        <f t="array" ref="F958">INDEX(_xlfn.TEXTSPLIT(E958,"-"),2)</f>
        <v>男装</v>
      </c>
      <c r="G958" s="2" t="str" cm="1">
        <f t="array" ref="G958">INDEX(_xlfn.TEXTSPLIT(E958,"-"),3)</f>
        <v>大码男装</v>
      </c>
      <c r="H958" s="5">
        <v>49456</v>
      </c>
      <c r="I958" s="5">
        <v>4189361.11</v>
      </c>
      <c r="J958" s="6">
        <v>0.0046</v>
      </c>
      <c r="K958" s="6">
        <v>-0.0951</v>
      </c>
    </row>
    <row r="959" ht="14.5" spans="1:11">
      <c r="A959" s="3" t="str">
        <f t="shared" si="57"/>
        <v>2026年</v>
      </c>
      <c r="B959" s="3" t="str">
        <f t="shared" si="58"/>
        <v>1月</v>
      </c>
      <c r="C959" s="4" t="str">
        <f t="shared" si="59"/>
        <v>W5</v>
      </c>
      <c r="D959" s="2" t="s">
        <v>763</v>
      </c>
      <c r="E959" s="2" t="s">
        <v>811</v>
      </c>
      <c r="F959" s="2" t="str" cm="1">
        <f t="array" ref="F959">INDEX(_xlfn.TEXTSPLIT(E959,"-"),2)</f>
        <v>男装</v>
      </c>
      <c r="G959" s="2" t="str" cm="1">
        <f t="array" ref="G959">INDEX(_xlfn.TEXTSPLIT(E959,"-"),3)</f>
        <v>夹克</v>
      </c>
      <c r="H959" s="5">
        <v>463676</v>
      </c>
      <c r="I959" s="5">
        <v>86238271.05</v>
      </c>
      <c r="J959" s="6">
        <v>0.0952</v>
      </c>
      <c r="K959" s="6">
        <v>-0.1678</v>
      </c>
    </row>
    <row r="960" ht="14.5" spans="1:11">
      <c r="A960" s="3" t="str">
        <f t="shared" si="57"/>
        <v>2026年</v>
      </c>
      <c r="B960" s="3" t="str">
        <f t="shared" si="58"/>
        <v>1月</v>
      </c>
      <c r="C960" s="4" t="str">
        <f t="shared" si="59"/>
        <v>W5</v>
      </c>
      <c r="D960" s="2" t="s">
        <v>763</v>
      </c>
      <c r="E960" s="2" t="s">
        <v>812</v>
      </c>
      <c r="F960" s="2" t="str" cm="1">
        <f t="array" ref="F960">INDEX(_xlfn.TEXTSPLIT(E960,"-"),2)</f>
        <v>男装</v>
      </c>
      <c r="G960" s="2" t="str" cm="1">
        <f t="array" ref="G960">INDEX(_xlfn.TEXTSPLIT(E960,"-"),3)</f>
        <v>套装</v>
      </c>
      <c r="H960" s="5">
        <v>46343</v>
      </c>
      <c r="I960" s="5">
        <v>7890793.57</v>
      </c>
      <c r="J960" s="6">
        <v>0.0087</v>
      </c>
      <c r="K960" s="6">
        <v>-0.1731</v>
      </c>
    </row>
    <row r="961" ht="14.5" spans="1:11">
      <c r="A961" s="3" t="str">
        <f t="shared" si="57"/>
        <v>2026年</v>
      </c>
      <c r="B961" s="3" t="str">
        <f t="shared" si="58"/>
        <v>1月</v>
      </c>
      <c r="C961" s="4" t="str">
        <f t="shared" si="59"/>
        <v>W5</v>
      </c>
      <c r="D961" s="2" t="s">
        <v>763</v>
      </c>
      <c r="E961" s="2" t="s">
        <v>813</v>
      </c>
      <c r="F961" s="2" t="str" cm="1">
        <f t="array" ref="F961">INDEX(_xlfn.TEXTSPLIT(E961,"-"),2)</f>
        <v>男装</v>
      </c>
      <c r="G961" s="2" t="str" cm="1">
        <f t="array" ref="G961">INDEX(_xlfn.TEXTSPLIT(E961,"-"),3)</f>
        <v>学生校服</v>
      </c>
      <c r="H961" s="5">
        <v>17</v>
      </c>
      <c r="I961" s="5">
        <v>1448.48</v>
      </c>
      <c r="J961" s="2" t="s">
        <v>713</v>
      </c>
      <c r="K961" s="6">
        <v>-0.6131</v>
      </c>
    </row>
    <row r="962" ht="14.5" spans="1:11">
      <c r="A962" s="3" t="str">
        <f t="shared" si="57"/>
        <v>2026年</v>
      </c>
      <c r="B962" s="3" t="str">
        <f t="shared" si="58"/>
        <v>1月</v>
      </c>
      <c r="C962" s="4" t="str">
        <f t="shared" si="59"/>
        <v>W5</v>
      </c>
      <c r="D962" s="2" t="s">
        <v>763</v>
      </c>
      <c r="E962" s="2" t="s">
        <v>814</v>
      </c>
      <c r="F962" s="2" t="str" cm="1">
        <f t="array" ref="F962">INDEX(_xlfn.TEXTSPLIT(E962,"-"),2)</f>
        <v>男装</v>
      </c>
      <c r="G962" s="2" t="str" cm="1">
        <f t="array" ref="G962">INDEX(_xlfn.TEXTSPLIT(E962,"-"),3)</f>
        <v>打底衫</v>
      </c>
      <c r="H962" s="5">
        <v>21152</v>
      </c>
      <c r="I962" s="5">
        <v>1247342.23</v>
      </c>
      <c r="J962" s="6">
        <v>0.0014</v>
      </c>
      <c r="K962" s="6">
        <v>-0.405</v>
      </c>
    </row>
    <row r="963" ht="14.5" spans="1:11">
      <c r="A963" s="3" t="str">
        <f t="shared" si="57"/>
        <v>2026年</v>
      </c>
      <c r="B963" s="3" t="str">
        <f t="shared" si="58"/>
        <v>1月</v>
      </c>
      <c r="C963" s="4" t="str">
        <f t="shared" si="59"/>
        <v>W5</v>
      </c>
      <c r="D963" s="2" t="s">
        <v>763</v>
      </c>
      <c r="E963" s="2" t="s">
        <v>815</v>
      </c>
      <c r="F963" s="2" t="str" cm="1">
        <f t="array" ref="F963">INDEX(_xlfn.TEXTSPLIT(E963,"-"),2)</f>
        <v>男装</v>
      </c>
      <c r="G963" s="2" t="str" cm="1">
        <f t="array" ref="G963">INDEX(_xlfn.TEXTSPLIT(E963,"-"),3)</f>
        <v>新中式男装</v>
      </c>
      <c r="H963" s="5">
        <v>911</v>
      </c>
      <c r="I963" s="5">
        <v>242534.24</v>
      </c>
      <c r="J963" s="6">
        <v>0.0003</v>
      </c>
      <c r="K963" s="6">
        <v>-0.0286</v>
      </c>
    </row>
    <row r="964" ht="14.5" spans="1:11">
      <c r="A964" s="3" t="str">
        <f t="shared" si="57"/>
        <v>2026年</v>
      </c>
      <c r="B964" s="3" t="str">
        <f t="shared" si="58"/>
        <v>1月</v>
      </c>
      <c r="C964" s="4" t="str">
        <f t="shared" si="59"/>
        <v>W5</v>
      </c>
      <c r="D964" s="2" t="s">
        <v>763</v>
      </c>
      <c r="E964" s="2" t="s">
        <v>816</v>
      </c>
      <c r="F964" s="2" t="str" cm="1">
        <f t="array" ref="F964">INDEX(_xlfn.TEXTSPLIT(E964,"-"),2)</f>
        <v>男装</v>
      </c>
      <c r="G964" s="2" t="str" cm="1">
        <f t="array" ref="G964">INDEX(_xlfn.TEXTSPLIT(E964,"-"),3)</f>
        <v>棉衣</v>
      </c>
      <c r="H964" s="5">
        <v>399886</v>
      </c>
      <c r="I964" s="5">
        <v>53852256.35</v>
      </c>
      <c r="J964" s="6">
        <v>0.0595</v>
      </c>
      <c r="K964" s="6">
        <v>-0.1375</v>
      </c>
    </row>
    <row r="965" ht="14.5" spans="1:11">
      <c r="A965" s="3" t="str">
        <f t="shared" si="57"/>
        <v>2026年</v>
      </c>
      <c r="B965" s="3" t="str">
        <f t="shared" si="58"/>
        <v>1月</v>
      </c>
      <c r="C965" s="4" t="str">
        <f t="shared" si="59"/>
        <v>W5</v>
      </c>
      <c r="D965" s="2" t="s">
        <v>763</v>
      </c>
      <c r="E965" s="2" t="s">
        <v>817</v>
      </c>
      <c r="F965" s="2" t="str" cm="1">
        <f t="array" ref="F965">INDEX(_xlfn.TEXTSPLIT(E965,"-"),2)</f>
        <v>男装</v>
      </c>
      <c r="G965" s="2" t="str" cm="1">
        <f t="array" ref="G965">INDEX(_xlfn.TEXTSPLIT(E965,"-"),3)</f>
        <v>棉裤</v>
      </c>
      <c r="H965" s="5">
        <v>33690</v>
      </c>
      <c r="I965" s="5">
        <v>2151283.87</v>
      </c>
      <c r="J965" s="6">
        <v>0.0024</v>
      </c>
      <c r="K965" s="6">
        <v>-0.0772</v>
      </c>
    </row>
    <row r="966" ht="14.5" spans="1:11">
      <c r="A966" s="3" t="str">
        <f t="shared" si="57"/>
        <v>2026年</v>
      </c>
      <c r="B966" s="3" t="str">
        <f t="shared" si="58"/>
        <v>1月</v>
      </c>
      <c r="C966" s="4" t="str">
        <f t="shared" si="59"/>
        <v>W5</v>
      </c>
      <c r="D966" s="2" t="s">
        <v>763</v>
      </c>
      <c r="E966" s="2" t="s">
        <v>818</v>
      </c>
      <c r="F966" s="2" t="str" cm="1">
        <f t="array" ref="F966">INDEX(_xlfn.TEXTSPLIT(E966,"-"),2)</f>
        <v>男装</v>
      </c>
      <c r="G966" s="2" t="str" cm="1">
        <f t="array" ref="G966">INDEX(_xlfn.TEXTSPLIT(E966,"-"),3)</f>
        <v>毛呢大衣</v>
      </c>
      <c r="H966" s="5">
        <v>54290</v>
      </c>
      <c r="I966" s="5">
        <v>23685864.63</v>
      </c>
      <c r="J966" s="6">
        <v>0.0262</v>
      </c>
      <c r="K966" s="6">
        <v>-0.0459</v>
      </c>
    </row>
    <row r="967" ht="14.5" spans="1:11">
      <c r="A967" s="3" t="str">
        <f t="shared" si="57"/>
        <v>2026年</v>
      </c>
      <c r="B967" s="3" t="str">
        <f t="shared" si="58"/>
        <v>1月</v>
      </c>
      <c r="C967" s="4" t="str">
        <f t="shared" si="59"/>
        <v>W5</v>
      </c>
      <c r="D967" s="2" t="s">
        <v>763</v>
      </c>
      <c r="E967" s="2" t="s">
        <v>819</v>
      </c>
      <c r="F967" s="2" t="str" cm="1">
        <f t="array" ref="F967">INDEX(_xlfn.TEXTSPLIT(E967,"-"),2)</f>
        <v>男装</v>
      </c>
      <c r="G967" s="2" t="str" cm="1">
        <f t="array" ref="G967">INDEX(_xlfn.TEXTSPLIT(E967,"-"),3)</f>
        <v>民族服装</v>
      </c>
      <c r="H967" s="5">
        <v>7551</v>
      </c>
      <c r="I967" s="5">
        <v>1719620.01</v>
      </c>
      <c r="J967" s="6">
        <v>0.0019</v>
      </c>
      <c r="K967" s="6">
        <v>-0.1494</v>
      </c>
    </row>
    <row r="968" ht="14.5" spans="1:11">
      <c r="A968" s="3" t="str">
        <f t="shared" si="57"/>
        <v>2026年</v>
      </c>
      <c r="B968" s="3" t="str">
        <f t="shared" si="58"/>
        <v>1月</v>
      </c>
      <c r="C968" s="4" t="str">
        <f t="shared" si="59"/>
        <v>W5</v>
      </c>
      <c r="D968" s="2" t="s">
        <v>763</v>
      </c>
      <c r="E968" s="2" t="s">
        <v>820</v>
      </c>
      <c r="F968" s="2" t="str" cm="1">
        <f t="array" ref="F968">INDEX(_xlfn.TEXTSPLIT(E968,"-"),2)</f>
        <v>男装</v>
      </c>
      <c r="G968" s="2" t="str" cm="1">
        <f t="array" ref="G968">INDEX(_xlfn.TEXTSPLIT(E968,"-"),3)</f>
        <v>派克服</v>
      </c>
      <c r="H968" s="5">
        <v>10812</v>
      </c>
      <c r="I968" s="5">
        <v>2537090.99</v>
      </c>
      <c r="J968" s="6">
        <v>0.0028</v>
      </c>
      <c r="K968" s="6">
        <v>-0.2329</v>
      </c>
    </row>
    <row r="969" ht="14.5" spans="1:11">
      <c r="A969" s="3" t="str">
        <f t="shared" si="57"/>
        <v>2026年</v>
      </c>
      <c r="B969" s="3" t="str">
        <f t="shared" si="58"/>
        <v>1月</v>
      </c>
      <c r="C969" s="4" t="str">
        <f t="shared" si="59"/>
        <v>W5</v>
      </c>
      <c r="D969" s="2" t="s">
        <v>763</v>
      </c>
      <c r="E969" s="2" t="s">
        <v>821</v>
      </c>
      <c r="F969" s="2" t="str" cm="1">
        <f t="array" ref="F969">INDEX(_xlfn.TEXTSPLIT(E969,"-"),2)</f>
        <v>男装</v>
      </c>
      <c r="G969" s="2" t="str" cm="1">
        <f t="array" ref="G969">INDEX(_xlfn.TEXTSPLIT(E969,"-"),3)</f>
        <v>牛仔裤</v>
      </c>
      <c r="H969" s="5">
        <v>685030</v>
      </c>
      <c r="I969" s="5">
        <v>79146536.77</v>
      </c>
      <c r="J969" s="6">
        <v>0.0874</v>
      </c>
      <c r="K969" s="6">
        <v>-0.0816</v>
      </c>
    </row>
    <row r="970" ht="14.5" spans="1:11">
      <c r="A970" s="3" t="str">
        <f t="shared" si="57"/>
        <v>2026年</v>
      </c>
      <c r="B970" s="3" t="str">
        <f t="shared" si="58"/>
        <v>1月</v>
      </c>
      <c r="C970" s="4" t="str">
        <f t="shared" si="59"/>
        <v>W5</v>
      </c>
      <c r="D970" s="2" t="s">
        <v>763</v>
      </c>
      <c r="E970" s="2" t="s">
        <v>822</v>
      </c>
      <c r="F970" s="2" t="str" cm="1">
        <f t="array" ref="F970">INDEX(_xlfn.TEXTSPLIT(E970,"-"),2)</f>
        <v>男装</v>
      </c>
      <c r="G970" s="2" t="str" cm="1">
        <f t="array" ref="G970">INDEX(_xlfn.TEXTSPLIT(E970,"-"),3)</f>
        <v>皮草</v>
      </c>
      <c r="H970" s="5">
        <v>4955</v>
      </c>
      <c r="I970" s="5">
        <v>6357617.83</v>
      </c>
      <c r="J970" s="6">
        <v>0.007</v>
      </c>
      <c r="K970" s="6">
        <v>-0.2068</v>
      </c>
    </row>
    <row r="971" ht="14.5" spans="1:11">
      <c r="A971" s="3" t="str">
        <f t="shared" si="57"/>
        <v>2026年</v>
      </c>
      <c r="B971" s="3" t="str">
        <f t="shared" si="58"/>
        <v>1月</v>
      </c>
      <c r="C971" s="4" t="str">
        <f t="shared" si="59"/>
        <v>W5</v>
      </c>
      <c r="D971" s="2" t="s">
        <v>763</v>
      </c>
      <c r="E971" s="2" t="s">
        <v>823</v>
      </c>
      <c r="F971" s="2" t="str" cm="1">
        <f t="array" ref="F971">INDEX(_xlfn.TEXTSPLIT(E971,"-"),2)</f>
        <v>男装</v>
      </c>
      <c r="G971" s="2" t="str" cm="1">
        <f t="array" ref="G971">INDEX(_xlfn.TEXTSPLIT(E971,"-"),3)</f>
        <v>皮衣</v>
      </c>
      <c r="H971" s="5">
        <v>57477</v>
      </c>
      <c r="I971" s="5">
        <v>27222740.99</v>
      </c>
      <c r="J971" s="6">
        <v>0.0301</v>
      </c>
      <c r="K971" s="6">
        <v>-0.1826</v>
      </c>
    </row>
    <row r="972" ht="14.5" spans="1:11">
      <c r="A972" s="3" t="str">
        <f t="shared" si="57"/>
        <v>2026年</v>
      </c>
      <c r="B972" s="3" t="str">
        <f t="shared" si="58"/>
        <v>1月</v>
      </c>
      <c r="C972" s="4" t="str">
        <f t="shared" si="59"/>
        <v>W5</v>
      </c>
      <c r="D972" s="2" t="s">
        <v>763</v>
      </c>
      <c r="E972" s="2" t="s">
        <v>824</v>
      </c>
      <c r="F972" s="2" t="str" cm="1">
        <f t="array" ref="F972">INDEX(_xlfn.TEXTSPLIT(E972,"-"),2)</f>
        <v>男装</v>
      </c>
      <c r="G972" s="2" t="str" cm="1">
        <f t="array" ref="G972">INDEX(_xlfn.TEXTSPLIT(E972,"-"),3)</f>
        <v>皮裤</v>
      </c>
      <c r="H972" s="5">
        <v>1961</v>
      </c>
      <c r="I972" s="5">
        <v>333806.69</v>
      </c>
      <c r="J972" s="6">
        <v>0.0004</v>
      </c>
      <c r="K972" s="6">
        <v>-0.4266</v>
      </c>
    </row>
    <row r="973" ht="14.5" spans="1:11">
      <c r="A973" s="3" t="str">
        <f t="shared" si="57"/>
        <v>2026年</v>
      </c>
      <c r="B973" s="3" t="str">
        <f t="shared" si="58"/>
        <v>1月</v>
      </c>
      <c r="C973" s="4" t="str">
        <f t="shared" si="59"/>
        <v>W5</v>
      </c>
      <c r="D973" s="2" t="s">
        <v>763</v>
      </c>
      <c r="E973" s="2" t="s">
        <v>825</v>
      </c>
      <c r="F973" s="2" t="str" cm="1">
        <f t="array" ref="F973">INDEX(_xlfn.TEXTSPLIT(E973,"-"),2)</f>
        <v>男装</v>
      </c>
      <c r="G973" s="2" t="str" cm="1">
        <f t="array" ref="G973">INDEX(_xlfn.TEXTSPLIT(E973,"-"),3)</f>
        <v>短外套</v>
      </c>
      <c r="H973" s="5">
        <v>32761</v>
      </c>
      <c r="I973" s="5">
        <v>3370158.17</v>
      </c>
      <c r="J973" s="6">
        <v>0.0037</v>
      </c>
      <c r="K973" s="6">
        <v>-0.0933</v>
      </c>
    </row>
    <row r="974" ht="14.5" spans="1:11">
      <c r="A974" s="3" t="str">
        <f t="shared" si="57"/>
        <v>2026年</v>
      </c>
      <c r="B974" s="3" t="str">
        <f t="shared" si="58"/>
        <v>1月</v>
      </c>
      <c r="C974" s="4" t="str">
        <f t="shared" si="59"/>
        <v>W5</v>
      </c>
      <c r="D974" s="2" t="s">
        <v>763</v>
      </c>
      <c r="E974" s="2" t="s">
        <v>826</v>
      </c>
      <c r="F974" s="2" t="str" cm="1">
        <f t="array" ref="F974">INDEX(_xlfn.TEXTSPLIT(E974,"-"),2)</f>
        <v>男装</v>
      </c>
      <c r="G974" s="2" t="str" cm="1">
        <f t="array" ref="G974">INDEX(_xlfn.TEXTSPLIT(E974,"-"),3)</f>
        <v>短裤</v>
      </c>
      <c r="H974" s="5">
        <v>48986</v>
      </c>
      <c r="I974" s="5">
        <v>1873053.29</v>
      </c>
      <c r="J974" s="6">
        <v>0.0021</v>
      </c>
      <c r="K974" s="6">
        <v>0.0188</v>
      </c>
    </row>
    <row r="975" ht="14.5" spans="1:11">
      <c r="A975" s="3" t="str">
        <f t="shared" si="57"/>
        <v>2026年</v>
      </c>
      <c r="B975" s="3" t="str">
        <f t="shared" si="58"/>
        <v>1月</v>
      </c>
      <c r="C975" s="4" t="str">
        <f t="shared" si="59"/>
        <v>W5</v>
      </c>
      <c r="D975" s="2" t="s">
        <v>763</v>
      </c>
      <c r="E975" s="2" t="s">
        <v>827</v>
      </c>
      <c r="F975" s="2" t="str" cm="1">
        <f t="array" ref="F975">INDEX(_xlfn.TEXTSPLIT(E975,"-"),2)</f>
        <v>男装</v>
      </c>
      <c r="G975" s="2" t="str" cm="1">
        <f t="array" ref="G975">INDEX(_xlfn.TEXTSPLIT(E975,"-"),3)</f>
        <v>紧身衣</v>
      </c>
      <c r="H975" s="5">
        <v>82</v>
      </c>
      <c r="I975" s="5">
        <v>3324.3</v>
      </c>
      <c r="J975" s="2" t="s">
        <v>713</v>
      </c>
      <c r="K975" s="6">
        <v>-0.1344</v>
      </c>
    </row>
    <row r="976" ht="14.5" spans="1:11">
      <c r="A976" s="3" t="str">
        <f t="shared" si="57"/>
        <v>2026年</v>
      </c>
      <c r="B976" s="3" t="str">
        <f t="shared" si="58"/>
        <v>1月</v>
      </c>
      <c r="C976" s="4" t="str">
        <f t="shared" si="59"/>
        <v>W5</v>
      </c>
      <c r="D976" s="2" t="s">
        <v>763</v>
      </c>
      <c r="E976" s="2" t="s">
        <v>828</v>
      </c>
      <c r="F976" s="2" t="str" cm="1">
        <f t="array" ref="F976">INDEX(_xlfn.TEXTSPLIT(E976,"-"),2)</f>
        <v>男装</v>
      </c>
      <c r="G976" s="2" t="str" cm="1">
        <f t="array" ref="G976">INDEX(_xlfn.TEXTSPLIT(E976,"-"),3)</f>
        <v>羊毛衫</v>
      </c>
      <c r="H976" s="5">
        <v>129133</v>
      </c>
      <c r="I976" s="5">
        <v>17583018.71</v>
      </c>
      <c r="J976" s="6">
        <v>0.0194</v>
      </c>
      <c r="K976" s="6">
        <v>-0.1332</v>
      </c>
    </row>
    <row r="977" ht="14.5" spans="1:11">
      <c r="A977" s="3" t="str">
        <f t="shared" si="57"/>
        <v>2026年</v>
      </c>
      <c r="B977" s="3" t="str">
        <f t="shared" si="58"/>
        <v>1月</v>
      </c>
      <c r="C977" s="4" t="str">
        <f t="shared" si="59"/>
        <v>W5</v>
      </c>
      <c r="D977" s="2" t="s">
        <v>763</v>
      </c>
      <c r="E977" s="2" t="s">
        <v>829</v>
      </c>
      <c r="F977" s="2" t="str" cm="1">
        <f t="array" ref="F977">INDEX(_xlfn.TEXTSPLIT(E977,"-"),2)</f>
        <v>男装</v>
      </c>
      <c r="G977" s="2" t="str" cm="1">
        <f t="array" ref="G977">INDEX(_xlfn.TEXTSPLIT(E977,"-"),3)</f>
        <v>羊绒衫</v>
      </c>
      <c r="H977" s="5">
        <v>25107</v>
      </c>
      <c r="I977" s="5">
        <v>7077322.17</v>
      </c>
      <c r="J977" s="6">
        <v>0.0078</v>
      </c>
      <c r="K977" s="6">
        <v>-0.1596</v>
      </c>
    </row>
    <row r="978" ht="14.5" spans="1:11">
      <c r="A978" s="3" t="str">
        <f t="shared" si="57"/>
        <v>2026年</v>
      </c>
      <c r="B978" s="3" t="str">
        <f t="shared" si="58"/>
        <v>1月</v>
      </c>
      <c r="C978" s="4" t="str">
        <f t="shared" si="59"/>
        <v>W5</v>
      </c>
      <c r="D978" s="2" t="s">
        <v>763</v>
      </c>
      <c r="E978" s="2" t="s">
        <v>830</v>
      </c>
      <c r="F978" s="2" t="str" cm="1">
        <f t="array" ref="F978">INDEX(_xlfn.TEXTSPLIT(E978,"-"),2)</f>
        <v>男装</v>
      </c>
      <c r="G978" s="2" t="str" cm="1">
        <f t="array" ref="G978">INDEX(_xlfn.TEXTSPLIT(E978,"-"),3)</f>
        <v>羽绒服</v>
      </c>
      <c r="H978" s="5">
        <v>695997</v>
      </c>
      <c r="I978" s="5">
        <v>254542548.64</v>
      </c>
      <c r="J978" s="6">
        <v>0.2811</v>
      </c>
      <c r="K978" s="6">
        <v>-0.136</v>
      </c>
    </row>
    <row r="979" ht="14.5" spans="1:11">
      <c r="A979" s="3" t="str">
        <f t="shared" si="57"/>
        <v>2026年</v>
      </c>
      <c r="B979" s="3" t="str">
        <f t="shared" si="58"/>
        <v>1月</v>
      </c>
      <c r="C979" s="4" t="str">
        <f t="shared" si="59"/>
        <v>W5</v>
      </c>
      <c r="D979" s="2" t="s">
        <v>763</v>
      </c>
      <c r="E979" s="2" t="s">
        <v>831</v>
      </c>
      <c r="F979" s="2" t="str" cm="1">
        <f t="array" ref="F979">INDEX(_xlfn.TEXTSPLIT(E979,"-"),2)</f>
        <v>男装</v>
      </c>
      <c r="G979" s="2" t="str" cm="1">
        <f t="array" ref="G979">INDEX(_xlfn.TEXTSPLIT(E979,"-"),3)</f>
        <v>羽绒裤</v>
      </c>
      <c r="H979" s="5">
        <v>11642</v>
      </c>
      <c r="I979" s="5">
        <v>1810837.22</v>
      </c>
      <c r="J979" s="6">
        <v>0.002</v>
      </c>
      <c r="K979" s="6">
        <v>-0.165</v>
      </c>
    </row>
    <row r="980" ht="14.5" spans="1:11">
      <c r="A980" s="3" t="str">
        <f t="shared" si="57"/>
        <v>2026年</v>
      </c>
      <c r="B980" s="3" t="str">
        <f t="shared" si="58"/>
        <v>1月</v>
      </c>
      <c r="C980" s="4" t="str">
        <f t="shared" si="59"/>
        <v>W5</v>
      </c>
      <c r="D980" s="2" t="s">
        <v>763</v>
      </c>
      <c r="E980" s="2" t="s">
        <v>832</v>
      </c>
      <c r="F980" s="2" t="str" cm="1">
        <f t="array" ref="F980">INDEX(_xlfn.TEXTSPLIT(E980,"-"),2)</f>
        <v>男装</v>
      </c>
      <c r="G980" s="2" t="str" cm="1">
        <f t="array" ref="G980">INDEX(_xlfn.TEXTSPLIT(E980,"-"),3)</f>
        <v>羽绒马甲</v>
      </c>
      <c r="H980" s="5">
        <v>13400</v>
      </c>
      <c r="I980" s="5">
        <v>2758754.86</v>
      </c>
      <c r="J980" s="6">
        <v>0.003</v>
      </c>
      <c r="K980" s="6">
        <v>-0.198</v>
      </c>
    </row>
    <row r="981" ht="14.5" spans="1:11">
      <c r="A981" s="3" t="str">
        <f t="shared" si="57"/>
        <v>2026年</v>
      </c>
      <c r="B981" s="3" t="str">
        <f t="shared" si="58"/>
        <v>1月</v>
      </c>
      <c r="C981" s="4" t="str">
        <f t="shared" si="59"/>
        <v>W5</v>
      </c>
      <c r="D981" s="2" t="s">
        <v>763</v>
      </c>
      <c r="E981" s="2" t="s">
        <v>833</v>
      </c>
      <c r="F981" s="2" t="str" cm="1">
        <f t="array" ref="F981">INDEX(_xlfn.TEXTSPLIT(E981,"-"),2)</f>
        <v>男装</v>
      </c>
      <c r="G981" s="2" t="str" cm="1">
        <f t="array" ref="G981">INDEX(_xlfn.TEXTSPLIT(E981,"-"),3)</f>
        <v>背心</v>
      </c>
      <c r="H981" s="5">
        <v>34954</v>
      </c>
      <c r="I981" s="5">
        <v>2143901.84</v>
      </c>
      <c r="J981" s="6">
        <v>0.0024</v>
      </c>
      <c r="K981" s="6">
        <v>-0.163</v>
      </c>
    </row>
    <row r="982" ht="14.5" spans="1:11">
      <c r="A982" s="3" t="str">
        <f t="shared" si="57"/>
        <v>2026年</v>
      </c>
      <c r="B982" s="3" t="str">
        <f t="shared" si="58"/>
        <v>1月</v>
      </c>
      <c r="C982" s="4" t="str">
        <f t="shared" si="59"/>
        <v>W5</v>
      </c>
      <c r="D982" s="2" t="s">
        <v>763</v>
      </c>
      <c r="E982" s="2" t="s">
        <v>834</v>
      </c>
      <c r="F982" s="2" t="str" cm="1">
        <f t="array" ref="F982">INDEX(_xlfn.TEXTSPLIT(E982,"-"),2)</f>
        <v>男装</v>
      </c>
      <c r="G982" s="2" t="str" cm="1">
        <f t="array" ref="G982">INDEX(_xlfn.TEXTSPLIT(E982,"-"),3)</f>
        <v>衬衫</v>
      </c>
      <c r="H982" s="5">
        <v>89471</v>
      </c>
      <c r="I982" s="5">
        <v>11365723.06</v>
      </c>
      <c r="J982" s="6">
        <v>0.0126</v>
      </c>
      <c r="K982" s="6">
        <v>-0.0597</v>
      </c>
    </row>
    <row r="983" ht="14.5" spans="1:11">
      <c r="A983" s="3" t="str">
        <f t="shared" si="57"/>
        <v>2026年</v>
      </c>
      <c r="B983" s="3" t="str">
        <f t="shared" si="58"/>
        <v>1月</v>
      </c>
      <c r="C983" s="4" t="str">
        <f t="shared" si="59"/>
        <v>W5</v>
      </c>
      <c r="D983" s="2" t="s">
        <v>763</v>
      </c>
      <c r="E983" s="2" t="s">
        <v>835</v>
      </c>
      <c r="F983" s="2" t="str" cm="1">
        <f t="array" ref="F983">INDEX(_xlfn.TEXTSPLIT(E983,"-"),2)</f>
        <v>男装</v>
      </c>
      <c r="G983" s="2" t="str" cm="1">
        <f t="array" ref="G983">INDEX(_xlfn.TEXTSPLIT(E983,"-"),3)</f>
        <v>西服</v>
      </c>
      <c r="H983" s="5">
        <v>96216</v>
      </c>
      <c r="I983" s="5">
        <v>20182719.42</v>
      </c>
      <c r="J983" s="6">
        <v>0.0223</v>
      </c>
      <c r="K983" s="6">
        <v>-0.0375</v>
      </c>
    </row>
    <row r="984" ht="14.5" spans="1:11">
      <c r="A984" s="3" t="str">
        <f t="shared" ref="A984:A1015" si="60">TEXT(YEAR(D984),"0")&amp;"年"</f>
        <v>2026年</v>
      </c>
      <c r="B984" s="3" t="str">
        <f t="shared" ref="B984:B1015" si="61">TEXT(MONTH(D984),"0")&amp;"月"</f>
        <v>1月</v>
      </c>
      <c r="C984" s="4" t="str">
        <f t="shared" ref="C984:C1015" si="62">"W"&amp;TEXT(WEEKNUM(D984,2),"0")</f>
        <v>W5</v>
      </c>
      <c r="D984" s="2" t="s">
        <v>763</v>
      </c>
      <c r="E984" s="2" t="s">
        <v>836</v>
      </c>
      <c r="F984" s="2" t="str" cm="1">
        <f t="array" ref="F984">INDEX(_xlfn.TEXTSPLIT(E984,"-"),2)</f>
        <v>男装</v>
      </c>
      <c r="G984" s="2" t="str" cm="1">
        <f t="array" ref="G984">INDEX(_xlfn.TEXTSPLIT(E984,"-"),3)</f>
        <v>连体衣/裤</v>
      </c>
      <c r="H984" s="5">
        <v>1781</v>
      </c>
      <c r="I984" s="5">
        <v>43606.13</v>
      </c>
      <c r="J984" s="2" t="s">
        <v>713</v>
      </c>
      <c r="K984" s="6">
        <v>0.6104</v>
      </c>
    </row>
    <row r="985" ht="14.5" spans="1:11">
      <c r="A985" s="3" t="str">
        <f t="shared" si="60"/>
        <v>2026年</v>
      </c>
      <c r="B985" s="3" t="str">
        <f t="shared" si="61"/>
        <v>1月</v>
      </c>
      <c r="C985" s="4" t="str">
        <f t="shared" si="62"/>
        <v>W5</v>
      </c>
      <c r="D985" s="2" t="s">
        <v>763</v>
      </c>
      <c r="E985" s="2" t="s">
        <v>837</v>
      </c>
      <c r="F985" s="2" t="str" cm="1">
        <f t="array" ref="F985">INDEX(_xlfn.TEXTSPLIT(E985,"-"),2)</f>
        <v>男装</v>
      </c>
      <c r="G985" s="2" t="str" cm="1">
        <f t="array" ref="G985">INDEX(_xlfn.TEXTSPLIT(E985,"-"),3)</f>
        <v>速干/三防T恤</v>
      </c>
      <c r="H985" s="5">
        <v>603</v>
      </c>
      <c r="I985" s="5">
        <v>79138.79</v>
      </c>
      <c r="J985" s="6">
        <v>0.0001</v>
      </c>
      <c r="K985" s="6">
        <v>0.8852</v>
      </c>
    </row>
    <row r="986" ht="14.5" spans="1:11">
      <c r="A986" s="3" t="str">
        <f t="shared" si="60"/>
        <v>2026年</v>
      </c>
      <c r="B986" s="3" t="str">
        <f t="shared" si="61"/>
        <v>1月</v>
      </c>
      <c r="C986" s="4" t="str">
        <f t="shared" si="62"/>
        <v>W5</v>
      </c>
      <c r="D986" s="2" t="s">
        <v>763</v>
      </c>
      <c r="E986" s="2" t="s">
        <v>838</v>
      </c>
      <c r="F986" s="2" t="str" cm="1">
        <f t="array" ref="F986">INDEX(_xlfn.TEXTSPLIT(E986,"-"),2)</f>
        <v>男装</v>
      </c>
      <c r="G986" s="2" t="str" cm="1">
        <f t="array" ref="G986">INDEX(_xlfn.TEXTSPLIT(E986,"-"),3)</f>
        <v>针织衫/毛衣</v>
      </c>
      <c r="H986" s="5">
        <v>425818</v>
      </c>
      <c r="I986" s="5">
        <v>50900019.98</v>
      </c>
      <c r="J986" s="6">
        <v>0.0562</v>
      </c>
      <c r="K986" s="6">
        <v>-0.1165</v>
      </c>
    </row>
    <row r="987" ht="14.5" spans="1:11">
      <c r="A987" s="3" t="str">
        <f t="shared" si="60"/>
        <v>2026年</v>
      </c>
      <c r="B987" s="3" t="str">
        <f t="shared" si="61"/>
        <v>1月</v>
      </c>
      <c r="C987" s="4" t="str">
        <f t="shared" si="62"/>
        <v>W5</v>
      </c>
      <c r="D987" s="2" t="s">
        <v>763</v>
      </c>
      <c r="E987" s="2" t="s">
        <v>839</v>
      </c>
      <c r="F987" s="2" t="str" cm="1">
        <f t="array" ref="F987">INDEX(_xlfn.TEXTSPLIT(E987,"-"),2)</f>
        <v>男装</v>
      </c>
      <c r="G987" s="2" t="str" cm="1">
        <f t="array" ref="G987">INDEX(_xlfn.TEXTSPLIT(E987,"-"),3)</f>
        <v>防晒服</v>
      </c>
      <c r="H987" s="5">
        <v>205</v>
      </c>
      <c r="I987" s="5">
        <v>18726.7</v>
      </c>
      <c r="J987" s="2" t="s">
        <v>713</v>
      </c>
      <c r="K987" s="6">
        <v>-0.0567</v>
      </c>
    </row>
    <row r="988" ht="14.5" spans="1:11">
      <c r="A988" s="3" t="str">
        <f t="shared" si="60"/>
        <v>2026年</v>
      </c>
      <c r="B988" s="3" t="str">
        <f t="shared" si="61"/>
        <v>1月</v>
      </c>
      <c r="C988" s="4" t="str">
        <f t="shared" si="62"/>
        <v>W5</v>
      </c>
      <c r="D988" s="2" t="s">
        <v>763</v>
      </c>
      <c r="E988" s="2" t="s">
        <v>840</v>
      </c>
      <c r="F988" s="2" t="str" cm="1">
        <f t="array" ref="F988">INDEX(_xlfn.TEXTSPLIT(E988,"-"),2)</f>
        <v>男装</v>
      </c>
      <c r="G988" s="2" t="str" cm="1">
        <f t="array" ref="G988">INDEX(_xlfn.TEXTSPLIT(E988,"-"),3)</f>
        <v>风衣</v>
      </c>
      <c r="H988" s="5">
        <v>6767</v>
      </c>
      <c r="I988" s="5">
        <v>2304126.2</v>
      </c>
      <c r="J988" s="6">
        <v>0.0025</v>
      </c>
      <c r="K988" s="6">
        <v>-0.1174</v>
      </c>
    </row>
    <row r="989" ht="14.5" spans="1:11">
      <c r="A989" s="3" t="str">
        <f t="shared" si="60"/>
        <v>2026年</v>
      </c>
      <c r="B989" s="3" t="str">
        <f t="shared" si="61"/>
        <v>1月</v>
      </c>
      <c r="C989" s="4" t="str">
        <f t="shared" si="62"/>
        <v>W5</v>
      </c>
      <c r="D989" s="2" t="s">
        <v>763</v>
      </c>
      <c r="E989" s="2" t="s">
        <v>841</v>
      </c>
      <c r="F989" s="2" t="str" cm="1">
        <f t="array" ref="F989">INDEX(_xlfn.TEXTSPLIT(E989,"-"),2)</f>
        <v>男装</v>
      </c>
      <c r="G989" s="2" t="str" cm="1">
        <f t="array" ref="G989">INDEX(_xlfn.TEXTSPLIT(E989,"-"),3)</f>
        <v>马甲</v>
      </c>
      <c r="H989" s="5">
        <v>43900</v>
      </c>
      <c r="I989" s="5">
        <v>4472193.16</v>
      </c>
      <c r="J989" s="6">
        <v>0.0049</v>
      </c>
      <c r="K989" s="6">
        <v>-0.2145</v>
      </c>
    </row>
    <row r="990" ht="14.5" spans="1:11">
      <c r="A990" s="3" t="str">
        <f t="shared" si="60"/>
        <v>2026年</v>
      </c>
      <c r="B990" s="3" t="str">
        <f t="shared" si="61"/>
        <v>1月</v>
      </c>
      <c r="C990" s="4" t="str">
        <f t="shared" si="62"/>
        <v>W5</v>
      </c>
      <c r="D990" s="2" t="s">
        <v>764</v>
      </c>
      <c r="E990" s="2" t="s">
        <v>804</v>
      </c>
      <c r="F990" s="2" t="str" cm="1">
        <f t="array" ref="F990">INDEX(_xlfn.TEXTSPLIT(E990,"-"),2)</f>
        <v>男装</v>
      </c>
      <c r="G990" s="2" t="str" cm="1">
        <f t="array" ref="G990">INDEX(_xlfn.TEXTSPLIT(E990,"-"),3)</f>
        <v>Polo衫</v>
      </c>
      <c r="H990" s="5">
        <v>44326</v>
      </c>
      <c r="I990" s="5">
        <v>4161887.48</v>
      </c>
      <c r="J990" s="6">
        <v>0.0047</v>
      </c>
      <c r="K990" s="6">
        <v>-0.0718</v>
      </c>
    </row>
    <row r="991" ht="14.5" spans="1:11">
      <c r="A991" s="3" t="str">
        <f t="shared" si="60"/>
        <v>2026年</v>
      </c>
      <c r="B991" s="3" t="str">
        <f t="shared" si="61"/>
        <v>1月</v>
      </c>
      <c r="C991" s="4" t="str">
        <f t="shared" si="62"/>
        <v>W5</v>
      </c>
      <c r="D991" s="2" t="s">
        <v>764</v>
      </c>
      <c r="E991" s="2" t="s">
        <v>805</v>
      </c>
      <c r="F991" s="2" t="str" cm="1">
        <f t="array" ref="F991">INDEX(_xlfn.TEXTSPLIT(E991,"-"),2)</f>
        <v>男装</v>
      </c>
      <c r="G991" s="2" t="str" cm="1">
        <f t="array" ref="G991">INDEX(_xlfn.TEXTSPLIT(E991,"-"),3)</f>
        <v>T恤</v>
      </c>
      <c r="H991" s="5">
        <v>398772</v>
      </c>
      <c r="I991" s="5">
        <v>31778515.06</v>
      </c>
      <c r="J991" s="6">
        <v>0.036</v>
      </c>
      <c r="K991" s="6">
        <v>-0.006</v>
      </c>
    </row>
    <row r="992" ht="14.5" spans="1:11">
      <c r="A992" s="3" t="str">
        <f t="shared" si="60"/>
        <v>2026年</v>
      </c>
      <c r="B992" s="3" t="str">
        <f t="shared" si="61"/>
        <v>1月</v>
      </c>
      <c r="C992" s="4" t="str">
        <f t="shared" si="62"/>
        <v>W5</v>
      </c>
      <c r="D992" s="2" t="s">
        <v>764</v>
      </c>
      <c r="E992" s="2" t="s">
        <v>806</v>
      </c>
      <c r="F992" s="2" t="str" cm="1">
        <f t="array" ref="F992">INDEX(_xlfn.TEXTSPLIT(E992,"-"),2)</f>
        <v>男装</v>
      </c>
      <c r="G992" s="2" t="str" cm="1">
        <f t="array" ref="G992">INDEX(_xlfn.TEXTSPLIT(E992,"-"),3)</f>
        <v>中老年男装</v>
      </c>
      <c r="H992" s="5">
        <v>104150</v>
      </c>
      <c r="I992" s="5">
        <v>15789285.45</v>
      </c>
      <c r="J992" s="6">
        <v>0.0179</v>
      </c>
      <c r="K992" s="6">
        <v>0.0583</v>
      </c>
    </row>
    <row r="993" ht="14.5" spans="1:11">
      <c r="A993" s="3" t="str">
        <f t="shared" si="60"/>
        <v>2026年</v>
      </c>
      <c r="B993" s="3" t="str">
        <f t="shared" si="61"/>
        <v>1月</v>
      </c>
      <c r="C993" s="4" t="str">
        <f t="shared" si="62"/>
        <v>W5</v>
      </c>
      <c r="D993" s="2" t="s">
        <v>764</v>
      </c>
      <c r="E993" s="2" t="s">
        <v>807</v>
      </c>
      <c r="F993" s="2" t="str" cm="1">
        <f t="array" ref="F993">INDEX(_xlfn.TEXTSPLIT(E993,"-"),2)</f>
        <v>男装</v>
      </c>
      <c r="G993" s="2" t="str" cm="1">
        <f t="array" ref="G993">INDEX(_xlfn.TEXTSPLIT(E993,"-"),3)</f>
        <v>休闲裤</v>
      </c>
      <c r="H993" s="5">
        <v>927263</v>
      </c>
      <c r="I993" s="5">
        <v>100304655.73</v>
      </c>
      <c r="J993" s="6">
        <v>0.1135</v>
      </c>
      <c r="K993" s="6">
        <v>-0.0403</v>
      </c>
    </row>
    <row r="994" ht="14.5" spans="1:11">
      <c r="A994" s="3" t="str">
        <f t="shared" si="60"/>
        <v>2026年</v>
      </c>
      <c r="B994" s="3" t="str">
        <f t="shared" si="61"/>
        <v>1月</v>
      </c>
      <c r="C994" s="4" t="str">
        <f t="shared" si="62"/>
        <v>W5</v>
      </c>
      <c r="D994" s="2" t="s">
        <v>764</v>
      </c>
      <c r="E994" s="2" t="s">
        <v>808</v>
      </c>
      <c r="F994" s="2" t="str" cm="1">
        <f t="array" ref="F994">INDEX(_xlfn.TEXTSPLIT(E994,"-"),2)</f>
        <v>男装</v>
      </c>
      <c r="G994" s="2" t="str" cm="1">
        <f t="array" ref="G994">INDEX(_xlfn.TEXTSPLIT(E994,"-"),3)</f>
        <v>卫衣</v>
      </c>
      <c r="H994" s="5">
        <v>613906</v>
      </c>
      <c r="I994" s="5">
        <v>53340655.83</v>
      </c>
      <c r="J994" s="6">
        <v>0.0604</v>
      </c>
      <c r="K994" s="6">
        <v>0.0198</v>
      </c>
    </row>
    <row r="995" ht="14.5" spans="1:11">
      <c r="A995" s="3" t="str">
        <f t="shared" si="60"/>
        <v>2026年</v>
      </c>
      <c r="B995" s="3" t="str">
        <f t="shared" si="61"/>
        <v>1月</v>
      </c>
      <c r="C995" s="4" t="str">
        <f t="shared" si="62"/>
        <v>W5</v>
      </c>
      <c r="D995" s="2" t="s">
        <v>764</v>
      </c>
      <c r="E995" s="2" t="s">
        <v>809</v>
      </c>
      <c r="F995" s="2" t="str" cm="1">
        <f t="array" ref="F995">INDEX(_xlfn.TEXTSPLIT(E995,"-"),2)</f>
        <v>男装</v>
      </c>
      <c r="G995" s="2" t="str" cm="1">
        <f t="array" ref="G995">INDEX(_xlfn.TEXTSPLIT(E995,"-"),3)</f>
        <v>卫裤</v>
      </c>
      <c r="H995" s="5">
        <v>182184</v>
      </c>
      <c r="I995" s="5">
        <v>18427051.42</v>
      </c>
      <c r="J995" s="6">
        <v>0.0209</v>
      </c>
      <c r="K995" s="6">
        <v>-0.0755</v>
      </c>
    </row>
    <row r="996" ht="14.5" spans="1:11">
      <c r="A996" s="3" t="str">
        <f t="shared" si="60"/>
        <v>2026年</v>
      </c>
      <c r="B996" s="3" t="str">
        <f t="shared" si="61"/>
        <v>1月</v>
      </c>
      <c r="C996" s="4" t="str">
        <f t="shared" si="62"/>
        <v>W5</v>
      </c>
      <c r="D996" s="2" t="s">
        <v>764</v>
      </c>
      <c r="E996" s="2" t="s">
        <v>810</v>
      </c>
      <c r="F996" s="2" t="str" cm="1">
        <f t="array" ref="F996">INDEX(_xlfn.TEXTSPLIT(E996,"-"),2)</f>
        <v>男装</v>
      </c>
      <c r="G996" s="2" t="str" cm="1">
        <f t="array" ref="G996">INDEX(_xlfn.TEXTSPLIT(E996,"-"),3)</f>
        <v>大码男装</v>
      </c>
      <c r="H996" s="5">
        <v>47849</v>
      </c>
      <c r="I996" s="5">
        <v>4299167.38</v>
      </c>
      <c r="J996" s="6">
        <v>0.0049</v>
      </c>
      <c r="K996" s="6">
        <v>0.0262</v>
      </c>
    </row>
    <row r="997" ht="14.5" spans="1:11">
      <c r="A997" s="3" t="str">
        <f t="shared" si="60"/>
        <v>2026年</v>
      </c>
      <c r="B997" s="3" t="str">
        <f t="shared" si="61"/>
        <v>1月</v>
      </c>
      <c r="C997" s="4" t="str">
        <f t="shared" si="62"/>
        <v>W5</v>
      </c>
      <c r="D997" s="2" t="s">
        <v>764</v>
      </c>
      <c r="E997" s="2" t="s">
        <v>811</v>
      </c>
      <c r="F997" s="2" t="str" cm="1">
        <f t="array" ref="F997">INDEX(_xlfn.TEXTSPLIT(E997,"-"),2)</f>
        <v>男装</v>
      </c>
      <c r="G997" s="2" t="str" cm="1">
        <f t="array" ref="G997">INDEX(_xlfn.TEXTSPLIT(E997,"-"),3)</f>
        <v>夹克</v>
      </c>
      <c r="H997" s="5">
        <v>457047</v>
      </c>
      <c r="I997" s="5">
        <v>87532491.06</v>
      </c>
      <c r="J997" s="6">
        <v>0.0991</v>
      </c>
      <c r="K997" s="6">
        <v>0.015</v>
      </c>
    </row>
    <row r="998" ht="14.5" spans="1:11">
      <c r="A998" s="3" t="str">
        <f t="shared" si="60"/>
        <v>2026年</v>
      </c>
      <c r="B998" s="3" t="str">
        <f t="shared" si="61"/>
        <v>1月</v>
      </c>
      <c r="C998" s="4" t="str">
        <f t="shared" si="62"/>
        <v>W5</v>
      </c>
      <c r="D998" s="2" t="s">
        <v>764</v>
      </c>
      <c r="E998" s="2" t="s">
        <v>812</v>
      </c>
      <c r="F998" s="2" t="str" cm="1">
        <f t="array" ref="F998">INDEX(_xlfn.TEXTSPLIT(E998,"-"),2)</f>
        <v>男装</v>
      </c>
      <c r="G998" s="2" t="str" cm="1">
        <f t="array" ref="G998">INDEX(_xlfn.TEXTSPLIT(E998,"-"),3)</f>
        <v>套装</v>
      </c>
      <c r="H998" s="5">
        <v>44562</v>
      </c>
      <c r="I998" s="5">
        <v>7432768.18</v>
      </c>
      <c r="J998" s="6">
        <v>0.0084</v>
      </c>
      <c r="K998" s="6">
        <v>-0.058</v>
      </c>
    </row>
    <row r="999" ht="14.5" spans="1:11">
      <c r="A999" s="3" t="str">
        <f t="shared" si="60"/>
        <v>2026年</v>
      </c>
      <c r="B999" s="3" t="str">
        <f t="shared" si="61"/>
        <v>1月</v>
      </c>
      <c r="C999" s="4" t="str">
        <f t="shared" si="62"/>
        <v>W5</v>
      </c>
      <c r="D999" s="2" t="s">
        <v>764</v>
      </c>
      <c r="E999" s="2" t="s">
        <v>813</v>
      </c>
      <c r="F999" s="2" t="str" cm="1">
        <f t="array" ref="F999">INDEX(_xlfn.TEXTSPLIT(E999,"-"),2)</f>
        <v>男装</v>
      </c>
      <c r="G999" s="2" t="str" cm="1">
        <f t="array" ref="G999">INDEX(_xlfn.TEXTSPLIT(E999,"-"),3)</f>
        <v>学生校服</v>
      </c>
      <c r="H999" s="5">
        <v>55</v>
      </c>
      <c r="I999" s="5">
        <v>6512.09</v>
      </c>
      <c r="J999" s="2" t="s">
        <v>713</v>
      </c>
      <c r="K999" s="6">
        <v>3.4958</v>
      </c>
    </row>
    <row r="1000" ht="14.5" spans="1:11">
      <c r="A1000" s="3" t="str">
        <f t="shared" si="60"/>
        <v>2026年</v>
      </c>
      <c r="B1000" s="3" t="str">
        <f t="shared" si="61"/>
        <v>1月</v>
      </c>
      <c r="C1000" s="4" t="str">
        <f t="shared" si="62"/>
        <v>W5</v>
      </c>
      <c r="D1000" s="2" t="s">
        <v>764</v>
      </c>
      <c r="E1000" s="2" t="s">
        <v>814</v>
      </c>
      <c r="F1000" s="2" t="str" cm="1">
        <f t="array" ref="F1000">INDEX(_xlfn.TEXTSPLIT(E1000,"-"),2)</f>
        <v>男装</v>
      </c>
      <c r="G1000" s="2" t="str" cm="1">
        <f t="array" ref="G1000">INDEX(_xlfn.TEXTSPLIT(E1000,"-"),3)</f>
        <v>打底衫</v>
      </c>
      <c r="H1000" s="5">
        <v>21625</v>
      </c>
      <c r="I1000" s="5">
        <v>1483347.72</v>
      </c>
      <c r="J1000" s="6">
        <v>0.0017</v>
      </c>
      <c r="K1000" s="6">
        <v>0.1892</v>
      </c>
    </row>
    <row r="1001" ht="14.5" spans="1:11">
      <c r="A1001" s="3" t="str">
        <f t="shared" si="60"/>
        <v>2026年</v>
      </c>
      <c r="B1001" s="3" t="str">
        <f t="shared" si="61"/>
        <v>1月</v>
      </c>
      <c r="C1001" s="4" t="str">
        <f t="shared" si="62"/>
        <v>W5</v>
      </c>
      <c r="D1001" s="2" t="s">
        <v>764</v>
      </c>
      <c r="E1001" s="2" t="s">
        <v>815</v>
      </c>
      <c r="F1001" s="2" t="str" cm="1">
        <f t="array" ref="F1001">INDEX(_xlfn.TEXTSPLIT(E1001,"-"),2)</f>
        <v>男装</v>
      </c>
      <c r="G1001" s="2" t="str" cm="1">
        <f t="array" ref="G1001">INDEX(_xlfn.TEXTSPLIT(E1001,"-"),3)</f>
        <v>新中式男装</v>
      </c>
      <c r="H1001" s="5">
        <v>946</v>
      </c>
      <c r="I1001" s="5">
        <v>207684.03</v>
      </c>
      <c r="J1001" s="6">
        <v>0.0002</v>
      </c>
      <c r="K1001" s="6">
        <v>-0.1437</v>
      </c>
    </row>
    <row r="1002" ht="14.5" spans="1:11">
      <c r="A1002" s="3" t="str">
        <f t="shared" si="60"/>
        <v>2026年</v>
      </c>
      <c r="B1002" s="3" t="str">
        <f t="shared" si="61"/>
        <v>1月</v>
      </c>
      <c r="C1002" s="4" t="str">
        <f t="shared" si="62"/>
        <v>W5</v>
      </c>
      <c r="D1002" s="2" t="s">
        <v>764</v>
      </c>
      <c r="E1002" s="2" t="s">
        <v>816</v>
      </c>
      <c r="F1002" s="2" t="str" cm="1">
        <f t="array" ref="F1002">INDEX(_xlfn.TEXTSPLIT(E1002,"-"),2)</f>
        <v>男装</v>
      </c>
      <c r="G1002" s="2" t="str" cm="1">
        <f t="array" ref="G1002">INDEX(_xlfn.TEXTSPLIT(E1002,"-"),3)</f>
        <v>棉衣</v>
      </c>
      <c r="H1002" s="5">
        <v>375342</v>
      </c>
      <c r="I1002" s="5">
        <v>50275406.27</v>
      </c>
      <c r="J1002" s="6">
        <v>0.0569</v>
      </c>
      <c r="K1002" s="6">
        <v>-0.0664</v>
      </c>
    </row>
    <row r="1003" ht="14.5" spans="1:11">
      <c r="A1003" s="3" t="str">
        <f t="shared" si="60"/>
        <v>2026年</v>
      </c>
      <c r="B1003" s="3" t="str">
        <f t="shared" si="61"/>
        <v>1月</v>
      </c>
      <c r="C1003" s="4" t="str">
        <f t="shared" si="62"/>
        <v>W5</v>
      </c>
      <c r="D1003" s="2" t="s">
        <v>764</v>
      </c>
      <c r="E1003" s="2" t="s">
        <v>817</v>
      </c>
      <c r="F1003" s="2" t="str" cm="1">
        <f t="array" ref="F1003">INDEX(_xlfn.TEXTSPLIT(E1003,"-"),2)</f>
        <v>男装</v>
      </c>
      <c r="G1003" s="2" t="str" cm="1">
        <f t="array" ref="G1003">INDEX(_xlfn.TEXTSPLIT(E1003,"-"),3)</f>
        <v>棉裤</v>
      </c>
      <c r="H1003" s="5">
        <v>36662</v>
      </c>
      <c r="I1003" s="5">
        <v>2183089.61</v>
      </c>
      <c r="J1003" s="6">
        <v>0.0025</v>
      </c>
      <c r="K1003" s="6">
        <v>0.0148</v>
      </c>
    </row>
    <row r="1004" ht="14.5" spans="1:11">
      <c r="A1004" s="3" t="str">
        <f t="shared" si="60"/>
        <v>2026年</v>
      </c>
      <c r="B1004" s="3" t="str">
        <f t="shared" si="61"/>
        <v>1月</v>
      </c>
      <c r="C1004" s="4" t="str">
        <f t="shared" si="62"/>
        <v>W5</v>
      </c>
      <c r="D1004" s="2" t="s">
        <v>764</v>
      </c>
      <c r="E1004" s="2" t="s">
        <v>818</v>
      </c>
      <c r="F1004" s="2" t="str" cm="1">
        <f t="array" ref="F1004">INDEX(_xlfn.TEXTSPLIT(E1004,"-"),2)</f>
        <v>男装</v>
      </c>
      <c r="G1004" s="2" t="str" cm="1">
        <f t="array" ref="G1004">INDEX(_xlfn.TEXTSPLIT(E1004,"-"),3)</f>
        <v>毛呢大衣</v>
      </c>
      <c r="H1004" s="5">
        <v>52407</v>
      </c>
      <c r="I1004" s="5">
        <v>23609588.43</v>
      </c>
      <c r="J1004" s="6">
        <v>0.0267</v>
      </c>
      <c r="K1004" s="6">
        <v>-0.0032</v>
      </c>
    </row>
    <row r="1005" ht="14.5" spans="1:11">
      <c r="A1005" s="3" t="str">
        <f t="shared" si="60"/>
        <v>2026年</v>
      </c>
      <c r="B1005" s="3" t="str">
        <f t="shared" si="61"/>
        <v>1月</v>
      </c>
      <c r="C1005" s="4" t="str">
        <f t="shared" si="62"/>
        <v>W5</v>
      </c>
      <c r="D1005" s="2" t="s">
        <v>764</v>
      </c>
      <c r="E1005" s="2" t="s">
        <v>819</v>
      </c>
      <c r="F1005" s="2" t="str" cm="1">
        <f t="array" ref="F1005">INDEX(_xlfn.TEXTSPLIT(E1005,"-"),2)</f>
        <v>男装</v>
      </c>
      <c r="G1005" s="2" t="str" cm="1">
        <f t="array" ref="G1005">INDEX(_xlfn.TEXTSPLIT(E1005,"-"),3)</f>
        <v>民族服装</v>
      </c>
      <c r="H1005" s="5">
        <v>8026</v>
      </c>
      <c r="I1005" s="5">
        <v>1890830.1</v>
      </c>
      <c r="J1005" s="6">
        <v>0.0021</v>
      </c>
      <c r="K1005" s="6">
        <v>0.0996</v>
      </c>
    </row>
    <row r="1006" ht="14.5" spans="1:11">
      <c r="A1006" s="3" t="str">
        <f t="shared" si="60"/>
        <v>2026年</v>
      </c>
      <c r="B1006" s="3" t="str">
        <f t="shared" si="61"/>
        <v>1月</v>
      </c>
      <c r="C1006" s="4" t="str">
        <f t="shared" si="62"/>
        <v>W5</v>
      </c>
      <c r="D1006" s="2" t="s">
        <v>764</v>
      </c>
      <c r="E1006" s="2" t="s">
        <v>820</v>
      </c>
      <c r="F1006" s="2" t="str" cm="1">
        <f t="array" ref="F1006">INDEX(_xlfn.TEXTSPLIT(E1006,"-"),2)</f>
        <v>男装</v>
      </c>
      <c r="G1006" s="2" t="str" cm="1">
        <f t="array" ref="G1006">INDEX(_xlfn.TEXTSPLIT(E1006,"-"),3)</f>
        <v>派克服</v>
      </c>
      <c r="H1006" s="5">
        <v>9810</v>
      </c>
      <c r="I1006" s="5">
        <v>2221669.1</v>
      </c>
      <c r="J1006" s="6">
        <v>0.0025</v>
      </c>
      <c r="K1006" s="6">
        <v>-0.1243</v>
      </c>
    </row>
    <row r="1007" ht="14.5" spans="1:11">
      <c r="A1007" s="3" t="str">
        <f t="shared" si="60"/>
        <v>2026年</v>
      </c>
      <c r="B1007" s="3" t="str">
        <f t="shared" si="61"/>
        <v>1月</v>
      </c>
      <c r="C1007" s="4" t="str">
        <f t="shared" si="62"/>
        <v>W5</v>
      </c>
      <c r="D1007" s="2" t="s">
        <v>764</v>
      </c>
      <c r="E1007" s="2" t="s">
        <v>821</v>
      </c>
      <c r="F1007" s="2" t="str" cm="1">
        <f t="array" ref="F1007">INDEX(_xlfn.TEXTSPLIT(E1007,"-"),2)</f>
        <v>男装</v>
      </c>
      <c r="G1007" s="2" t="str" cm="1">
        <f t="array" ref="G1007">INDEX(_xlfn.TEXTSPLIT(E1007,"-"),3)</f>
        <v>牛仔裤</v>
      </c>
      <c r="H1007" s="5">
        <v>659592</v>
      </c>
      <c r="I1007" s="5">
        <v>75943088.08</v>
      </c>
      <c r="J1007" s="6">
        <v>0.086</v>
      </c>
      <c r="K1007" s="6">
        <v>-0.0405</v>
      </c>
    </row>
    <row r="1008" ht="14.5" spans="1:11">
      <c r="A1008" s="3" t="str">
        <f t="shared" si="60"/>
        <v>2026年</v>
      </c>
      <c r="B1008" s="3" t="str">
        <f t="shared" si="61"/>
        <v>1月</v>
      </c>
      <c r="C1008" s="4" t="str">
        <f t="shared" si="62"/>
        <v>W5</v>
      </c>
      <c r="D1008" s="2" t="s">
        <v>764</v>
      </c>
      <c r="E1008" s="2" t="s">
        <v>822</v>
      </c>
      <c r="F1008" s="2" t="str" cm="1">
        <f t="array" ref="F1008">INDEX(_xlfn.TEXTSPLIT(E1008,"-"),2)</f>
        <v>男装</v>
      </c>
      <c r="G1008" s="2" t="str" cm="1">
        <f t="array" ref="G1008">INDEX(_xlfn.TEXTSPLIT(E1008,"-"),3)</f>
        <v>皮草</v>
      </c>
      <c r="H1008" s="5">
        <v>6686</v>
      </c>
      <c r="I1008" s="5">
        <v>7620302.63</v>
      </c>
      <c r="J1008" s="6">
        <v>0.0086</v>
      </c>
      <c r="K1008" s="6">
        <v>0.1986</v>
      </c>
    </row>
    <row r="1009" ht="14.5" spans="1:11">
      <c r="A1009" s="3" t="str">
        <f t="shared" si="60"/>
        <v>2026年</v>
      </c>
      <c r="B1009" s="3" t="str">
        <f t="shared" si="61"/>
        <v>1月</v>
      </c>
      <c r="C1009" s="4" t="str">
        <f t="shared" si="62"/>
        <v>W5</v>
      </c>
      <c r="D1009" s="2" t="s">
        <v>764</v>
      </c>
      <c r="E1009" s="2" t="s">
        <v>823</v>
      </c>
      <c r="F1009" s="2" t="str" cm="1">
        <f t="array" ref="F1009">INDEX(_xlfn.TEXTSPLIT(E1009,"-"),2)</f>
        <v>男装</v>
      </c>
      <c r="G1009" s="2" t="str" cm="1">
        <f t="array" ref="G1009">INDEX(_xlfn.TEXTSPLIT(E1009,"-"),3)</f>
        <v>皮衣</v>
      </c>
      <c r="H1009" s="5">
        <v>62810</v>
      </c>
      <c r="I1009" s="5">
        <v>28983134.05</v>
      </c>
      <c r="J1009" s="6">
        <v>0.0328</v>
      </c>
      <c r="K1009" s="6">
        <v>0.0647</v>
      </c>
    </row>
    <row r="1010" ht="14.5" spans="1:11">
      <c r="A1010" s="3" t="str">
        <f t="shared" si="60"/>
        <v>2026年</v>
      </c>
      <c r="B1010" s="3" t="str">
        <f t="shared" si="61"/>
        <v>1月</v>
      </c>
      <c r="C1010" s="4" t="str">
        <f t="shared" si="62"/>
        <v>W5</v>
      </c>
      <c r="D1010" s="2" t="s">
        <v>764</v>
      </c>
      <c r="E1010" s="2" t="s">
        <v>824</v>
      </c>
      <c r="F1010" s="2" t="str" cm="1">
        <f t="array" ref="F1010">INDEX(_xlfn.TEXTSPLIT(E1010,"-"),2)</f>
        <v>男装</v>
      </c>
      <c r="G1010" s="2" t="str" cm="1">
        <f t="array" ref="G1010">INDEX(_xlfn.TEXTSPLIT(E1010,"-"),3)</f>
        <v>皮裤</v>
      </c>
      <c r="H1010" s="5">
        <v>1942</v>
      </c>
      <c r="I1010" s="5">
        <v>329221.1</v>
      </c>
      <c r="J1010" s="6">
        <v>0.0004</v>
      </c>
      <c r="K1010" s="6">
        <v>-0.0137</v>
      </c>
    </row>
    <row r="1011" ht="14.5" spans="1:11">
      <c r="A1011" s="3" t="str">
        <f t="shared" si="60"/>
        <v>2026年</v>
      </c>
      <c r="B1011" s="3" t="str">
        <f t="shared" si="61"/>
        <v>1月</v>
      </c>
      <c r="C1011" s="4" t="str">
        <f t="shared" si="62"/>
        <v>W5</v>
      </c>
      <c r="D1011" s="2" t="s">
        <v>764</v>
      </c>
      <c r="E1011" s="2" t="s">
        <v>825</v>
      </c>
      <c r="F1011" s="2" t="str" cm="1">
        <f t="array" ref="F1011">INDEX(_xlfn.TEXTSPLIT(E1011,"-"),2)</f>
        <v>男装</v>
      </c>
      <c r="G1011" s="2" t="str" cm="1">
        <f t="array" ref="G1011">INDEX(_xlfn.TEXTSPLIT(E1011,"-"),3)</f>
        <v>短外套</v>
      </c>
      <c r="H1011" s="5">
        <v>31197</v>
      </c>
      <c r="I1011" s="5">
        <v>3424535.74</v>
      </c>
      <c r="J1011" s="6">
        <v>0.0039</v>
      </c>
      <c r="K1011" s="6">
        <v>0.0161</v>
      </c>
    </row>
    <row r="1012" ht="14.5" spans="1:11">
      <c r="A1012" s="3" t="str">
        <f t="shared" si="60"/>
        <v>2026年</v>
      </c>
      <c r="B1012" s="3" t="str">
        <f t="shared" si="61"/>
        <v>1月</v>
      </c>
      <c r="C1012" s="4" t="str">
        <f t="shared" si="62"/>
        <v>W5</v>
      </c>
      <c r="D1012" s="2" t="s">
        <v>764</v>
      </c>
      <c r="E1012" s="2" t="s">
        <v>826</v>
      </c>
      <c r="F1012" s="2" t="str" cm="1">
        <f t="array" ref="F1012">INDEX(_xlfn.TEXTSPLIT(E1012,"-"),2)</f>
        <v>男装</v>
      </c>
      <c r="G1012" s="2" t="str" cm="1">
        <f t="array" ref="G1012">INDEX(_xlfn.TEXTSPLIT(E1012,"-"),3)</f>
        <v>短裤</v>
      </c>
      <c r="H1012" s="5">
        <v>47225</v>
      </c>
      <c r="I1012" s="5">
        <v>1839220.36</v>
      </c>
      <c r="J1012" s="6">
        <v>0.0021</v>
      </c>
      <c r="K1012" s="6">
        <v>-0.0181</v>
      </c>
    </row>
    <row r="1013" ht="14.5" spans="1:11">
      <c r="A1013" s="3" t="str">
        <f t="shared" si="60"/>
        <v>2026年</v>
      </c>
      <c r="B1013" s="3" t="str">
        <f t="shared" si="61"/>
        <v>1月</v>
      </c>
      <c r="C1013" s="4" t="str">
        <f t="shared" si="62"/>
        <v>W5</v>
      </c>
      <c r="D1013" s="2" t="s">
        <v>764</v>
      </c>
      <c r="E1013" s="2" t="s">
        <v>827</v>
      </c>
      <c r="F1013" s="2" t="str" cm="1">
        <f t="array" ref="F1013">INDEX(_xlfn.TEXTSPLIT(E1013,"-"),2)</f>
        <v>男装</v>
      </c>
      <c r="G1013" s="2" t="str" cm="1">
        <f t="array" ref="G1013">INDEX(_xlfn.TEXTSPLIT(E1013,"-"),3)</f>
        <v>紧身衣</v>
      </c>
      <c r="H1013" s="5">
        <v>38</v>
      </c>
      <c r="I1013" s="5">
        <v>1584.71</v>
      </c>
      <c r="J1013" s="2" t="s">
        <v>713</v>
      </c>
      <c r="K1013" s="6">
        <v>-0.5233</v>
      </c>
    </row>
    <row r="1014" ht="14.5" spans="1:11">
      <c r="A1014" s="3" t="str">
        <f t="shared" si="60"/>
        <v>2026年</v>
      </c>
      <c r="B1014" s="3" t="str">
        <f t="shared" si="61"/>
        <v>1月</v>
      </c>
      <c r="C1014" s="4" t="str">
        <f t="shared" si="62"/>
        <v>W5</v>
      </c>
      <c r="D1014" s="2" t="s">
        <v>764</v>
      </c>
      <c r="E1014" s="2" t="s">
        <v>828</v>
      </c>
      <c r="F1014" s="2" t="str" cm="1">
        <f t="array" ref="F1014">INDEX(_xlfn.TEXTSPLIT(E1014,"-"),2)</f>
        <v>男装</v>
      </c>
      <c r="G1014" s="2" t="str" cm="1">
        <f t="array" ref="G1014">INDEX(_xlfn.TEXTSPLIT(E1014,"-"),3)</f>
        <v>羊毛衫</v>
      </c>
      <c r="H1014" s="5">
        <v>117244</v>
      </c>
      <c r="I1014" s="5">
        <v>17546985.97</v>
      </c>
      <c r="J1014" s="6">
        <v>0.0199</v>
      </c>
      <c r="K1014" s="6">
        <v>-0.002</v>
      </c>
    </row>
    <row r="1015" ht="14.5" spans="1:11">
      <c r="A1015" s="3" t="str">
        <f t="shared" si="60"/>
        <v>2026年</v>
      </c>
      <c r="B1015" s="3" t="str">
        <f t="shared" si="61"/>
        <v>1月</v>
      </c>
      <c r="C1015" s="4" t="str">
        <f t="shared" si="62"/>
        <v>W5</v>
      </c>
      <c r="D1015" s="2" t="s">
        <v>764</v>
      </c>
      <c r="E1015" s="2" t="s">
        <v>829</v>
      </c>
      <c r="F1015" s="2" t="str" cm="1">
        <f t="array" ref="F1015">INDEX(_xlfn.TEXTSPLIT(E1015,"-"),2)</f>
        <v>男装</v>
      </c>
      <c r="G1015" s="2" t="str" cm="1">
        <f t="array" ref="G1015">INDEX(_xlfn.TEXTSPLIT(E1015,"-"),3)</f>
        <v>羊绒衫</v>
      </c>
      <c r="H1015" s="5">
        <v>26599</v>
      </c>
      <c r="I1015" s="5">
        <v>7157232.98</v>
      </c>
      <c r="J1015" s="6">
        <v>0.0081</v>
      </c>
      <c r="K1015" s="6">
        <v>0.0113</v>
      </c>
    </row>
    <row r="1016" ht="14.5" spans="1:11">
      <c r="A1016" s="3" t="str">
        <f t="shared" ref="A1016:A1047" si="63">TEXT(YEAR(D1016),"0")&amp;"年"</f>
        <v>2026年</v>
      </c>
      <c r="B1016" s="3" t="str">
        <f t="shared" ref="B1016:B1047" si="64">TEXT(MONTH(D1016),"0")&amp;"月"</f>
        <v>1月</v>
      </c>
      <c r="C1016" s="4" t="str">
        <f t="shared" ref="C1016:C1047" si="65">"W"&amp;TEXT(WEEKNUM(D1016,2),"0")</f>
        <v>W5</v>
      </c>
      <c r="D1016" s="2" t="s">
        <v>764</v>
      </c>
      <c r="E1016" s="2" t="s">
        <v>830</v>
      </c>
      <c r="F1016" s="2" t="str" cm="1">
        <f t="array" ref="F1016">INDEX(_xlfn.TEXTSPLIT(E1016,"-"),2)</f>
        <v>男装</v>
      </c>
      <c r="G1016" s="2" t="str" cm="1">
        <f t="array" ref="G1016">INDEX(_xlfn.TEXTSPLIT(E1016,"-"),3)</f>
        <v>羽绒服</v>
      </c>
      <c r="H1016" s="5">
        <v>671287</v>
      </c>
      <c r="I1016" s="5">
        <v>240829175.56</v>
      </c>
      <c r="J1016" s="6">
        <v>0.2726</v>
      </c>
      <c r="K1016" s="6">
        <v>-0.0539</v>
      </c>
    </row>
    <row r="1017" ht="14.5" spans="1:11">
      <c r="A1017" s="3" t="str">
        <f t="shared" si="63"/>
        <v>2026年</v>
      </c>
      <c r="B1017" s="3" t="str">
        <f t="shared" si="64"/>
        <v>1月</v>
      </c>
      <c r="C1017" s="4" t="str">
        <f t="shared" si="65"/>
        <v>W5</v>
      </c>
      <c r="D1017" s="2" t="s">
        <v>764</v>
      </c>
      <c r="E1017" s="2" t="s">
        <v>831</v>
      </c>
      <c r="F1017" s="2" t="str" cm="1">
        <f t="array" ref="F1017">INDEX(_xlfn.TEXTSPLIT(E1017,"-"),2)</f>
        <v>男装</v>
      </c>
      <c r="G1017" s="2" t="str" cm="1">
        <f t="array" ref="G1017">INDEX(_xlfn.TEXTSPLIT(E1017,"-"),3)</f>
        <v>羽绒裤</v>
      </c>
      <c r="H1017" s="5">
        <v>11760</v>
      </c>
      <c r="I1017" s="5">
        <v>1641519.31</v>
      </c>
      <c r="J1017" s="6">
        <v>0.0019</v>
      </c>
      <c r="K1017" s="6">
        <v>-0.0935</v>
      </c>
    </row>
    <row r="1018" ht="14.5" spans="1:11">
      <c r="A1018" s="3" t="str">
        <f t="shared" si="63"/>
        <v>2026年</v>
      </c>
      <c r="B1018" s="3" t="str">
        <f t="shared" si="64"/>
        <v>1月</v>
      </c>
      <c r="C1018" s="4" t="str">
        <f t="shared" si="65"/>
        <v>W5</v>
      </c>
      <c r="D1018" s="2" t="s">
        <v>764</v>
      </c>
      <c r="E1018" s="2" t="s">
        <v>832</v>
      </c>
      <c r="F1018" s="2" t="str" cm="1">
        <f t="array" ref="F1018">INDEX(_xlfn.TEXTSPLIT(E1018,"-"),2)</f>
        <v>男装</v>
      </c>
      <c r="G1018" s="2" t="str" cm="1">
        <f t="array" ref="G1018">INDEX(_xlfn.TEXTSPLIT(E1018,"-"),3)</f>
        <v>羽绒马甲</v>
      </c>
      <c r="H1018" s="5">
        <v>12202</v>
      </c>
      <c r="I1018" s="5">
        <v>2692816.16</v>
      </c>
      <c r="J1018" s="6">
        <v>0.003</v>
      </c>
      <c r="K1018" s="6">
        <v>-0.0239</v>
      </c>
    </row>
    <row r="1019" ht="14.5" spans="1:11">
      <c r="A1019" s="3" t="str">
        <f t="shared" si="63"/>
        <v>2026年</v>
      </c>
      <c r="B1019" s="3" t="str">
        <f t="shared" si="64"/>
        <v>1月</v>
      </c>
      <c r="C1019" s="4" t="str">
        <f t="shared" si="65"/>
        <v>W5</v>
      </c>
      <c r="D1019" s="2" t="s">
        <v>764</v>
      </c>
      <c r="E1019" s="2" t="s">
        <v>833</v>
      </c>
      <c r="F1019" s="2" t="str" cm="1">
        <f t="array" ref="F1019">INDEX(_xlfn.TEXTSPLIT(E1019,"-"),2)</f>
        <v>男装</v>
      </c>
      <c r="G1019" s="2" t="str" cm="1">
        <f t="array" ref="G1019">INDEX(_xlfn.TEXTSPLIT(E1019,"-"),3)</f>
        <v>背心</v>
      </c>
      <c r="H1019" s="5">
        <v>32970</v>
      </c>
      <c r="I1019" s="5">
        <v>2155817.09</v>
      </c>
      <c r="J1019" s="6">
        <v>0.0024</v>
      </c>
      <c r="K1019" s="6">
        <v>0.0056</v>
      </c>
    </row>
    <row r="1020" ht="14.5" spans="1:11">
      <c r="A1020" s="3" t="str">
        <f t="shared" si="63"/>
        <v>2026年</v>
      </c>
      <c r="B1020" s="3" t="str">
        <f t="shared" si="64"/>
        <v>1月</v>
      </c>
      <c r="C1020" s="4" t="str">
        <f t="shared" si="65"/>
        <v>W5</v>
      </c>
      <c r="D1020" s="2" t="s">
        <v>764</v>
      </c>
      <c r="E1020" s="2" t="s">
        <v>834</v>
      </c>
      <c r="F1020" s="2" t="str" cm="1">
        <f t="array" ref="F1020">INDEX(_xlfn.TEXTSPLIT(E1020,"-"),2)</f>
        <v>男装</v>
      </c>
      <c r="G1020" s="2" t="str" cm="1">
        <f t="array" ref="G1020">INDEX(_xlfn.TEXTSPLIT(E1020,"-"),3)</f>
        <v>衬衫</v>
      </c>
      <c r="H1020" s="5">
        <v>87930</v>
      </c>
      <c r="I1020" s="5">
        <v>11409219.25</v>
      </c>
      <c r="J1020" s="6">
        <v>0.0129</v>
      </c>
      <c r="K1020" s="6">
        <v>0.0038</v>
      </c>
    </row>
    <row r="1021" ht="14.5" spans="1:11">
      <c r="A1021" s="3" t="str">
        <f t="shared" si="63"/>
        <v>2026年</v>
      </c>
      <c r="B1021" s="3" t="str">
        <f t="shared" si="64"/>
        <v>1月</v>
      </c>
      <c r="C1021" s="4" t="str">
        <f t="shared" si="65"/>
        <v>W5</v>
      </c>
      <c r="D1021" s="2" t="s">
        <v>764</v>
      </c>
      <c r="E1021" s="2" t="s">
        <v>835</v>
      </c>
      <c r="F1021" s="2" t="str" cm="1">
        <f t="array" ref="F1021">INDEX(_xlfn.TEXTSPLIT(E1021,"-"),2)</f>
        <v>男装</v>
      </c>
      <c r="G1021" s="2" t="str" cm="1">
        <f t="array" ref="G1021">INDEX(_xlfn.TEXTSPLIT(E1021,"-"),3)</f>
        <v>西服</v>
      </c>
      <c r="H1021" s="5">
        <v>95684</v>
      </c>
      <c r="I1021" s="5">
        <v>20129979.81</v>
      </c>
      <c r="J1021" s="6">
        <v>0.0228</v>
      </c>
      <c r="K1021" s="6">
        <v>-0.0026</v>
      </c>
    </row>
    <row r="1022" ht="14.5" spans="1:11">
      <c r="A1022" s="3" t="str">
        <f t="shared" si="63"/>
        <v>2026年</v>
      </c>
      <c r="B1022" s="3" t="str">
        <f t="shared" si="64"/>
        <v>1月</v>
      </c>
      <c r="C1022" s="4" t="str">
        <f t="shared" si="65"/>
        <v>W5</v>
      </c>
      <c r="D1022" s="2" t="s">
        <v>764</v>
      </c>
      <c r="E1022" s="2" t="s">
        <v>836</v>
      </c>
      <c r="F1022" s="2" t="str" cm="1">
        <f t="array" ref="F1022">INDEX(_xlfn.TEXTSPLIT(E1022,"-"),2)</f>
        <v>男装</v>
      </c>
      <c r="G1022" s="2" t="str" cm="1">
        <f t="array" ref="G1022">INDEX(_xlfn.TEXTSPLIT(E1022,"-"),3)</f>
        <v>连体衣/裤</v>
      </c>
      <c r="H1022" s="5">
        <v>1947</v>
      </c>
      <c r="I1022" s="5">
        <v>45740.37</v>
      </c>
      <c r="J1022" s="6">
        <v>0.0001</v>
      </c>
      <c r="K1022" s="6">
        <v>0.0489</v>
      </c>
    </row>
    <row r="1023" ht="14.5" spans="1:11">
      <c r="A1023" s="3" t="str">
        <f t="shared" si="63"/>
        <v>2026年</v>
      </c>
      <c r="B1023" s="3" t="str">
        <f t="shared" si="64"/>
        <v>1月</v>
      </c>
      <c r="C1023" s="4" t="str">
        <f t="shared" si="65"/>
        <v>W5</v>
      </c>
      <c r="D1023" s="2" t="s">
        <v>764</v>
      </c>
      <c r="E1023" s="2" t="s">
        <v>837</v>
      </c>
      <c r="F1023" s="2" t="str" cm="1">
        <f t="array" ref="F1023">INDEX(_xlfn.TEXTSPLIT(E1023,"-"),2)</f>
        <v>男装</v>
      </c>
      <c r="G1023" s="2" t="str" cm="1">
        <f t="array" ref="G1023">INDEX(_xlfn.TEXTSPLIT(E1023,"-"),3)</f>
        <v>速干/三防T恤</v>
      </c>
      <c r="H1023" s="5">
        <v>867</v>
      </c>
      <c r="I1023" s="5">
        <v>69377.2</v>
      </c>
      <c r="J1023" s="6">
        <v>0.0001</v>
      </c>
      <c r="K1023" s="6">
        <v>-0.1233</v>
      </c>
    </row>
    <row r="1024" ht="14.5" spans="1:11">
      <c r="A1024" s="3" t="str">
        <f t="shared" si="63"/>
        <v>2026年</v>
      </c>
      <c r="B1024" s="3" t="str">
        <f t="shared" si="64"/>
        <v>1月</v>
      </c>
      <c r="C1024" s="4" t="str">
        <f t="shared" si="65"/>
        <v>W5</v>
      </c>
      <c r="D1024" s="2" t="s">
        <v>764</v>
      </c>
      <c r="E1024" s="2" t="s">
        <v>838</v>
      </c>
      <c r="F1024" s="2" t="str" cm="1">
        <f t="array" ref="F1024">INDEX(_xlfn.TEXTSPLIT(E1024,"-"),2)</f>
        <v>男装</v>
      </c>
      <c r="G1024" s="2" t="str" cm="1">
        <f t="array" ref="G1024">INDEX(_xlfn.TEXTSPLIT(E1024,"-"),3)</f>
        <v>针织衫/毛衣</v>
      </c>
      <c r="H1024" s="5">
        <v>420712</v>
      </c>
      <c r="I1024" s="5">
        <v>49809469.31</v>
      </c>
      <c r="J1024" s="6">
        <v>0.0564</v>
      </c>
      <c r="K1024" s="6">
        <v>-0.0214</v>
      </c>
    </row>
    <row r="1025" ht="14.5" spans="1:11">
      <c r="A1025" s="3" t="str">
        <f t="shared" si="63"/>
        <v>2026年</v>
      </c>
      <c r="B1025" s="3" t="str">
        <f t="shared" si="64"/>
        <v>1月</v>
      </c>
      <c r="C1025" s="4" t="str">
        <f t="shared" si="65"/>
        <v>W5</v>
      </c>
      <c r="D1025" s="2" t="s">
        <v>764</v>
      </c>
      <c r="E1025" s="2" t="s">
        <v>839</v>
      </c>
      <c r="F1025" s="2" t="str" cm="1">
        <f t="array" ref="F1025">INDEX(_xlfn.TEXTSPLIT(E1025,"-"),2)</f>
        <v>男装</v>
      </c>
      <c r="G1025" s="2" t="str" cm="1">
        <f t="array" ref="G1025">INDEX(_xlfn.TEXTSPLIT(E1025,"-"),3)</f>
        <v>防晒服</v>
      </c>
      <c r="H1025" s="5">
        <v>228</v>
      </c>
      <c r="I1025" s="5">
        <v>20121.51</v>
      </c>
      <c r="J1025" s="2" t="s">
        <v>713</v>
      </c>
      <c r="K1025" s="6">
        <v>0.0745</v>
      </c>
    </row>
    <row r="1026" ht="14.5" spans="1:11">
      <c r="A1026" s="3" t="str">
        <f t="shared" si="63"/>
        <v>2026年</v>
      </c>
      <c r="B1026" s="3" t="str">
        <f t="shared" si="64"/>
        <v>1月</v>
      </c>
      <c r="C1026" s="4" t="str">
        <f t="shared" si="65"/>
        <v>W5</v>
      </c>
      <c r="D1026" s="2" t="s">
        <v>764</v>
      </c>
      <c r="E1026" s="2" t="s">
        <v>840</v>
      </c>
      <c r="F1026" s="2" t="str" cm="1">
        <f t="array" ref="F1026">INDEX(_xlfn.TEXTSPLIT(E1026,"-"),2)</f>
        <v>男装</v>
      </c>
      <c r="G1026" s="2" t="str" cm="1">
        <f t="array" ref="G1026">INDEX(_xlfn.TEXTSPLIT(E1026,"-"),3)</f>
        <v>风衣</v>
      </c>
      <c r="H1026" s="5">
        <v>5819</v>
      </c>
      <c r="I1026" s="5">
        <v>2053097.72</v>
      </c>
      <c r="J1026" s="6">
        <v>0.0023</v>
      </c>
      <c r="K1026" s="6">
        <v>-0.1089</v>
      </c>
    </row>
    <row r="1027" ht="14.5" spans="1:11">
      <c r="A1027" s="3" t="str">
        <f t="shared" si="63"/>
        <v>2026年</v>
      </c>
      <c r="B1027" s="3" t="str">
        <f t="shared" si="64"/>
        <v>1月</v>
      </c>
      <c r="C1027" s="4" t="str">
        <f t="shared" si="65"/>
        <v>W5</v>
      </c>
      <c r="D1027" s="2" t="s">
        <v>764</v>
      </c>
      <c r="E1027" s="2" t="s">
        <v>841</v>
      </c>
      <c r="F1027" s="2" t="str" cm="1">
        <f t="array" ref="F1027">INDEX(_xlfn.TEXTSPLIT(E1027,"-"),2)</f>
        <v>男装</v>
      </c>
      <c r="G1027" s="2" t="str" cm="1">
        <f t="array" ref="G1027">INDEX(_xlfn.TEXTSPLIT(E1027,"-"),3)</f>
        <v>马甲</v>
      </c>
      <c r="H1027" s="5">
        <v>43985</v>
      </c>
      <c r="I1027" s="5">
        <v>4841254.45</v>
      </c>
      <c r="J1027" s="6">
        <v>0.0055</v>
      </c>
      <c r="K1027" s="6">
        <v>0.0825</v>
      </c>
    </row>
    <row r="1028" ht="14.5" spans="1:11">
      <c r="A1028" s="3" t="str">
        <f t="shared" si="63"/>
        <v>2026年</v>
      </c>
      <c r="B1028" s="3" t="str">
        <f t="shared" si="64"/>
        <v>1月</v>
      </c>
      <c r="C1028" s="4" t="str">
        <f t="shared" si="65"/>
        <v>W5</v>
      </c>
      <c r="D1028" s="2" t="s">
        <v>765</v>
      </c>
      <c r="E1028" s="2" t="s">
        <v>804</v>
      </c>
      <c r="F1028" s="2" t="str" cm="1">
        <f t="array" ref="F1028">INDEX(_xlfn.TEXTSPLIT(E1028,"-"),2)</f>
        <v>男装</v>
      </c>
      <c r="G1028" s="2" t="str" cm="1">
        <f t="array" ref="G1028">INDEX(_xlfn.TEXTSPLIT(E1028,"-"),3)</f>
        <v>Polo衫</v>
      </c>
      <c r="H1028" s="5">
        <v>44347</v>
      </c>
      <c r="I1028" s="5">
        <v>4040368.86</v>
      </c>
      <c r="J1028" s="6">
        <v>0.0053</v>
      </c>
      <c r="K1028" s="6">
        <v>-0.0292</v>
      </c>
    </row>
    <row r="1029" ht="14.5" spans="1:11">
      <c r="A1029" s="3" t="str">
        <f t="shared" si="63"/>
        <v>2026年</v>
      </c>
      <c r="B1029" s="3" t="str">
        <f t="shared" si="64"/>
        <v>1月</v>
      </c>
      <c r="C1029" s="4" t="str">
        <f t="shared" si="65"/>
        <v>W5</v>
      </c>
      <c r="D1029" s="2" t="s">
        <v>765</v>
      </c>
      <c r="E1029" s="2" t="s">
        <v>805</v>
      </c>
      <c r="F1029" s="2" t="str" cm="1">
        <f t="array" ref="F1029">INDEX(_xlfn.TEXTSPLIT(E1029,"-"),2)</f>
        <v>男装</v>
      </c>
      <c r="G1029" s="2" t="str" cm="1">
        <f t="array" ref="G1029">INDEX(_xlfn.TEXTSPLIT(E1029,"-"),3)</f>
        <v>T恤</v>
      </c>
      <c r="H1029" s="5">
        <v>343220</v>
      </c>
      <c r="I1029" s="5">
        <v>27873863.96</v>
      </c>
      <c r="J1029" s="6">
        <v>0.0365</v>
      </c>
      <c r="K1029" s="6">
        <v>-0.1229</v>
      </c>
    </row>
    <row r="1030" ht="14.5" spans="1:11">
      <c r="A1030" s="3" t="str">
        <f t="shared" si="63"/>
        <v>2026年</v>
      </c>
      <c r="B1030" s="3" t="str">
        <f t="shared" si="64"/>
        <v>1月</v>
      </c>
      <c r="C1030" s="4" t="str">
        <f t="shared" si="65"/>
        <v>W5</v>
      </c>
      <c r="D1030" s="2" t="s">
        <v>765</v>
      </c>
      <c r="E1030" s="2" t="s">
        <v>806</v>
      </c>
      <c r="F1030" s="2" t="str" cm="1">
        <f t="array" ref="F1030">INDEX(_xlfn.TEXTSPLIT(E1030,"-"),2)</f>
        <v>男装</v>
      </c>
      <c r="G1030" s="2" t="str" cm="1">
        <f t="array" ref="G1030">INDEX(_xlfn.TEXTSPLIT(E1030,"-"),3)</f>
        <v>中老年男装</v>
      </c>
      <c r="H1030" s="5">
        <v>116344</v>
      </c>
      <c r="I1030" s="5">
        <v>16741673.16</v>
      </c>
      <c r="J1030" s="6">
        <v>0.0219</v>
      </c>
      <c r="K1030" s="6">
        <v>0.0603</v>
      </c>
    </row>
    <row r="1031" ht="14.5" spans="1:11">
      <c r="A1031" s="3" t="str">
        <f t="shared" si="63"/>
        <v>2026年</v>
      </c>
      <c r="B1031" s="3" t="str">
        <f t="shared" si="64"/>
        <v>1月</v>
      </c>
      <c r="C1031" s="4" t="str">
        <f t="shared" si="65"/>
        <v>W5</v>
      </c>
      <c r="D1031" s="2" t="s">
        <v>765</v>
      </c>
      <c r="E1031" s="2" t="s">
        <v>807</v>
      </c>
      <c r="F1031" s="2" t="str" cm="1">
        <f t="array" ref="F1031">INDEX(_xlfn.TEXTSPLIT(E1031,"-"),2)</f>
        <v>男装</v>
      </c>
      <c r="G1031" s="2" t="str" cm="1">
        <f t="array" ref="G1031">INDEX(_xlfn.TEXTSPLIT(E1031,"-"),3)</f>
        <v>休闲裤</v>
      </c>
      <c r="H1031" s="5">
        <v>783573</v>
      </c>
      <c r="I1031" s="5">
        <v>85901590.65</v>
      </c>
      <c r="J1031" s="6">
        <v>0.1126</v>
      </c>
      <c r="K1031" s="6">
        <v>-0.1436</v>
      </c>
    </row>
    <row r="1032" ht="14.5" spans="1:11">
      <c r="A1032" s="3" t="str">
        <f t="shared" si="63"/>
        <v>2026年</v>
      </c>
      <c r="B1032" s="3" t="str">
        <f t="shared" si="64"/>
        <v>1月</v>
      </c>
      <c r="C1032" s="4" t="str">
        <f t="shared" si="65"/>
        <v>W5</v>
      </c>
      <c r="D1032" s="2" t="s">
        <v>765</v>
      </c>
      <c r="E1032" s="2" t="s">
        <v>808</v>
      </c>
      <c r="F1032" s="2" t="str" cm="1">
        <f t="array" ref="F1032">INDEX(_xlfn.TEXTSPLIT(E1032,"-"),2)</f>
        <v>男装</v>
      </c>
      <c r="G1032" s="2" t="str" cm="1">
        <f t="array" ref="G1032">INDEX(_xlfn.TEXTSPLIT(E1032,"-"),3)</f>
        <v>卫衣</v>
      </c>
      <c r="H1032" s="5">
        <v>516922</v>
      </c>
      <c r="I1032" s="5">
        <v>45042409.72</v>
      </c>
      <c r="J1032" s="6">
        <v>0.059</v>
      </c>
      <c r="K1032" s="6">
        <v>-0.1556</v>
      </c>
    </row>
    <row r="1033" ht="14.5" spans="1:11">
      <c r="A1033" s="3" t="str">
        <f t="shared" si="63"/>
        <v>2026年</v>
      </c>
      <c r="B1033" s="3" t="str">
        <f t="shared" si="64"/>
        <v>1月</v>
      </c>
      <c r="C1033" s="4" t="str">
        <f t="shared" si="65"/>
        <v>W5</v>
      </c>
      <c r="D1033" s="2" t="s">
        <v>765</v>
      </c>
      <c r="E1033" s="2" t="s">
        <v>809</v>
      </c>
      <c r="F1033" s="2" t="str" cm="1">
        <f t="array" ref="F1033">INDEX(_xlfn.TEXTSPLIT(E1033,"-"),2)</f>
        <v>男装</v>
      </c>
      <c r="G1033" s="2" t="str" cm="1">
        <f t="array" ref="G1033">INDEX(_xlfn.TEXTSPLIT(E1033,"-"),3)</f>
        <v>卫裤</v>
      </c>
      <c r="H1033" s="5">
        <v>172814</v>
      </c>
      <c r="I1033" s="5">
        <v>17457807.62</v>
      </c>
      <c r="J1033" s="6">
        <v>0.0229</v>
      </c>
      <c r="K1033" s="6">
        <v>-0.0526</v>
      </c>
    </row>
    <row r="1034" ht="14.5" spans="1:11">
      <c r="A1034" s="3" t="str">
        <f t="shared" si="63"/>
        <v>2026年</v>
      </c>
      <c r="B1034" s="3" t="str">
        <f t="shared" si="64"/>
        <v>1月</v>
      </c>
      <c r="C1034" s="4" t="str">
        <f t="shared" si="65"/>
        <v>W5</v>
      </c>
      <c r="D1034" s="2" t="s">
        <v>765</v>
      </c>
      <c r="E1034" s="2" t="s">
        <v>810</v>
      </c>
      <c r="F1034" s="2" t="str" cm="1">
        <f t="array" ref="F1034">INDEX(_xlfn.TEXTSPLIT(E1034,"-"),2)</f>
        <v>男装</v>
      </c>
      <c r="G1034" s="2" t="str" cm="1">
        <f t="array" ref="G1034">INDEX(_xlfn.TEXTSPLIT(E1034,"-"),3)</f>
        <v>大码男装</v>
      </c>
      <c r="H1034" s="5">
        <v>47116</v>
      </c>
      <c r="I1034" s="5">
        <v>3979877.71</v>
      </c>
      <c r="J1034" s="6">
        <v>0.0052</v>
      </c>
      <c r="K1034" s="6">
        <v>-0.0743</v>
      </c>
    </row>
    <row r="1035" ht="14.5" spans="1:11">
      <c r="A1035" s="3" t="str">
        <f t="shared" si="63"/>
        <v>2026年</v>
      </c>
      <c r="B1035" s="3" t="str">
        <f t="shared" si="64"/>
        <v>1月</v>
      </c>
      <c r="C1035" s="4" t="str">
        <f t="shared" si="65"/>
        <v>W5</v>
      </c>
      <c r="D1035" s="2" t="s">
        <v>765</v>
      </c>
      <c r="E1035" s="2" t="s">
        <v>811</v>
      </c>
      <c r="F1035" s="2" t="str" cm="1">
        <f t="array" ref="F1035">INDEX(_xlfn.TEXTSPLIT(E1035,"-"),2)</f>
        <v>男装</v>
      </c>
      <c r="G1035" s="2" t="str" cm="1">
        <f t="array" ref="G1035">INDEX(_xlfn.TEXTSPLIT(E1035,"-"),3)</f>
        <v>夹克</v>
      </c>
      <c r="H1035" s="5">
        <v>421767</v>
      </c>
      <c r="I1035" s="5">
        <v>77362988.38</v>
      </c>
      <c r="J1035" s="6">
        <v>0.1014</v>
      </c>
      <c r="K1035" s="6">
        <v>-0.1162</v>
      </c>
    </row>
    <row r="1036" ht="14.5" spans="1:11">
      <c r="A1036" s="3" t="str">
        <f t="shared" si="63"/>
        <v>2026年</v>
      </c>
      <c r="B1036" s="3" t="str">
        <f t="shared" si="64"/>
        <v>1月</v>
      </c>
      <c r="C1036" s="4" t="str">
        <f t="shared" si="65"/>
        <v>W5</v>
      </c>
      <c r="D1036" s="2" t="s">
        <v>765</v>
      </c>
      <c r="E1036" s="2" t="s">
        <v>812</v>
      </c>
      <c r="F1036" s="2" t="str" cm="1">
        <f t="array" ref="F1036">INDEX(_xlfn.TEXTSPLIT(E1036,"-"),2)</f>
        <v>男装</v>
      </c>
      <c r="G1036" s="2" t="str" cm="1">
        <f t="array" ref="G1036">INDEX(_xlfn.TEXTSPLIT(E1036,"-"),3)</f>
        <v>套装</v>
      </c>
      <c r="H1036" s="5">
        <v>42689</v>
      </c>
      <c r="I1036" s="5">
        <v>7192211.45</v>
      </c>
      <c r="J1036" s="6">
        <v>0.0094</v>
      </c>
      <c r="K1036" s="6">
        <v>-0.0324</v>
      </c>
    </row>
    <row r="1037" ht="14.5" spans="1:11">
      <c r="A1037" s="3" t="str">
        <f t="shared" si="63"/>
        <v>2026年</v>
      </c>
      <c r="B1037" s="3" t="str">
        <f t="shared" si="64"/>
        <v>1月</v>
      </c>
      <c r="C1037" s="4" t="str">
        <f t="shared" si="65"/>
        <v>W5</v>
      </c>
      <c r="D1037" s="2" t="s">
        <v>765</v>
      </c>
      <c r="E1037" s="2" t="s">
        <v>813</v>
      </c>
      <c r="F1037" s="2" t="str" cm="1">
        <f t="array" ref="F1037">INDEX(_xlfn.TEXTSPLIT(E1037,"-"),2)</f>
        <v>男装</v>
      </c>
      <c r="G1037" s="2" t="str" cm="1">
        <f t="array" ref="G1037">INDEX(_xlfn.TEXTSPLIT(E1037,"-"),3)</f>
        <v>学生校服</v>
      </c>
      <c r="H1037" s="5">
        <v>14</v>
      </c>
      <c r="I1037" s="5">
        <v>626.3</v>
      </c>
      <c r="J1037" s="2" t="s">
        <v>713</v>
      </c>
      <c r="K1037" s="6">
        <v>-0.9038</v>
      </c>
    </row>
    <row r="1038" ht="14.5" spans="1:11">
      <c r="A1038" s="3" t="str">
        <f t="shared" si="63"/>
        <v>2026年</v>
      </c>
      <c r="B1038" s="3" t="str">
        <f t="shared" si="64"/>
        <v>1月</v>
      </c>
      <c r="C1038" s="4" t="str">
        <f t="shared" si="65"/>
        <v>W5</v>
      </c>
      <c r="D1038" s="2" t="s">
        <v>765</v>
      </c>
      <c r="E1038" s="2" t="s">
        <v>814</v>
      </c>
      <c r="F1038" s="2" t="str" cm="1">
        <f t="array" ref="F1038">INDEX(_xlfn.TEXTSPLIT(E1038,"-"),2)</f>
        <v>男装</v>
      </c>
      <c r="G1038" s="2" t="str" cm="1">
        <f t="array" ref="G1038">INDEX(_xlfn.TEXTSPLIT(E1038,"-"),3)</f>
        <v>打底衫</v>
      </c>
      <c r="H1038" s="5">
        <v>17643</v>
      </c>
      <c r="I1038" s="5">
        <v>1373577.77</v>
      </c>
      <c r="J1038" s="6">
        <v>0.0018</v>
      </c>
      <c r="K1038" s="6">
        <v>-0.074</v>
      </c>
    </row>
    <row r="1039" ht="14.5" spans="1:11">
      <c r="A1039" s="3" t="str">
        <f t="shared" si="63"/>
        <v>2026年</v>
      </c>
      <c r="B1039" s="3" t="str">
        <f t="shared" si="64"/>
        <v>1月</v>
      </c>
      <c r="C1039" s="4" t="str">
        <f t="shared" si="65"/>
        <v>W5</v>
      </c>
      <c r="D1039" s="2" t="s">
        <v>765</v>
      </c>
      <c r="E1039" s="2" t="s">
        <v>815</v>
      </c>
      <c r="F1039" s="2" t="str" cm="1">
        <f t="array" ref="F1039">INDEX(_xlfn.TEXTSPLIT(E1039,"-"),2)</f>
        <v>男装</v>
      </c>
      <c r="G1039" s="2" t="str" cm="1">
        <f t="array" ref="G1039">INDEX(_xlfn.TEXTSPLIT(E1039,"-"),3)</f>
        <v>新中式男装</v>
      </c>
      <c r="H1039" s="5">
        <v>370</v>
      </c>
      <c r="I1039" s="5">
        <v>68683.16</v>
      </c>
      <c r="J1039" s="6">
        <v>0.0001</v>
      </c>
      <c r="K1039" s="6">
        <v>-0.6693</v>
      </c>
    </row>
    <row r="1040" ht="14.5" spans="1:11">
      <c r="A1040" s="3" t="str">
        <f t="shared" si="63"/>
        <v>2026年</v>
      </c>
      <c r="B1040" s="3" t="str">
        <f t="shared" si="64"/>
        <v>1月</v>
      </c>
      <c r="C1040" s="4" t="str">
        <f t="shared" si="65"/>
        <v>W5</v>
      </c>
      <c r="D1040" s="2" t="s">
        <v>765</v>
      </c>
      <c r="E1040" s="2" t="s">
        <v>816</v>
      </c>
      <c r="F1040" s="2" t="str" cm="1">
        <f t="array" ref="F1040">INDEX(_xlfn.TEXTSPLIT(E1040,"-"),2)</f>
        <v>男装</v>
      </c>
      <c r="G1040" s="2" t="str" cm="1">
        <f t="array" ref="G1040">INDEX(_xlfn.TEXTSPLIT(E1040,"-"),3)</f>
        <v>棉衣</v>
      </c>
      <c r="H1040" s="5">
        <v>305204</v>
      </c>
      <c r="I1040" s="5">
        <v>41094632.94</v>
      </c>
      <c r="J1040" s="6">
        <v>0.0538</v>
      </c>
      <c r="K1040" s="6">
        <v>-0.1826</v>
      </c>
    </row>
    <row r="1041" ht="14.5" spans="1:11">
      <c r="A1041" s="3" t="str">
        <f t="shared" si="63"/>
        <v>2026年</v>
      </c>
      <c r="B1041" s="3" t="str">
        <f t="shared" si="64"/>
        <v>1月</v>
      </c>
      <c r="C1041" s="4" t="str">
        <f t="shared" si="65"/>
        <v>W5</v>
      </c>
      <c r="D1041" s="2" t="s">
        <v>765</v>
      </c>
      <c r="E1041" s="2" t="s">
        <v>817</v>
      </c>
      <c r="F1041" s="2" t="str" cm="1">
        <f t="array" ref="F1041">INDEX(_xlfn.TEXTSPLIT(E1041,"-"),2)</f>
        <v>男装</v>
      </c>
      <c r="G1041" s="2" t="str" cm="1">
        <f t="array" ref="G1041">INDEX(_xlfn.TEXTSPLIT(E1041,"-"),3)</f>
        <v>棉裤</v>
      </c>
      <c r="H1041" s="5">
        <v>24021</v>
      </c>
      <c r="I1041" s="5">
        <v>1555912.08</v>
      </c>
      <c r="J1041" s="6">
        <v>0.002</v>
      </c>
      <c r="K1041" s="6">
        <v>-0.2873</v>
      </c>
    </row>
    <row r="1042" ht="14.5" spans="1:11">
      <c r="A1042" s="3" t="str">
        <f t="shared" si="63"/>
        <v>2026年</v>
      </c>
      <c r="B1042" s="3" t="str">
        <f t="shared" si="64"/>
        <v>1月</v>
      </c>
      <c r="C1042" s="4" t="str">
        <f t="shared" si="65"/>
        <v>W5</v>
      </c>
      <c r="D1042" s="2" t="s">
        <v>765</v>
      </c>
      <c r="E1042" s="2" t="s">
        <v>818</v>
      </c>
      <c r="F1042" s="2" t="str" cm="1">
        <f t="array" ref="F1042">INDEX(_xlfn.TEXTSPLIT(E1042,"-"),2)</f>
        <v>男装</v>
      </c>
      <c r="G1042" s="2" t="str" cm="1">
        <f t="array" ref="G1042">INDEX(_xlfn.TEXTSPLIT(E1042,"-"),3)</f>
        <v>毛呢大衣</v>
      </c>
      <c r="H1042" s="5">
        <v>52254</v>
      </c>
      <c r="I1042" s="5">
        <v>22654926.59</v>
      </c>
      <c r="J1042" s="6">
        <v>0.0297</v>
      </c>
      <c r="K1042" s="6">
        <v>-0.0404</v>
      </c>
    </row>
    <row r="1043" ht="14.5" spans="1:11">
      <c r="A1043" s="3" t="str">
        <f t="shared" si="63"/>
        <v>2026年</v>
      </c>
      <c r="B1043" s="3" t="str">
        <f t="shared" si="64"/>
        <v>1月</v>
      </c>
      <c r="C1043" s="4" t="str">
        <f t="shared" si="65"/>
        <v>W5</v>
      </c>
      <c r="D1043" s="2" t="s">
        <v>765</v>
      </c>
      <c r="E1043" s="2" t="s">
        <v>819</v>
      </c>
      <c r="F1043" s="2" t="str" cm="1">
        <f t="array" ref="F1043">INDEX(_xlfn.TEXTSPLIT(E1043,"-"),2)</f>
        <v>男装</v>
      </c>
      <c r="G1043" s="2" t="str" cm="1">
        <f t="array" ref="G1043">INDEX(_xlfn.TEXTSPLIT(E1043,"-"),3)</f>
        <v>民族服装</v>
      </c>
      <c r="H1043" s="5">
        <v>7718</v>
      </c>
      <c r="I1043" s="5">
        <v>1801778.43</v>
      </c>
      <c r="J1043" s="6">
        <v>0.0024</v>
      </c>
      <c r="K1043" s="6">
        <v>-0.0471</v>
      </c>
    </row>
    <row r="1044" ht="14.5" spans="1:11">
      <c r="A1044" s="3" t="str">
        <f t="shared" si="63"/>
        <v>2026年</v>
      </c>
      <c r="B1044" s="3" t="str">
        <f t="shared" si="64"/>
        <v>1月</v>
      </c>
      <c r="C1044" s="4" t="str">
        <f t="shared" si="65"/>
        <v>W5</v>
      </c>
      <c r="D1044" s="2" t="s">
        <v>765</v>
      </c>
      <c r="E1044" s="2" t="s">
        <v>820</v>
      </c>
      <c r="F1044" s="2" t="str" cm="1">
        <f t="array" ref="F1044">INDEX(_xlfn.TEXTSPLIT(E1044,"-"),2)</f>
        <v>男装</v>
      </c>
      <c r="G1044" s="2" t="str" cm="1">
        <f t="array" ref="G1044">INDEX(_xlfn.TEXTSPLIT(E1044,"-"),3)</f>
        <v>派克服</v>
      </c>
      <c r="H1044" s="5">
        <v>9349</v>
      </c>
      <c r="I1044" s="5">
        <v>2168178.04</v>
      </c>
      <c r="J1044" s="6">
        <v>0.0028</v>
      </c>
      <c r="K1044" s="6">
        <v>-0.0241</v>
      </c>
    </row>
    <row r="1045" ht="14.5" spans="1:11">
      <c r="A1045" s="3" t="str">
        <f t="shared" si="63"/>
        <v>2026年</v>
      </c>
      <c r="B1045" s="3" t="str">
        <f t="shared" si="64"/>
        <v>1月</v>
      </c>
      <c r="C1045" s="4" t="str">
        <f t="shared" si="65"/>
        <v>W5</v>
      </c>
      <c r="D1045" s="2" t="s">
        <v>765</v>
      </c>
      <c r="E1045" s="2" t="s">
        <v>821</v>
      </c>
      <c r="F1045" s="2" t="str" cm="1">
        <f t="array" ref="F1045">INDEX(_xlfn.TEXTSPLIT(E1045,"-"),2)</f>
        <v>男装</v>
      </c>
      <c r="G1045" s="2" t="str" cm="1">
        <f t="array" ref="G1045">INDEX(_xlfn.TEXTSPLIT(E1045,"-"),3)</f>
        <v>牛仔裤</v>
      </c>
      <c r="H1045" s="5">
        <v>579658</v>
      </c>
      <c r="I1045" s="5">
        <v>66362456.05</v>
      </c>
      <c r="J1045" s="6">
        <v>0.0869</v>
      </c>
      <c r="K1045" s="6">
        <v>-0.1262</v>
      </c>
    </row>
    <row r="1046" ht="14.5" spans="1:11">
      <c r="A1046" s="3" t="str">
        <f t="shared" si="63"/>
        <v>2026年</v>
      </c>
      <c r="B1046" s="3" t="str">
        <f t="shared" si="64"/>
        <v>1月</v>
      </c>
      <c r="C1046" s="4" t="str">
        <f t="shared" si="65"/>
        <v>W5</v>
      </c>
      <c r="D1046" s="2" t="s">
        <v>765</v>
      </c>
      <c r="E1046" s="2" t="s">
        <v>822</v>
      </c>
      <c r="F1046" s="2" t="str" cm="1">
        <f t="array" ref="F1046">INDEX(_xlfn.TEXTSPLIT(E1046,"-"),2)</f>
        <v>男装</v>
      </c>
      <c r="G1046" s="2" t="str" cm="1">
        <f t="array" ref="G1046">INDEX(_xlfn.TEXTSPLIT(E1046,"-"),3)</f>
        <v>皮草</v>
      </c>
      <c r="H1046" s="5">
        <v>6144</v>
      </c>
      <c r="I1046" s="5">
        <v>6120760.24</v>
      </c>
      <c r="J1046" s="6">
        <v>0.008</v>
      </c>
      <c r="K1046" s="6">
        <v>-0.1968</v>
      </c>
    </row>
    <row r="1047" ht="14.5" spans="1:11">
      <c r="A1047" s="3" t="str">
        <f t="shared" si="63"/>
        <v>2026年</v>
      </c>
      <c r="B1047" s="3" t="str">
        <f t="shared" si="64"/>
        <v>1月</v>
      </c>
      <c r="C1047" s="4" t="str">
        <f t="shared" si="65"/>
        <v>W5</v>
      </c>
      <c r="D1047" s="2" t="s">
        <v>765</v>
      </c>
      <c r="E1047" s="2" t="s">
        <v>823</v>
      </c>
      <c r="F1047" s="2" t="str" cm="1">
        <f t="array" ref="F1047">INDEX(_xlfn.TEXTSPLIT(E1047,"-"),2)</f>
        <v>男装</v>
      </c>
      <c r="G1047" s="2" t="str" cm="1">
        <f t="array" ref="G1047">INDEX(_xlfn.TEXTSPLIT(E1047,"-"),3)</f>
        <v>皮衣</v>
      </c>
      <c r="H1047" s="5">
        <v>59021</v>
      </c>
      <c r="I1047" s="5">
        <v>25624018.61</v>
      </c>
      <c r="J1047" s="6">
        <v>0.0336</v>
      </c>
      <c r="K1047" s="6">
        <v>-0.1159</v>
      </c>
    </row>
    <row r="1048" ht="14.5" spans="1:11">
      <c r="A1048" s="3" t="str">
        <f t="shared" ref="A1048:A1079" si="66">TEXT(YEAR(D1048),"0")&amp;"年"</f>
        <v>2026年</v>
      </c>
      <c r="B1048" s="3" t="str">
        <f t="shared" ref="B1048:B1079" si="67">TEXT(MONTH(D1048),"0")&amp;"月"</f>
        <v>1月</v>
      </c>
      <c r="C1048" s="4" t="str">
        <f t="shared" ref="C1048:C1079" si="68">"W"&amp;TEXT(WEEKNUM(D1048,2),"0")</f>
        <v>W5</v>
      </c>
      <c r="D1048" s="2" t="s">
        <v>765</v>
      </c>
      <c r="E1048" s="2" t="s">
        <v>824</v>
      </c>
      <c r="F1048" s="2" t="str" cm="1">
        <f t="array" ref="F1048">INDEX(_xlfn.TEXTSPLIT(E1048,"-"),2)</f>
        <v>男装</v>
      </c>
      <c r="G1048" s="2" t="str" cm="1">
        <f t="array" ref="G1048">INDEX(_xlfn.TEXTSPLIT(E1048,"-"),3)</f>
        <v>皮裤</v>
      </c>
      <c r="H1048" s="5">
        <v>1689</v>
      </c>
      <c r="I1048" s="5">
        <v>319116.95</v>
      </c>
      <c r="J1048" s="6">
        <v>0.0004</v>
      </c>
      <c r="K1048" s="6">
        <v>-0.0307</v>
      </c>
    </row>
    <row r="1049" ht="14.5" spans="1:11">
      <c r="A1049" s="3" t="str">
        <f t="shared" si="66"/>
        <v>2026年</v>
      </c>
      <c r="B1049" s="3" t="str">
        <f t="shared" si="67"/>
        <v>1月</v>
      </c>
      <c r="C1049" s="4" t="str">
        <f t="shared" si="68"/>
        <v>W5</v>
      </c>
      <c r="D1049" s="2" t="s">
        <v>765</v>
      </c>
      <c r="E1049" s="2" t="s">
        <v>825</v>
      </c>
      <c r="F1049" s="2" t="str" cm="1">
        <f t="array" ref="F1049">INDEX(_xlfn.TEXTSPLIT(E1049,"-"),2)</f>
        <v>男装</v>
      </c>
      <c r="G1049" s="2" t="str" cm="1">
        <f t="array" ref="G1049">INDEX(_xlfn.TEXTSPLIT(E1049,"-"),3)</f>
        <v>短外套</v>
      </c>
      <c r="H1049" s="5">
        <v>22080</v>
      </c>
      <c r="I1049" s="5">
        <v>3110810.37</v>
      </c>
      <c r="J1049" s="6">
        <v>0.0041</v>
      </c>
      <c r="K1049" s="6">
        <v>-0.0916</v>
      </c>
    </row>
    <row r="1050" ht="14.5" spans="1:11">
      <c r="A1050" s="3" t="str">
        <f t="shared" si="66"/>
        <v>2026年</v>
      </c>
      <c r="B1050" s="3" t="str">
        <f t="shared" si="67"/>
        <v>1月</v>
      </c>
      <c r="C1050" s="4" t="str">
        <f t="shared" si="68"/>
        <v>W5</v>
      </c>
      <c r="D1050" s="2" t="s">
        <v>765</v>
      </c>
      <c r="E1050" s="2" t="s">
        <v>826</v>
      </c>
      <c r="F1050" s="2" t="str" cm="1">
        <f t="array" ref="F1050">INDEX(_xlfn.TEXTSPLIT(E1050,"-"),2)</f>
        <v>男装</v>
      </c>
      <c r="G1050" s="2" t="str" cm="1">
        <f t="array" ref="G1050">INDEX(_xlfn.TEXTSPLIT(E1050,"-"),3)</f>
        <v>短裤</v>
      </c>
      <c r="H1050" s="5">
        <v>45887</v>
      </c>
      <c r="I1050" s="5">
        <v>1740492.61</v>
      </c>
      <c r="J1050" s="6">
        <v>0.0023</v>
      </c>
      <c r="K1050" s="6">
        <v>-0.0537</v>
      </c>
    </row>
    <row r="1051" ht="14.5" spans="1:11">
      <c r="A1051" s="3" t="str">
        <f t="shared" si="66"/>
        <v>2026年</v>
      </c>
      <c r="B1051" s="3" t="str">
        <f t="shared" si="67"/>
        <v>1月</v>
      </c>
      <c r="C1051" s="4" t="str">
        <f t="shared" si="68"/>
        <v>W5</v>
      </c>
      <c r="D1051" s="2" t="s">
        <v>765</v>
      </c>
      <c r="E1051" s="2" t="s">
        <v>827</v>
      </c>
      <c r="F1051" s="2" t="str" cm="1">
        <f t="array" ref="F1051">INDEX(_xlfn.TEXTSPLIT(E1051,"-"),2)</f>
        <v>男装</v>
      </c>
      <c r="G1051" s="2" t="str" cm="1">
        <f t="array" ref="G1051">INDEX(_xlfn.TEXTSPLIT(E1051,"-"),3)</f>
        <v>紧身衣</v>
      </c>
      <c r="H1051" s="5">
        <v>52</v>
      </c>
      <c r="I1051" s="5">
        <v>2074.42</v>
      </c>
      <c r="J1051" s="2" t="s">
        <v>713</v>
      </c>
      <c r="K1051" s="6">
        <v>0.309</v>
      </c>
    </row>
    <row r="1052" ht="14.5" spans="1:11">
      <c r="A1052" s="3" t="str">
        <f t="shared" si="66"/>
        <v>2026年</v>
      </c>
      <c r="B1052" s="3" t="str">
        <f t="shared" si="67"/>
        <v>1月</v>
      </c>
      <c r="C1052" s="4" t="str">
        <f t="shared" si="68"/>
        <v>W5</v>
      </c>
      <c r="D1052" s="2" t="s">
        <v>765</v>
      </c>
      <c r="E1052" s="2" t="s">
        <v>828</v>
      </c>
      <c r="F1052" s="2" t="str" cm="1">
        <f t="array" ref="F1052">INDEX(_xlfn.TEXTSPLIT(E1052,"-"),2)</f>
        <v>男装</v>
      </c>
      <c r="G1052" s="2" t="str" cm="1">
        <f t="array" ref="G1052">INDEX(_xlfn.TEXTSPLIT(E1052,"-"),3)</f>
        <v>羊毛衫</v>
      </c>
      <c r="H1052" s="5">
        <v>100846</v>
      </c>
      <c r="I1052" s="5">
        <v>15250149.4</v>
      </c>
      <c r="J1052" s="7">
        <v>0.02</v>
      </c>
      <c r="K1052" s="6">
        <v>-0.1309</v>
      </c>
    </row>
    <row r="1053" ht="14.5" spans="1:11">
      <c r="A1053" s="3" t="str">
        <f t="shared" si="66"/>
        <v>2026年</v>
      </c>
      <c r="B1053" s="3" t="str">
        <f t="shared" si="67"/>
        <v>1月</v>
      </c>
      <c r="C1053" s="4" t="str">
        <f t="shared" si="68"/>
        <v>W5</v>
      </c>
      <c r="D1053" s="2" t="s">
        <v>765</v>
      </c>
      <c r="E1053" s="2" t="s">
        <v>829</v>
      </c>
      <c r="F1053" s="2" t="str" cm="1">
        <f t="array" ref="F1053">INDEX(_xlfn.TEXTSPLIT(E1053,"-"),2)</f>
        <v>男装</v>
      </c>
      <c r="G1053" s="2" t="str" cm="1">
        <f t="array" ref="G1053">INDEX(_xlfn.TEXTSPLIT(E1053,"-"),3)</f>
        <v>羊绒衫</v>
      </c>
      <c r="H1053" s="5">
        <v>21624</v>
      </c>
      <c r="I1053" s="5">
        <v>6254753.69</v>
      </c>
      <c r="J1053" s="6">
        <v>0.0082</v>
      </c>
      <c r="K1053" s="6">
        <v>-0.1261</v>
      </c>
    </row>
    <row r="1054" ht="14.5" spans="1:11">
      <c r="A1054" s="3" t="str">
        <f t="shared" si="66"/>
        <v>2026年</v>
      </c>
      <c r="B1054" s="3" t="str">
        <f t="shared" si="67"/>
        <v>1月</v>
      </c>
      <c r="C1054" s="4" t="str">
        <f t="shared" si="68"/>
        <v>W5</v>
      </c>
      <c r="D1054" s="2" t="s">
        <v>765</v>
      </c>
      <c r="E1054" s="2" t="s">
        <v>830</v>
      </c>
      <c r="F1054" s="2" t="str" cm="1">
        <f t="array" ref="F1054">INDEX(_xlfn.TEXTSPLIT(E1054,"-"),2)</f>
        <v>男装</v>
      </c>
      <c r="G1054" s="2" t="str" cm="1">
        <f t="array" ref="G1054">INDEX(_xlfn.TEXTSPLIT(E1054,"-"),3)</f>
        <v>羽绒服</v>
      </c>
      <c r="H1054" s="5">
        <v>543913</v>
      </c>
      <c r="I1054" s="5">
        <v>200276038.09</v>
      </c>
      <c r="J1054" s="6">
        <v>0.2624</v>
      </c>
      <c r="K1054" s="6">
        <v>-0.1684</v>
      </c>
    </row>
    <row r="1055" ht="14.5" spans="1:11">
      <c r="A1055" s="3" t="str">
        <f t="shared" si="66"/>
        <v>2026年</v>
      </c>
      <c r="B1055" s="3" t="str">
        <f t="shared" si="67"/>
        <v>1月</v>
      </c>
      <c r="C1055" s="4" t="str">
        <f t="shared" si="68"/>
        <v>W5</v>
      </c>
      <c r="D1055" s="2" t="s">
        <v>765</v>
      </c>
      <c r="E1055" s="2" t="s">
        <v>831</v>
      </c>
      <c r="F1055" s="2" t="str" cm="1">
        <f t="array" ref="F1055">INDEX(_xlfn.TEXTSPLIT(E1055,"-"),2)</f>
        <v>男装</v>
      </c>
      <c r="G1055" s="2" t="str" cm="1">
        <f t="array" ref="G1055">INDEX(_xlfn.TEXTSPLIT(E1055,"-"),3)</f>
        <v>羽绒裤</v>
      </c>
      <c r="H1055" s="5">
        <v>9191</v>
      </c>
      <c r="I1055" s="5">
        <v>1301206.16</v>
      </c>
      <c r="J1055" s="6">
        <v>0.0017</v>
      </c>
      <c r="K1055" s="6">
        <v>-0.2073</v>
      </c>
    </row>
    <row r="1056" ht="14.5" spans="1:11">
      <c r="A1056" s="3" t="str">
        <f t="shared" si="66"/>
        <v>2026年</v>
      </c>
      <c r="B1056" s="3" t="str">
        <f t="shared" si="67"/>
        <v>1月</v>
      </c>
      <c r="C1056" s="4" t="str">
        <f t="shared" si="68"/>
        <v>W5</v>
      </c>
      <c r="D1056" s="2" t="s">
        <v>765</v>
      </c>
      <c r="E1056" s="2" t="s">
        <v>832</v>
      </c>
      <c r="F1056" s="2" t="str" cm="1">
        <f t="array" ref="F1056">INDEX(_xlfn.TEXTSPLIT(E1056,"-"),2)</f>
        <v>男装</v>
      </c>
      <c r="G1056" s="2" t="str" cm="1">
        <f t="array" ref="G1056">INDEX(_xlfn.TEXTSPLIT(E1056,"-"),3)</f>
        <v>羽绒马甲</v>
      </c>
      <c r="H1056" s="5">
        <v>10373</v>
      </c>
      <c r="I1056" s="5">
        <v>2267802.3</v>
      </c>
      <c r="J1056" s="6">
        <v>0.003</v>
      </c>
      <c r="K1056" s="6">
        <v>-0.1578</v>
      </c>
    </row>
    <row r="1057" ht="14.5" spans="1:11">
      <c r="A1057" s="3" t="str">
        <f t="shared" si="66"/>
        <v>2026年</v>
      </c>
      <c r="B1057" s="3" t="str">
        <f t="shared" si="67"/>
        <v>1月</v>
      </c>
      <c r="C1057" s="4" t="str">
        <f t="shared" si="68"/>
        <v>W5</v>
      </c>
      <c r="D1057" s="2" t="s">
        <v>765</v>
      </c>
      <c r="E1057" s="2" t="s">
        <v>833</v>
      </c>
      <c r="F1057" s="2" t="str" cm="1">
        <f t="array" ref="F1057">INDEX(_xlfn.TEXTSPLIT(E1057,"-"),2)</f>
        <v>男装</v>
      </c>
      <c r="G1057" s="2" t="str" cm="1">
        <f t="array" ref="G1057">INDEX(_xlfn.TEXTSPLIT(E1057,"-"),3)</f>
        <v>背心</v>
      </c>
      <c r="H1057" s="5">
        <v>30314</v>
      </c>
      <c r="I1057" s="5">
        <v>2005526.61</v>
      </c>
      <c r="J1057" s="6">
        <v>0.0026</v>
      </c>
      <c r="K1057" s="6">
        <v>-0.0697</v>
      </c>
    </row>
    <row r="1058" ht="14.5" spans="1:11">
      <c r="A1058" s="3" t="str">
        <f t="shared" si="66"/>
        <v>2026年</v>
      </c>
      <c r="B1058" s="3" t="str">
        <f t="shared" si="67"/>
        <v>1月</v>
      </c>
      <c r="C1058" s="4" t="str">
        <f t="shared" si="68"/>
        <v>W5</v>
      </c>
      <c r="D1058" s="2" t="s">
        <v>765</v>
      </c>
      <c r="E1058" s="2" t="s">
        <v>834</v>
      </c>
      <c r="F1058" s="2" t="str" cm="1">
        <f t="array" ref="F1058">INDEX(_xlfn.TEXTSPLIT(E1058,"-"),2)</f>
        <v>男装</v>
      </c>
      <c r="G1058" s="2" t="str" cm="1">
        <f t="array" ref="G1058">INDEX(_xlfn.TEXTSPLIT(E1058,"-"),3)</f>
        <v>衬衫</v>
      </c>
      <c r="H1058" s="5">
        <v>82617</v>
      </c>
      <c r="I1058" s="5">
        <v>10628209.06</v>
      </c>
      <c r="J1058" s="6">
        <v>0.0139</v>
      </c>
      <c r="K1058" s="6">
        <v>-0.0685</v>
      </c>
    </row>
    <row r="1059" ht="14.5" spans="1:11">
      <c r="A1059" s="3" t="str">
        <f t="shared" si="66"/>
        <v>2026年</v>
      </c>
      <c r="B1059" s="3" t="str">
        <f t="shared" si="67"/>
        <v>1月</v>
      </c>
      <c r="C1059" s="4" t="str">
        <f t="shared" si="68"/>
        <v>W5</v>
      </c>
      <c r="D1059" s="2" t="s">
        <v>765</v>
      </c>
      <c r="E1059" s="2" t="s">
        <v>835</v>
      </c>
      <c r="F1059" s="2" t="str" cm="1">
        <f t="array" ref="F1059">INDEX(_xlfn.TEXTSPLIT(E1059,"-"),2)</f>
        <v>男装</v>
      </c>
      <c r="G1059" s="2" t="str" cm="1">
        <f t="array" ref="G1059">INDEX(_xlfn.TEXTSPLIT(E1059,"-"),3)</f>
        <v>西服</v>
      </c>
      <c r="H1059" s="5">
        <v>87709</v>
      </c>
      <c r="I1059" s="5">
        <v>17460508.79</v>
      </c>
      <c r="J1059" s="6">
        <v>0.0229</v>
      </c>
      <c r="K1059" s="6">
        <v>-0.1326</v>
      </c>
    </row>
    <row r="1060" ht="14.5" spans="1:11">
      <c r="A1060" s="3" t="str">
        <f t="shared" si="66"/>
        <v>2026年</v>
      </c>
      <c r="B1060" s="3" t="str">
        <f t="shared" si="67"/>
        <v>1月</v>
      </c>
      <c r="C1060" s="4" t="str">
        <f t="shared" si="68"/>
        <v>W5</v>
      </c>
      <c r="D1060" s="2" t="s">
        <v>765</v>
      </c>
      <c r="E1060" s="2" t="s">
        <v>836</v>
      </c>
      <c r="F1060" s="2" t="str" cm="1">
        <f t="array" ref="F1060">INDEX(_xlfn.TEXTSPLIT(E1060,"-"),2)</f>
        <v>男装</v>
      </c>
      <c r="G1060" s="2" t="str" cm="1">
        <f t="array" ref="G1060">INDEX(_xlfn.TEXTSPLIT(E1060,"-"),3)</f>
        <v>连体衣/裤</v>
      </c>
      <c r="H1060" s="5">
        <v>1120</v>
      </c>
      <c r="I1060" s="5">
        <v>33094.03</v>
      </c>
      <c r="J1060" s="2" t="s">
        <v>713</v>
      </c>
      <c r="K1060" s="6">
        <v>-0.2765</v>
      </c>
    </row>
    <row r="1061" ht="14.5" spans="1:11">
      <c r="A1061" s="3" t="str">
        <f t="shared" si="66"/>
        <v>2026年</v>
      </c>
      <c r="B1061" s="3" t="str">
        <f t="shared" si="67"/>
        <v>1月</v>
      </c>
      <c r="C1061" s="4" t="str">
        <f t="shared" si="68"/>
        <v>W5</v>
      </c>
      <c r="D1061" s="2" t="s">
        <v>765</v>
      </c>
      <c r="E1061" s="2" t="s">
        <v>837</v>
      </c>
      <c r="F1061" s="2" t="str" cm="1">
        <f t="array" ref="F1061">INDEX(_xlfn.TEXTSPLIT(E1061,"-"),2)</f>
        <v>男装</v>
      </c>
      <c r="G1061" s="2" t="str" cm="1">
        <f t="array" ref="G1061">INDEX(_xlfn.TEXTSPLIT(E1061,"-"),3)</f>
        <v>速干/三防T恤</v>
      </c>
      <c r="H1061" s="5">
        <v>741</v>
      </c>
      <c r="I1061" s="5">
        <v>68804.87</v>
      </c>
      <c r="J1061" s="6">
        <v>0.0001</v>
      </c>
      <c r="K1061" s="6">
        <v>-0.0082</v>
      </c>
    </row>
    <row r="1062" ht="14.5" spans="1:11">
      <c r="A1062" s="3" t="str">
        <f t="shared" si="66"/>
        <v>2026年</v>
      </c>
      <c r="B1062" s="3" t="str">
        <f t="shared" si="67"/>
        <v>1月</v>
      </c>
      <c r="C1062" s="4" t="str">
        <f t="shared" si="68"/>
        <v>W5</v>
      </c>
      <c r="D1062" s="2" t="s">
        <v>765</v>
      </c>
      <c r="E1062" s="2" t="s">
        <v>838</v>
      </c>
      <c r="F1062" s="2" t="str" cm="1">
        <f t="array" ref="F1062">INDEX(_xlfn.TEXTSPLIT(E1062,"-"),2)</f>
        <v>男装</v>
      </c>
      <c r="G1062" s="2" t="str" cm="1">
        <f t="array" ref="G1062">INDEX(_xlfn.TEXTSPLIT(E1062,"-"),3)</f>
        <v>针织衫/毛衣</v>
      </c>
      <c r="H1062" s="5">
        <v>359466</v>
      </c>
      <c r="I1062" s="5">
        <v>42222951.68</v>
      </c>
      <c r="J1062" s="6">
        <v>0.0553</v>
      </c>
      <c r="K1062" s="6">
        <v>-0.1523</v>
      </c>
    </row>
    <row r="1063" ht="14.5" spans="1:11">
      <c r="A1063" s="3" t="str">
        <f t="shared" si="66"/>
        <v>2026年</v>
      </c>
      <c r="B1063" s="3" t="str">
        <f t="shared" si="67"/>
        <v>1月</v>
      </c>
      <c r="C1063" s="4" t="str">
        <f t="shared" si="68"/>
        <v>W5</v>
      </c>
      <c r="D1063" s="2" t="s">
        <v>765</v>
      </c>
      <c r="E1063" s="2" t="s">
        <v>839</v>
      </c>
      <c r="F1063" s="2" t="str" cm="1">
        <f t="array" ref="F1063">INDEX(_xlfn.TEXTSPLIT(E1063,"-"),2)</f>
        <v>男装</v>
      </c>
      <c r="G1063" s="2" t="str" cm="1">
        <f t="array" ref="G1063">INDEX(_xlfn.TEXTSPLIT(E1063,"-"),3)</f>
        <v>防晒服</v>
      </c>
      <c r="H1063" s="5">
        <v>208</v>
      </c>
      <c r="I1063" s="5">
        <v>16449.52</v>
      </c>
      <c r="J1063" s="2" t="s">
        <v>713</v>
      </c>
      <c r="K1063" s="6">
        <v>-0.1825</v>
      </c>
    </row>
    <row r="1064" ht="14.5" spans="1:11">
      <c r="A1064" s="3" t="str">
        <f t="shared" si="66"/>
        <v>2026年</v>
      </c>
      <c r="B1064" s="3" t="str">
        <f t="shared" si="67"/>
        <v>1月</v>
      </c>
      <c r="C1064" s="4" t="str">
        <f t="shared" si="68"/>
        <v>W5</v>
      </c>
      <c r="D1064" s="2" t="s">
        <v>765</v>
      </c>
      <c r="E1064" s="2" t="s">
        <v>840</v>
      </c>
      <c r="F1064" s="2" t="str" cm="1">
        <f t="array" ref="F1064">INDEX(_xlfn.TEXTSPLIT(E1064,"-"),2)</f>
        <v>男装</v>
      </c>
      <c r="G1064" s="2" t="str" cm="1">
        <f t="array" ref="G1064">INDEX(_xlfn.TEXTSPLIT(E1064,"-"),3)</f>
        <v>风衣</v>
      </c>
      <c r="H1064" s="5">
        <v>5303</v>
      </c>
      <c r="I1064" s="5">
        <v>1866884.8</v>
      </c>
      <c r="J1064" s="6">
        <v>0.0024</v>
      </c>
      <c r="K1064" s="6">
        <v>-0.0907</v>
      </c>
    </row>
    <row r="1065" ht="14.5" spans="1:11">
      <c r="A1065" s="3" t="str">
        <f t="shared" si="66"/>
        <v>2026年</v>
      </c>
      <c r="B1065" s="3" t="str">
        <f t="shared" si="67"/>
        <v>1月</v>
      </c>
      <c r="C1065" s="4" t="str">
        <f t="shared" si="68"/>
        <v>W5</v>
      </c>
      <c r="D1065" s="2" t="s">
        <v>765</v>
      </c>
      <c r="E1065" s="2" t="s">
        <v>841</v>
      </c>
      <c r="F1065" s="2" t="str" cm="1">
        <f t="array" ref="F1065">INDEX(_xlfn.TEXTSPLIT(E1065,"-"),2)</f>
        <v>男装</v>
      </c>
      <c r="G1065" s="2" t="str" cm="1">
        <f t="array" ref="G1065">INDEX(_xlfn.TEXTSPLIT(E1065,"-"),3)</f>
        <v>马甲</v>
      </c>
      <c r="H1065" s="5">
        <v>36856</v>
      </c>
      <c r="I1065" s="5">
        <v>3986061.1</v>
      </c>
      <c r="J1065" s="6">
        <v>0.0052</v>
      </c>
      <c r="K1065" s="6">
        <v>-0.1766</v>
      </c>
    </row>
    <row r="1066" ht="14.5" spans="1:11">
      <c r="A1066" s="3" t="str">
        <f t="shared" si="66"/>
        <v>2026年</v>
      </c>
      <c r="B1066" s="3" t="str">
        <f t="shared" si="67"/>
        <v>1月</v>
      </c>
      <c r="C1066" s="4" t="str">
        <f t="shared" si="68"/>
        <v>W5</v>
      </c>
      <c r="D1066" s="2" t="s">
        <v>766</v>
      </c>
      <c r="E1066" s="2" t="s">
        <v>804</v>
      </c>
      <c r="F1066" s="2" t="str" cm="1">
        <f t="array" ref="F1066">INDEX(_xlfn.TEXTSPLIT(E1066,"-"),2)</f>
        <v>男装</v>
      </c>
      <c r="G1066" s="2" t="str" cm="1">
        <f t="array" ref="G1066">INDEX(_xlfn.TEXTSPLIT(E1066,"-"),3)</f>
        <v>Polo衫</v>
      </c>
      <c r="H1066" s="5">
        <v>47763</v>
      </c>
      <c r="I1066" s="5">
        <v>4856010.41</v>
      </c>
      <c r="J1066" s="6">
        <v>0.0065</v>
      </c>
      <c r="K1066" s="6">
        <v>0.2019</v>
      </c>
    </row>
    <row r="1067" ht="14.5" spans="1:11">
      <c r="A1067" s="3" t="str">
        <f t="shared" si="66"/>
        <v>2026年</v>
      </c>
      <c r="B1067" s="3" t="str">
        <f t="shared" si="67"/>
        <v>1月</v>
      </c>
      <c r="C1067" s="4" t="str">
        <f t="shared" si="68"/>
        <v>W5</v>
      </c>
      <c r="D1067" s="2" t="s">
        <v>766</v>
      </c>
      <c r="E1067" s="2" t="s">
        <v>805</v>
      </c>
      <c r="F1067" s="2" t="str" cm="1">
        <f t="array" ref="F1067">INDEX(_xlfn.TEXTSPLIT(E1067,"-"),2)</f>
        <v>男装</v>
      </c>
      <c r="G1067" s="2" t="str" cm="1">
        <f t="array" ref="G1067">INDEX(_xlfn.TEXTSPLIT(E1067,"-"),3)</f>
        <v>T恤</v>
      </c>
      <c r="H1067" s="5">
        <v>356116</v>
      </c>
      <c r="I1067" s="5">
        <v>27838108.02</v>
      </c>
      <c r="J1067" s="6">
        <v>0.0371</v>
      </c>
      <c r="K1067" s="6">
        <v>-0.0013</v>
      </c>
    </row>
    <row r="1068" ht="14.5" spans="1:11">
      <c r="A1068" s="3" t="str">
        <f t="shared" si="66"/>
        <v>2026年</v>
      </c>
      <c r="B1068" s="3" t="str">
        <f t="shared" si="67"/>
        <v>1月</v>
      </c>
      <c r="C1068" s="4" t="str">
        <f t="shared" si="68"/>
        <v>W5</v>
      </c>
      <c r="D1068" s="2" t="s">
        <v>766</v>
      </c>
      <c r="E1068" s="2" t="s">
        <v>806</v>
      </c>
      <c r="F1068" s="2" t="str" cm="1">
        <f t="array" ref="F1068">INDEX(_xlfn.TEXTSPLIT(E1068,"-"),2)</f>
        <v>男装</v>
      </c>
      <c r="G1068" s="2" t="str" cm="1">
        <f t="array" ref="G1068">INDEX(_xlfn.TEXTSPLIT(E1068,"-"),3)</f>
        <v>中老年男装</v>
      </c>
      <c r="H1068" s="5">
        <v>102072</v>
      </c>
      <c r="I1068" s="5">
        <v>14958800.15</v>
      </c>
      <c r="J1068" s="6">
        <v>0.0199</v>
      </c>
      <c r="K1068" s="6">
        <v>-0.1065</v>
      </c>
    </row>
    <row r="1069" ht="14.5" spans="1:11">
      <c r="A1069" s="3" t="str">
        <f t="shared" si="66"/>
        <v>2026年</v>
      </c>
      <c r="B1069" s="3" t="str">
        <f t="shared" si="67"/>
        <v>1月</v>
      </c>
      <c r="C1069" s="4" t="str">
        <f t="shared" si="68"/>
        <v>W5</v>
      </c>
      <c r="D1069" s="2" t="s">
        <v>766</v>
      </c>
      <c r="E1069" s="2" t="s">
        <v>807</v>
      </c>
      <c r="F1069" s="2" t="str" cm="1">
        <f t="array" ref="F1069">INDEX(_xlfn.TEXTSPLIT(E1069,"-"),2)</f>
        <v>男装</v>
      </c>
      <c r="G1069" s="2" t="str" cm="1">
        <f t="array" ref="G1069">INDEX(_xlfn.TEXTSPLIT(E1069,"-"),3)</f>
        <v>休闲裤</v>
      </c>
      <c r="H1069" s="5">
        <v>790805</v>
      </c>
      <c r="I1069" s="5">
        <v>84645389.38</v>
      </c>
      <c r="J1069" s="6">
        <v>0.1128</v>
      </c>
      <c r="K1069" s="6">
        <v>-0.0146</v>
      </c>
    </row>
    <row r="1070" ht="14.5" spans="1:11">
      <c r="A1070" s="3" t="str">
        <f t="shared" si="66"/>
        <v>2026年</v>
      </c>
      <c r="B1070" s="3" t="str">
        <f t="shared" si="67"/>
        <v>1月</v>
      </c>
      <c r="C1070" s="4" t="str">
        <f t="shared" si="68"/>
        <v>W5</v>
      </c>
      <c r="D1070" s="2" t="s">
        <v>766</v>
      </c>
      <c r="E1070" s="2" t="s">
        <v>808</v>
      </c>
      <c r="F1070" s="2" t="str" cm="1">
        <f t="array" ref="F1070">INDEX(_xlfn.TEXTSPLIT(E1070,"-"),2)</f>
        <v>男装</v>
      </c>
      <c r="G1070" s="2" t="str" cm="1">
        <f t="array" ref="G1070">INDEX(_xlfn.TEXTSPLIT(E1070,"-"),3)</f>
        <v>卫衣</v>
      </c>
      <c r="H1070" s="5">
        <v>512009</v>
      </c>
      <c r="I1070" s="5">
        <v>43555251.8</v>
      </c>
      <c r="J1070" s="6">
        <v>0.0581</v>
      </c>
      <c r="K1070" s="6">
        <v>-0.033</v>
      </c>
    </row>
    <row r="1071" ht="14.5" spans="1:11">
      <c r="A1071" s="3" t="str">
        <f t="shared" si="66"/>
        <v>2026年</v>
      </c>
      <c r="B1071" s="3" t="str">
        <f t="shared" si="67"/>
        <v>1月</v>
      </c>
      <c r="C1071" s="4" t="str">
        <f t="shared" si="68"/>
        <v>W5</v>
      </c>
      <c r="D1071" s="2" t="s">
        <v>766</v>
      </c>
      <c r="E1071" s="2" t="s">
        <v>809</v>
      </c>
      <c r="F1071" s="2" t="str" cm="1">
        <f t="array" ref="F1071">INDEX(_xlfn.TEXTSPLIT(E1071,"-"),2)</f>
        <v>男装</v>
      </c>
      <c r="G1071" s="2" t="str" cm="1">
        <f t="array" ref="G1071">INDEX(_xlfn.TEXTSPLIT(E1071,"-"),3)</f>
        <v>卫裤</v>
      </c>
      <c r="H1071" s="5">
        <v>167234</v>
      </c>
      <c r="I1071" s="5">
        <v>16471524.57</v>
      </c>
      <c r="J1071" s="6">
        <v>0.022</v>
      </c>
      <c r="K1071" s="6">
        <v>-0.0565</v>
      </c>
    </row>
    <row r="1072" ht="14.5" spans="1:11">
      <c r="A1072" s="3" t="str">
        <f t="shared" si="66"/>
        <v>2026年</v>
      </c>
      <c r="B1072" s="3" t="str">
        <f t="shared" si="67"/>
        <v>1月</v>
      </c>
      <c r="C1072" s="4" t="str">
        <f t="shared" si="68"/>
        <v>W5</v>
      </c>
      <c r="D1072" s="2" t="s">
        <v>766</v>
      </c>
      <c r="E1072" s="2" t="s">
        <v>810</v>
      </c>
      <c r="F1072" s="2" t="str" cm="1">
        <f t="array" ref="F1072">INDEX(_xlfn.TEXTSPLIT(E1072,"-"),2)</f>
        <v>男装</v>
      </c>
      <c r="G1072" s="2" t="str" cm="1">
        <f t="array" ref="G1072">INDEX(_xlfn.TEXTSPLIT(E1072,"-"),3)</f>
        <v>大码男装</v>
      </c>
      <c r="H1072" s="5">
        <v>48302</v>
      </c>
      <c r="I1072" s="5">
        <v>3825406.81</v>
      </c>
      <c r="J1072" s="6">
        <v>0.0051</v>
      </c>
      <c r="K1072" s="6">
        <v>-0.0388</v>
      </c>
    </row>
    <row r="1073" ht="14.5" spans="1:11">
      <c r="A1073" s="3" t="str">
        <f t="shared" si="66"/>
        <v>2026年</v>
      </c>
      <c r="B1073" s="3" t="str">
        <f t="shared" si="67"/>
        <v>1月</v>
      </c>
      <c r="C1073" s="4" t="str">
        <f t="shared" si="68"/>
        <v>W5</v>
      </c>
      <c r="D1073" s="2" t="s">
        <v>766</v>
      </c>
      <c r="E1073" s="2" t="s">
        <v>811</v>
      </c>
      <c r="F1073" s="2" t="str" cm="1">
        <f t="array" ref="F1073">INDEX(_xlfn.TEXTSPLIT(E1073,"-"),2)</f>
        <v>男装</v>
      </c>
      <c r="G1073" s="2" t="str" cm="1">
        <f t="array" ref="G1073">INDEX(_xlfn.TEXTSPLIT(E1073,"-"),3)</f>
        <v>夹克</v>
      </c>
      <c r="H1073" s="5">
        <v>411616</v>
      </c>
      <c r="I1073" s="5">
        <v>73502560.31</v>
      </c>
      <c r="J1073" s="6">
        <v>0.098</v>
      </c>
      <c r="K1073" s="6">
        <v>-0.0499</v>
      </c>
    </row>
    <row r="1074" ht="14.5" spans="1:11">
      <c r="A1074" s="3" t="str">
        <f t="shared" si="66"/>
        <v>2026年</v>
      </c>
      <c r="B1074" s="3" t="str">
        <f t="shared" si="67"/>
        <v>1月</v>
      </c>
      <c r="C1074" s="4" t="str">
        <f t="shared" si="68"/>
        <v>W5</v>
      </c>
      <c r="D1074" s="2" t="s">
        <v>766</v>
      </c>
      <c r="E1074" s="2" t="s">
        <v>812</v>
      </c>
      <c r="F1074" s="2" t="str" cm="1">
        <f t="array" ref="F1074">INDEX(_xlfn.TEXTSPLIT(E1074,"-"),2)</f>
        <v>男装</v>
      </c>
      <c r="G1074" s="2" t="str" cm="1">
        <f t="array" ref="G1074">INDEX(_xlfn.TEXTSPLIT(E1074,"-"),3)</f>
        <v>套装</v>
      </c>
      <c r="H1074" s="5">
        <v>43718</v>
      </c>
      <c r="I1074" s="5">
        <v>6873227.88</v>
      </c>
      <c r="J1074" s="6">
        <v>0.0092</v>
      </c>
      <c r="K1074" s="6">
        <v>-0.0444</v>
      </c>
    </row>
    <row r="1075" ht="14.5" spans="1:11">
      <c r="A1075" s="3" t="str">
        <f t="shared" si="66"/>
        <v>2026年</v>
      </c>
      <c r="B1075" s="3" t="str">
        <f t="shared" si="67"/>
        <v>1月</v>
      </c>
      <c r="C1075" s="4" t="str">
        <f t="shared" si="68"/>
        <v>W5</v>
      </c>
      <c r="D1075" s="2" t="s">
        <v>766</v>
      </c>
      <c r="E1075" s="2" t="s">
        <v>813</v>
      </c>
      <c r="F1075" s="2" t="str" cm="1">
        <f t="array" ref="F1075">INDEX(_xlfn.TEXTSPLIT(E1075,"-"),2)</f>
        <v>男装</v>
      </c>
      <c r="G1075" s="2" t="str" cm="1">
        <f t="array" ref="G1075">INDEX(_xlfn.TEXTSPLIT(E1075,"-"),3)</f>
        <v>学生校服</v>
      </c>
      <c r="H1075" s="5">
        <v>18</v>
      </c>
      <c r="I1075" s="5">
        <v>2893.52</v>
      </c>
      <c r="J1075" s="2" t="s">
        <v>713</v>
      </c>
      <c r="K1075" s="7">
        <v>3.62</v>
      </c>
    </row>
    <row r="1076" ht="14.5" spans="1:11">
      <c r="A1076" s="3" t="str">
        <f t="shared" si="66"/>
        <v>2026年</v>
      </c>
      <c r="B1076" s="3" t="str">
        <f t="shared" si="67"/>
        <v>1月</v>
      </c>
      <c r="C1076" s="4" t="str">
        <f t="shared" si="68"/>
        <v>W5</v>
      </c>
      <c r="D1076" s="2" t="s">
        <v>766</v>
      </c>
      <c r="E1076" s="2" t="s">
        <v>814</v>
      </c>
      <c r="F1076" s="2" t="str" cm="1">
        <f t="array" ref="F1076">INDEX(_xlfn.TEXTSPLIT(E1076,"-"),2)</f>
        <v>男装</v>
      </c>
      <c r="G1076" s="2" t="str" cm="1">
        <f t="array" ref="G1076">INDEX(_xlfn.TEXTSPLIT(E1076,"-"),3)</f>
        <v>打底衫</v>
      </c>
      <c r="H1076" s="5">
        <v>16524</v>
      </c>
      <c r="I1076" s="5">
        <v>1118791.53</v>
      </c>
      <c r="J1076" s="6">
        <v>0.0015</v>
      </c>
      <c r="K1076" s="6">
        <v>-0.1855</v>
      </c>
    </row>
    <row r="1077" ht="14.5" spans="1:11">
      <c r="A1077" s="3" t="str">
        <f t="shared" si="66"/>
        <v>2026年</v>
      </c>
      <c r="B1077" s="3" t="str">
        <f t="shared" si="67"/>
        <v>1月</v>
      </c>
      <c r="C1077" s="4" t="str">
        <f t="shared" si="68"/>
        <v>W5</v>
      </c>
      <c r="D1077" s="2" t="s">
        <v>766</v>
      </c>
      <c r="E1077" s="2" t="s">
        <v>815</v>
      </c>
      <c r="F1077" s="2" t="str" cm="1">
        <f t="array" ref="F1077">INDEX(_xlfn.TEXTSPLIT(E1077,"-"),2)</f>
        <v>男装</v>
      </c>
      <c r="G1077" s="2" t="str" cm="1">
        <f t="array" ref="G1077">INDEX(_xlfn.TEXTSPLIT(E1077,"-"),3)</f>
        <v>新中式男装</v>
      </c>
      <c r="H1077" s="5">
        <v>169</v>
      </c>
      <c r="I1077" s="5">
        <v>29632.26</v>
      </c>
      <c r="J1077" s="2" t="s">
        <v>713</v>
      </c>
      <c r="K1077" s="6">
        <v>-0.5686</v>
      </c>
    </row>
    <row r="1078" ht="14.5" spans="1:11">
      <c r="A1078" s="3" t="str">
        <f t="shared" si="66"/>
        <v>2026年</v>
      </c>
      <c r="B1078" s="3" t="str">
        <f t="shared" si="67"/>
        <v>1月</v>
      </c>
      <c r="C1078" s="4" t="str">
        <f t="shared" si="68"/>
        <v>W5</v>
      </c>
      <c r="D1078" s="2" t="s">
        <v>766</v>
      </c>
      <c r="E1078" s="2" t="s">
        <v>816</v>
      </c>
      <c r="F1078" s="2" t="str" cm="1">
        <f t="array" ref="F1078">INDEX(_xlfn.TEXTSPLIT(E1078,"-"),2)</f>
        <v>男装</v>
      </c>
      <c r="G1078" s="2" t="str" cm="1">
        <f t="array" ref="G1078">INDEX(_xlfn.TEXTSPLIT(E1078,"-"),3)</f>
        <v>棉衣</v>
      </c>
      <c r="H1078" s="5">
        <v>328864</v>
      </c>
      <c r="I1078" s="5">
        <v>42175795.63</v>
      </c>
      <c r="J1078" s="6">
        <v>0.0562</v>
      </c>
      <c r="K1078" s="6">
        <v>0.0263</v>
      </c>
    </row>
    <row r="1079" ht="14.5" spans="1:11">
      <c r="A1079" s="3" t="str">
        <f t="shared" si="66"/>
        <v>2026年</v>
      </c>
      <c r="B1079" s="3" t="str">
        <f t="shared" si="67"/>
        <v>1月</v>
      </c>
      <c r="C1079" s="4" t="str">
        <f t="shared" si="68"/>
        <v>W5</v>
      </c>
      <c r="D1079" s="2" t="s">
        <v>766</v>
      </c>
      <c r="E1079" s="2" t="s">
        <v>817</v>
      </c>
      <c r="F1079" s="2" t="str" cm="1">
        <f t="array" ref="F1079">INDEX(_xlfn.TEXTSPLIT(E1079,"-"),2)</f>
        <v>男装</v>
      </c>
      <c r="G1079" s="2" t="str" cm="1">
        <f t="array" ref="G1079">INDEX(_xlfn.TEXTSPLIT(E1079,"-"),3)</f>
        <v>棉裤</v>
      </c>
      <c r="H1079" s="5">
        <v>19829</v>
      </c>
      <c r="I1079" s="5">
        <v>1374472.65</v>
      </c>
      <c r="J1079" s="6">
        <v>0.0018</v>
      </c>
      <c r="K1079" s="6">
        <v>-0.1166</v>
      </c>
    </row>
    <row r="1080" ht="14.5" spans="1:11">
      <c r="A1080" s="3" t="str">
        <f t="shared" ref="A1080:A1111" si="69">TEXT(YEAR(D1080),"0")&amp;"年"</f>
        <v>2026年</v>
      </c>
      <c r="B1080" s="3" t="str">
        <f t="shared" ref="B1080:B1111" si="70">TEXT(MONTH(D1080),"0")&amp;"月"</f>
        <v>1月</v>
      </c>
      <c r="C1080" s="4" t="str">
        <f t="shared" ref="C1080:C1111" si="71">"W"&amp;TEXT(WEEKNUM(D1080,2),"0")</f>
        <v>W5</v>
      </c>
      <c r="D1080" s="2" t="s">
        <v>766</v>
      </c>
      <c r="E1080" s="2" t="s">
        <v>818</v>
      </c>
      <c r="F1080" s="2" t="str" cm="1">
        <f t="array" ref="F1080">INDEX(_xlfn.TEXTSPLIT(E1080,"-"),2)</f>
        <v>男装</v>
      </c>
      <c r="G1080" s="2" t="str" cm="1">
        <f t="array" ref="G1080">INDEX(_xlfn.TEXTSPLIT(E1080,"-"),3)</f>
        <v>毛呢大衣</v>
      </c>
      <c r="H1080" s="5">
        <v>48098</v>
      </c>
      <c r="I1080" s="5">
        <v>21363119.3</v>
      </c>
      <c r="J1080" s="6">
        <v>0.0285</v>
      </c>
      <c r="K1080" s="6">
        <v>-0.057</v>
      </c>
    </row>
    <row r="1081" ht="14.5" spans="1:11">
      <c r="A1081" s="3" t="str">
        <f t="shared" si="69"/>
        <v>2026年</v>
      </c>
      <c r="B1081" s="3" t="str">
        <f t="shared" si="70"/>
        <v>1月</v>
      </c>
      <c r="C1081" s="4" t="str">
        <f t="shared" si="71"/>
        <v>W5</v>
      </c>
      <c r="D1081" s="2" t="s">
        <v>766</v>
      </c>
      <c r="E1081" s="2" t="s">
        <v>819</v>
      </c>
      <c r="F1081" s="2" t="str" cm="1">
        <f t="array" ref="F1081">INDEX(_xlfn.TEXTSPLIT(E1081,"-"),2)</f>
        <v>男装</v>
      </c>
      <c r="G1081" s="2" t="str" cm="1">
        <f t="array" ref="G1081">INDEX(_xlfn.TEXTSPLIT(E1081,"-"),3)</f>
        <v>民族服装</v>
      </c>
      <c r="H1081" s="5">
        <v>7816</v>
      </c>
      <c r="I1081" s="5">
        <v>1744403.46</v>
      </c>
      <c r="J1081" s="6">
        <v>0.0023</v>
      </c>
      <c r="K1081" s="6">
        <v>-0.0318</v>
      </c>
    </row>
    <row r="1082" ht="14.5" spans="1:11">
      <c r="A1082" s="3" t="str">
        <f t="shared" si="69"/>
        <v>2026年</v>
      </c>
      <c r="B1082" s="3" t="str">
        <f t="shared" si="70"/>
        <v>1月</v>
      </c>
      <c r="C1082" s="4" t="str">
        <f t="shared" si="71"/>
        <v>W5</v>
      </c>
      <c r="D1082" s="2" t="s">
        <v>766</v>
      </c>
      <c r="E1082" s="2" t="s">
        <v>820</v>
      </c>
      <c r="F1082" s="2" t="str" cm="1">
        <f t="array" ref="F1082">INDEX(_xlfn.TEXTSPLIT(E1082,"-"),2)</f>
        <v>男装</v>
      </c>
      <c r="G1082" s="2" t="str" cm="1">
        <f t="array" ref="G1082">INDEX(_xlfn.TEXTSPLIT(E1082,"-"),3)</f>
        <v>派克服</v>
      </c>
      <c r="H1082" s="5">
        <v>12202</v>
      </c>
      <c r="I1082" s="5">
        <v>2673177.39</v>
      </c>
      <c r="J1082" s="6">
        <v>0.0036</v>
      </c>
      <c r="K1082" s="6">
        <v>0.2329</v>
      </c>
    </row>
    <row r="1083" ht="14.5" spans="1:11">
      <c r="A1083" s="3" t="str">
        <f t="shared" si="69"/>
        <v>2026年</v>
      </c>
      <c r="B1083" s="3" t="str">
        <f t="shared" si="70"/>
        <v>1月</v>
      </c>
      <c r="C1083" s="4" t="str">
        <f t="shared" si="71"/>
        <v>W5</v>
      </c>
      <c r="D1083" s="2" t="s">
        <v>766</v>
      </c>
      <c r="E1083" s="2" t="s">
        <v>821</v>
      </c>
      <c r="F1083" s="2" t="str" cm="1">
        <f t="array" ref="F1083">INDEX(_xlfn.TEXTSPLIT(E1083,"-"),2)</f>
        <v>男装</v>
      </c>
      <c r="G1083" s="2" t="str" cm="1">
        <f t="array" ref="G1083">INDEX(_xlfn.TEXTSPLIT(E1083,"-"),3)</f>
        <v>牛仔裤</v>
      </c>
      <c r="H1083" s="5">
        <v>577153</v>
      </c>
      <c r="I1083" s="5">
        <v>65436968.92</v>
      </c>
      <c r="J1083" s="6">
        <v>0.0872</v>
      </c>
      <c r="K1083" s="6">
        <v>-0.0139</v>
      </c>
    </row>
    <row r="1084" ht="14.5" spans="1:11">
      <c r="A1084" s="3" t="str">
        <f t="shared" si="69"/>
        <v>2026年</v>
      </c>
      <c r="B1084" s="3" t="str">
        <f t="shared" si="70"/>
        <v>1月</v>
      </c>
      <c r="C1084" s="4" t="str">
        <f t="shared" si="71"/>
        <v>W5</v>
      </c>
      <c r="D1084" s="2" t="s">
        <v>766</v>
      </c>
      <c r="E1084" s="2" t="s">
        <v>822</v>
      </c>
      <c r="F1084" s="2" t="str" cm="1">
        <f t="array" ref="F1084">INDEX(_xlfn.TEXTSPLIT(E1084,"-"),2)</f>
        <v>男装</v>
      </c>
      <c r="G1084" s="2" t="str" cm="1">
        <f t="array" ref="G1084">INDEX(_xlfn.TEXTSPLIT(E1084,"-"),3)</f>
        <v>皮草</v>
      </c>
      <c r="H1084" s="5">
        <v>6115</v>
      </c>
      <c r="I1084" s="5">
        <v>5477175.69</v>
      </c>
      <c r="J1084" s="6">
        <v>0.0073</v>
      </c>
      <c r="K1084" s="6">
        <v>-0.1051</v>
      </c>
    </row>
    <row r="1085" ht="14.5" spans="1:11">
      <c r="A1085" s="3" t="str">
        <f t="shared" si="69"/>
        <v>2026年</v>
      </c>
      <c r="B1085" s="3" t="str">
        <f t="shared" si="70"/>
        <v>1月</v>
      </c>
      <c r="C1085" s="4" t="str">
        <f t="shared" si="71"/>
        <v>W5</v>
      </c>
      <c r="D1085" s="2" t="s">
        <v>766</v>
      </c>
      <c r="E1085" s="2" t="s">
        <v>823</v>
      </c>
      <c r="F1085" s="2" t="str" cm="1">
        <f t="array" ref="F1085">INDEX(_xlfn.TEXTSPLIT(E1085,"-"),2)</f>
        <v>男装</v>
      </c>
      <c r="G1085" s="2" t="str" cm="1">
        <f t="array" ref="G1085">INDEX(_xlfn.TEXTSPLIT(E1085,"-"),3)</f>
        <v>皮衣</v>
      </c>
      <c r="H1085" s="5">
        <v>54561</v>
      </c>
      <c r="I1085" s="5">
        <v>24186193.73</v>
      </c>
      <c r="J1085" s="6">
        <v>0.0322</v>
      </c>
      <c r="K1085" s="6">
        <v>-0.0561</v>
      </c>
    </row>
    <row r="1086" ht="14.5" spans="1:11">
      <c r="A1086" s="3" t="str">
        <f t="shared" si="69"/>
        <v>2026年</v>
      </c>
      <c r="B1086" s="3" t="str">
        <f t="shared" si="70"/>
        <v>1月</v>
      </c>
      <c r="C1086" s="4" t="str">
        <f t="shared" si="71"/>
        <v>W5</v>
      </c>
      <c r="D1086" s="2" t="s">
        <v>766</v>
      </c>
      <c r="E1086" s="2" t="s">
        <v>824</v>
      </c>
      <c r="F1086" s="2" t="str" cm="1">
        <f t="array" ref="F1086">INDEX(_xlfn.TEXTSPLIT(E1086,"-"),2)</f>
        <v>男装</v>
      </c>
      <c r="G1086" s="2" t="str" cm="1">
        <f t="array" ref="G1086">INDEX(_xlfn.TEXTSPLIT(E1086,"-"),3)</f>
        <v>皮裤</v>
      </c>
      <c r="H1086" s="5">
        <v>1959</v>
      </c>
      <c r="I1086" s="5">
        <v>274355.06</v>
      </c>
      <c r="J1086" s="6">
        <v>0.0004</v>
      </c>
      <c r="K1086" s="6">
        <v>-0.1403</v>
      </c>
    </row>
    <row r="1087" ht="14.5" spans="1:11">
      <c r="A1087" s="3" t="str">
        <f t="shared" si="69"/>
        <v>2026年</v>
      </c>
      <c r="B1087" s="3" t="str">
        <f t="shared" si="70"/>
        <v>1月</v>
      </c>
      <c r="C1087" s="4" t="str">
        <f t="shared" si="71"/>
        <v>W5</v>
      </c>
      <c r="D1087" s="2" t="s">
        <v>766</v>
      </c>
      <c r="E1087" s="2" t="s">
        <v>825</v>
      </c>
      <c r="F1087" s="2" t="str" cm="1">
        <f t="array" ref="F1087">INDEX(_xlfn.TEXTSPLIT(E1087,"-"),2)</f>
        <v>男装</v>
      </c>
      <c r="G1087" s="2" t="str" cm="1">
        <f t="array" ref="G1087">INDEX(_xlfn.TEXTSPLIT(E1087,"-"),3)</f>
        <v>短外套</v>
      </c>
      <c r="H1087" s="5">
        <v>30986</v>
      </c>
      <c r="I1087" s="5">
        <v>3531284.37</v>
      </c>
      <c r="J1087" s="6">
        <v>0.0047</v>
      </c>
      <c r="K1087" s="6">
        <v>0.1352</v>
      </c>
    </row>
    <row r="1088" ht="14.5" spans="1:11">
      <c r="A1088" s="3" t="str">
        <f t="shared" si="69"/>
        <v>2026年</v>
      </c>
      <c r="B1088" s="3" t="str">
        <f t="shared" si="70"/>
        <v>1月</v>
      </c>
      <c r="C1088" s="4" t="str">
        <f t="shared" si="71"/>
        <v>W5</v>
      </c>
      <c r="D1088" s="2" t="s">
        <v>766</v>
      </c>
      <c r="E1088" s="2" t="s">
        <v>826</v>
      </c>
      <c r="F1088" s="2" t="str" cm="1">
        <f t="array" ref="F1088">INDEX(_xlfn.TEXTSPLIT(E1088,"-"),2)</f>
        <v>男装</v>
      </c>
      <c r="G1088" s="2" t="str" cm="1">
        <f t="array" ref="G1088">INDEX(_xlfn.TEXTSPLIT(E1088,"-"),3)</f>
        <v>短裤</v>
      </c>
      <c r="H1088" s="5">
        <v>47690</v>
      </c>
      <c r="I1088" s="5">
        <v>1841384.76</v>
      </c>
      <c r="J1088" s="6">
        <v>0.0025</v>
      </c>
      <c r="K1088" s="6">
        <v>0.058</v>
      </c>
    </row>
    <row r="1089" ht="14.5" spans="1:11">
      <c r="A1089" s="3" t="str">
        <f t="shared" si="69"/>
        <v>2026年</v>
      </c>
      <c r="B1089" s="3" t="str">
        <f t="shared" si="70"/>
        <v>1月</v>
      </c>
      <c r="C1089" s="4" t="str">
        <f t="shared" si="71"/>
        <v>W5</v>
      </c>
      <c r="D1089" s="2" t="s">
        <v>766</v>
      </c>
      <c r="E1089" s="2" t="s">
        <v>827</v>
      </c>
      <c r="F1089" s="2" t="str" cm="1">
        <f t="array" ref="F1089">INDEX(_xlfn.TEXTSPLIT(E1089,"-"),2)</f>
        <v>男装</v>
      </c>
      <c r="G1089" s="2" t="str" cm="1">
        <f t="array" ref="G1089">INDEX(_xlfn.TEXTSPLIT(E1089,"-"),3)</f>
        <v>紧身衣</v>
      </c>
      <c r="H1089" s="5">
        <v>194</v>
      </c>
      <c r="I1089" s="5">
        <v>6631.8</v>
      </c>
      <c r="J1089" s="2" t="s">
        <v>713</v>
      </c>
      <c r="K1089" s="6">
        <v>2.1969</v>
      </c>
    </row>
    <row r="1090" ht="14.5" spans="1:11">
      <c r="A1090" s="3" t="str">
        <f t="shared" si="69"/>
        <v>2026年</v>
      </c>
      <c r="B1090" s="3" t="str">
        <f t="shared" si="70"/>
        <v>1月</v>
      </c>
      <c r="C1090" s="4" t="str">
        <f t="shared" si="71"/>
        <v>W5</v>
      </c>
      <c r="D1090" s="2" t="s">
        <v>766</v>
      </c>
      <c r="E1090" s="2" t="s">
        <v>828</v>
      </c>
      <c r="F1090" s="2" t="str" cm="1">
        <f t="array" ref="F1090">INDEX(_xlfn.TEXTSPLIT(E1090,"-"),2)</f>
        <v>男装</v>
      </c>
      <c r="G1090" s="2" t="str" cm="1">
        <f t="array" ref="G1090">INDEX(_xlfn.TEXTSPLIT(E1090,"-"),3)</f>
        <v>羊毛衫</v>
      </c>
      <c r="H1090" s="5">
        <v>103664</v>
      </c>
      <c r="I1090" s="5">
        <v>14910988.18</v>
      </c>
      <c r="J1090" s="6">
        <v>0.0199</v>
      </c>
      <c r="K1090" s="6">
        <v>-0.0222</v>
      </c>
    </row>
    <row r="1091" ht="14.5" spans="1:11">
      <c r="A1091" s="3" t="str">
        <f t="shared" si="69"/>
        <v>2026年</v>
      </c>
      <c r="B1091" s="3" t="str">
        <f t="shared" si="70"/>
        <v>1月</v>
      </c>
      <c r="C1091" s="4" t="str">
        <f t="shared" si="71"/>
        <v>W5</v>
      </c>
      <c r="D1091" s="2" t="s">
        <v>766</v>
      </c>
      <c r="E1091" s="2" t="s">
        <v>829</v>
      </c>
      <c r="F1091" s="2" t="str" cm="1">
        <f t="array" ref="F1091">INDEX(_xlfn.TEXTSPLIT(E1091,"-"),2)</f>
        <v>男装</v>
      </c>
      <c r="G1091" s="2" t="str" cm="1">
        <f t="array" ref="G1091">INDEX(_xlfn.TEXTSPLIT(E1091,"-"),3)</f>
        <v>羊绒衫</v>
      </c>
      <c r="H1091" s="5">
        <v>20346</v>
      </c>
      <c r="I1091" s="5">
        <v>5527778.33</v>
      </c>
      <c r="J1091" s="6">
        <v>0.0074</v>
      </c>
      <c r="K1091" s="6">
        <v>-0.1162</v>
      </c>
    </row>
    <row r="1092" ht="14.5" spans="1:11">
      <c r="A1092" s="3" t="str">
        <f t="shared" si="69"/>
        <v>2026年</v>
      </c>
      <c r="B1092" s="3" t="str">
        <f t="shared" si="70"/>
        <v>1月</v>
      </c>
      <c r="C1092" s="4" t="str">
        <f t="shared" si="71"/>
        <v>W5</v>
      </c>
      <c r="D1092" s="2" t="s">
        <v>766</v>
      </c>
      <c r="E1092" s="2" t="s">
        <v>830</v>
      </c>
      <c r="F1092" s="2" t="str" cm="1">
        <f t="array" ref="F1092">INDEX(_xlfn.TEXTSPLIT(E1092,"-"),2)</f>
        <v>男装</v>
      </c>
      <c r="G1092" s="2" t="str" cm="1">
        <f t="array" ref="G1092">INDEX(_xlfn.TEXTSPLIT(E1092,"-"),3)</f>
        <v>羽绒服</v>
      </c>
      <c r="H1092" s="5">
        <v>551642</v>
      </c>
      <c r="I1092" s="5">
        <v>201169685.72</v>
      </c>
      <c r="J1092" s="6">
        <v>0.2682</v>
      </c>
      <c r="K1092" s="6">
        <v>0.0045</v>
      </c>
    </row>
    <row r="1093" ht="14.5" spans="1:11">
      <c r="A1093" s="3" t="str">
        <f t="shared" si="69"/>
        <v>2026年</v>
      </c>
      <c r="B1093" s="3" t="str">
        <f t="shared" si="70"/>
        <v>1月</v>
      </c>
      <c r="C1093" s="4" t="str">
        <f t="shared" si="71"/>
        <v>W5</v>
      </c>
      <c r="D1093" s="2" t="s">
        <v>766</v>
      </c>
      <c r="E1093" s="2" t="s">
        <v>831</v>
      </c>
      <c r="F1093" s="2" t="str" cm="1">
        <f t="array" ref="F1093">INDEX(_xlfn.TEXTSPLIT(E1093,"-"),2)</f>
        <v>男装</v>
      </c>
      <c r="G1093" s="2" t="str" cm="1">
        <f t="array" ref="G1093">INDEX(_xlfn.TEXTSPLIT(E1093,"-"),3)</f>
        <v>羽绒裤</v>
      </c>
      <c r="H1093" s="5">
        <v>8725</v>
      </c>
      <c r="I1093" s="5">
        <v>1241558.25</v>
      </c>
      <c r="J1093" s="6">
        <v>0.0017</v>
      </c>
      <c r="K1093" s="6">
        <v>-0.0458</v>
      </c>
    </row>
    <row r="1094" ht="14.5" spans="1:11">
      <c r="A1094" s="3" t="str">
        <f t="shared" si="69"/>
        <v>2026年</v>
      </c>
      <c r="B1094" s="3" t="str">
        <f t="shared" si="70"/>
        <v>1月</v>
      </c>
      <c r="C1094" s="4" t="str">
        <f t="shared" si="71"/>
        <v>W5</v>
      </c>
      <c r="D1094" s="2" t="s">
        <v>766</v>
      </c>
      <c r="E1094" s="2" t="s">
        <v>832</v>
      </c>
      <c r="F1094" s="2" t="str" cm="1">
        <f t="array" ref="F1094">INDEX(_xlfn.TEXTSPLIT(E1094,"-"),2)</f>
        <v>男装</v>
      </c>
      <c r="G1094" s="2" t="str" cm="1">
        <f t="array" ref="G1094">INDEX(_xlfn.TEXTSPLIT(E1094,"-"),3)</f>
        <v>羽绒马甲</v>
      </c>
      <c r="H1094" s="5">
        <v>11269</v>
      </c>
      <c r="I1094" s="5">
        <v>2474584.6</v>
      </c>
      <c r="J1094" s="6">
        <v>0.0033</v>
      </c>
      <c r="K1094" s="6">
        <v>0.0912</v>
      </c>
    </row>
    <row r="1095" ht="14.5" spans="1:11">
      <c r="A1095" s="3" t="str">
        <f t="shared" si="69"/>
        <v>2026年</v>
      </c>
      <c r="B1095" s="3" t="str">
        <f t="shared" si="70"/>
        <v>1月</v>
      </c>
      <c r="C1095" s="4" t="str">
        <f t="shared" si="71"/>
        <v>W5</v>
      </c>
      <c r="D1095" s="2" t="s">
        <v>766</v>
      </c>
      <c r="E1095" s="2" t="s">
        <v>833</v>
      </c>
      <c r="F1095" s="2" t="str" cm="1">
        <f t="array" ref="F1095">INDEX(_xlfn.TEXTSPLIT(E1095,"-"),2)</f>
        <v>男装</v>
      </c>
      <c r="G1095" s="2" t="str" cm="1">
        <f t="array" ref="G1095">INDEX(_xlfn.TEXTSPLIT(E1095,"-"),3)</f>
        <v>背心</v>
      </c>
      <c r="H1095" s="5">
        <v>31267</v>
      </c>
      <c r="I1095" s="5">
        <v>1881494.55</v>
      </c>
      <c r="J1095" s="6">
        <v>0.0025</v>
      </c>
      <c r="K1095" s="6">
        <v>-0.0618</v>
      </c>
    </row>
    <row r="1096" ht="14.5" spans="1:11">
      <c r="A1096" s="3" t="str">
        <f t="shared" si="69"/>
        <v>2026年</v>
      </c>
      <c r="B1096" s="3" t="str">
        <f t="shared" si="70"/>
        <v>1月</v>
      </c>
      <c r="C1096" s="4" t="str">
        <f t="shared" si="71"/>
        <v>W5</v>
      </c>
      <c r="D1096" s="2" t="s">
        <v>766</v>
      </c>
      <c r="E1096" s="2" t="s">
        <v>834</v>
      </c>
      <c r="F1096" s="2" t="str" cm="1">
        <f t="array" ref="F1096">INDEX(_xlfn.TEXTSPLIT(E1096,"-"),2)</f>
        <v>男装</v>
      </c>
      <c r="G1096" s="2" t="str" cm="1">
        <f t="array" ref="G1096">INDEX(_xlfn.TEXTSPLIT(E1096,"-"),3)</f>
        <v>衬衫</v>
      </c>
      <c r="H1096" s="5">
        <v>86635</v>
      </c>
      <c r="I1096" s="5">
        <v>10875864.76</v>
      </c>
      <c r="J1096" s="6">
        <v>0.0145</v>
      </c>
      <c r="K1096" s="6">
        <v>0.0233</v>
      </c>
    </row>
    <row r="1097" ht="14.5" spans="1:11">
      <c r="A1097" s="3" t="str">
        <f t="shared" si="69"/>
        <v>2026年</v>
      </c>
      <c r="B1097" s="3" t="str">
        <f t="shared" si="70"/>
        <v>1月</v>
      </c>
      <c r="C1097" s="4" t="str">
        <f t="shared" si="71"/>
        <v>W5</v>
      </c>
      <c r="D1097" s="2" t="s">
        <v>766</v>
      </c>
      <c r="E1097" s="2" t="s">
        <v>835</v>
      </c>
      <c r="F1097" s="2" t="str" cm="1">
        <f t="array" ref="F1097">INDEX(_xlfn.TEXTSPLIT(E1097,"-"),2)</f>
        <v>男装</v>
      </c>
      <c r="G1097" s="2" t="str" cm="1">
        <f t="array" ref="G1097">INDEX(_xlfn.TEXTSPLIT(E1097,"-"),3)</f>
        <v>西服</v>
      </c>
      <c r="H1097" s="5">
        <v>87367</v>
      </c>
      <c r="I1097" s="5">
        <v>17169274.87</v>
      </c>
      <c r="J1097" s="6">
        <v>0.0229</v>
      </c>
      <c r="K1097" s="6">
        <v>-0.0167</v>
      </c>
    </row>
    <row r="1098" ht="14.5" spans="1:11">
      <c r="A1098" s="3" t="str">
        <f t="shared" si="69"/>
        <v>2026年</v>
      </c>
      <c r="B1098" s="3" t="str">
        <f t="shared" si="70"/>
        <v>1月</v>
      </c>
      <c r="C1098" s="4" t="str">
        <f t="shared" si="71"/>
        <v>W5</v>
      </c>
      <c r="D1098" s="2" t="s">
        <v>766</v>
      </c>
      <c r="E1098" s="2" t="s">
        <v>836</v>
      </c>
      <c r="F1098" s="2" t="str" cm="1">
        <f t="array" ref="F1098">INDEX(_xlfn.TEXTSPLIT(E1098,"-"),2)</f>
        <v>男装</v>
      </c>
      <c r="G1098" s="2" t="str" cm="1">
        <f t="array" ref="G1098">INDEX(_xlfn.TEXTSPLIT(E1098,"-"),3)</f>
        <v>连体衣/裤</v>
      </c>
      <c r="H1098" s="5">
        <v>888</v>
      </c>
      <c r="I1098" s="5">
        <v>26634.28</v>
      </c>
      <c r="J1098" s="2" t="s">
        <v>713</v>
      </c>
      <c r="K1098" s="6">
        <v>-0.1952</v>
      </c>
    </row>
    <row r="1099" ht="14.5" spans="1:11">
      <c r="A1099" s="3" t="str">
        <f t="shared" si="69"/>
        <v>2026年</v>
      </c>
      <c r="B1099" s="3" t="str">
        <f t="shared" si="70"/>
        <v>1月</v>
      </c>
      <c r="C1099" s="4" t="str">
        <f t="shared" si="71"/>
        <v>W5</v>
      </c>
      <c r="D1099" s="2" t="s">
        <v>766</v>
      </c>
      <c r="E1099" s="2" t="s">
        <v>837</v>
      </c>
      <c r="F1099" s="2" t="str" cm="1">
        <f t="array" ref="F1099">INDEX(_xlfn.TEXTSPLIT(E1099,"-"),2)</f>
        <v>男装</v>
      </c>
      <c r="G1099" s="2" t="str" cm="1">
        <f t="array" ref="G1099">INDEX(_xlfn.TEXTSPLIT(E1099,"-"),3)</f>
        <v>速干/三防T恤</v>
      </c>
      <c r="H1099" s="5">
        <v>704</v>
      </c>
      <c r="I1099" s="5">
        <v>58035.24</v>
      </c>
      <c r="J1099" s="6">
        <v>0.0001</v>
      </c>
      <c r="K1099" s="6">
        <v>-0.1565</v>
      </c>
    </row>
    <row r="1100" ht="14.5" spans="1:11">
      <c r="A1100" s="3" t="str">
        <f t="shared" si="69"/>
        <v>2026年</v>
      </c>
      <c r="B1100" s="3" t="str">
        <f t="shared" si="70"/>
        <v>1月</v>
      </c>
      <c r="C1100" s="4" t="str">
        <f t="shared" si="71"/>
        <v>W5</v>
      </c>
      <c r="D1100" s="2" t="s">
        <v>766</v>
      </c>
      <c r="E1100" s="2" t="s">
        <v>838</v>
      </c>
      <c r="F1100" s="2" t="str" cm="1">
        <f t="array" ref="F1100">INDEX(_xlfn.TEXTSPLIT(E1100,"-"),2)</f>
        <v>男装</v>
      </c>
      <c r="G1100" s="2" t="str" cm="1">
        <f t="array" ref="G1100">INDEX(_xlfn.TEXTSPLIT(E1100,"-"),3)</f>
        <v>针织衫/毛衣</v>
      </c>
      <c r="H1100" s="5">
        <v>356016</v>
      </c>
      <c r="I1100" s="5">
        <v>41676829.78</v>
      </c>
      <c r="J1100" s="6">
        <v>0.0556</v>
      </c>
      <c r="K1100" s="6">
        <v>-0.0129</v>
      </c>
    </row>
    <row r="1101" ht="14.5" spans="1:11">
      <c r="A1101" s="3" t="str">
        <f t="shared" si="69"/>
        <v>2026年</v>
      </c>
      <c r="B1101" s="3" t="str">
        <f t="shared" si="70"/>
        <v>1月</v>
      </c>
      <c r="C1101" s="4" t="str">
        <f t="shared" si="71"/>
        <v>W5</v>
      </c>
      <c r="D1101" s="2" t="s">
        <v>766</v>
      </c>
      <c r="E1101" s="2" t="s">
        <v>839</v>
      </c>
      <c r="F1101" s="2" t="str" cm="1">
        <f t="array" ref="F1101">INDEX(_xlfn.TEXTSPLIT(E1101,"-"),2)</f>
        <v>男装</v>
      </c>
      <c r="G1101" s="2" t="str" cm="1">
        <f t="array" ref="G1101">INDEX(_xlfn.TEXTSPLIT(E1101,"-"),3)</f>
        <v>防晒服</v>
      </c>
      <c r="H1101" s="5">
        <v>164</v>
      </c>
      <c r="I1101" s="5">
        <v>12059.53</v>
      </c>
      <c r="J1101" s="2" t="s">
        <v>713</v>
      </c>
      <c r="K1101" s="6">
        <v>-0.2669</v>
      </c>
    </row>
    <row r="1102" ht="14.5" spans="1:11">
      <c r="A1102" s="3" t="str">
        <f t="shared" si="69"/>
        <v>2026年</v>
      </c>
      <c r="B1102" s="3" t="str">
        <f t="shared" si="70"/>
        <v>1月</v>
      </c>
      <c r="C1102" s="4" t="str">
        <f t="shared" si="71"/>
        <v>W5</v>
      </c>
      <c r="D1102" s="2" t="s">
        <v>766</v>
      </c>
      <c r="E1102" s="2" t="s">
        <v>840</v>
      </c>
      <c r="F1102" s="2" t="str" cm="1">
        <f t="array" ref="F1102">INDEX(_xlfn.TEXTSPLIT(E1102,"-"),2)</f>
        <v>男装</v>
      </c>
      <c r="G1102" s="2" t="str" cm="1">
        <f t="array" ref="G1102">INDEX(_xlfn.TEXTSPLIT(E1102,"-"),3)</f>
        <v>风衣</v>
      </c>
      <c r="H1102" s="5">
        <v>5561</v>
      </c>
      <c r="I1102" s="5">
        <v>1794029.31</v>
      </c>
      <c r="J1102" s="6">
        <v>0.0024</v>
      </c>
      <c r="K1102" s="6">
        <v>-0.039</v>
      </c>
    </row>
    <row r="1103" ht="14.5" spans="1:11">
      <c r="A1103" s="3" t="str">
        <f t="shared" si="69"/>
        <v>2026年</v>
      </c>
      <c r="B1103" s="3" t="str">
        <f t="shared" si="70"/>
        <v>1月</v>
      </c>
      <c r="C1103" s="4" t="str">
        <f t="shared" si="71"/>
        <v>W5</v>
      </c>
      <c r="D1103" s="2" t="s">
        <v>766</v>
      </c>
      <c r="E1103" s="2" t="s">
        <v>841</v>
      </c>
      <c r="F1103" s="2" t="str" cm="1">
        <f t="array" ref="F1103">INDEX(_xlfn.TEXTSPLIT(E1103,"-"),2)</f>
        <v>男装</v>
      </c>
      <c r="G1103" s="2" t="str" cm="1">
        <f t="array" ref="G1103">INDEX(_xlfn.TEXTSPLIT(E1103,"-"),3)</f>
        <v>马甲</v>
      </c>
      <c r="H1103" s="5">
        <v>37326</v>
      </c>
      <c r="I1103" s="5">
        <v>3627237.46</v>
      </c>
      <c r="J1103" s="6">
        <v>0.0048</v>
      </c>
      <c r="K1103" s="7">
        <v>-0.09</v>
      </c>
    </row>
    <row r="1104" ht="14.5" spans="1:11">
      <c r="A1104" s="3" t="str">
        <f t="shared" si="69"/>
        <v>2026年</v>
      </c>
      <c r="B1104" s="3" t="str">
        <f t="shared" si="70"/>
        <v>1月</v>
      </c>
      <c r="C1104" s="4" t="str">
        <f t="shared" si="71"/>
        <v>W5</v>
      </c>
      <c r="D1104" s="2" t="s">
        <v>767</v>
      </c>
      <c r="E1104" s="2" t="s">
        <v>804</v>
      </c>
      <c r="F1104" s="2" t="str" cm="1">
        <f t="array" ref="F1104">INDEX(_xlfn.TEXTSPLIT(E1104,"-"),2)</f>
        <v>男装</v>
      </c>
      <c r="G1104" s="2" t="str" cm="1">
        <f t="array" ref="G1104">INDEX(_xlfn.TEXTSPLIT(E1104,"-"),3)</f>
        <v>Polo衫</v>
      </c>
      <c r="H1104" s="5">
        <v>50030</v>
      </c>
      <c r="I1104" s="5">
        <v>4688764.58</v>
      </c>
      <c r="J1104" s="6">
        <v>0.0059</v>
      </c>
      <c r="K1104" s="6">
        <v>-0.0344</v>
      </c>
    </row>
    <row r="1105" ht="14.5" spans="1:11">
      <c r="A1105" s="3" t="str">
        <f t="shared" si="69"/>
        <v>2026年</v>
      </c>
      <c r="B1105" s="3" t="str">
        <f t="shared" si="70"/>
        <v>1月</v>
      </c>
      <c r="C1105" s="4" t="str">
        <f t="shared" si="71"/>
        <v>W5</v>
      </c>
      <c r="D1105" s="2" t="s">
        <v>767</v>
      </c>
      <c r="E1105" s="2" t="s">
        <v>805</v>
      </c>
      <c r="F1105" s="2" t="str" cm="1">
        <f t="array" ref="F1105">INDEX(_xlfn.TEXTSPLIT(E1105,"-"),2)</f>
        <v>男装</v>
      </c>
      <c r="G1105" s="2" t="str" cm="1">
        <f t="array" ref="G1105">INDEX(_xlfn.TEXTSPLIT(E1105,"-"),3)</f>
        <v>T恤</v>
      </c>
      <c r="H1105" s="5">
        <v>363552</v>
      </c>
      <c r="I1105" s="5">
        <v>28343322.34</v>
      </c>
      <c r="J1105" s="6">
        <v>0.0355</v>
      </c>
      <c r="K1105" s="6">
        <v>0.0181</v>
      </c>
    </row>
    <row r="1106" ht="14.5" spans="1:11">
      <c r="A1106" s="3" t="str">
        <f t="shared" si="69"/>
        <v>2026年</v>
      </c>
      <c r="B1106" s="3" t="str">
        <f t="shared" si="70"/>
        <v>1月</v>
      </c>
      <c r="C1106" s="4" t="str">
        <f t="shared" si="71"/>
        <v>W5</v>
      </c>
      <c r="D1106" s="2" t="s">
        <v>767</v>
      </c>
      <c r="E1106" s="2" t="s">
        <v>806</v>
      </c>
      <c r="F1106" s="2" t="str" cm="1">
        <f t="array" ref="F1106">INDEX(_xlfn.TEXTSPLIT(E1106,"-"),2)</f>
        <v>男装</v>
      </c>
      <c r="G1106" s="2" t="str" cm="1">
        <f t="array" ref="G1106">INDEX(_xlfn.TEXTSPLIT(E1106,"-"),3)</f>
        <v>中老年男装</v>
      </c>
      <c r="H1106" s="5">
        <v>129191</v>
      </c>
      <c r="I1106" s="5">
        <v>18761492.95</v>
      </c>
      <c r="J1106" s="6">
        <v>0.0235</v>
      </c>
      <c r="K1106" s="6">
        <v>0.2542</v>
      </c>
    </row>
    <row r="1107" ht="14.5" spans="1:11">
      <c r="A1107" s="3" t="str">
        <f t="shared" si="69"/>
        <v>2026年</v>
      </c>
      <c r="B1107" s="3" t="str">
        <f t="shared" si="70"/>
        <v>1月</v>
      </c>
      <c r="C1107" s="4" t="str">
        <f t="shared" si="71"/>
        <v>W5</v>
      </c>
      <c r="D1107" s="2" t="s">
        <v>767</v>
      </c>
      <c r="E1107" s="2" t="s">
        <v>807</v>
      </c>
      <c r="F1107" s="2" t="str" cm="1">
        <f t="array" ref="F1107">INDEX(_xlfn.TEXTSPLIT(E1107,"-"),2)</f>
        <v>男装</v>
      </c>
      <c r="G1107" s="2" t="str" cm="1">
        <f t="array" ref="G1107">INDEX(_xlfn.TEXTSPLIT(E1107,"-"),3)</f>
        <v>休闲裤</v>
      </c>
      <c r="H1107" s="5">
        <v>814781</v>
      </c>
      <c r="I1107" s="5">
        <v>86166192.38</v>
      </c>
      <c r="J1107" s="6">
        <v>0.108</v>
      </c>
      <c r="K1107" s="6">
        <v>0.018</v>
      </c>
    </row>
    <row r="1108" ht="14.5" spans="1:11">
      <c r="A1108" s="3" t="str">
        <f t="shared" si="69"/>
        <v>2026年</v>
      </c>
      <c r="B1108" s="3" t="str">
        <f t="shared" si="70"/>
        <v>1月</v>
      </c>
      <c r="C1108" s="4" t="str">
        <f t="shared" si="71"/>
        <v>W5</v>
      </c>
      <c r="D1108" s="2" t="s">
        <v>767</v>
      </c>
      <c r="E1108" s="2" t="s">
        <v>808</v>
      </c>
      <c r="F1108" s="2" t="str" cm="1">
        <f t="array" ref="F1108">INDEX(_xlfn.TEXTSPLIT(E1108,"-"),2)</f>
        <v>男装</v>
      </c>
      <c r="G1108" s="2" t="str" cm="1">
        <f t="array" ref="G1108">INDEX(_xlfn.TEXTSPLIT(E1108,"-"),3)</f>
        <v>卫衣</v>
      </c>
      <c r="H1108" s="5">
        <v>537843</v>
      </c>
      <c r="I1108" s="5">
        <v>46586941.27</v>
      </c>
      <c r="J1108" s="6">
        <v>0.0584</v>
      </c>
      <c r="K1108" s="6">
        <v>0.0696</v>
      </c>
    </row>
    <row r="1109" ht="14.5" spans="1:11">
      <c r="A1109" s="3" t="str">
        <f t="shared" si="69"/>
        <v>2026年</v>
      </c>
      <c r="B1109" s="3" t="str">
        <f t="shared" si="70"/>
        <v>1月</v>
      </c>
      <c r="C1109" s="4" t="str">
        <f t="shared" si="71"/>
        <v>W5</v>
      </c>
      <c r="D1109" s="2" t="s">
        <v>767</v>
      </c>
      <c r="E1109" s="2" t="s">
        <v>809</v>
      </c>
      <c r="F1109" s="2" t="str" cm="1">
        <f t="array" ref="F1109">INDEX(_xlfn.TEXTSPLIT(E1109,"-"),2)</f>
        <v>男装</v>
      </c>
      <c r="G1109" s="2" t="str" cm="1">
        <f t="array" ref="G1109">INDEX(_xlfn.TEXTSPLIT(E1109,"-"),3)</f>
        <v>卫裤</v>
      </c>
      <c r="H1109" s="5">
        <v>178044</v>
      </c>
      <c r="I1109" s="5">
        <v>17291145.22</v>
      </c>
      <c r="J1109" s="6">
        <v>0.0217</v>
      </c>
      <c r="K1109" s="6">
        <v>0.0498</v>
      </c>
    </row>
    <row r="1110" ht="14.5" spans="1:11">
      <c r="A1110" s="3" t="str">
        <f t="shared" si="69"/>
        <v>2026年</v>
      </c>
      <c r="B1110" s="3" t="str">
        <f t="shared" si="70"/>
        <v>1月</v>
      </c>
      <c r="C1110" s="4" t="str">
        <f t="shared" si="71"/>
        <v>W5</v>
      </c>
      <c r="D1110" s="2" t="s">
        <v>767</v>
      </c>
      <c r="E1110" s="2" t="s">
        <v>810</v>
      </c>
      <c r="F1110" s="2" t="str" cm="1">
        <f t="array" ref="F1110">INDEX(_xlfn.TEXTSPLIT(E1110,"-"),2)</f>
        <v>男装</v>
      </c>
      <c r="G1110" s="2" t="str" cm="1">
        <f t="array" ref="G1110">INDEX(_xlfn.TEXTSPLIT(E1110,"-"),3)</f>
        <v>大码男装</v>
      </c>
      <c r="H1110" s="5">
        <v>46078</v>
      </c>
      <c r="I1110" s="5">
        <v>4075202.33</v>
      </c>
      <c r="J1110" s="6">
        <v>0.0051</v>
      </c>
      <c r="K1110" s="6">
        <v>0.0653</v>
      </c>
    </row>
    <row r="1111" ht="14.5" spans="1:11">
      <c r="A1111" s="3" t="str">
        <f t="shared" si="69"/>
        <v>2026年</v>
      </c>
      <c r="B1111" s="3" t="str">
        <f t="shared" si="70"/>
        <v>1月</v>
      </c>
      <c r="C1111" s="4" t="str">
        <f t="shared" si="71"/>
        <v>W5</v>
      </c>
      <c r="D1111" s="2" t="s">
        <v>767</v>
      </c>
      <c r="E1111" s="2" t="s">
        <v>811</v>
      </c>
      <c r="F1111" s="2" t="str" cm="1">
        <f t="array" ref="F1111">INDEX(_xlfn.TEXTSPLIT(E1111,"-"),2)</f>
        <v>男装</v>
      </c>
      <c r="G1111" s="2" t="str" cm="1">
        <f t="array" ref="G1111">INDEX(_xlfn.TEXTSPLIT(E1111,"-"),3)</f>
        <v>夹克</v>
      </c>
      <c r="H1111" s="5">
        <v>417912</v>
      </c>
      <c r="I1111" s="5">
        <v>76746219.23</v>
      </c>
      <c r="J1111" s="6">
        <v>0.0962</v>
      </c>
      <c r="K1111" s="6">
        <v>0.0441</v>
      </c>
    </row>
    <row r="1112" ht="14.5" spans="1:11">
      <c r="A1112" s="3" t="str">
        <f t="shared" ref="A1112:A1141" si="72">TEXT(YEAR(D1112),"0")&amp;"年"</f>
        <v>2026年</v>
      </c>
      <c r="B1112" s="3" t="str">
        <f t="shared" ref="B1112:B1141" si="73">TEXT(MONTH(D1112),"0")&amp;"月"</f>
        <v>1月</v>
      </c>
      <c r="C1112" s="4" t="str">
        <f t="shared" ref="C1112:C1141" si="74">"W"&amp;TEXT(WEEKNUM(D1112,2),"0")</f>
        <v>W5</v>
      </c>
      <c r="D1112" s="2" t="s">
        <v>767</v>
      </c>
      <c r="E1112" s="2" t="s">
        <v>812</v>
      </c>
      <c r="F1112" s="2" t="str" cm="1">
        <f t="array" ref="F1112">INDEX(_xlfn.TEXTSPLIT(E1112,"-"),2)</f>
        <v>男装</v>
      </c>
      <c r="G1112" s="2" t="str" cm="1">
        <f t="array" ref="G1112">INDEX(_xlfn.TEXTSPLIT(E1112,"-"),3)</f>
        <v>套装</v>
      </c>
      <c r="H1112" s="5">
        <v>50194</v>
      </c>
      <c r="I1112" s="5">
        <v>7656774.87</v>
      </c>
      <c r="J1112" s="6">
        <v>0.0096</v>
      </c>
      <c r="K1112" s="6">
        <v>0.114</v>
      </c>
    </row>
    <row r="1113" ht="14.5" spans="1:11">
      <c r="A1113" s="3" t="str">
        <f t="shared" si="72"/>
        <v>2026年</v>
      </c>
      <c r="B1113" s="3" t="str">
        <f t="shared" si="73"/>
        <v>1月</v>
      </c>
      <c r="C1113" s="4" t="str">
        <f t="shared" si="74"/>
        <v>W5</v>
      </c>
      <c r="D1113" s="2" t="s">
        <v>767</v>
      </c>
      <c r="E1113" s="2" t="s">
        <v>813</v>
      </c>
      <c r="F1113" s="2" t="str" cm="1">
        <f t="array" ref="F1113">INDEX(_xlfn.TEXTSPLIT(E1113,"-"),2)</f>
        <v>男装</v>
      </c>
      <c r="G1113" s="2" t="str" cm="1">
        <f t="array" ref="G1113">INDEX(_xlfn.TEXTSPLIT(E1113,"-"),3)</f>
        <v>学生校服</v>
      </c>
      <c r="H1113" s="5">
        <v>10</v>
      </c>
      <c r="I1113" s="5">
        <v>550.54</v>
      </c>
      <c r="J1113" s="2" t="s">
        <v>713</v>
      </c>
      <c r="K1113" s="6">
        <v>-0.8097</v>
      </c>
    </row>
    <row r="1114" ht="14.5" spans="1:11">
      <c r="A1114" s="3" t="str">
        <f t="shared" si="72"/>
        <v>2026年</v>
      </c>
      <c r="B1114" s="3" t="str">
        <f t="shared" si="73"/>
        <v>1月</v>
      </c>
      <c r="C1114" s="4" t="str">
        <f t="shared" si="74"/>
        <v>W5</v>
      </c>
      <c r="D1114" s="2" t="s">
        <v>767</v>
      </c>
      <c r="E1114" s="2" t="s">
        <v>814</v>
      </c>
      <c r="F1114" s="2" t="str" cm="1">
        <f t="array" ref="F1114">INDEX(_xlfn.TEXTSPLIT(E1114,"-"),2)</f>
        <v>男装</v>
      </c>
      <c r="G1114" s="2" t="str" cm="1">
        <f t="array" ref="G1114">INDEX(_xlfn.TEXTSPLIT(E1114,"-"),3)</f>
        <v>打底衫</v>
      </c>
      <c r="H1114" s="5">
        <v>21938</v>
      </c>
      <c r="I1114" s="5">
        <v>1247359.56</v>
      </c>
      <c r="J1114" s="6">
        <v>0.0016</v>
      </c>
      <c r="K1114" s="6">
        <v>0.1149</v>
      </c>
    </row>
    <row r="1115" ht="14.5" spans="1:11">
      <c r="A1115" s="3" t="str">
        <f t="shared" si="72"/>
        <v>2026年</v>
      </c>
      <c r="B1115" s="3" t="str">
        <f t="shared" si="73"/>
        <v>1月</v>
      </c>
      <c r="C1115" s="4" t="str">
        <f t="shared" si="74"/>
        <v>W5</v>
      </c>
      <c r="D1115" s="2" t="s">
        <v>767</v>
      </c>
      <c r="E1115" s="2" t="s">
        <v>815</v>
      </c>
      <c r="F1115" s="2" t="str" cm="1">
        <f t="array" ref="F1115">INDEX(_xlfn.TEXTSPLIT(E1115,"-"),2)</f>
        <v>男装</v>
      </c>
      <c r="G1115" s="2" t="str" cm="1">
        <f t="array" ref="G1115">INDEX(_xlfn.TEXTSPLIT(E1115,"-"),3)</f>
        <v>新中式男装</v>
      </c>
      <c r="H1115" s="5">
        <v>325</v>
      </c>
      <c r="I1115" s="5">
        <v>63736.21</v>
      </c>
      <c r="J1115" s="6">
        <v>0.0001</v>
      </c>
      <c r="K1115" s="6">
        <v>1.1509</v>
      </c>
    </row>
    <row r="1116" ht="14.5" spans="1:11">
      <c r="A1116" s="3" t="str">
        <f t="shared" si="72"/>
        <v>2026年</v>
      </c>
      <c r="B1116" s="3" t="str">
        <f t="shared" si="73"/>
        <v>1月</v>
      </c>
      <c r="C1116" s="4" t="str">
        <f t="shared" si="74"/>
        <v>W5</v>
      </c>
      <c r="D1116" s="2" t="s">
        <v>767</v>
      </c>
      <c r="E1116" s="2" t="s">
        <v>816</v>
      </c>
      <c r="F1116" s="2" t="str" cm="1">
        <f t="array" ref="F1116">INDEX(_xlfn.TEXTSPLIT(E1116,"-"),2)</f>
        <v>男装</v>
      </c>
      <c r="G1116" s="2" t="str" cm="1">
        <f t="array" ref="G1116">INDEX(_xlfn.TEXTSPLIT(E1116,"-"),3)</f>
        <v>棉衣</v>
      </c>
      <c r="H1116" s="5">
        <v>363120</v>
      </c>
      <c r="I1116" s="5">
        <v>46963053.88</v>
      </c>
      <c r="J1116" s="6">
        <v>0.0588</v>
      </c>
      <c r="K1116" s="6">
        <v>0.1135</v>
      </c>
    </row>
    <row r="1117" ht="14.5" spans="1:11">
      <c r="A1117" s="3" t="str">
        <f t="shared" si="72"/>
        <v>2026年</v>
      </c>
      <c r="B1117" s="3" t="str">
        <f t="shared" si="73"/>
        <v>1月</v>
      </c>
      <c r="C1117" s="4" t="str">
        <f t="shared" si="74"/>
        <v>W5</v>
      </c>
      <c r="D1117" s="2" t="s">
        <v>767</v>
      </c>
      <c r="E1117" s="2" t="s">
        <v>817</v>
      </c>
      <c r="F1117" s="2" t="str" cm="1">
        <f t="array" ref="F1117">INDEX(_xlfn.TEXTSPLIT(E1117,"-"),2)</f>
        <v>男装</v>
      </c>
      <c r="G1117" s="2" t="str" cm="1">
        <f t="array" ref="G1117">INDEX(_xlfn.TEXTSPLIT(E1117,"-"),3)</f>
        <v>棉裤</v>
      </c>
      <c r="H1117" s="5">
        <v>16754</v>
      </c>
      <c r="I1117" s="5">
        <v>1270316.39</v>
      </c>
      <c r="J1117" s="6">
        <v>0.0016</v>
      </c>
      <c r="K1117" s="6">
        <v>-0.0758</v>
      </c>
    </row>
    <row r="1118" ht="14.5" spans="1:11">
      <c r="A1118" s="3" t="str">
        <f t="shared" si="72"/>
        <v>2026年</v>
      </c>
      <c r="B1118" s="3" t="str">
        <f t="shared" si="73"/>
        <v>1月</v>
      </c>
      <c r="C1118" s="4" t="str">
        <f t="shared" si="74"/>
        <v>W5</v>
      </c>
      <c r="D1118" s="2" t="s">
        <v>767</v>
      </c>
      <c r="E1118" s="2" t="s">
        <v>818</v>
      </c>
      <c r="F1118" s="2" t="str" cm="1">
        <f t="array" ref="F1118">INDEX(_xlfn.TEXTSPLIT(E1118,"-"),2)</f>
        <v>男装</v>
      </c>
      <c r="G1118" s="2" t="str" cm="1">
        <f t="array" ref="G1118">INDEX(_xlfn.TEXTSPLIT(E1118,"-"),3)</f>
        <v>毛呢大衣</v>
      </c>
      <c r="H1118" s="5">
        <v>53648</v>
      </c>
      <c r="I1118" s="5">
        <v>22744050.42</v>
      </c>
      <c r="J1118" s="6">
        <v>0.0285</v>
      </c>
      <c r="K1118" s="6">
        <v>0.0646</v>
      </c>
    </row>
    <row r="1119" ht="14.5" spans="1:11">
      <c r="A1119" s="3" t="str">
        <f t="shared" si="72"/>
        <v>2026年</v>
      </c>
      <c r="B1119" s="3" t="str">
        <f t="shared" si="73"/>
        <v>1月</v>
      </c>
      <c r="C1119" s="4" t="str">
        <f t="shared" si="74"/>
        <v>W5</v>
      </c>
      <c r="D1119" s="2" t="s">
        <v>767</v>
      </c>
      <c r="E1119" s="2" t="s">
        <v>819</v>
      </c>
      <c r="F1119" s="2" t="str" cm="1">
        <f t="array" ref="F1119">INDEX(_xlfn.TEXTSPLIT(E1119,"-"),2)</f>
        <v>男装</v>
      </c>
      <c r="G1119" s="2" t="str" cm="1">
        <f t="array" ref="G1119">INDEX(_xlfn.TEXTSPLIT(E1119,"-"),3)</f>
        <v>民族服装</v>
      </c>
      <c r="H1119" s="5">
        <v>7945</v>
      </c>
      <c r="I1119" s="5">
        <v>1802581.61</v>
      </c>
      <c r="J1119" s="6">
        <v>0.0023</v>
      </c>
      <c r="K1119" s="6">
        <v>0.0334</v>
      </c>
    </row>
    <row r="1120" ht="14.5" spans="1:11">
      <c r="A1120" s="3" t="str">
        <f t="shared" si="72"/>
        <v>2026年</v>
      </c>
      <c r="B1120" s="3" t="str">
        <f t="shared" si="73"/>
        <v>1月</v>
      </c>
      <c r="C1120" s="4" t="str">
        <f t="shared" si="74"/>
        <v>W5</v>
      </c>
      <c r="D1120" s="2" t="s">
        <v>767</v>
      </c>
      <c r="E1120" s="2" t="s">
        <v>820</v>
      </c>
      <c r="F1120" s="2" t="str" cm="1">
        <f t="array" ref="F1120">INDEX(_xlfn.TEXTSPLIT(E1120,"-"),2)</f>
        <v>男装</v>
      </c>
      <c r="G1120" s="2" t="str" cm="1">
        <f t="array" ref="G1120">INDEX(_xlfn.TEXTSPLIT(E1120,"-"),3)</f>
        <v>派克服</v>
      </c>
      <c r="H1120" s="5">
        <v>13275</v>
      </c>
      <c r="I1120" s="5">
        <v>2837800.22</v>
      </c>
      <c r="J1120" s="6">
        <v>0.0036</v>
      </c>
      <c r="K1120" s="6">
        <v>0.0616</v>
      </c>
    </row>
    <row r="1121" ht="14.5" spans="1:11">
      <c r="A1121" s="3" t="str">
        <f t="shared" si="72"/>
        <v>2026年</v>
      </c>
      <c r="B1121" s="3" t="str">
        <f t="shared" si="73"/>
        <v>1月</v>
      </c>
      <c r="C1121" s="4" t="str">
        <f t="shared" si="74"/>
        <v>W5</v>
      </c>
      <c r="D1121" s="2" t="s">
        <v>767</v>
      </c>
      <c r="E1121" s="2" t="s">
        <v>821</v>
      </c>
      <c r="F1121" s="2" t="str" cm="1">
        <f t="array" ref="F1121">INDEX(_xlfn.TEXTSPLIT(E1121,"-"),2)</f>
        <v>男装</v>
      </c>
      <c r="G1121" s="2" t="str" cm="1">
        <f t="array" ref="G1121">INDEX(_xlfn.TEXTSPLIT(E1121,"-"),3)</f>
        <v>牛仔裤</v>
      </c>
      <c r="H1121" s="5">
        <v>608510</v>
      </c>
      <c r="I1121" s="5">
        <v>68992897.2</v>
      </c>
      <c r="J1121" s="6">
        <v>0.0864</v>
      </c>
      <c r="K1121" s="6">
        <v>0.0543</v>
      </c>
    </row>
    <row r="1122" ht="14.5" spans="1:11">
      <c r="A1122" s="3" t="str">
        <f t="shared" si="72"/>
        <v>2026年</v>
      </c>
      <c r="B1122" s="3" t="str">
        <f t="shared" si="73"/>
        <v>1月</v>
      </c>
      <c r="C1122" s="4" t="str">
        <f t="shared" si="74"/>
        <v>W5</v>
      </c>
      <c r="D1122" s="2" t="s">
        <v>767</v>
      </c>
      <c r="E1122" s="2" t="s">
        <v>822</v>
      </c>
      <c r="F1122" s="2" t="str" cm="1">
        <f t="array" ref="F1122">INDEX(_xlfn.TEXTSPLIT(E1122,"-"),2)</f>
        <v>男装</v>
      </c>
      <c r="G1122" s="2" t="str" cm="1">
        <f t="array" ref="G1122">INDEX(_xlfn.TEXTSPLIT(E1122,"-"),3)</f>
        <v>皮草</v>
      </c>
      <c r="H1122" s="5">
        <v>6875</v>
      </c>
      <c r="I1122" s="5">
        <v>5629926.62</v>
      </c>
      <c r="J1122" s="6">
        <v>0.0071</v>
      </c>
      <c r="K1122" s="6">
        <v>0.0279</v>
      </c>
    </row>
    <row r="1123" ht="14.5" spans="1:11">
      <c r="A1123" s="3" t="str">
        <f t="shared" si="72"/>
        <v>2026年</v>
      </c>
      <c r="B1123" s="3" t="str">
        <f t="shared" si="73"/>
        <v>1月</v>
      </c>
      <c r="C1123" s="4" t="str">
        <f t="shared" si="74"/>
        <v>W5</v>
      </c>
      <c r="D1123" s="2" t="s">
        <v>767</v>
      </c>
      <c r="E1123" s="2" t="s">
        <v>823</v>
      </c>
      <c r="F1123" s="2" t="str" cm="1">
        <f t="array" ref="F1123">INDEX(_xlfn.TEXTSPLIT(E1123,"-"),2)</f>
        <v>男装</v>
      </c>
      <c r="G1123" s="2" t="str" cm="1">
        <f t="array" ref="G1123">INDEX(_xlfn.TEXTSPLIT(E1123,"-"),3)</f>
        <v>皮衣</v>
      </c>
      <c r="H1123" s="5">
        <v>57481</v>
      </c>
      <c r="I1123" s="5">
        <v>25390807.42</v>
      </c>
      <c r="J1123" s="6">
        <v>0.0318</v>
      </c>
      <c r="K1123" s="6">
        <v>0.0498</v>
      </c>
    </row>
    <row r="1124" ht="14.5" spans="1:11">
      <c r="A1124" s="3" t="str">
        <f t="shared" si="72"/>
        <v>2026年</v>
      </c>
      <c r="B1124" s="3" t="str">
        <f t="shared" si="73"/>
        <v>1月</v>
      </c>
      <c r="C1124" s="4" t="str">
        <f t="shared" si="74"/>
        <v>W5</v>
      </c>
      <c r="D1124" s="2" t="s">
        <v>767</v>
      </c>
      <c r="E1124" s="2" t="s">
        <v>824</v>
      </c>
      <c r="F1124" s="2" t="str" cm="1">
        <f t="array" ref="F1124">INDEX(_xlfn.TEXTSPLIT(E1124,"-"),2)</f>
        <v>男装</v>
      </c>
      <c r="G1124" s="2" t="str" cm="1">
        <f t="array" ref="G1124">INDEX(_xlfn.TEXTSPLIT(E1124,"-"),3)</f>
        <v>皮裤</v>
      </c>
      <c r="H1124" s="5">
        <v>2132</v>
      </c>
      <c r="I1124" s="5">
        <v>369228.7</v>
      </c>
      <c r="J1124" s="6">
        <v>0.0005</v>
      </c>
      <c r="K1124" s="6">
        <v>0.3458</v>
      </c>
    </row>
    <row r="1125" ht="14.5" spans="1:11">
      <c r="A1125" s="3" t="str">
        <f t="shared" si="72"/>
        <v>2026年</v>
      </c>
      <c r="B1125" s="3" t="str">
        <f t="shared" si="73"/>
        <v>1月</v>
      </c>
      <c r="C1125" s="4" t="str">
        <f t="shared" si="74"/>
        <v>W5</v>
      </c>
      <c r="D1125" s="2" t="s">
        <v>767</v>
      </c>
      <c r="E1125" s="2" t="s">
        <v>825</v>
      </c>
      <c r="F1125" s="2" t="str" cm="1">
        <f t="array" ref="F1125">INDEX(_xlfn.TEXTSPLIT(E1125,"-"),2)</f>
        <v>男装</v>
      </c>
      <c r="G1125" s="2" t="str" cm="1">
        <f t="array" ref="G1125">INDEX(_xlfn.TEXTSPLIT(E1125,"-"),3)</f>
        <v>短外套</v>
      </c>
      <c r="H1125" s="5">
        <v>27383</v>
      </c>
      <c r="I1125" s="5">
        <v>2788219.22</v>
      </c>
      <c r="J1125" s="6">
        <v>0.0035</v>
      </c>
      <c r="K1125" s="6">
        <v>-0.2104</v>
      </c>
    </row>
    <row r="1126" ht="14.5" spans="1:11">
      <c r="A1126" s="3" t="str">
        <f t="shared" si="72"/>
        <v>2026年</v>
      </c>
      <c r="B1126" s="3" t="str">
        <f t="shared" si="73"/>
        <v>1月</v>
      </c>
      <c r="C1126" s="4" t="str">
        <f t="shared" si="74"/>
        <v>W5</v>
      </c>
      <c r="D1126" s="2" t="s">
        <v>767</v>
      </c>
      <c r="E1126" s="2" t="s">
        <v>826</v>
      </c>
      <c r="F1126" s="2" t="str" cm="1">
        <f t="array" ref="F1126">INDEX(_xlfn.TEXTSPLIT(E1126,"-"),2)</f>
        <v>男装</v>
      </c>
      <c r="G1126" s="2" t="str" cm="1">
        <f t="array" ref="G1126">INDEX(_xlfn.TEXTSPLIT(E1126,"-"),3)</f>
        <v>短裤</v>
      </c>
      <c r="H1126" s="5">
        <v>48134</v>
      </c>
      <c r="I1126" s="5">
        <v>1716141.02</v>
      </c>
      <c r="J1126" s="6">
        <v>0.0022</v>
      </c>
      <c r="K1126" s="6">
        <v>-0.068</v>
      </c>
    </row>
    <row r="1127" ht="14.5" spans="1:11">
      <c r="A1127" s="3" t="str">
        <f t="shared" si="72"/>
        <v>2026年</v>
      </c>
      <c r="B1127" s="3" t="str">
        <f t="shared" si="73"/>
        <v>1月</v>
      </c>
      <c r="C1127" s="4" t="str">
        <f t="shared" si="74"/>
        <v>W5</v>
      </c>
      <c r="D1127" s="2" t="s">
        <v>767</v>
      </c>
      <c r="E1127" s="2" t="s">
        <v>827</v>
      </c>
      <c r="F1127" s="2" t="str" cm="1">
        <f t="array" ref="F1127">INDEX(_xlfn.TEXTSPLIT(E1127,"-"),2)</f>
        <v>男装</v>
      </c>
      <c r="G1127" s="2" t="str" cm="1">
        <f t="array" ref="G1127">INDEX(_xlfn.TEXTSPLIT(E1127,"-"),3)</f>
        <v>紧身衣</v>
      </c>
      <c r="H1127" s="5">
        <v>92</v>
      </c>
      <c r="I1127" s="5">
        <v>3572.02</v>
      </c>
      <c r="J1127" s="2" t="s">
        <v>713</v>
      </c>
      <c r="K1127" s="6">
        <v>-0.4614</v>
      </c>
    </row>
    <row r="1128" ht="14.5" spans="1:11">
      <c r="A1128" s="3" t="str">
        <f t="shared" si="72"/>
        <v>2026年</v>
      </c>
      <c r="B1128" s="3" t="str">
        <f t="shared" si="73"/>
        <v>1月</v>
      </c>
      <c r="C1128" s="4" t="str">
        <f t="shared" si="74"/>
        <v>W5</v>
      </c>
      <c r="D1128" s="2" t="s">
        <v>767</v>
      </c>
      <c r="E1128" s="2" t="s">
        <v>828</v>
      </c>
      <c r="F1128" s="2" t="str" cm="1">
        <f t="array" ref="F1128">INDEX(_xlfn.TEXTSPLIT(E1128,"-"),2)</f>
        <v>男装</v>
      </c>
      <c r="G1128" s="2" t="str" cm="1">
        <f t="array" ref="G1128">INDEX(_xlfn.TEXTSPLIT(E1128,"-"),3)</f>
        <v>羊毛衫</v>
      </c>
      <c r="H1128" s="5">
        <v>95259</v>
      </c>
      <c r="I1128" s="5">
        <v>14126580.56</v>
      </c>
      <c r="J1128" s="6">
        <v>0.0177</v>
      </c>
      <c r="K1128" s="6">
        <v>-0.0526</v>
      </c>
    </row>
    <row r="1129" ht="14.5" spans="1:11">
      <c r="A1129" s="3" t="str">
        <f t="shared" si="72"/>
        <v>2026年</v>
      </c>
      <c r="B1129" s="3" t="str">
        <f t="shared" si="73"/>
        <v>1月</v>
      </c>
      <c r="C1129" s="4" t="str">
        <f t="shared" si="74"/>
        <v>W5</v>
      </c>
      <c r="D1129" s="2" t="s">
        <v>767</v>
      </c>
      <c r="E1129" s="2" t="s">
        <v>829</v>
      </c>
      <c r="F1129" s="2" t="str" cm="1">
        <f t="array" ref="F1129">INDEX(_xlfn.TEXTSPLIT(E1129,"-"),2)</f>
        <v>男装</v>
      </c>
      <c r="G1129" s="2" t="str" cm="1">
        <f t="array" ref="G1129">INDEX(_xlfn.TEXTSPLIT(E1129,"-"),3)</f>
        <v>羊绒衫</v>
      </c>
      <c r="H1129" s="5">
        <v>19306</v>
      </c>
      <c r="I1129" s="5">
        <v>5922497.99</v>
      </c>
      <c r="J1129" s="6">
        <v>0.0074</v>
      </c>
      <c r="K1129" s="6">
        <v>0.0714</v>
      </c>
    </row>
    <row r="1130" ht="14.5" spans="1:11">
      <c r="A1130" s="3" t="str">
        <f t="shared" si="72"/>
        <v>2026年</v>
      </c>
      <c r="B1130" s="3" t="str">
        <f t="shared" si="73"/>
        <v>1月</v>
      </c>
      <c r="C1130" s="4" t="str">
        <f t="shared" si="74"/>
        <v>W5</v>
      </c>
      <c r="D1130" s="2" t="s">
        <v>767</v>
      </c>
      <c r="E1130" s="2" t="s">
        <v>830</v>
      </c>
      <c r="F1130" s="2" t="str" cm="1">
        <f t="array" ref="F1130">INDEX(_xlfn.TEXTSPLIT(E1130,"-"),2)</f>
        <v>男装</v>
      </c>
      <c r="G1130" s="2" t="str" cm="1">
        <f t="array" ref="G1130">INDEX(_xlfn.TEXTSPLIT(E1130,"-"),3)</f>
        <v>羽绒服</v>
      </c>
      <c r="H1130" s="5">
        <v>609091</v>
      </c>
      <c r="I1130" s="5">
        <v>218461949.61</v>
      </c>
      <c r="J1130" s="6">
        <v>0.2737</v>
      </c>
      <c r="K1130" s="6">
        <v>0.086</v>
      </c>
    </row>
    <row r="1131" ht="14.5" spans="1:11">
      <c r="A1131" s="3" t="str">
        <f t="shared" si="72"/>
        <v>2026年</v>
      </c>
      <c r="B1131" s="3" t="str">
        <f t="shared" si="73"/>
        <v>1月</v>
      </c>
      <c r="C1131" s="4" t="str">
        <f t="shared" si="74"/>
        <v>W5</v>
      </c>
      <c r="D1131" s="2" t="s">
        <v>767</v>
      </c>
      <c r="E1131" s="2" t="s">
        <v>831</v>
      </c>
      <c r="F1131" s="2" t="str" cm="1">
        <f t="array" ref="F1131">INDEX(_xlfn.TEXTSPLIT(E1131,"-"),2)</f>
        <v>男装</v>
      </c>
      <c r="G1131" s="2" t="str" cm="1">
        <f t="array" ref="G1131">INDEX(_xlfn.TEXTSPLIT(E1131,"-"),3)</f>
        <v>羽绒裤</v>
      </c>
      <c r="H1131" s="5">
        <v>9134</v>
      </c>
      <c r="I1131" s="5">
        <v>1288414.72</v>
      </c>
      <c r="J1131" s="6">
        <v>0.0016</v>
      </c>
      <c r="K1131" s="6">
        <v>0.0377</v>
      </c>
    </row>
    <row r="1132" ht="14.5" spans="1:11">
      <c r="A1132" s="3" t="str">
        <f t="shared" si="72"/>
        <v>2026年</v>
      </c>
      <c r="B1132" s="3" t="str">
        <f t="shared" si="73"/>
        <v>1月</v>
      </c>
      <c r="C1132" s="4" t="str">
        <f t="shared" si="74"/>
        <v>W5</v>
      </c>
      <c r="D1132" s="2" t="s">
        <v>767</v>
      </c>
      <c r="E1132" s="2" t="s">
        <v>832</v>
      </c>
      <c r="F1132" s="2" t="str" cm="1">
        <f t="array" ref="F1132">INDEX(_xlfn.TEXTSPLIT(E1132,"-"),2)</f>
        <v>男装</v>
      </c>
      <c r="G1132" s="2" t="str" cm="1">
        <f t="array" ref="G1132">INDEX(_xlfn.TEXTSPLIT(E1132,"-"),3)</f>
        <v>羽绒马甲</v>
      </c>
      <c r="H1132" s="5">
        <v>11557</v>
      </c>
      <c r="I1132" s="5">
        <v>2448104.67</v>
      </c>
      <c r="J1132" s="6">
        <v>0.0031</v>
      </c>
      <c r="K1132" s="6">
        <v>-0.0107</v>
      </c>
    </row>
    <row r="1133" ht="14.5" spans="1:11">
      <c r="A1133" s="3" t="str">
        <f t="shared" si="72"/>
        <v>2026年</v>
      </c>
      <c r="B1133" s="3" t="str">
        <f t="shared" si="73"/>
        <v>1月</v>
      </c>
      <c r="C1133" s="4" t="str">
        <f t="shared" si="74"/>
        <v>W5</v>
      </c>
      <c r="D1133" s="2" t="s">
        <v>767</v>
      </c>
      <c r="E1133" s="2" t="s">
        <v>833</v>
      </c>
      <c r="F1133" s="2" t="str" cm="1">
        <f t="array" ref="F1133">INDEX(_xlfn.TEXTSPLIT(E1133,"-"),2)</f>
        <v>男装</v>
      </c>
      <c r="G1133" s="2" t="str" cm="1">
        <f t="array" ref="G1133">INDEX(_xlfn.TEXTSPLIT(E1133,"-"),3)</f>
        <v>背心</v>
      </c>
      <c r="H1133" s="5">
        <v>32132</v>
      </c>
      <c r="I1133" s="5">
        <v>2019760.6</v>
      </c>
      <c r="J1133" s="6">
        <v>0.0025</v>
      </c>
      <c r="K1133" s="6">
        <v>0.0735</v>
      </c>
    </row>
    <row r="1134" ht="14.5" spans="1:11">
      <c r="A1134" s="3" t="str">
        <f t="shared" si="72"/>
        <v>2026年</v>
      </c>
      <c r="B1134" s="3" t="str">
        <f t="shared" si="73"/>
        <v>1月</v>
      </c>
      <c r="C1134" s="4" t="str">
        <f t="shared" si="74"/>
        <v>W5</v>
      </c>
      <c r="D1134" s="2" t="s">
        <v>767</v>
      </c>
      <c r="E1134" s="2" t="s">
        <v>834</v>
      </c>
      <c r="F1134" s="2" t="str" cm="1">
        <f t="array" ref="F1134">INDEX(_xlfn.TEXTSPLIT(E1134,"-"),2)</f>
        <v>男装</v>
      </c>
      <c r="G1134" s="2" t="str" cm="1">
        <f t="array" ref="G1134">INDEX(_xlfn.TEXTSPLIT(E1134,"-"),3)</f>
        <v>衬衫</v>
      </c>
      <c r="H1134" s="5">
        <v>85038</v>
      </c>
      <c r="I1134" s="5">
        <v>10704831.67</v>
      </c>
      <c r="J1134" s="6">
        <v>0.0134</v>
      </c>
      <c r="K1134" s="6">
        <v>-0.0157</v>
      </c>
    </row>
    <row r="1135" ht="14.5" spans="1:11">
      <c r="A1135" s="3" t="str">
        <f t="shared" si="72"/>
        <v>2026年</v>
      </c>
      <c r="B1135" s="3" t="str">
        <f t="shared" si="73"/>
        <v>1月</v>
      </c>
      <c r="C1135" s="4" t="str">
        <f t="shared" si="74"/>
        <v>W5</v>
      </c>
      <c r="D1135" s="2" t="s">
        <v>767</v>
      </c>
      <c r="E1135" s="2" t="s">
        <v>835</v>
      </c>
      <c r="F1135" s="2" t="str" cm="1">
        <f t="array" ref="F1135">INDEX(_xlfn.TEXTSPLIT(E1135,"-"),2)</f>
        <v>男装</v>
      </c>
      <c r="G1135" s="2" t="str" cm="1">
        <f t="array" ref="G1135">INDEX(_xlfn.TEXTSPLIT(E1135,"-"),3)</f>
        <v>西服</v>
      </c>
      <c r="H1135" s="5">
        <v>85844</v>
      </c>
      <c r="I1135" s="5">
        <v>17203036.56</v>
      </c>
      <c r="J1135" s="6">
        <v>0.0216</v>
      </c>
      <c r="K1135" s="6">
        <v>0.002</v>
      </c>
    </row>
    <row r="1136" ht="14.5" spans="1:11">
      <c r="A1136" s="3" t="str">
        <f t="shared" si="72"/>
        <v>2026年</v>
      </c>
      <c r="B1136" s="3" t="str">
        <f t="shared" si="73"/>
        <v>1月</v>
      </c>
      <c r="C1136" s="4" t="str">
        <f t="shared" si="74"/>
        <v>W5</v>
      </c>
      <c r="D1136" s="2" t="s">
        <v>767</v>
      </c>
      <c r="E1136" s="2" t="s">
        <v>836</v>
      </c>
      <c r="F1136" s="2" t="str" cm="1">
        <f t="array" ref="F1136">INDEX(_xlfn.TEXTSPLIT(E1136,"-"),2)</f>
        <v>男装</v>
      </c>
      <c r="G1136" s="2" t="str" cm="1">
        <f t="array" ref="G1136">INDEX(_xlfn.TEXTSPLIT(E1136,"-"),3)</f>
        <v>连体衣/裤</v>
      </c>
      <c r="H1136" s="5">
        <v>1239</v>
      </c>
      <c r="I1136" s="5">
        <v>34731.59</v>
      </c>
      <c r="J1136" s="2" t="s">
        <v>713</v>
      </c>
      <c r="K1136" s="6">
        <v>0.304</v>
      </c>
    </row>
    <row r="1137" ht="14.5" spans="1:11">
      <c r="A1137" s="3" t="str">
        <f t="shared" si="72"/>
        <v>2026年</v>
      </c>
      <c r="B1137" s="3" t="str">
        <f t="shared" si="73"/>
        <v>1月</v>
      </c>
      <c r="C1137" s="4" t="str">
        <f t="shared" si="74"/>
        <v>W5</v>
      </c>
      <c r="D1137" s="2" t="s">
        <v>767</v>
      </c>
      <c r="E1137" s="2" t="s">
        <v>837</v>
      </c>
      <c r="F1137" s="2" t="str" cm="1">
        <f t="array" ref="F1137">INDEX(_xlfn.TEXTSPLIT(E1137,"-"),2)</f>
        <v>男装</v>
      </c>
      <c r="G1137" s="2" t="str" cm="1">
        <f t="array" ref="G1137">INDEX(_xlfn.TEXTSPLIT(E1137,"-"),3)</f>
        <v>速干/三防T恤</v>
      </c>
      <c r="H1137" s="5">
        <v>451</v>
      </c>
      <c r="I1137" s="5">
        <v>43016.36</v>
      </c>
      <c r="J1137" s="6">
        <v>0.0001</v>
      </c>
      <c r="K1137" s="6">
        <v>-0.2588</v>
      </c>
    </row>
    <row r="1138" ht="14.5" spans="1:11">
      <c r="A1138" s="3" t="str">
        <f t="shared" si="72"/>
        <v>2026年</v>
      </c>
      <c r="B1138" s="3" t="str">
        <f t="shared" si="73"/>
        <v>1月</v>
      </c>
      <c r="C1138" s="4" t="str">
        <f t="shared" si="74"/>
        <v>W5</v>
      </c>
      <c r="D1138" s="2" t="s">
        <v>767</v>
      </c>
      <c r="E1138" s="2" t="s">
        <v>838</v>
      </c>
      <c r="F1138" s="2" t="str" cm="1">
        <f t="array" ref="F1138">INDEX(_xlfn.TEXTSPLIT(E1138,"-"),2)</f>
        <v>男装</v>
      </c>
      <c r="G1138" s="2" t="str" cm="1">
        <f t="array" ref="G1138">INDEX(_xlfn.TEXTSPLIT(E1138,"-"),3)</f>
        <v>针织衫/毛衣</v>
      </c>
      <c r="H1138" s="5">
        <v>402466</v>
      </c>
      <c r="I1138" s="5">
        <v>47878869.85</v>
      </c>
      <c r="J1138" s="7">
        <v>0.06</v>
      </c>
      <c r="K1138" s="6">
        <v>0.1488</v>
      </c>
    </row>
    <row r="1139" ht="14.5" spans="1:11">
      <c r="A1139" s="3" t="str">
        <f t="shared" si="72"/>
        <v>2026年</v>
      </c>
      <c r="B1139" s="3" t="str">
        <f t="shared" si="73"/>
        <v>1月</v>
      </c>
      <c r="C1139" s="4" t="str">
        <f t="shared" si="74"/>
        <v>W5</v>
      </c>
      <c r="D1139" s="2" t="s">
        <v>767</v>
      </c>
      <c r="E1139" s="2" t="s">
        <v>839</v>
      </c>
      <c r="F1139" s="2" t="str" cm="1">
        <f t="array" ref="F1139">INDEX(_xlfn.TEXTSPLIT(E1139,"-"),2)</f>
        <v>男装</v>
      </c>
      <c r="G1139" s="2" t="str" cm="1">
        <f t="array" ref="G1139">INDEX(_xlfn.TEXTSPLIT(E1139,"-"),3)</f>
        <v>防晒服</v>
      </c>
      <c r="H1139" s="5">
        <v>174</v>
      </c>
      <c r="I1139" s="5">
        <v>14331.95</v>
      </c>
      <c r="J1139" s="2" t="s">
        <v>713</v>
      </c>
      <c r="K1139" s="6">
        <v>0.1884</v>
      </c>
    </row>
    <row r="1140" ht="14.5" spans="1:11">
      <c r="A1140" s="3" t="str">
        <f t="shared" si="72"/>
        <v>2026年</v>
      </c>
      <c r="B1140" s="3" t="str">
        <f t="shared" si="73"/>
        <v>1月</v>
      </c>
      <c r="C1140" s="4" t="str">
        <f t="shared" si="74"/>
        <v>W5</v>
      </c>
      <c r="D1140" s="2" t="s">
        <v>767</v>
      </c>
      <c r="E1140" s="2" t="s">
        <v>840</v>
      </c>
      <c r="F1140" s="2" t="str" cm="1">
        <f t="array" ref="F1140">INDEX(_xlfn.TEXTSPLIT(E1140,"-"),2)</f>
        <v>男装</v>
      </c>
      <c r="G1140" s="2" t="str" cm="1">
        <f t="array" ref="G1140">INDEX(_xlfn.TEXTSPLIT(E1140,"-"),3)</f>
        <v>风衣</v>
      </c>
      <c r="H1140" s="5">
        <v>6722</v>
      </c>
      <c r="I1140" s="5">
        <v>2324439.15</v>
      </c>
      <c r="J1140" s="6">
        <v>0.0029</v>
      </c>
      <c r="K1140" s="6">
        <v>0.2957</v>
      </c>
    </row>
    <row r="1141" ht="14.5" spans="1:11">
      <c r="A1141" s="3" t="str">
        <f t="shared" si="72"/>
        <v>2026年</v>
      </c>
      <c r="B1141" s="3" t="str">
        <f t="shared" si="73"/>
        <v>1月</v>
      </c>
      <c r="C1141" s="4" t="str">
        <f t="shared" si="74"/>
        <v>W5</v>
      </c>
      <c r="D1141" s="2" t="s">
        <v>767</v>
      </c>
      <c r="E1141" s="2" t="s">
        <v>841</v>
      </c>
      <c r="F1141" s="2" t="str" cm="1">
        <f t="array" ref="F1141">INDEX(_xlfn.TEXTSPLIT(E1141,"-"),2)</f>
        <v>男装</v>
      </c>
      <c r="G1141" s="2" t="str" cm="1">
        <f t="array" ref="G1141">INDEX(_xlfn.TEXTSPLIT(E1141,"-"),3)</f>
        <v>马甲</v>
      </c>
      <c r="H1141" s="5">
        <v>36519</v>
      </c>
      <c r="I1141" s="5">
        <v>3572625.92</v>
      </c>
      <c r="J1141" s="6">
        <v>0.0045</v>
      </c>
      <c r="K1141" s="6">
        <v>-0.0151</v>
      </c>
    </row>
    <row r="1142" ht="14.5" spans="1:11">
      <c r="A1142" s="3" t="str">
        <f t="shared" ref="A1142:A1179" si="75">TEXT(YEAR(D1142),"0")&amp;"年"</f>
        <v>2026年</v>
      </c>
      <c r="B1142" s="3" t="str">
        <f t="shared" ref="B1142:B1179" si="76">TEXT(MONTH(D1142),"0")&amp;"月"</f>
        <v>1月</v>
      </c>
      <c r="C1142" s="4" t="str">
        <f t="shared" ref="C1142:C1179" si="77">"W"&amp;TEXT(WEEKNUM(D1142,2),"0")</f>
        <v>W5</v>
      </c>
      <c r="D1142" s="2" t="s">
        <v>768</v>
      </c>
      <c r="E1142" s="2" t="s">
        <v>804</v>
      </c>
      <c r="F1142" s="2" t="str" cm="1">
        <f t="array" ref="F1142">INDEX(_xlfn.TEXTSPLIT(E1142,"-"),2)</f>
        <v>男装</v>
      </c>
      <c r="G1142" s="2" t="str" cm="1">
        <f t="array" ref="G1142">INDEX(_xlfn.TEXTSPLIT(E1142,"-"),3)</f>
        <v>Polo衫</v>
      </c>
      <c r="H1142" s="5">
        <v>36177</v>
      </c>
      <c r="I1142" s="5">
        <v>3101982.32</v>
      </c>
      <c r="J1142" s="6">
        <v>0.0053</v>
      </c>
      <c r="K1142" s="6">
        <v>-0.3384</v>
      </c>
    </row>
    <row r="1143" ht="14.5" spans="1:11">
      <c r="A1143" s="3" t="str">
        <f t="shared" si="75"/>
        <v>2026年</v>
      </c>
      <c r="B1143" s="3" t="str">
        <f t="shared" si="76"/>
        <v>1月</v>
      </c>
      <c r="C1143" s="4" t="str">
        <f t="shared" si="77"/>
        <v>W5</v>
      </c>
      <c r="D1143" s="2" t="s">
        <v>768</v>
      </c>
      <c r="E1143" s="2" t="s">
        <v>805</v>
      </c>
      <c r="F1143" s="2" t="str" cm="1">
        <f t="array" ref="F1143">INDEX(_xlfn.TEXTSPLIT(E1143,"-"),2)</f>
        <v>男装</v>
      </c>
      <c r="G1143" s="2" t="str" cm="1">
        <f t="array" ref="G1143">INDEX(_xlfn.TEXTSPLIT(E1143,"-"),3)</f>
        <v>T恤</v>
      </c>
      <c r="H1143" s="5">
        <v>279495</v>
      </c>
      <c r="I1143" s="5">
        <v>21084245.26</v>
      </c>
      <c r="J1143" s="6">
        <v>0.0357</v>
      </c>
      <c r="K1143" s="6">
        <v>-0.2561</v>
      </c>
    </row>
    <row r="1144" ht="14.5" spans="1:11">
      <c r="A1144" s="3" t="str">
        <f t="shared" si="75"/>
        <v>2026年</v>
      </c>
      <c r="B1144" s="3" t="str">
        <f t="shared" si="76"/>
        <v>1月</v>
      </c>
      <c r="C1144" s="4" t="str">
        <f t="shared" si="77"/>
        <v>W5</v>
      </c>
      <c r="D1144" s="2" t="s">
        <v>768</v>
      </c>
      <c r="E1144" s="2" t="s">
        <v>806</v>
      </c>
      <c r="F1144" s="2" t="str" cm="1">
        <f t="array" ref="F1144">INDEX(_xlfn.TEXTSPLIT(E1144,"-"),2)</f>
        <v>男装</v>
      </c>
      <c r="G1144" s="2" t="str" cm="1">
        <f t="array" ref="G1144">INDEX(_xlfn.TEXTSPLIT(E1144,"-"),3)</f>
        <v>中老年男装</v>
      </c>
      <c r="H1144" s="5">
        <v>67401</v>
      </c>
      <c r="I1144" s="5">
        <v>9586744.93</v>
      </c>
      <c r="J1144" s="6">
        <v>0.0162</v>
      </c>
      <c r="K1144" s="6">
        <v>-0.489</v>
      </c>
    </row>
    <row r="1145" ht="14.5" spans="1:11">
      <c r="A1145" s="3" t="str">
        <f t="shared" si="75"/>
        <v>2026年</v>
      </c>
      <c r="B1145" s="3" t="str">
        <f t="shared" si="76"/>
        <v>1月</v>
      </c>
      <c r="C1145" s="4" t="str">
        <f t="shared" si="77"/>
        <v>W5</v>
      </c>
      <c r="D1145" s="2" t="s">
        <v>768</v>
      </c>
      <c r="E1145" s="2" t="s">
        <v>807</v>
      </c>
      <c r="F1145" s="2" t="str" cm="1">
        <f t="array" ref="F1145">INDEX(_xlfn.TEXTSPLIT(E1145,"-"),2)</f>
        <v>男装</v>
      </c>
      <c r="G1145" s="2" t="str" cm="1">
        <f t="array" ref="G1145">INDEX(_xlfn.TEXTSPLIT(E1145,"-"),3)</f>
        <v>休闲裤</v>
      </c>
      <c r="H1145" s="5">
        <v>692227</v>
      </c>
      <c r="I1145" s="5">
        <v>69586170.13</v>
      </c>
      <c r="J1145" s="6">
        <v>0.1179</v>
      </c>
      <c r="K1145" s="6">
        <v>-0.1924</v>
      </c>
    </row>
    <row r="1146" ht="14.5" spans="1:11">
      <c r="A1146" s="3" t="str">
        <f t="shared" si="75"/>
        <v>2026年</v>
      </c>
      <c r="B1146" s="3" t="str">
        <f t="shared" si="76"/>
        <v>1月</v>
      </c>
      <c r="C1146" s="4" t="str">
        <f t="shared" si="77"/>
        <v>W5</v>
      </c>
      <c r="D1146" s="2" t="s">
        <v>768</v>
      </c>
      <c r="E1146" s="2" t="s">
        <v>808</v>
      </c>
      <c r="F1146" s="2" t="str" cm="1">
        <f t="array" ref="F1146">INDEX(_xlfn.TEXTSPLIT(E1146,"-"),2)</f>
        <v>男装</v>
      </c>
      <c r="G1146" s="2" t="str" cm="1">
        <f t="array" ref="G1146">INDEX(_xlfn.TEXTSPLIT(E1146,"-"),3)</f>
        <v>卫衣</v>
      </c>
      <c r="H1146" s="5">
        <v>401335</v>
      </c>
      <c r="I1146" s="5">
        <v>33634681.72</v>
      </c>
      <c r="J1146" s="6">
        <v>0.057</v>
      </c>
      <c r="K1146" s="6">
        <v>-0.278</v>
      </c>
    </row>
    <row r="1147" ht="14.5" spans="1:11">
      <c r="A1147" s="3" t="str">
        <f t="shared" si="75"/>
        <v>2026年</v>
      </c>
      <c r="B1147" s="3" t="str">
        <f t="shared" si="76"/>
        <v>1月</v>
      </c>
      <c r="C1147" s="4" t="str">
        <f t="shared" si="77"/>
        <v>W5</v>
      </c>
      <c r="D1147" s="2" t="s">
        <v>768</v>
      </c>
      <c r="E1147" s="2" t="s">
        <v>809</v>
      </c>
      <c r="F1147" s="2" t="str" cm="1">
        <f t="array" ref="F1147">INDEX(_xlfn.TEXTSPLIT(E1147,"-"),2)</f>
        <v>男装</v>
      </c>
      <c r="G1147" s="2" t="str" cm="1">
        <f t="array" ref="G1147">INDEX(_xlfn.TEXTSPLIT(E1147,"-"),3)</f>
        <v>卫裤</v>
      </c>
      <c r="H1147" s="5">
        <v>139701</v>
      </c>
      <c r="I1147" s="5">
        <v>13559130.38</v>
      </c>
      <c r="J1147" s="6">
        <v>0.023</v>
      </c>
      <c r="K1147" s="6">
        <v>-0.2158</v>
      </c>
    </row>
    <row r="1148" ht="14.5" spans="1:11">
      <c r="A1148" s="3" t="str">
        <f t="shared" si="75"/>
        <v>2026年</v>
      </c>
      <c r="B1148" s="3" t="str">
        <f t="shared" si="76"/>
        <v>1月</v>
      </c>
      <c r="C1148" s="4" t="str">
        <f t="shared" si="77"/>
        <v>W5</v>
      </c>
      <c r="D1148" s="2" t="s">
        <v>768</v>
      </c>
      <c r="E1148" s="2" t="s">
        <v>810</v>
      </c>
      <c r="F1148" s="2" t="str" cm="1">
        <f t="array" ref="F1148">INDEX(_xlfn.TEXTSPLIT(E1148,"-"),2)</f>
        <v>男装</v>
      </c>
      <c r="G1148" s="2" t="str" cm="1">
        <f t="array" ref="G1148">INDEX(_xlfn.TEXTSPLIT(E1148,"-"),3)</f>
        <v>大码男装</v>
      </c>
      <c r="H1148" s="5">
        <v>21355</v>
      </c>
      <c r="I1148" s="5">
        <v>1908551.96</v>
      </c>
      <c r="J1148" s="6">
        <v>0.0032</v>
      </c>
      <c r="K1148" s="6">
        <v>-0.5317</v>
      </c>
    </row>
    <row r="1149" ht="14.5" spans="1:11">
      <c r="A1149" s="3" t="str">
        <f t="shared" si="75"/>
        <v>2026年</v>
      </c>
      <c r="B1149" s="3" t="str">
        <f t="shared" si="76"/>
        <v>1月</v>
      </c>
      <c r="C1149" s="4" t="str">
        <f t="shared" si="77"/>
        <v>W5</v>
      </c>
      <c r="D1149" s="2" t="s">
        <v>768</v>
      </c>
      <c r="E1149" s="2" t="s">
        <v>811</v>
      </c>
      <c r="F1149" s="2" t="str" cm="1">
        <f t="array" ref="F1149">INDEX(_xlfn.TEXTSPLIT(E1149,"-"),2)</f>
        <v>男装</v>
      </c>
      <c r="G1149" s="2" t="str" cm="1">
        <f t="array" ref="G1149">INDEX(_xlfn.TEXTSPLIT(E1149,"-"),3)</f>
        <v>夹克</v>
      </c>
      <c r="H1149" s="5">
        <v>333568</v>
      </c>
      <c r="I1149" s="5">
        <v>62620015.67</v>
      </c>
      <c r="J1149" s="6">
        <v>0.1061</v>
      </c>
      <c r="K1149" s="6">
        <v>-0.1841</v>
      </c>
    </row>
    <row r="1150" ht="14.5" spans="1:11">
      <c r="A1150" s="3" t="str">
        <f t="shared" si="75"/>
        <v>2026年</v>
      </c>
      <c r="B1150" s="3" t="str">
        <f t="shared" si="76"/>
        <v>1月</v>
      </c>
      <c r="C1150" s="4" t="str">
        <f t="shared" si="77"/>
        <v>W5</v>
      </c>
      <c r="D1150" s="2" t="s">
        <v>768</v>
      </c>
      <c r="E1150" s="2" t="s">
        <v>812</v>
      </c>
      <c r="F1150" s="2" t="str" cm="1">
        <f t="array" ref="F1150">INDEX(_xlfn.TEXTSPLIT(E1150,"-"),2)</f>
        <v>男装</v>
      </c>
      <c r="G1150" s="2" t="str" cm="1">
        <f t="array" ref="G1150">INDEX(_xlfn.TEXTSPLIT(E1150,"-"),3)</f>
        <v>套装</v>
      </c>
      <c r="H1150" s="5">
        <v>32907</v>
      </c>
      <c r="I1150" s="5">
        <v>5029785.99</v>
      </c>
      <c r="J1150" s="6">
        <v>0.0085</v>
      </c>
      <c r="K1150" s="6">
        <v>-0.3431</v>
      </c>
    </row>
    <row r="1151" ht="14.5" spans="1:11">
      <c r="A1151" s="3" t="str">
        <f t="shared" si="75"/>
        <v>2026年</v>
      </c>
      <c r="B1151" s="3" t="str">
        <f t="shared" si="76"/>
        <v>1月</v>
      </c>
      <c r="C1151" s="4" t="str">
        <f t="shared" si="77"/>
        <v>W5</v>
      </c>
      <c r="D1151" s="2" t="s">
        <v>768</v>
      </c>
      <c r="E1151" s="2" t="s">
        <v>813</v>
      </c>
      <c r="F1151" s="2" t="str" cm="1">
        <f t="array" ref="F1151">INDEX(_xlfn.TEXTSPLIT(E1151,"-"),2)</f>
        <v>男装</v>
      </c>
      <c r="G1151" s="2" t="str" cm="1">
        <f t="array" ref="G1151">INDEX(_xlfn.TEXTSPLIT(E1151,"-"),3)</f>
        <v>学生校服</v>
      </c>
      <c r="H1151" s="5">
        <v>3</v>
      </c>
      <c r="I1151" s="5">
        <v>214.83</v>
      </c>
      <c r="J1151" s="2" t="s">
        <v>713</v>
      </c>
      <c r="K1151" s="6">
        <v>-0.6098</v>
      </c>
    </row>
    <row r="1152" ht="14.5" spans="1:11">
      <c r="A1152" s="3" t="str">
        <f t="shared" si="75"/>
        <v>2026年</v>
      </c>
      <c r="B1152" s="3" t="str">
        <f t="shared" si="76"/>
        <v>1月</v>
      </c>
      <c r="C1152" s="4" t="str">
        <f t="shared" si="77"/>
        <v>W5</v>
      </c>
      <c r="D1152" s="2" t="s">
        <v>768</v>
      </c>
      <c r="E1152" s="2" t="s">
        <v>814</v>
      </c>
      <c r="F1152" s="2" t="str" cm="1">
        <f t="array" ref="F1152">INDEX(_xlfn.TEXTSPLIT(E1152,"-"),2)</f>
        <v>男装</v>
      </c>
      <c r="G1152" s="2" t="str" cm="1">
        <f t="array" ref="G1152">INDEX(_xlfn.TEXTSPLIT(E1152,"-"),3)</f>
        <v>打底衫</v>
      </c>
      <c r="H1152" s="5">
        <v>13394</v>
      </c>
      <c r="I1152" s="5">
        <v>875486.49</v>
      </c>
      <c r="J1152" s="6">
        <v>0.0015</v>
      </c>
      <c r="K1152" s="6">
        <v>-0.2981</v>
      </c>
    </row>
    <row r="1153" ht="14.5" spans="1:11">
      <c r="A1153" s="3" t="str">
        <f t="shared" si="75"/>
        <v>2026年</v>
      </c>
      <c r="B1153" s="3" t="str">
        <f t="shared" si="76"/>
        <v>1月</v>
      </c>
      <c r="C1153" s="4" t="str">
        <f t="shared" si="77"/>
        <v>W5</v>
      </c>
      <c r="D1153" s="2" t="s">
        <v>768</v>
      </c>
      <c r="E1153" s="2" t="s">
        <v>815</v>
      </c>
      <c r="F1153" s="2" t="str" cm="1">
        <f t="array" ref="F1153">INDEX(_xlfn.TEXTSPLIT(E1153,"-"),2)</f>
        <v>男装</v>
      </c>
      <c r="G1153" s="2" t="str" cm="1">
        <f t="array" ref="G1153">INDEX(_xlfn.TEXTSPLIT(E1153,"-"),3)</f>
        <v>新中式男装</v>
      </c>
      <c r="H1153" s="5">
        <v>219</v>
      </c>
      <c r="I1153" s="5">
        <v>48393.81</v>
      </c>
      <c r="J1153" s="6">
        <v>0.0001</v>
      </c>
      <c r="K1153" s="6">
        <v>-0.2407</v>
      </c>
    </row>
    <row r="1154" ht="14.5" spans="1:11">
      <c r="A1154" s="3" t="str">
        <f t="shared" si="75"/>
        <v>2026年</v>
      </c>
      <c r="B1154" s="3" t="str">
        <f t="shared" si="76"/>
        <v>1月</v>
      </c>
      <c r="C1154" s="4" t="str">
        <f t="shared" si="77"/>
        <v>W5</v>
      </c>
      <c r="D1154" s="2" t="s">
        <v>768</v>
      </c>
      <c r="E1154" s="2" t="s">
        <v>816</v>
      </c>
      <c r="F1154" s="2" t="str" cm="1">
        <f t="array" ref="F1154">INDEX(_xlfn.TEXTSPLIT(E1154,"-"),2)</f>
        <v>男装</v>
      </c>
      <c r="G1154" s="2" t="str" cm="1">
        <f t="array" ref="G1154">INDEX(_xlfn.TEXTSPLIT(E1154,"-"),3)</f>
        <v>棉衣</v>
      </c>
      <c r="H1154" s="5">
        <v>271437</v>
      </c>
      <c r="I1154" s="5">
        <v>39423357.66</v>
      </c>
      <c r="J1154" s="6">
        <v>0.0668</v>
      </c>
      <c r="K1154" s="6">
        <v>-0.1605</v>
      </c>
    </row>
    <row r="1155" ht="14.5" spans="1:11">
      <c r="A1155" s="3" t="str">
        <f t="shared" si="75"/>
        <v>2026年</v>
      </c>
      <c r="B1155" s="3" t="str">
        <f t="shared" si="76"/>
        <v>1月</v>
      </c>
      <c r="C1155" s="4" t="str">
        <f t="shared" si="77"/>
        <v>W5</v>
      </c>
      <c r="D1155" s="2" t="s">
        <v>768</v>
      </c>
      <c r="E1155" s="2" t="s">
        <v>817</v>
      </c>
      <c r="F1155" s="2" t="str" cm="1">
        <f t="array" ref="F1155">INDEX(_xlfn.TEXTSPLIT(E1155,"-"),2)</f>
        <v>男装</v>
      </c>
      <c r="G1155" s="2" t="str" cm="1">
        <f t="array" ref="G1155">INDEX(_xlfn.TEXTSPLIT(E1155,"-"),3)</f>
        <v>棉裤</v>
      </c>
      <c r="H1155" s="5">
        <v>18688</v>
      </c>
      <c r="I1155" s="5">
        <v>944055.43</v>
      </c>
      <c r="J1155" s="6">
        <v>0.0016</v>
      </c>
      <c r="K1155" s="6">
        <v>-0.2568</v>
      </c>
    </row>
    <row r="1156" ht="14.5" spans="1:11">
      <c r="A1156" s="3" t="str">
        <f t="shared" si="75"/>
        <v>2026年</v>
      </c>
      <c r="B1156" s="3" t="str">
        <f t="shared" si="76"/>
        <v>1月</v>
      </c>
      <c r="C1156" s="4" t="str">
        <f t="shared" si="77"/>
        <v>W5</v>
      </c>
      <c r="D1156" s="2" t="s">
        <v>768</v>
      </c>
      <c r="E1156" s="2" t="s">
        <v>818</v>
      </c>
      <c r="F1156" s="2" t="str" cm="1">
        <f t="array" ref="F1156">INDEX(_xlfn.TEXTSPLIT(E1156,"-"),2)</f>
        <v>男装</v>
      </c>
      <c r="G1156" s="2" t="str" cm="1">
        <f t="array" ref="G1156">INDEX(_xlfn.TEXTSPLIT(E1156,"-"),3)</f>
        <v>毛呢大衣</v>
      </c>
      <c r="H1156" s="5">
        <v>40884</v>
      </c>
      <c r="I1156" s="5">
        <v>16992395.9</v>
      </c>
      <c r="J1156" s="6">
        <v>0.0288</v>
      </c>
      <c r="K1156" s="6">
        <v>-0.2529</v>
      </c>
    </row>
    <row r="1157" ht="14.5" spans="1:11">
      <c r="A1157" s="3" t="str">
        <f t="shared" si="75"/>
        <v>2026年</v>
      </c>
      <c r="B1157" s="3" t="str">
        <f t="shared" si="76"/>
        <v>1月</v>
      </c>
      <c r="C1157" s="4" t="str">
        <f t="shared" si="77"/>
        <v>W5</v>
      </c>
      <c r="D1157" s="2" t="s">
        <v>768</v>
      </c>
      <c r="E1157" s="2" t="s">
        <v>819</v>
      </c>
      <c r="F1157" s="2" t="str" cm="1">
        <f t="array" ref="F1157">INDEX(_xlfn.TEXTSPLIT(E1157,"-"),2)</f>
        <v>男装</v>
      </c>
      <c r="G1157" s="2" t="str" cm="1">
        <f t="array" ref="G1157">INDEX(_xlfn.TEXTSPLIT(E1157,"-"),3)</f>
        <v>民族服装</v>
      </c>
      <c r="H1157" s="5">
        <v>4699</v>
      </c>
      <c r="I1157" s="5">
        <v>1053129.92</v>
      </c>
      <c r="J1157" s="6">
        <v>0.0018</v>
      </c>
      <c r="K1157" s="6">
        <v>-0.4158</v>
      </c>
    </row>
    <row r="1158" ht="14.5" spans="1:11">
      <c r="A1158" s="3" t="str">
        <f t="shared" si="75"/>
        <v>2026年</v>
      </c>
      <c r="B1158" s="3" t="str">
        <f t="shared" si="76"/>
        <v>1月</v>
      </c>
      <c r="C1158" s="4" t="str">
        <f t="shared" si="77"/>
        <v>W5</v>
      </c>
      <c r="D1158" s="2" t="s">
        <v>768</v>
      </c>
      <c r="E1158" s="2" t="s">
        <v>820</v>
      </c>
      <c r="F1158" s="2" t="str" cm="1">
        <f t="array" ref="F1158">INDEX(_xlfn.TEXTSPLIT(E1158,"-"),2)</f>
        <v>男装</v>
      </c>
      <c r="G1158" s="2" t="str" cm="1">
        <f t="array" ref="G1158">INDEX(_xlfn.TEXTSPLIT(E1158,"-"),3)</f>
        <v>派克服</v>
      </c>
      <c r="H1158" s="5">
        <v>9535</v>
      </c>
      <c r="I1158" s="5">
        <v>2218312.54</v>
      </c>
      <c r="J1158" s="6">
        <v>0.0038</v>
      </c>
      <c r="K1158" s="6">
        <v>-0.2183</v>
      </c>
    </row>
    <row r="1159" ht="14.5" spans="1:11">
      <c r="A1159" s="3" t="str">
        <f t="shared" si="75"/>
        <v>2026年</v>
      </c>
      <c r="B1159" s="3" t="str">
        <f t="shared" si="76"/>
        <v>1月</v>
      </c>
      <c r="C1159" s="4" t="str">
        <f t="shared" si="77"/>
        <v>W5</v>
      </c>
      <c r="D1159" s="2" t="s">
        <v>768</v>
      </c>
      <c r="E1159" s="2" t="s">
        <v>821</v>
      </c>
      <c r="F1159" s="2" t="str" cm="1">
        <f t="array" ref="F1159">INDEX(_xlfn.TEXTSPLIT(E1159,"-"),2)</f>
        <v>男装</v>
      </c>
      <c r="G1159" s="2" t="str" cm="1">
        <f t="array" ref="G1159">INDEX(_xlfn.TEXTSPLIT(E1159,"-"),3)</f>
        <v>牛仔裤</v>
      </c>
      <c r="H1159" s="5">
        <v>499597</v>
      </c>
      <c r="I1159" s="5">
        <v>57752265.1</v>
      </c>
      <c r="J1159" s="6">
        <v>0.0979</v>
      </c>
      <c r="K1159" s="6">
        <v>-0.1629</v>
      </c>
    </row>
    <row r="1160" ht="14.5" spans="1:11">
      <c r="A1160" s="3" t="str">
        <f t="shared" si="75"/>
        <v>2026年</v>
      </c>
      <c r="B1160" s="3" t="str">
        <f t="shared" si="76"/>
        <v>1月</v>
      </c>
      <c r="C1160" s="4" t="str">
        <f t="shared" si="77"/>
        <v>W5</v>
      </c>
      <c r="D1160" s="2" t="s">
        <v>768</v>
      </c>
      <c r="E1160" s="2" t="s">
        <v>822</v>
      </c>
      <c r="F1160" s="2" t="str" cm="1">
        <f t="array" ref="F1160">INDEX(_xlfn.TEXTSPLIT(E1160,"-"),2)</f>
        <v>男装</v>
      </c>
      <c r="G1160" s="2" t="str" cm="1">
        <f t="array" ref="G1160">INDEX(_xlfn.TEXTSPLIT(E1160,"-"),3)</f>
        <v>皮草</v>
      </c>
      <c r="H1160" s="5">
        <v>4515</v>
      </c>
      <c r="I1160" s="5">
        <v>3278418.8</v>
      </c>
      <c r="J1160" s="6">
        <v>0.0056</v>
      </c>
      <c r="K1160" s="6">
        <v>-0.4177</v>
      </c>
    </row>
    <row r="1161" ht="14.5" spans="1:11">
      <c r="A1161" s="3" t="str">
        <f t="shared" si="75"/>
        <v>2026年</v>
      </c>
      <c r="B1161" s="3" t="str">
        <f t="shared" si="76"/>
        <v>1月</v>
      </c>
      <c r="C1161" s="4" t="str">
        <f t="shared" si="77"/>
        <v>W5</v>
      </c>
      <c r="D1161" s="2" t="s">
        <v>768</v>
      </c>
      <c r="E1161" s="2" t="s">
        <v>823</v>
      </c>
      <c r="F1161" s="2" t="str" cm="1">
        <f t="array" ref="F1161">INDEX(_xlfn.TEXTSPLIT(E1161,"-"),2)</f>
        <v>男装</v>
      </c>
      <c r="G1161" s="2" t="str" cm="1">
        <f t="array" ref="G1161">INDEX(_xlfn.TEXTSPLIT(E1161,"-"),3)</f>
        <v>皮衣</v>
      </c>
      <c r="H1161" s="5">
        <v>41206</v>
      </c>
      <c r="I1161" s="5">
        <v>18081845.36</v>
      </c>
      <c r="J1161" s="6">
        <v>0.0306</v>
      </c>
      <c r="K1161" s="6">
        <v>-0.2879</v>
      </c>
    </row>
    <row r="1162" ht="14.5" spans="1:11">
      <c r="A1162" s="3" t="str">
        <f t="shared" si="75"/>
        <v>2026年</v>
      </c>
      <c r="B1162" s="3" t="str">
        <f t="shared" si="76"/>
        <v>1月</v>
      </c>
      <c r="C1162" s="4" t="str">
        <f t="shared" si="77"/>
        <v>W5</v>
      </c>
      <c r="D1162" s="2" t="s">
        <v>768</v>
      </c>
      <c r="E1162" s="2" t="s">
        <v>824</v>
      </c>
      <c r="F1162" s="2" t="str" cm="1">
        <f t="array" ref="F1162">INDEX(_xlfn.TEXTSPLIT(E1162,"-"),2)</f>
        <v>男装</v>
      </c>
      <c r="G1162" s="2" t="str" cm="1">
        <f t="array" ref="G1162">INDEX(_xlfn.TEXTSPLIT(E1162,"-"),3)</f>
        <v>皮裤</v>
      </c>
      <c r="H1162" s="5">
        <v>1738</v>
      </c>
      <c r="I1162" s="5">
        <v>326723.62</v>
      </c>
      <c r="J1162" s="6">
        <v>0.0006</v>
      </c>
      <c r="K1162" s="6">
        <v>-0.1151</v>
      </c>
    </row>
    <row r="1163" ht="14.5" spans="1:11">
      <c r="A1163" s="3" t="str">
        <f t="shared" si="75"/>
        <v>2026年</v>
      </c>
      <c r="B1163" s="3" t="str">
        <f t="shared" si="76"/>
        <v>1月</v>
      </c>
      <c r="C1163" s="4" t="str">
        <f t="shared" si="77"/>
        <v>W5</v>
      </c>
      <c r="D1163" s="2" t="s">
        <v>768</v>
      </c>
      <c r="E1163" s="2" t="s">
        <v>825</v>
      </c>
      <c r="F1163" s="2" t="str" cm="1">
        <f t="array" ref="F1163">INDEX(_xlfn.TEXTSPLIT(E1163,"-"),2)</f>
        <v>男装</v>
      </c>
      <c r="G1163" s="2" t="str" cm="1">
        <f t="array" ref="G1163">INDEX(_xlfn.TEXTSPLIT(E1163,"-"),3)</f>
        <v>短外套</v>
      </c>
      <c r="H1163" s="5">
        <v>25430</v>
      </c>
      <c r="I1163" s="5">
        <v>2985610.73</v>
      </c>
      <c r="J1163" s="6">
        <v>0.0051</v>
      </c>
      <c r="K1163" s="6">
        <v>0.0708</v>
      </c>
    </row>
    <row r="1164" ht="14.5" spans="1:11">
      <c r="A1164" s="3" t="str">
        <f t="shared" si="75"/>
        <v>2026年</v>
      </c>
      <c r="B1164" s="3" t="str">
        <f t="shared" si="76"/>
        <v>1月</v>
      </c>
      <c r="C1164" s="4" t="str">
        <f t="shared" si="77"/>
        <v>W5</v>
      </c>
      <c r="D1164" s="2" t="s">
        <v>768</v>
      </c>
      <c r="E1164" s="2" t="s">
        <v>826</v>
      </c>
      <c r="F1164" s="2" t="str" cm="1">
        <f t="array" ref="F1164">INDEX(_xlfn.TEXTSPLIT(E1164,"-"),2)</f>
        <v>男装</v>
      </c>
      <c r="G1164" s="2" t="str" cm="1">
        <f t="array" ref="G1164">INDEX(_xlfn.TEXTSPLIT(E1164,"-"),3)</f>
        <v>短裤</v>
      </c>
      <c r="H1164" s="5">
        <v>38795</v>
      </c>
      <c r="I1164" s="5">
        <v>1350196.52</v>
      </c>
      <c r="J1164" s="6">
        <v>0.0023</v>
      </c>
      <c r="K1164" s="6">
        <v>-0.2132</v>
      </c>
    </row>
    <row r="1165" ht="14.5" spans="1:11">
      <c r="A1165" s="3" t="str">
        <f t="shared" si="75"/>
        <v>2026年</v>
      </c>
      <c r="B1165" s="3" t="str">
        <f t="shared" si="76"/>
        <v>1月</v>
      </c>
      <c r="C1165" s="4" t="str">
        <f t="shared" si="77"/>
        <v>W5</v>
      </c>
      <c r="D1165" s="2" t="s">
        <v>768</v>
      </c>
      <c r="E1165" s="2" t="s">
        <v>827</v>
      </c>
      <c r="F1165" s="2" t="str" cm="1">
        <f t="array" ref="F1165">INDEX(_xlfn.TEXTSPLIT(E1165,"-"),2)</f>
        <v>男装</v>
      </c>
      <c r="G1165" s="2" t="str" cm="1">
        <f t="array" ref="G1165">INDEX(_xlfn.TEXTSPLIT(E1165,"-"),3)</f>
        <v>紧身衣</v>
      </c>
      <c r="H1165" s="5">
        <v>74</v>
      </c>
      <c r="I1165" s="5">
        <v>2812.44</v>
      </c>
      <c r="J1165" s="2" t="s">
        <v>713</v>
      </c>
      <c r="K1165" s="6">
        <v>-0.2126</v>
      </c>
    </row>
    <row r="1166" ht="14.5" spans="1:11">
      <c r="A1166" s="3" t="str">
        <f t="shared" si="75"/>
        <v>2026年</v>
      </c>
      <c r="B1166" s="3" t="str">
        <f t="shared" si="76"/>
        <v>1月</v>
      </c>
      <c r="C1166" s="4" t="str">
        <f t="shared" si="77"/>
        <v>W5</v>
      </c>
      <c r="D1166" s="2" t="s">
        <v>768</v>
      </c>
      <c r="E1166" s="2" t="s">
        <v>828</v>
      </c>
      <c r="F1166" s="2" t="str" cm="1">
        <f t="array" ref="F1166">INDEX(_xlfn.TEXTSPLIT(E1166,"-"),2)</f>
        <v>男装</v>
      </c>
      <c r="G1166" s="2" t="str" cm="1">
        <f t="array" ref="G1166">INDEX(_xlfn.TEXTSPLIT(E1166,"-"),3)</f>
        <v>羊毛衫</v>
      </c>
      <c r="H1166" s="5">
        <v>73346</v>
      </c>
      <c r="I1166" s="5">
        <v>11248938.38</v>
      </c>
      <c r="J1166" s="6">
        <v>0.0191</v>
      </c>
      <c r="K1166" s="6">
        <v>-0.2037</v>
      </c>
    </row>
    <row r="1167" ht="14.5" spans="1:11">
      <c r="A1167" s="3" t="str">
        <f t="shared" si="75"/>
        <v>2026年</v>
      </c>
      <c r="B1167" s="3" t="str">
        <f t="shared" si="76"/>
        <v>1月</v>
      </c>
      <c r="C1167" s="4" t="str">
        <f t="shared" si="77"/>
        <v>W5</v>
      </c>
      <c r="D1167" s="2" t="s">
        <v>768</v>
      </c>
      <c r="E1167" s="2" t="s">
        <v>829</v>
      </c>
      <c r="F1167" s="2" t="str" cm="1">
        <f t="array" ref="F1167">INDEX(_xlfn.TEXTSPLIT(E1167,"-"),2)</f>
        <v>男装</v>
      </c>
      <c r="G1167" s="2" t="str" cm="1">
        <f t="array" ref="G1167">INDEX(_xlfn.TEXTSPLIT(E1167,"-"),3)</f>
        <v>羊绒衫</v>
      </c>
      <c r="H1167" s="5">
        <v>13182</v>
      </c>
      <c r="I1167" s="5">
        <v>4184335.9</v>
      </c>
      <c r="J1167" s="6">
        <v>0.0071</v>
      </c>
      <c r="K1167" s="6">
        <v>-0.2935</v>
      </c>
    </row>
    <row r="1168" ht="14.5" spans="1:11">
      <c r="A1168" s="3" t="str">
        <f t="shared" si="75"/>
        <v>2026年</v>
      </c>
      <c r="B1168" s="3" t="str">
        <f t="shared" si="76"/>
        <v>1月</v>
      </c>
      <c r="C1168" s="4" t="str">
        <f t="shared" si="77"/>
        <v>W5</v>
      </c>
      <c r="D1168" s="2" t="s">
        <v>768</v>
      </c>
      <c r="E1168" s="2" t="s">
        <v>830</v>
      </c>
      <c r="F1168" s="2" t="str" cm="1">
        <f t="array" ref="F1168">INDEX(_xlfn.TEXTSPLIT(E1168,"-"),2)</f>
        <v>男装</v>
      </c>
      <c r="G1168" s="2" t="str" cm="1">
        <f t="array" ref="G1168">INDEX(_xlfn.TEXTSPLIT(E1168,"-"),3)</f>
        <v>羽绒服</v>
      </c>
      <c r="H1168" s="5">
        <v>412289</v>
      </c>
      <c r="I1168" s="5">
        <v>147147128.37</v>
      </c>
      <c r="J1168" s="6">
        <v>0.2494</v>
      </c>
      <c r="K1168" s="6">
        <v>-0.3264</v>
      </c>
    </row>
    <row r="1169" ht="14.5" spans="1:11">
      <c r="A1169" s="3" t="str">
        <f t="shared" si="75"/>
        <v>2026年</v>
      </c>
      <c r="B1169" s="3" t="str">
        <f t="shared" si="76"/>
        <v>1月</v>
      </c>
      <c r="C1169" s="4" t="str">
        <f t="shared" si="77"/>
        <v>W5</v>
      </c>
      <c r="D1169" s="2" t="s">
        <v>768</v>
      </c>
      <c r="E1169" s="2" t="s">
        <v>831</v>
      </c>
      <c r="F1169" s="2" t="str" cm="1">
        <f t="array" ref="F1169">INDEX(_xlfn.TEXTSPLIT(E1169,"-"),2)</f>
        <v>男装</v>
      </c>
      <c r="G1169" s="2" t="str" cm="1">
        <f t="array" ref="G1169">INDEX(_xlfn.TEXTSPLIT(E1169,"-"),3)</f>
        <v>羽绒裤</v>
      </c>
      <c r="H1169" s="5">
        <v>4031</v>
      </c>
      <c r="I1169" s="5">
        <v>532220.66</v>
      </c>
      <c r="J1169" s="6">
        <v>0.0009</v>
      </c>
      <c r="K1169" s="6">
        <v>-0.5869</v>
      </c>
    </row>
    <row r="1170" ht="14.5" spans="1:11">
      <c r="A1170" s="3" t="str">
        <f t="shared" si="75"/>
        <v>2026年</v>
      </c>
      <c r="B1170" s="3" t="str">
        <f t="shared" si="76"/>
        <v>1月</v>
      </c>
      <c r="C1170" s="4" t="str">
        <f t="shared" si="77"/>
        <v>W5</v>
      </c>
      <c r="D1170" s="2" t="s">
        <v>768</v>
      </c>
      <c r="E1170" s="2" t="s">
        <v>832</v>
      </c>
      <c r="F1170" s="2" t="str" cm="1">
        <f t="array" ref="F1170">INDEX(_xlfn.TEXTSPLIT(E1170,"-"),2)</f>
        <v>男装</v>
      </c>
      <c r="G1170" s="2" t="str" cm="1">
        <f t="array" ref="G1170">INDEX(_xlfn.TEXTSPLIT(E1170,"-"),3)</f>
        <v>羽绒马甲</v>
      </c>
      <c r="H1170" s="5">
        <v>7214</v>
      </c>
      <c r="I1170" s="5">
        <v>1541202.74</v>
      </c>
      <c r="J1170" s="6">
        <v>0.0026</v>
      </c>
      <c r="K1170" s="6">
        <v>-0.3705</v>
      </c>
    </row>
    <row r="1171" ht="14.5" spans="1:11">
      <c r="A1171" s="3" t="str">
        <f t="shared" si="75"/>
        <v>2026年</v>
      </c>
      <c r="B1171" s="3" t="str">
        <f t="shared" si="76"/>
        <v>1月</v>
      </c>
      <c r="C1171" s="4" t="str">
        <f t="shared" si="77"/>
        <v>W5</v>
      </c>
      <c r="D1171" s="2" t="s">
        <v>768</v>
      </c>
      <c r="E1171" s="2" t="s">
        <v>833</v>
      </c>
      <c r="F1171" s="2" t="str" cm="1">
        <f t="array" ref="F1171">INDEX(_xlfn.TEXTSPLIT(E1171,"-"),2)</f>
        <v>男装</v>
      </c>
      <c r="G1171" s="2" t="str" cm="1">
        <f t="array" ref="G1171">INDEX(_xlfn.TEXTSPLIT(E1171,"-"),3)</f>
        <v>背心</v>
      </c>
      <c r="H1171" s="5">
        <v>25930</v>
      </c>
      <c r="I1171" s="5">
        <v>1431701.38</v>
      </c>
      <c r="J1171" s="6">
        <v>0.0024</v>
      </c>
      <c r="K1171" s="6">
        <v>-0.2912</v>
      </c>
    </row>
    <row r="1172" ht="14.5" spans="1:11">
      <c r="A1172" s="3" t="str">
        <f t="shared" si="75"/>
        <v>2026年</v>
      </c>
      <c r="B1172" s="3" t="str">
        <f t="shared" si="76"/>
        <v>1月</v>
      </c>
      <c r="C1172" s="4" t="str">
        <f t="shared" si="77"/>
        <v>W5</v>
      </c>
      <c r="D1172" s="2" t="s">
        <v>768</v>
      </c>
      <c r="E1172" s="2" t="s">
        <v>834</v>
      </c>
      <c r="F1172" s="2" t="str" cm="1">
        <f t="array" ref="F1172">INDEX(_xlfn.TEXTSPLIT(E1172,"-"),2)</f>
        <v>男装</v>
      </c>
      <c r="G1172" s="2" t="str" cm="1">
        <f t="array" ref="G1172">INDEX(_xlfn.TEXTSPLIT(E1172,"-"),3)</f>
        <v>衬衫</v>
      </c>
      <c r="H1172" s="5">
        <v>64651</v>
      </c>
      <c r="I1172" s="5">
        <v>7816313.71</v>
      </c>
      <c r="J1172" s="6">
        <v>0.0132</v>
      </c>
      <c r="K1172" s="6">
        <v>-0.2698</v>
      </c>
    </row>
    <row r="1173" ht="14.5" spans="1:11">
      <c r="A1173" s="3" t="str">
        <f t="shared" si="75"/>
        <v>2026年</v>
      </c>
      <c r="B1173" s="3" t="str">
        <f t="shared" si="76"/>
        <v>1月</v>
      </c>
      <c r="C1173" s="4" t="str">
        <f t="shared" si="77"/>
        <v>W5</v>
      </c>
      <c r="D1173" s="2" t="s">
        <v>768</v>
      </c>
      <c r="E1173" s="2" t="s">
        <v>835</v>
      </c>
      <c r="F1173" s="2" t="str" cm="1">
        <f t="array" ref="F1173">INDEX(_xlfn.TEXTSPLIT(E1173,"-"),2)</f>
        <v>男装</v>
      </c>
      <c r="G1173" s="2" t="str" cm="1">
        <f t="array" ref="G1173">INDEX(_xlfn.TEXTSPLIT(E1173,"-"),3)</f>
        <v>西服</v>
      </c>
      <c r="H1173" s="5">
        <v>75240</v>
      </c>
      <c r="I1173" s="5">
        <v>13855768.07</v>
      </c>
      <c r="J1173" s="6">
        <v>0.0235</v>
      </c>
      <c r="K1173" s="6">
        <v>-0.1946</v>
      </c>
    </row>
    <row r="1174" ht="14.5" spans="1:11">
      <c r="A1174" s="3" t="str">
        <f t="shared" si="75"/>
        <v>2026年</v>
      </c>
      <c r="B1174" s="3" t="str">
        <f t="shared" si="76"/>
        <v>1月</v>
      </c>
      <c r="C1174" s="4" t="str">
        <f t="shared" si="77"/>
        <v>W5</v>
      </c>
      <c r="D1174" s="2" t="s">
        <v>768</v>
      </c>
      <c r="E1174" s="2" t="s">
        <v>836</v>
      </c>
      <c r="F1174" s="2" t="str" cm="1">
        <f t="array" ref="F1174">INDEX(_xlfn.TEXTSPLIT(E1174,"-"),2)</f>
        <v>男装</v>
      </c>
      <c r="G1174" s="2" t="str" cm="1">
        <f t="array" ref="G1174">INDEX(_xlfn.TEXTSPLIT(E1174,"-"),3)</f>
        <v>连体衣/裤</v>
      </c>
      <c r="H1174" s="5">
        <v>693</v>
      </c>
      <c r="I1174" s="5">
        <v>19166.69</v>
      </c>
      <c r="J1174" s="2" t="s">
        <v>713</v>
      </c>
      <c r="K1174" s="6">
        <v>-0.4481</v>
      </c>
    </row>
    <row r="1175" ht="14.5" spans="1:11">
      <c r="A1175" s="3" t="str">
        <f t="shared" si="75"/>
        <v>2026年</v>
      </c>
      <c r="B1175" s="3" t="str">
        <f t="shared" si="76"/>
        <v>1月</v>
      </c>
      <c r="C1175" s="4" t="str">
        <f t="shared" si="77"/>
        <v>W5</v>
      </c>
      <c r="D1175" s="2" t="s">
        <v>768</v>
      </c>
      <c r="E1175" s="2" t="s">
        <v>837</v>
      </c>
      <c r="F1175" s="2" t="str" cm="1">
        <f t="array" ref="F1175">INDEX(_xlfn.TEXTSPLIT(E1175,"-"),2)</f>
        <v>男装</v>
      </c>
      <c r="G1175" s="2" t="str" cm="1">
        <f t="array" ref="G1175">INDEX(_xlfn.TEXTSPLIT(E1175,"-"),3)</f>
        <v>速干/三防T恤</v>
      </c>
      <c r="H1175" s="5">
        <v>308</v>
      </c>
      <c r="I1175" s="5">
        <v>34675.5</v>
      </c>
      <c r="J1175" s="6">
        <v>0.0001</v>
      </c>
      <c r="K1175" s="6">
        <v>-0.1939</v>
      </c>
    </row>
    <row r="1176" ht="14.5" spans="1:11">
      <c r="A1176" s="3" t="str">
        <f t="shared" si="75"/>
        <v>2026年</v>
      </c>
      <c r="B1176" s="3" t="str">
        <f t="shared" si="76"/>
        <v>1月</v>
      </c>
      <c r="C1176" s="4" t="str">
        <f t="shared" si="77"/>
        <v>W5</v>
      </c>
      <c r="D1176" s="2" t="s">
        <v>768</v>
      </c>
      <c r="E1176" s="2" t="s">
        <v>838</v>
      </c>
      <c r="F1176" s="2" t="str" cm="1">
        <f t="array" ref="F1176">INDEX(_xlfn.TEXTSPLIT(E1176,"-"),2)</f>
        <v>男装</v>
      </c>
      <c r="G1176" s="2" t="str" cm="1">
        <f t="array" ref="G1176">INDEX(_xlfn.TEXTSPLIT(E1176,"-"),3)</f>
        <v>针织衫/毛衣</v>
      </c>
      <c r="H1176" s="5">
        <v>292868</v>
      </c>
      <c r="I1176" s="5">
        <v>32567004.96</v>
      </c>
      <c r="J1176" s="6">
        <v>0.0552</v>
      </c>
      <c r="K1176" s="6">
        <v>-0.3198</v>
      </c>
    </row>
    <row r="1177" ht="14.5" spans="1:11">
      <c r="A1177" s="3" t="str">
        <f t="shared" si="75"/>
        <v>2026年</v>
      </c>
      <c r="B1177" s="3" t="str">
        <f t="shared" si="76"/>
        <v>1月</v>
      </c>
      <c r="C1177" s="4" t="str">
        <f t="shared" si="77"/>
        <v>W5</v>
      </c>
      <c r="D1177" s="2" t="s">
        <v>768</v>
      </c>
      <c r="E1177" s="2" t="s">
        <v>839</v>
      </c>
      <c r="F1177" s="2" t="str" cm="1">
        <f t="array" ref="F1177">INDEX(_xlfn.TEXTSPLIT(E1177,"-"),2)</f>
        <v>男装</v>
      </c>
      <c r="G1177" s="2" t="str" cm="1">
        <f t="array" ref="G1177">INDEX(_xlfn.TEXTSPLIT(E1177,"-"),3)</f>
        <v>防晒服</v>
      </c>
      <c r="H1177" s="5">
        <v>145</v>
      </c>
      <c r="I1177" s="5">
        <v>12007.6</v>
      </c>
      <c r="J1177" s="2" t="s">
        <v>713</v>
      </c>
      <c r="K1177" s="6">
        <v>-0.1622</v>
      </c>
    </row>
    <row r="1178" ht="14.5" spans="1:11">
      <c r="A1178" s="3" t="str">
        <f t="shared" si="75"/>
        <v>2026年</v>
      </c>
      <c r="B1178" s="3" t="str">
        <f t="shared" si="76"/>
        <v>1月</v>
      </c>
      <c r="C1178" s="4" t="str">
        <f t="shared" si="77"/>
        <v>W5</v>
      </c>
      <c r="D1178" s="2" t="s">
        <v>768</v>
      </c>
      <c r="E1178" s="2" t="s">
        <v>840</v>
      </c>
      <c r="F1178" s="2" t="str" cm="1">
        <f t="array" ref="F1178">INDEX(_xlfn.TEXTSPLIT(E1178,"-"),2)</f>
        <v>男装</v>
      </c>
      <c r="G1178" s="2" t="str" cm="1">
        <f t="array" ref="G1178">INDEX(_xlfn.TEXTSPLIT(E1178,"-"),3)</f>
        <v>风衣</v>
      </c>
      <c r="H1178" s="5">
        <v>4370</v>
      </c>
      <c r="I1178" s="5">
        <v>1646732.33</v>
      </c>
      <c r="J1178" s="6">
        <v>0.0028</v>
      </c>
      <c r="K1178" s="6">
        <v>-0.2916</v>
      </c>
    </row>
    <row r="1179" ht="14.5" spans="1:11">
      <c r="A1179" s="3" t="str">
        <f t="shared" si="75"/>
        <v>2026年</v>
      </c>
      <c r="B1179" s="3" t="str">
        <f t="shared" si="76"/>
        <v>1月</v>
      </c>
      <c r="C1179" s="4" t="str">
        <f t="shared" si="77"/>
        <v>W5</v>
      </c>
      <c r="D1179" s="2" t="s">
        <v>768</v>
      </c>
      <c r="E1179" s="2" t="s">
        <v>841</v>
      </c>
      <c r="F1179" s="2" t="str" cm="1">
        <f t="array" ref="F1179">INDEX(_xlfn.TEXTSPLIT(E1179,"-"),2)</f>
        <v>男装</v>
      </c>
      <c r="G1179" s="2" t="str" cm="1">
        <f t="array" ref="G1179">INDEX(_xlfn.TEXTSPLIT(E1179,"-"),3)</f>
        <v>马甲</v>
      </c>
      <c r="H1179" s="5">
        <v>26393</v>
      </c>
      <c r="I1179" s="5">
        <v>2506340.57</v>
      </c>
      <c r="J1179" s="6">
        <v>0.0042</v>
      </c>
      <c r="K1179" s="6">
        <v>-0.2985</v>
      </c>
    </row>
    <row r="1180" ht="14.5" spans="1:11">
      <c r="A1180" s="3" t="str">
        <f t="shared" ref="A1180:A1243" si="78">TEXT(YEAR(D1180),"0")&amp;"年"</f>
        <v>2026年</v>
      </c>
      <c r="B1180" s="3" t="str">
        <f t="shared" ref="B1180:B1243" si="79">TEXT(MONTH(D1180),"0")&amp;"月"</f>
        <v>2月</v>
      </c>
      <c r="C1180" s="4" t="str">
        <f t="shared" ref="C1180:C1243" si="80">"W"&amp;TEXT(WEEKNUM(D1180,2),"0")</f>
        <v>W5</v>
      </c>
      <c r="D1180" s="2" t="s">
        <v>769</v>
      </c>
      <c r="E1180" s="2" t="s">
        <v>804</v>
      </c>
      <c r="F1180" s="2" t="str" cm="1">
        <f t="array" ref="F1180">INDEX(_xlfn.TEXTSPLIT(E1180,"-"),2)</f>
        <v>男装</v>
      </c>
      <c r="G1180" s="2" t="str" cm="1">
        <f t="array" ref="G1180">INDEX(_xlfn.TEXTSPLIT(E1180,"-"),3)</f>
        <v>Polo衫</v>
      </c>
      <c r="H1180" s="5">
        <v>60402</v>
      </c>
      <c r="I1180" s="5">
        <v>5576575.58</v>
      </c>
      <c r="J1180" s="6">
        <v>0.0054</v>
      </c>
      <c r="K1180" s="6">
        <v>-0.0014</v>
      </c>
    </row>
    <row r="1181" ht="14.5" spans="1:11">
      <c r="A1181" s="3" t="str">
        <f t="shared" si="78"/>
        <v>2026年</v>
      </c>
      <c r="B1181" s="3" t="str">
        <f t="shared" si="79"/>
        <v>2月</v>
      </c>
      <c r="C1181" s="4" t="str">
        <f t="shared" si="80"/>
        <v>W5</v>
      </c>
      <c r="D1181" s="2" t="s">
        <v>769</v>
      </c>
      <c r="E1181" s="2" t="s">
        <v>805</v>
      </c>
      <c r="F1181" s="2" t="str" cm="1">
        <f t="array" ref="F1181">INDEX(_xlfn.TEXTSPLIT(E1181,"-"),2)</f>
        <v>男装</v>
      </c>
      <c r="G1181" s="2" t="str" cm="1">
        <f t="array" ref="G1181">INDEX(_xlfn.TEXTSPLIT(E1181,"-"),3)</f>
        <v>T恤</v>
      </c>
      <c r="H1181" s="5">
        <v>448881</v>
      </c>
      <c r="I1181" s="5">
        <v>35910576.31</v>
      </c>
      <c r="J1181" s="6">
        <v>0.035</v>
      </c>
      <c r="K1181" s="6">
        <v>0.0083</v>
      </c>
    </row>
    <row r="1182" ht="14.5" spans="1:11">
      <c r="A1182" s="3" t="str">
        <f t="shared" si="78"/>
        <v>2026年</v>
      </c>
      <c r="B1182" s="3" t="str">
        <f t="shared" si="79"/>
        <v>2月</v>
      </c>
      <c r="C1182" s="4" t="str">
        <f t="shared" si="80"/>
        <v>W5</v>
      </c>
      <c r="D1182" s="2" t="s">
        <v>769</v>
      </c>
      <c r="E1182" s="2" t="s">
        <v>806</v>
      </c>
      <c r="F1182" s="2" t="str" cm="1">
        <f t="array" ref="F1182">INDEX(_xlfn.TEXTSPLIT(E1182,"-"),2)</f>
        <v>男装</v>
      </c>
      <c r="G1182" s="2" t="str" cm="1">
        <f t="array" ref="G1182">INDEX(_xlfn.TEXTSPLIT(E1182,"-"),3)</f>
        <v>中老年男装</v>
      </c>
      <c r="H1182" s="5">
        <v>156884</v>
      </c>
      <c r="I1182" s="5">
        <v>22030618.6</v>
      </c>
      <c r="J1182" s="6">
        <v>0.0215</v>
      </c>
      <c r="K1182" s="6">
        <v>0.1812</v>
      </c>
    </row>
    <row r="1183" ht="14.5" spans="1:11">
      <c r="A1183" s="3" t="str">
        <f t="shared" si="78"/>
        <v>2026年</v>
      </c>
      <c r="B1183" s="3" t="str">
        <f t="shared" si="79"/>
        <v>2月</v>
      </c>
      <c r="C1183" s="4" t="str">
        <f t="shared" si="80"/>
        <v>W5</v>
      </c>
      <c r="D1183" s="2" t="s">
        <v>769</v>
      </c>
      <c r="E1183" s="2" t="s">
        <v>807</v>
      </c>
      <c r="F1183" s="2" t="str" cm="1">
        <f t="array" ref="F1183">INDEX(_xlfn.TEXTSPLIT(E1183,"-"),2)</f>
        <v>男装</v>
      </c>
      <c r="G1183" s="2" t="str" cm="1">
        <f t="array" ref="G1183">INDEX(_xlfn.TEXTSPLIT(E1183,"-"),3)</f>
        <v>休闲裤</v>
      </c>
      <c r="H1183" s="5">
        <v>1099531</v>
      </c>
      <c r="I1183" s="5">
        <v>120123218.04</v>
      </c>
      <c r="J1183" s="6">
        <v>0.1172</v>
      </c>
      <c r="K1183" s="6">
        <v>0.075</v>
      </c>
    </row>
    <row r="1184" ht="14.5" spans="1:11">
      <c r="A1184" s="3" t="str">
        <f t="shared" si="78"/>
        <v>2026年</v>
      </c>
      <c r="B1184" s="3" t="str">
        <f t="shared" si="79"/>
        <v>2月</v>
      </c>
      <c r="C1184" s="4" t="str">
        <f t="shared" si="80"/>
        <v>W5</v>
      </c>
      <c r="D1184" s="2" t="s">
        <v>769</v>
      </c>
      <c r="E1184" s="2" t="s">
        <v>808</v>
      </c>
      <c r="F1184" s="2" t="str" cm="1">
        <f t="array" ref="F1184">INDEX(_xlfn.TEXTSPLIT(E1184,"-"),2)</f>
        <v>男装</v>
      </c>
      <c r="G1184" s="2" t="str" cm="1">
        <f t="array" ref="G1184">INDEX(_xlfn.TEXTSPLIT(E1184,"-"),3)</f>
        <v>卫衣</v>
      </c>
      <c r="H1184" s="5">
        <v>714211</v>
      </c>
      <c r="I1184" s="5">
        <v>62386277.99</v>
      </c>
      <c r="J1184" s="6">
        <v>0.0609</v>
      </c>
      <c r="K1184" s="6">
        <v>0.0661</v>
      </c>
    </row>
    <row r="1185" ht="14.5" spans="1:11">
      <c r="A1185" s="3" t="str">
        <f t="shared" si="78"/>
        <v>2026年</v>
      </c>
      <c r="B1185" s="3" t="str">
        <f t="shared" si="79"/>
        <v>2月</v>
      </c>
      <c r="C1185" s="4" t="str">
        <f t="shared" si="80"/>
        <v>W5</v>
      </c>
      <c r="D1185" s="2" t="s">
        <v>769</v>
      </c>
      <c r="E1185" s="2" t="s">
        <v>809</v>
      </c>
      <c r="F1185" s="2" t="str" cm="1">
        <f t="array" ref="F1185">INDEX(_xlfn.TEXTSPLIT(E1185,"-"),2)</f>
        <v>男装</v>
      </c>
      <c r="G1185" s="2" t="str" cm="1">
        <f t="array" ref="G1185">INDEX(_xlfn.TEXTSPLIT(E1185,"-"),3)</f>
        <v>卫裤</v>
      </c>
      <c r="H1185" s="5">
        <v>248119</v>
      </c>
      <c r="I1185" s="5">
        <v>24411606.19</v>
      </c>
      <c r="J1185" s="6">
        <v>0.0238</v>
      </c>
      <c r="K1185" s="6">
        <v>0.1609</v>
      </c>
    </row>
    <row r="1186" ht="14.5" spans="1:11">
      <c r="A1186" s="3" t="str">
        <f t="shared" si="78"/>
        <v>2026年</v>
      </c>
      <c r="B1186" s="3" t="str">
        <f t="shared" si="79"/>
        <v>2月</v>
      </c>
      <c r="C1186" s="4" t="str">
        <f t="shared" si="80"/>
        <v>W5</v>
      </c>
      <c r="D1186" s="2" t="s">
        <v>769</v>
      </c>
      <c r="E1186" s="2" t="s">
        <v>810</v>
      </c>
      <c r="F1186" s="2" t="str" cm="1">
        <f t="array" ref="F1186">INDEX(_xlfn.TEXTSPLIT(E1186,"-"),2)</f>
        <v>男装</v>
      </c>
      <c r="G1186" s="2" t="str" cm="1">
        <f t="array" ref="G1186">INDEX(_xlfn.TEXTSPLIT(E1186,"-"),3)</f>
        <v>大码男装</v>
      </c>
      <c r="H1186" s="5">
        <v>47816</v>
      </c>
      <c r="I1186" s="5">
        <v>4469540.45</v>
      </c>
      <c r="J1186" s="6">
        <v>0.0044</v>
      </c>
      <c r="K1186" s="6">
        <v>-0.0462</v>
      </c>
    </row>
    <row r="1187" ht="14.5" spans="1:11">
      <c r="A1187" s="3" t="str">
        <f t="shared" si="78"/>
        <v>2026年</v>
      </c>
      <c r="B1187" s="3" t="str">
        <f t="shared" si="79"/>
        <v>2月</v>
      </c>
      <c r="C1187" s="4" t="str">
        <f t="shared" si="80"/>
        <v>W5</v>
      </c>
      <c r="D1187" s="2" t="s">
        <v>769</v>
      </c>
      <c r="E1187" s="2" t="s">
        <v>811</v>
      </c>
      <c r="F1187" s="2" t="str" cm="1">
        <f t="array" ref="F1187">INDEX(_xlfn.TEXTSPLIT(E1187,"-"),2)</f>
        <v>男装</v>
      </c>
      <c r="G1187" s="2" t="str" cm="1">
        <f t="array" ref="G1187">INDEX(_xlfn.TEXTSPLIT(E1187,"-"),3)</f>
        <v>夹克</v>
      </c>
      <c r="H1187" s="5">
        <v>545770</v>
      </c>
      <c r="I1187" s="5">
        <v>107560625.97</v>
      </c>
      <c r="J1187" s="6">
        <v>0.105</v>
      </c>
      <c r="K1187" s="6">
        <v>0.0908</v>
      </c>
    </row>
    <row r="1188" ht="14.5" spans="1:11">
      <c r="A1188" s="3" t="str">
        <f t="shared" si="78"/>
        <v>2026年</v>
      </c>
      <c r="B1188" s="3" t="str">
        <f t="shared" si="79"/>
        <v>2月</v>
      </c>
      <c r="C1188" s="4" t="str">
        <f t="shared" si="80"/>
        <v>W5</v>
      </c>
      <c r="D1188" s="2" t="s">
        <v>769</v>
      </c>
      <c r="E1188" s="2" t="s">
        <v>812</v>
      </c>
      <c r="F1188" s="2" t="str" cm="1">
        <f t="array" ref="F1188">INDEX(_xlfn.TEXTSPLIT(E1188,"-"),2)</f>
        <v>男装</v>
      </c>
      <c r="G1188" s="2" t="str" cm="1">
        <f t="array" ref="G1188">INDEX(_xlfn.TEXTSPLIT(E1188,"-"),3)</f>
        <v>套装</v>
      </c>
      <c r="H1188" s="5">
        <v>59432</v>
      </c>
      <c r="I1188" s="5">
        <v>8853385.81</v>
      </c>
      <c r="J1188" s="6">
        <v>0.0086</v>
      </c>
      <c r="K1188" s="6">
        <v>0.0763</v>
      </c>
    </row>
    <row r="1189" ht="14.5" spans="1:11">
      <c r="A1189" s="3" t="str">
        <f t="shared" si="78"/>
        <v>2026年</v>
      </c>
      <c r="B1189" s="3" t="str">
        <f t="shared" si="79"/>
        <v>2月</v>
      </c>
      <c r="C1189" s="4" t="str">
        <f t="shared" si="80"/>
        <v>W5</v>
      </c>
      <c r="D1189" s="2" t="s">
        <v>769</v>
      </c>
      <c r="E1189" s="2" t="s">
        <v>813</v>
      </c>
      <c r="F1189" s="2" t="str" cm="1">
        <f t="array" ref="F1189">INDEX(_xlfn.TEXTSPLIT(E1189,"-"),2)</f>
        <v>男装</v>
      </c>
      <c r="G1189" s="2" t="str" cm="1">
        <f t="array" ref="G1189">INDEX(_xlfn.TEXTSPLIT(E1189,"-"),3)</f>
        <v>学生校服</v>
      </c>
      <c r="H1189" s="5">
        <v>8</v>
      </c>
      <c r="I1189" s="5">
        <v>1112</v>
      </c>
      <c r="J1189" s="2" t="s">
        <v>713</v>
      </c>
      <c r="K1189" s="6">
        <v>2.8979</v>
      </c>
    </row>
    <row r="1190" ht="14.5" spans="1:11">
      <c r="A1190" s="3" t="str">
        <f t="shared" si="78"/>
        <v>2026年</v>
      </c>
      <c r="B1190" s="3" t="str">
        <f t="shared" si="79"/>
        <v>2月</v>
      </c>
      <c r="C1190" s="4" t="str">
        <f t="shared" si="80"/>
        <v>W5</v>
      </c>
      <c r="D1190" s="2" t="s">
        <v>769</v>
      </c>
      <c r="E1190" s="2" t="s">
        <v>814</v>
      </c>
      <c r="F1190" s="2" t="str" cm="1">
        <f t="array" ref="F1190">INDEX(_xlfn.TEXTSPLIT(E1190,"-"),2)</f>
        <v>男装</v>
      </c>
      <c r="G1190" s="2" t="str" cm="1">
        <f t="array" ref="G1190">INDEX(_xlfn.TEXTSPLIT(E1190,"-"),3)</f>
        <v>打底衫</v>
      </c>
      <c r="H1190" s="5">
        <v>17836</v>
      </c>
      <c r="I1190" s="5">
        <v>1215391.42</v>
      </c>
      <c r="J1190" s="6">
        <v>0.0012</v>
      </c>
      <c r="K1190" s="6">
        <v>-0.1201</v>
      </c>
    </row>
    <row r="1191" ht="14.5" spans="1:11">
      <c r="A1191" s="3" t="str">
        <f t="shared" si="78"/>
        <v>2026年</v>
      </c>
      <c r="B1191" s="3" t="str">
        <f t="shared" si="79"/>
        <v>2月</v>
      </c>
      <c r="C1191" s="4" t="str">
        <f t="shared" si="80"/>
        <v>W5</v>
      </c>
      <c r="D1191" s="2" t="s">
        <v>769</v>
      </c>
      <c r="E1191" s="2" t="s">
        <v>815</v>
      </c>
      <c r="F1191" s="2" t="str" cm="1">
        <f t="array" ref="F1191">INDEX(_xlfn.TEXTSPLIT(E1191,"-"),2)</f>
        <v>男装</v>
      </c>
      <c r="G1191" s="2" t="str" cm="1">
        <f t="array" ref="G1191">INDEX(_xlfn.TEXTSPLIT(E1191,"-"),3)</f>
        <v>新中式男装</v>
      </c>
      <c r="H1191" s="5">
        <v>170</v>
      </c>
      <c r="I1191" s="5">
        <v>47441.32</v>
      </c>
      <c r="J1191" s="2" t="s">
        <v>713</v>
      </c>
      <c r="K1191" s="6">
        <v>-0.2328</v>
      </c>
    </row>
    <row r="1192" ht="14.5" spans="1:11">
      <c r="A1192" s="3" t="str">
        <f t="shared" si="78"/>
        <v>2026年</v>
      </c>
      <c r="B1192" s="3" t="str">
        <f t="shared" si="79"/>
        <v>2月</v>
      </c>
      <c r="C1192" s="4" t="str">
        <f t="shared" si="80"/>
        <v>W5</v>
      </c>
      <c r="D1192" s="2" t="s">
        <v>769</v>
      </c>
      <c r="E1192" s="2" t="s">
        <v>816</v>
      </c>
      <c r="F1192" s="2" t="str" cm="1">
        <f t="array" ref="F1192">INDEX(_xlfn.TEXTSPLIT(E1192,"-"),2)</f>
        <v>男装</v>
      </c>
      <c r="G1192" s="2" t="str" cm="1">
        <f t="array" ref="G1192">INDEX(_xlfn.TEXTSPLIT(E1192,"-"),3)</f>
        <v>棉衣</v>
      </c>
      <c r="H1192" s="5">
        <v>432614</v>
      </c>
      <c r="I1192" s="5">
        <v>61655619.05</v>
      </c>
      <c r="J1192" s="6">
        <v>0.0602</v>
      </c>
      <c r="K1192" s="6">
        <v>-0.0306</v>
      </c>
    </row>
    <row r="1193" ht="14.5" spans="1:11">
      <c r="A1193" s="3" t="str">
        <f t="shared" si="78"/>
        <v>2026年</v>
      </c>
      <c r="B1193" s="3" t="str">
        <f t="shared" si="79"/>
        <v>2月</v>
      </c>
      <c r="C1193" s="4" t="str">
        <f t="shared" si="80"/>
        <v>W5</v>
      </c>
      <c r="D1193" s="2" t="s">
        <v>769</v>
      </c>
      <c r="E1193" s="2" t="s">
        <v>817</v>
      </c>
      <c r="F1193" s="2" t="str" cm="1">
        <f t="array" ref="F1193">INDEX(_xlfn.TEXTSPLIT(E1193,"-"),2)</f>
        <v>男装</v>
      </c>
      <c r="G1193" s="2" t="str" cm="1">
        <f t="array" ref="G1193">INDEX(_xlfn.TEXTSPLIT(E1193,"-"),3)</f>
        <v>棉裤</v>
      </c>
      <c r="H1193" s="5">
        <v>16436</v>
      </c>
      <c r="I1193" s="5">
        <v>1332841.43</v>
      </c>
      <c r="J1193" s="6">
        <v>0.0013</v>
      </c>
      <c r="K1193" s="6">
        <v>-0.1513</v>
      </c>
    </row>
    <row r="1194" ht="14.5" spans="1:11">
      <c r="A1194" s="3" t="str">
        <f t="shared" si="78"/>
        <v>2026年</v>
      </c>
      <c r="B1194" s="3" t="str">
        <f t="shared" si="79"/>
        <v>2月</v>
      </c>
      <c r="C1194" s="4" t="str">
        <f t="shared" si="80"/>
        <v>W5</v>
      </c>
      <c r="D1194" s="2" t="s">
        <v>769</v>
      </c>
      <c r="E1194" s="2" t="s">
        <v>818</v>
      </c>
      <c r="F1194" s="2" t="str" cm="1">
        <f t="array" ref="F1194">INDEX(_xlfn.TEXTSPLIT(E1194,"-"),2)</f>
        <v>男装</v>
      </c>
      <c r="G1194" s="2" t="str" cm="1">
        <f t="array" ref="G1194">INDEX(_xlfn.TEXTSPLIT(E1194,"-"),3)</f>
        <v>毛呢大衣</v>
      </c>
      <c r="H1194" s="5">
        <v>66341</v>
      </c>
      <c r="I1194" s="5">
        <v>28814604.19</v>
      </c>
      <c r="J1194" s="6">
        <v>0.0281</v>
      </c>
      <c r="K1194" s="6">
        <v>0.0607</v>
      </c>
    </row>
    <row r="1195" ht="14.5" spans="1:11">
      <c r="A1195" s="3" t="str">
        <f t="shared" si="78"/>
        <v>2026年</v>
      </c>
      <c r="B1195" s="3" t="str">
        <f t="shared" si="79"/>
        <v>2月</v>
      </c>
      <c r="C1195" s="4" t="str">
        <f t="shared" si="80"/>
        <v>W5</v>
      </c>
      <c r="D1195" s="2" t="s">
        <v>769</v>
      </c>
      <c r="E1195" s="2" t="s">
        <v>819</v>
      </c>
      <c r="F1195" s="2" t="str" cm="1">
        <f t="array" ref="F1195">INDEX(_xlfn.TEXTSPLIT(E1195,"-"),2)</f>
        <v>男装</v>
      </c>
      <c r="G1195" s="2" t="str" cm="1">
        <f t="array" ref="G1195">INDEX(_xlfn.TEXTSPLIT(E1195,"-"),3)</f>
        <v>民族服装</v>
      </c>
      <c r="H1195" s="5">
        <v>8633</v>
      </c>
      <c r="I1195" s="5">
        <v>1972216.89</v>
      </c>
      <c r="J1195" s="6">
        <v>0.0019</v>
      </c>
      <c r="K1195" s="6">
        <v>0.0052</v>
      </c>
    </row>
    <row r="1196" ht="14.5" spans="1:11">
      <c r="A1196" s="3" t="str">
        <f t="shared" si="78"/>
        <v>2026年</v>
      </c>
      <c r="B1196" s="3" t="str">
        <f t="shared" si="79"/>
        <v>2月</v>
      </c>
      <c r="C1196" s="4" t="str">
        <f t="shared" si="80"/>
        <v>W5</v>
      </c>
      <c r="D1196" s="2" t="s">
        <v>769</v>
      </c>
      <c r="E1196" s="2" t="s">
        <v>820</v>
      </c>
      <c r="F1196" s="2" t="str" cm="1">
        <f t="array" ref="F1196">INDEX(_xlfn.TEXTSPLIT(E1196,"-"),2)</f>
        <v>男装</v>
      </c>
      <c r="G1196" s="2" t="str" cm="1">
        <f t="array" ref="G1196">INDEX(_xlfn.TEXTSPLIT(E1196,"-"),3)</f>
        <v>派克服</v>
      </c>
      <c r="H1196" s="5">
        <v>12714</v>
      </c>
      <c r="I1196" s="5">
        <v>2675088.94</v>
      </c>
      <c r="J1196" s="6">
        <v>0.0026</v>
      </c>
      <c r="K1196" s="6">
        <v>-0.143</v>
      </c>
    </row>
    <row r="1197" ht="14.5" spans="1:11">
      <c r="A1197" s="3" t="str">
        <f t="shared" si="78"/>
        <v>2026年</v>
      </c>
      <c r="B1197" s="3" t="str">
        <f t="shared" si="79"/>
        <v>2月</v>
      </c>
      <c r="C1197" s="4" t="str">
        <f t="shared" si="80"/>
        <v>W5</v>
      </c>
      <c r="D1197" s="2" t="s">
        <v>769</v>
      </c>
      <c r="E1197" s="2" t="s">
        <v>821</v>
      </c>
      <c r="F1197" s="2" t="str" cm="1">
        <f t="array" ref="F1197">INDEX(_xlfn.TEXTSPLIT(E1197,"-"),2)</f>
        <v>男装</v>
      </c>
      <c r="G1197" s="2" t="str" cm="1">
        <f t="array" ref="G1197">INDEX(_xlfn.TEXTSPLIT(E1197,"-"),3)</f>
        <v>牛仔裤</v>
      </c>
      <c r="H1197" s="5">
        <v>790701</v>
      </c>
      <c r="I1197" s="5">
        <v>91244169.03</v>
      </c>
      <c r="J1197" s="6">
        <v>0.089</v>
      </c>
      <c r="K1197" s="6">
        <v>0.0492</v>
      </c>
    </row>
    <row r="1198" ht="14.5" spans="1:11">
      <c r="A1198" s="3" t="str">
        <f t="shared" si="78"/>
        <v>2026年</v>
      </c>
      <c r="B1198" s="3" t="str">
        <f t="shared" si="79"/>
        <v>2月</v>
      </c>
      <c r="C1198" s="4" t="str">
        <f t="shared" si="80"/>
        <v>W5</v>
      </c>
      <c r="D1198" s="2" t="s">
        <v>769</v>
      </c>
      <c r="E1198" s="2" t="s">
        <v>822</v>
      </c>
      <c r="F1198" s="2" t="str" cm="1">
        <f t="array" ref="F1198">INDEX(_xlfn.TEXTSPLIT(E1198,"-"),2)</f>
        <v>男装</v>
      </c>
      <c r="G1198" s="2" t="str" cm="1">
        <f t="array" ref="G1198">INDEX(_xlfn.TEXTSPLIT(E1198,"-"),3)</f>
        <v>皮草</v>
      </c>
      <c r="H1198" s="5">
        <v>6163</v>
      </c>
      <c r="I1198" s="5">
        <v>5948458.69</v>
      </c>
      <c r="J1198" s="6">
        <v>0.0058</v>
      </c>
      <c r="K1198" s="6">
        <v>-0.3596</v>
      </c>
    </row>
    <row r="1199" ht="14.5" spans="1:11">
      <c r="A1199" s="3" t="str">
        <f t="shared" si="78"/>
        <v>2026年</v>
      </c>
      <c r="B1199" s="3" t="str">
        <f t="shared" si="79"/>
        <v>2月</v>
      </c>
      <c r="C1199" s="4" t="str">
        <f t="shared" si="80"/>
        <v>W5</v>
      </c>
      <c r="D1199" s="2" t="s">
        <v>769</v>
      </c>
      <c r="E1199" s="2" t="s">
        <v>823</v>
      </c>
      <c r="F1199" s="2" t="str" cm="1">
        <f t="array" ref="F1199">INDEX(_xlfn.TEXTSPLIT(E1199,"-"),2)</f>
        <v>男装</v>
      </c>
      <c r="G1199" s="2" t="str" cm="1">
        <f t="array" ref="G1199">INDEX(_xlfn.TEXTSPLIT(E1199,"-"),3)</f>
        <v>皮衣</v>
      </c>
      <c r="H1199" s="5">
        <v>80122</v>
      </c>
      <c r="I1199" s="5">
        <v>31987221.82</v>
      </c>
      <c r="J1199" s="6">
        <v>0.0312</v>
      </c>
      <c r="K1199" s="6">
        <v>-0.0056</v>
      </c>
    </row>
    <row r="1200" ht="14.5" spans="1:11">
      <c r="A1200" s="3" t="str">
        <f t="shared" si="78"/>
        <v>2026年</v>
      </c>
      <c r="B1200" s="3" t="str">
        <f t="shared" si="79"/>
        <v>2月</v>
      </c>
      <c r="C1200" s="4" t="str">
        <f t="shared" si="80"/>
        <v>W5</v>
      </c>
      <c r="D1200" s="2" t="s">
        <v>769</v>
      </c>
      <c r="E1200" s="2" t="s">
        <v>824</v>
      </c>
      <c r="F1200" s="2" t="str" cm="1">
        <f t="array" ref="F1200">INDEX(_xlfn.TEXTSPLIT(E1200,"-"),2)</f>
        <v>男装</v>
      </c>
      <c r="G1200" s="2" t="str" cm="1">
        <f t="array" ref="G1200">INDEX(_xlfn.TEXTSPLIT(E1200,"-"),3)</f>
        <v>皮裤</v>
      </c>
      <c r="H1200" s="5">
        <v>2174</v>
      </c>
      <c r="I1200" s="5">
        <v>435507.76</v>
      </c>
      <c r="J1200" s="6">
        <v>0.0004</v>
      </c>
      <c r="K1200" s="6">
        <v>-0.0242</v>
      </c>
    </row>
    <row r="1201" ht="14.5" spans="1:11">
      <c r="A1201" s="3" t="str">
        <f t="shared" si="78"/>
        <v>2026年</v>
      </c>
      <c r="B1201" s="3" t="str">
        <f t="shared" si="79"/>
        <v>2月</v>
      </c>
      <c r="C1201" s="4" t="str">
        <f t="shared" si="80"/>
        <v>W5</v>
      </c>
      <c r="D1201" s="2" t="s">
        <v>769</v>
      </c>
      <c r="E1201" s="2" t="s">
        <v>825</v>
      </c>
      <c r="F1201" s="2" t="str" cm="1">
        <f t="array" ref="F1201">INDEX(_xlfn.TEXTSPLIT(E1201,"-"),2)</f>
        <v>男装</v>
      </c>
      <c r="G1201" s="2" t="str" cm="1">
        <f t="array" ref="G1201">INDEX(_xlfn.TEXTSPLIT(E1201,"-"),3)</f>
        <v>短外套</v>
      </c>
      <c r="H1201" s="5">
        <v>40492</v>
      </c>
      <c r="I1201" s="5">
        <v>3942106.39</v>
      </c>
      <c r="J1201" s="6">
        <v>0.0038</v>
      </c>
      <c r="K1201" s="6">
        <v>-0.1236</v>
      </c>
    </row>
    <row r="1202" ht="14.5" spans="1:11">
      <c r="A1202" s="3" t="str">
        <f t="shared" si="78"/>
        <v>2026年</v>
      </c>
      <c r="B1202" s="3" t="str">
        <f t="shared" si="79"/>
        <v>2月</v>
      </c>
      <c r="C1202" s="4" t="str">
        <f t="shared" si="80"/>
        <v>W5</v>
      </c>
      <c r="D1202" s="2" t="s">
        <v>769</v>
      </c>
      <c r="E1202" s="2" t="s">
        <v>826</v>
      </c>
      <c r="F1202" s="2" t="str" cm="1">
        <f t="array" ref="F1202">INDEX(_xlfn.TEXTSPLIT(E1202,"-"),2)</f>
        <v>男装</v>
      </c>
      <c r="G1202" s="2" t="str" cm="1">
        <f t="array" ref="G1202">INDEX(_xlfn.TEXTSPLIT(E1202,"-"),3)</f>
        <v>短裤</v>
      </c>
      <c r="H1202" s="5">
        <v>48381</v>
      </c>
      <c r="I1202" s="5">
        <v>1749280.81</v>
      </c>
      <c r="J1202" s="6">
        <v>0.0017</v>
      </c>
      <c r="K1202" s="6">
        <v>-0.0361</v>
      </c>
    </row>
    <row r="1203" ht="14.5" spans="1:11">
      <c r="A1203" s="3" t="str">
        <f t="shared" si="78"/>
        <v>2026年</v>
      </c>
      <c r="B1203" s="3" t="str">
        <f t="shared" si="79"/>
        <v>2月</v>
      </c>
      <c r="C1203" s="4" t="str">
        <f t="shared" si="80"/>
        <v>W5</v>
      </c>
      <c r="D1203" s="2" t="s">
        <v>769</v>
      </c>
      <c r="E1203" s="2" t="s">
        <v>827</v>
      </c>
      <c r="F1203" s="2" t="str" cm="1">
        <f t="array" ref="F1203">INDEX(_xlfn.TEXTSPLIT(E1203,"-"),2)</f>
        <v>男装</v>
      </c>
      <c r="G1203" s="2" t="str" cm="1">
        <f t="array" ref="G1203">INDEX(_xlfn.TEXTSPLIT(E1203,"-"),3)</f>
        <v>紧身衣</v>
      </c>
      <c r="H1203" s="5">
        <v>209</v>
      </c>
      <c r="I1203" s="5">
        <v>6364.52</v>
      </c>
      <c r="J1203" s="2" t="s">
        <v>713</v>
      </c>
      <c r="K1203" s="6">
        <v>-0.3105</v>
      </c>
    </row>
    <row r="1204" ht="14.5" spans="1:11">
      <c r="A1204" s="3" t="str">
        <f t="shared" si="78"/>
        <v>2026年</v>
      </c>
      <c r="B1204" s="3" t="str">
        <f t="shared" si="79"/>
        <v>2月</v>
      </c>
      <c r="C1204" s="4" t="str">
        <f t="shared" si="80"/>
        <v>W5</v>
      </c>
      <c r="D1204" s="2" t="s">
        <v>769</v>
      </c>
      <c r="E1204" s="2" t="s">
        <v>828</v>
      </c>
      <c r="F1204" s="2" t="str" cm="1">
        <f t="array" ref="F1204">INDEX(_xlfn.TEXTSPLIT(E1204,"-"),2)</f>
        <v>男装</v>
      </c>
      <c r="G1204" s="2" t="str" cm="1">
        <f t="array" ref="G1204">INDEX(_xlfn.TEXTSPLIT(E1204,"-"),3)</f>
        <v>羊毛衫</v>
      </c>
      <c r="H1204" s="5">
        <v>131912</v>
      </c>
      <c r="I1204" s="5">
        <v>21366643.02</v>
      </c>
      <c r="J1204" s="6">
        <v>0.0208</v>
      </c>
      <c r="K1204" s="6">
        <v>0.2375</v>
      </c>
    </row>
    <row r="1205" ht="14.5" spans="1:11">
      <c r="A1205" s="3" t="str">
        <f t="shared" si="78"/>
        <v>2026年</v>
      </c>
      <c r="B1205" s="3" t="str">
        <f t="shared" si="79"/>
        <v>2月</v>
      </c>
      <c r="C1205" s="4" t="str">
        <f t="shared" si="80"/>
        <v>W5</v>
      </c>
      <c r="D1205" s="2" t="s">
        <v>769</v>
      </c>
      <c r="E1205" s="2" t="s">
        <v>829</v>
      </c>
      <c r="F1205" s="2" t="str" cm="1">
        <f t="array" ref="F1205">INDEX(_xlfn.TEXTSPLIT(E1205,"-"),2)</f>
        <v>男装</v>
      </c>
      <c r="G1205" s="2" t="str" cm="1">
        <f t="array" ref="G1205">INDEX(_xlfn.TEXTSPLIT(E1205,"-"),3)</f>
        <v>羊绒衫</v>
      </c>
      <c r="H1205" s="5">
        <v>21164</v>
      </c>
      <c r="I1205" s="5">
        <v>7231026.15</v>
      </c>
      <c r="J1205" s="6">
        <v>0.0071</v>
      </c>
      <c r="K1205" s="6">
        <v>-0.1251</v>
      </c>
    </row>
    <row r="1206" ht="14.5" spans="1:11">
      <c r="A1206" s="3" t="str">
        <f t="shared" si="78"/>
        <v>2026年</v>
      </c>
      <c r="B1206" s="3" t="str">
        <f t="shared" si="79"/>
        <v>2月</v>
      </c>
      <c r="C1206" s="4" t="str">
        <f t="shared" si="80"/>
        <v>W5</v>
      </c>
      <c r="D1206" s="2" t="s">
        <v>769</v>
      </c>
      <c r="E1206" s="2" t="s">
        <v>830</v>
      </c>
      <c r="F1206" s="2" t="str" cm="1">
        <f t="array" ref="F1206">INDEX(_xlfn.TEXTSPLIT(E1206,"-"),2)</f>
        <v>男装</v>
      </c>
      <c r="G1206" s="2" t="str" cm="1">
        <f t="array" ref="G1206">INDEX(_xlfn.TEXTSPLIT(E1206,"-"),3)</f>
        <v>羽绒服</v>
      </c>
      <c r="H1206" s="5">
        <v>731304</v>
      </c>
      <c r="I1206" s="5">
        <v>263715544.09</v>
      </c>
      <c r="J1206" s="6">
        <v>0.2573</v>
      </c>
      <c r="K1206" s="6">
        <v>0.0465</v>
      </c>
    </row>
    <row r="1207" ht="14.5" spans="1:11">
      <c r="A1207" s="3" t="str">
        <f t="shared" si="78"/>
        <v>2026年</v>
      </c>
      <c r="B1207" s="3" t="str">
        <f t="shared" si="79"/>
        <v>2月</v>
      </c>
      <c r="C1207" s="4" t="str">
        <f t="shared" si="80"/>
        <v>W5</v>
      </c>
      <c r="D1207" s="2" t="s">
        <v>769</v>
      </c>
      <c r="E1207" s="2" t="s">
        <v>831</v>
      </c>
      <c r="F1207" s="2" t="str" cm="1">
        <f t="array" ref="F1207">INDEX(_xlfn.TEXTSPLIT(E1207,"-"),2)</f>
        <v>男装</v>
      </c>
      <c r="G1207" s="2" t="str" cm="1">
        <f t="array" ref="G1207">INDEX(_xlfn.TEXTSPLIT(E1207,"-"),3)</f>
        <v>羽绒裤</v>
      </c>
      <c r="H1207" s="5">
        <v>12516</v>
      </c>
      <c r="I1207" s="5">
        <v>1711055.54</v>
      </c>
      <c r="J1207" s="6">
        <v>0.0017</v>
      </c>
      <c r="K1207" s="6">
        <v>0.1236</v>
      </c>
    </row>
    <row r="1208" ht="14.5" spans="1:11">
      <c r="A1208" s="3" t="str">
        <f t="shared" si="78"/>
        <v>2026年</v>
      </c>
      <c r="B1208" s="3" t="str">
        <f t="shared" si="79"/>
        <v>2月</v>
      </c>
      <c r="C1208" s="4" t="str">
        <f t="shared" si="80"/>
        <v>W5</v>
      </c>
      <c r="D1208" s="2" t="s">
        <v>769</v>
      </c>
      <c r="E1208" s="2" t="s">
        <v>832</v>
      </c>
      <c r="F1208" s="2" t="str" cm="1">
        <f t="array" ref="F1208">INDEX(_xlfn.TEXTSPLIT(E1208,"-"),2)</f>
        <v>男装</v>
      </c>
      <c r="G1208" s="2" t="str" cm="1">
        <f t="array" ref="G1208">INDEX(_xlfn.TEXTSPLIT(E1208,"-"),3)</f>
        <v>羽绒马甲</v>
      </c>
      <c r="H1208" s="5">
        <v>12683</v>
      </c>
      <c r="I1208" s="5">
        <v>2567789.52</v>
      </c>
      <c r="J1208" s="6">
        <v>0.0025</v>
      </c>
      <c r="K1208" s="6">
        <v>-0.0941</v>
      </c>
    </row>
    <row r="1209" ht="14.5" spans="1:11">
      <c r="A1209" s="3" t="str">
        <f t="shared" si="78"/>
        <v>2026年</v>
      </c>
      <c r="B1209" s="3" t="str">
        <f t="shared" si="79"/>
        <v>2月</v>
      </c>
      <c r="C1209" s="4" t="str">
        <f t="shared" si="80"/>
        <v>W5</v>
      </c>
      <c r="D1209" s="2" t="s">
        <v>769</v>
      </c>
      <c r="E1209" s="2" t="s">
        <v>833</v>
      </c>
      <c r="F1209" s="2" t="str" cm="1">
        <f t="array" ref="F1209">INDEX(_xlfn.TEXTSPLIT(E1209,"-"),2)</f>
        <v>男装</v>
      </c>
      <c r="G1209" s="2" t="str" cm="1">
        <f t="array" ref="G1209">INDEX(_xlfn.TEXTSPLIT(E1209,"-"),3)</f>
        <v>背心</v>
      </c>
      <c r="H1209" s="5">
        <v>37779</v>
      </c>
      <c r="I1209" s="5">
        <v>2570410.92</v>
      </c>
      <c r="J1209" s="6">
        <v>0.0025</v>
      </c>
      <c r="K1209" s="6">
        <v>-0.0664</v>
      </c>
    </row>
    <row r="1210" ht="14.5" spans="1:11">
      <c r="A1210" s="3" t="str">
        <f t="shared" si="78"/>
        <v>2026年</v>
      </c>
      <c r="B1210" s="3" t="str">
        <f t="shared" si="79"/>
        <v>2月</v>
      </c>
      <c r="C1210" s="4" t="str">
        <f t="shared" si="80"/>
        <v>W5</v>
      </c>
      <c r="D1210" s="2" t="s">
        <v>769</v>
      </c>
      <c r="E1210" s="2" t="s">
        <v>834</v>
      </c>
      <c r="F1210" s="2" t="str" cm="1">
        <f t="array" ref="F1210">INDEX(_xlfn.TEXTSPLIT(E1210,"-"),2)</f>
        <v>男装</v>
      </c>
      <c r="G1210" s="2" t="str" cm="1">
        <f t="array" ref="G1210">INDEX(_xlfn.TEXTSPLIT(E1210,"-"),3)</f>
        <v>衬衫</v>
      </c>
      <c r="H1210" s="5">
        <v>101839</v>
      </c>
      <c r="I1210" s="5">
        <v>12972665.9</v>
      </c>
      <c r="J1210" s="6">
        <v>0.0127</v>
      </c>
      <c r="K1210" s="6">
        <v>0.0026</v>
      </c>
    </row>
    <row r="1211" ht="14.5" spans="1:11">
      <c r="A1211" s="3" t="str">
        <f t="shared" si="78"/>
        <v>2026年</v>
      </c>
      <c r="B1211" s="3" t="str">
        <f t="shared" si="79"/>
        <v>2月</v>
      </c>
      <c r="C1211" s="4" t="str">
        <f t="shared" si="80"/>
        <v>W5</v>
      </c>
      <c r="D1211" s="2" t="s">
        <v>769</v>
      </c>
      <c r="E1211" s="2" t="s">
        <v>835</v>
      </c>
      <c r="F1211" s="2" t="str" cm="1">
        <f t="array" ref="F1211">INDEX(_xlfn.TEXTSPLIT(E1211,"-"),2)</f>
        <v>男装</v>
      </c>
      <c r="G1211" s="2" t="str" cm="1">
        <f t="array" ref="G1211">INDEX(_xlfn.TEXTSPLIT(E1211,"-"),3)</f>
        <v>西服</v>
      </c>
      <c r="H1211" s="5">
        <v>117892</v>
      </c>
      <c r="I1211" s="5">
        <v>22638159</v>
      </c>
      <c r="J1211" s="6">
        <v>0.0221</v>
      </c>
      <c r="K1211" s="6">
        <v>0.0226</v>
      </c>
    </row>
    <row r="1212" ht="14.5" spans="1:11">
      <c r="A1212" s="3" t="str">
        <f t="shared" si="78"/>
        <v>2026年</v>
      </c>
      <c r="B1212" s="3" t="str">
        <f t="shared" si="79"/>
        <v>2月</v>
      </c>
      <c r="C1212" s="4" t="str">
        <f t="shared" si="80"/>
        <v>W5</v>
      </c>
      <c r="D1212" s="2" t="s">
        <v>769</v>
      </c>
      <c r="E1212" s="2" t="s">
        <v>836</v>
      </c>
      <c r="F1212" s="2" t="str" cm="1">
        <f t="array" ref="F1212">INDEX(_xlfn.TEXTSPLIT(E1212,"-"),2)</f>
        <v>男装</v>
      </c>
      <c r="G1212" s="2" t="str" cm="1">
        <f t="array" ref="G1212">INDEX(_xlfn.TEXTSPLIT(E1212,"-"),3)</f>
        <v>连体衣/裤</v>
      </c>
      <c r="H1212" s="5">
        <v>975</v>
      </c>
      <c r="I1212" s="5">
        <v>28952.38</v>
      </c>
      <c r="J1212" s="2" t="s">
        <v>713</v>
      </c>
      <c r="K1212" s="6">
        <v>-0.3246</v>
      </c>
    </row>
    <row r="1213" ht="14.5" spans="1:11">
      <c r="A1213" s="3" t="str">
        <f t="shared" si="78"/>
        <v>2026年</v>
      </c>
      <c r="B1213" s="3" t="str">
        <f t="shared" si="79"/>
        <v>2月</v>
      </c>
      <c r="C1213" s="4" t="str">
        <f t="shared" si="80"/>
        <v>W5</v>
      </c>
      <c r="D1213" s="2" t="s">
        <v>769</v>
      </c>
      <c r="E1213" s="2" t="s">
        <v>837</v>
      </c>
      <c r="F1213" s="2" t="str" cm="1">
        <f t="array" ref="F1213">INDEX(_xlfn.TEXTSPLIT(E1213,"-"),2)</f>
        <v>男装</v>
      </c>
      <c r="G1213" s="2" t="str" cm="1">
        <f t="array" ref="G1213">INDEX(_xlfn.TEXTSPLIT(E1213,"-"),3)</f>
        <v>速干/三防T恤</v>
      </c>
      <c r="H1213" s="5">
        <v>1143</v>
      </c>
      <c r="I1213" s="5">
        <v>146990.65</v>
      </c>
      <c r="J1213" s="6">
        <v>0.0001</v>
      </c>
      <c r="K1213" s="6">
        <v>0.5106</v>
      </c>
    </row>
    <row r="1214" ht="14.5" spans="1:11">
      <c r="A1214" s="3" t="str">
        <f t="shared" si="78"/>
        <v>2026年</v>
      </c>
      <c r="B1214" s="3" t="str">
        <f t="shared" si="79"/>
        <v>2月</v>
      </c>
      <c r="C1214" s="4" t="str">
        <f t="shared" si="80"/>
        <v>W5</v>
      </c>
      <c r="D1214" s="2" t="s">
        <v>769</v>
      </c>
      <c r="E1214" s="2" t="s">
        <v>838</v>
      </c>
      <c r="F1214" s="2" t="str" cm="1">
        <f t="array" ref="F1214">INDEX(_xlfn.TEXTSPLIT(E1214,"-"),2)</f>
        <v>男装</v>
      </c>
      <c r="G1214" s="2" t="str" cm="1">
        <f t="array" ref="G1214">INDEX(_xlfn.TEXTSPLIT(E1214,"-"),3)</f>
        <v>针织衫/毛衣</v>
      </c>
      <c r="H1214" s="5">
        <v>499963</v>
      </c>
      <c r="I1214" s="5">
        <v>58476302.96</v>
      </c>
      <c r="J1214" s="6">
        <v>0.0571</v>
      </c>
      <c r="K1214" s="6">
        <v>0.0546</v>
      </c>
    </row>
    <row r="1215" ht="14.5" spans="1:11">
      <c r="A1215" s="3" t="str">
        <f t="shared" si="78"/>
        <v>2026年</v>
      </c>
      <c r="B1215" s="3" t="str">
        <f t="shared" si="79"/>
        <v>2月</v>
      </c>
      <c r="C1215" s="4" t="str">
        <f t="shared" si="80"/>
        <v>W5</v>
      </c>
      <c r="D1215" s="2" t="s">
        <v>769</v>
      </c>
      <c r="E1215" s="2" t="s">
        <v>839</v>
      </c>
      <c r="F1215" s="2" t="str" cm="1">
        <f t="array" ref="F1215">INDEX(_xlfn.TEXTSPLIT(E1215,"-"),2)</f>
        <v>男装</v>
      </c>
      <c r="G1215" s="2" t="str" cm="1">
        <f t="array" ref="G1215">INDEX(_xlfn.TEXTSPLIT(E1215,"-"),3)</f>
        <v>防晒服</v>
      </c>
      <c r="H1215" s="5">
        <v>195</v>
      </c>
      <c r="I1215" s="5">
        <v>20002.84</v>
      </c>
      <c r="J1215" s="2" t="s">
        <v>713</v>
      </c>
      <c r="K1215" s="6">
        <v>-0.1154</v>
      </c>
    </row>
    <row r="1216" ht="14.5" spans="1:11">
      <c r="A1216" s="3" t="str">
        <f t="shared" si="78"/>
        <v>2026年</v>
      </c>
      <c r="B1216" s="3" t="str">
        <f t="shared" si="79"/>
        <v>2月</v>
      </c>
      <c r="C1216" s="4" t="str">
        <f t="shared" si="80"/>
        <v>W5</v>
      </c>
      <c r="D1216" s="2" t="s">
        <v>769</v>
      </c>
      <c r="E1216" s="2" t="s">
        <v>840</v>
      </c>
      <c r="F1216" s="2" t="str" cm="1">
        <f t="array" ref="F1216">INDEX(_xlfn.TEXTSPLIT(E1216,"-"),2)</f>
        <v>男装</v>
      </c>
      <c r="G1216" s="2" t="str" cm="1">
        <f t="array" ref="G1216">INDEX(_xlfn.TEXTSPLIT(E1216,"-"),3)</f>
        <v>风衣</v>
      </c>
      <c r="H1216" s="5">
        <v>7617</v>
      </c>
      <c r="I1216" s="5">
        <v>2745227.46</v>
      </c>
      <c r="J1216" s="6">
        <v>0.0027</v>
      </c>
      <c r="K1216" s="6">
        <v>0.0449</v>
      </c>
    </row>
    <row r="1217" ht="14.5" spans="1:11">
      <c r="A1217" s="3" t="str">
        <f t="shared" si="78"/>
        <v>2026年</v>
      </c>
      <c r="B1217" s="3" t="str">
        <f t="shared" si="79"/>
        <v>2月</v>
      </c>
      <c r="C1217" s="4" t="str">
        <f t="shared" si="80"/>
        <v>W5</v>
      </c>
      <c r="D1217" s="2" t="s">
        <v>769</v>
      </c>
      <c r="E1217" s="2" t="s">
        <v>841</v>
      </c>
      <c r="F1217" s="2" t="str" cm="1">
        <f t="array" ref="F1217">INDEX(_xlfn.TEXTSPLIT(E1217,"-"),2)</f>
        <v>男装</v>
      </c>
      <c r="G1217" s="2" t="str" cm="1">
        <f t="array" ref="G1217">INDEX(_xlfn.TEXTSPLIT(E1217,"-"),3)</f>
        <v>马甲</v>
      </c>
      <c r="H1217" s="5">
        <v>44052</v>
      </c>
      <c r="I1217" s="5">
        <v>4282944.99</v>
      </c>
      <c r="J1217" s="6">
        <v>0.0042</v>
      </c>
      <c r="K1217" s="6">
        <v>-0.0271</v>
      </c>
    </row>
    <row r="1218" ht="14.5" spans="1:11">
      <c r="A1218" s="3" t="str">
        <f t="shared" si="78"/>
        <v>2026年</v>
      </c>
      <c r="B1218" s="3" t="str">
        <f t="shared" si="79"/>
        <v>2月</v>
      </c>
      <c r="C1218" s="4" t="str">
        <f t="shared" si="80"/>
        <v>W6</v>
      </c>
      <c r="D1218" s="2" t="s">
        <v>770</v>
      </c>
      <c r="E1218" s="2" t="s">
        <v>804</v>
      </c>
      <c r="F1218" s="2" t="str" cm="1">
        <f t="array" ref="F1218">INDEX(_xlfn.TEXTSPLIT(E1218,"-"),2)</f>
        <v>男装</v>
      </c>
      <c r="G1218" s="2" t="str" cm="1">
        <f t="array" ref="G1218">INDEX(_xlfn.TEXTSPLIT(E1218,"-"),3)</f>
        <v>Polo衫</v>
      </c>
      <c r="H1218" s="5">
        <v>54705</v>
      </c>
      <c r="I1218" s="5">
        <v>5070473.46</v>
      </c>
      <c r="J1218" s="6">
        <v>0.0057</v>
      </c>
      <c r="K1218" s="6">
        <v>-0.0908</v>
      </c>
    </row>
    <row r="1219" ht="14.5" spans="1:11">
      <c r="A1219" s="3" t="str">
        <f t="shared" si="78"/>
        <v>2026年</v>
      </c>
      <c r="B1219" s="3" t="str">
        <f t="shared" si="79"/>
        <v>2月</v>
      </c>
      <c r="C1219" s="4" t="str">
        <f t="shared" si="80"/>
        <v>W6</v>
      </c>
      <c r="D1219" s="2" t="s">
        <v>770</v>
      </c>
      <c r="E1219" s="2" t="s">
        <v>805</v>
      </c>
      <c r="F1219" s="2" t="str" cm="1">
        <f t="array" ref="F1219">INDEX(_xlfn.TEXTSPLIT(E1219,"-"),2)</f>
        <v>男装</v>
      </c>
      <c r="G1219" s="2" t="str" cm="1">
        <f t="array" ref="G1219">INDEX(_xlfn.TEXTSPLIT(E1219,"-"),3)</f>
        <v>T恤</v>
      </c>
      <c r="H1219" s="5">
        <v>451353</v>
      </c>
      <c r="I1219" s="5">
        <v>35266406.94</v>
      </c>
      <c r="J1219" s="6">
        <v>0.0395</v>
      </c>
      <c r="K1219" s="6">
        <v>-0.0179</v>
      </c>
    </row>
    <row r="1220" ht="14.5" spans="1:11">
      <c r="A1220" s="3" t="str">
        <f t="shared" si="78"/>
        <v>2026年</v>
      </c>
      <c r="B1220" s="3" t="str">
        <f t="shared" si="79"/>
        <v>2月</v>
      </c>
      <c r="C1220" s="4" t="str">
        <f t="shared" si="80"/>
        <v>W6</v>
      </c>
      <c r="D1220" s="2" t="s">
        <v>770</v>
      </c>
      <c r="E1220" s="2" t="s">
        <v>806</v>
      </c>
      <c r="F1220" s="2" t="str" cm="1">
        <f t="array" ref="F1220">INDEX(_xlfn.TEXTSPLIT(E1220,"-"),2)</f>
        <v>男装</v>
      </c>
      <c r="G1220" s="2" t="str" cm="1">
        <f t="array" ref="G1220">INDEX(_xlfn.TEXTSPLIT(E1220,"-"),3)</f>
        <v>中老年男装</v>
      </c>
      <c r="H1220" s="5">
        <v>123530</v>
      </c>
      <c r="I1220" s="5">
        <v>16739206.58</v>
      </c>
      <c r="J1220" s="6">
        <v>0.0187</v>
      </c>
      <c r="K1220" s="6">
        <v>-0.2402</v>
      </c>
    </row>
    <row r="1221" ht="14.5" spans="1:11">
      <c r="A1221" s="3" t="str">
        <f t="shared" si="78"/>
        <v>2026年</v>
      </c>
      <c r="B1221" s="3" t="str">
        <f t="shared" si="79"/>
        <v>2月</v>
      </c>
      <c r="C1221" s="4" t="str">
        <f t="shared" si="80"/>
        <v>W6</v>
      </c>
      <c r="D1221" s="2" t="s">
        <v>770</v>
      </c>
      <c r="E1221" s="2" t="s">
        <v>807</v>
      </c>
      <c r="F1221" s="2" t="str" cm="1">
        <f t="array" ref="F1221">INDEX(_xlfn.TEXTSPLIT(E1221,"-"),2)</f>
        <v>男装</v>
      </c>
      <c r="G1221" s="2" t="str" cm="1">
        <f t="array" ref="G1221">INDEX(_xlfn.TEXTSPLIT(E1221,"-"),3)</f>
        <v>休闲裤</v>
      </c>
      <c r="H1221" s="5">
        <v>1007172</v>
      </c>
      <c r="I1221" s="5">
        <v>105705839.02</v>
      </c>
      <c r="J1221" s="6">
        <v>0.1184</v>
      </c>
      <c r="K1221" s="7">
        <v>-0.12</v>
      </c>
    </row>
    <row r="1222" ht="14.5" spans="1:11">
      <c r="A1222" s="3" t="str">
        <f t="shared" si="78"/>
        <v>2026年</v>
      </c>
      <c r="B1222" s="3" t="str">
        <f t="shared" si="79"/>
        <v>2月</v>
      </c>
      <c r="C1222" s="4" t="str">
        <f t="shared" si="80"/>
        <v>W6</v>
      </c>
      <c r="D1222" s="2" t="s">
        <v>770</v>
      </c>
      <c r="E1222" s="2" t="s">
        <v>808</v>
      </c>
      <c r="F1222" s="2" t="str" cm="1">
        <f t="array" ref="F1222">INDEX(_xlfn.TEXTSPLIT(E1222,"-"),2)</f>
        <v>男装</v>
      </c>
      <c r="G1222" s="2" t="str" cm="1">
        <f t="array" ref="G1222">INDEX(_xlfn.TEXTSPLIT(E1222,"-"),3)</f>
        <v>卫衣</v>
      </c>
      <c r="H1222" s="5">
        <v>664976</v>
      </c>
      <c r="I1222" s="5">
        <v>57252205.48</v>
      </c>
      <c r="J1222" s="6">
        <v>0.0641</v>
      </c>
      <c r="K1222" s="6">
        <v>-0.0823</v>
      </c>
    </row>
    <row r="1223" ht="14.5" spans="1:11">
      <c r="A1223" s="3" t="str">
        <f t="shared" si="78"/>
        <v>2026年</v>
      </c>
      <c r="B1223" s="3" t="str">
        <f t="shared" si="79"/>
        <v>2月</v>
      </c>
      <c r="C1223" s="4" t="str">
        <f t="shared" si="80"/>
        <v>W6</v>
      </c>
      <c r="D1223" s="2" t="s">
        <v>770</v>
      </c>
      <c r="E1223" s="2" t="s">
        <v>809</v>
      </c>
      <c r="F1223" s="2" t="str" cm="1">
        <f t="array" ref="F1223">INDEX(_xlfn.TEXTSPLIT(E1223,"-"),2)</f>
        <v>男装</v>
      </c>
      <c r="G1223" s="2" t="str" cm="1">
        <f t="array" ref="G1223">INDEX(_xlfn.TEXTSPLIT(E1223,"-"),3)</f>
        <v>卫裤</v>
      </c>
      <c r="H1223" s="5">
        <v>210249</v>
      </c>
      <c r="I1223" s="5">
        <v>21298147.24</v>
      </c>
      <c r="J1223" s="6">
        <v>0.0239</v>
      </c>
      <c r="K1223" s="6">
        <v>-0.1275</v>
      </c>
    </row>
    <row r="1224" ht="14.5" spans="1:11">
      <c r="A1224" s="3" t="str">
        <f t="shared" si="78"/>
        <v>2026年</v>
      </c>
      <c r="B1224" s="3" t="str">
        <f t="shared" si="79"/>
        <v>2月</v>
      </c>
      <c r="C1224" s="4" t="str">
        <f t="shared" si="80"/>
        <v>W6</v>
      </c>
      <c r="D1224" s="2" t="s">
        <v>770</v>
      </c>
      <c r="E1224" s="2" t="s">
        <v>810</v>
      </c>
      <c r="F1224" s="2" t="str" cm="1">
        <f t="array" ref="F1224">INDEX(_xlfn.TEXTSPLIT(E1224,"-"),2)</f>
        <v>男装</v>
      </c>
      <c r="G1224" s="2" t="str" cm="1">
        <f t="array" ref="G1224">INDEX(_xlfn.TEXTSPLIT(E1224,"-"),3)</f>
        <v>大码男装</v>
      </c>
      <c r="H1224" s="5">
        <v>45396</v>
      </c>
      <c r="I1224" s="5">
        <v>3920675.37</v>
      </c>
      <c r="J1224" s="6">
        <v>0.0044</v>
      </c>
      <c r="K1224" s="6">
        <v>-0.1228</v>
      </c>
    </row>
    <row r="1225" ht="14.5" spans="1:11">
      <c r="A1225" s="3" t="str">
        <f t="shared" si="78"/>
        <v>2026年</v>
      </c>
      <c r="B1225" s="3" t="str">
        <f t="shared" si="79"/>
        <v>2月</v>
      </c>
      <c r="C1225" s="4" t="str">
        <f t="shared" si="80"/>
        <v>W6</v>
      </c>
      <c r="D1225" s="2" t="s">
        <v>770</v>
      </c>
      <c r="E1225" s="2" t="s">
        <v>811</v>
      </c>
      <c r="F1225" s="2" t="str" cm="1">
        <f t="array" ref="F1225">INDEX(_xlfn.TEXTSPLIT(E1225,"-"),2)</f>
        <v>男装</v>
      </c>
      <c r="G1225" s="2" t="str" cm="1">
        <f t="array" ref="G1225">INDEX(_xlfn.TEXTSPLIT(E1225,"-"),3)</f>
        <v>夹克</v>
      </c>
      <c r="H1225" s="5">
        <v>506721</v>
      </c>
      <c r="I1225" s="5">
        <v>93232403.33</v>
      </c>
      <c r="J1225" s="6">
        <v>0.1044</v>
      </c>
      <c r="K1225" s="6">
        <v>-0.1332</v>
      </c>
    </row>
    <row r="1226" ht="14.5" spans="1:11">
      <c r="A1226" s="3" t="str">
        <f t="shared" si="78"/>
        <v>2026年</v>
      </c>
      <c r="B1226" s="3" t="str">
        <f t="shared" si="79"/>
        <v>2月</v>
      </c>
      <c r="C1226" s="4" t="str">
        <f t="shared" si="80"/>
        <v>W6</v>
      </c>
      <c r="D1226" s="2" t="s">
        <v>770</v>
      </c>
      <c r="E1226" s="2" t="s">
        <v>812</v>
      </c>
      <c r="F1226" s="2" t="str" cm="1">
        <f t="array" ref="F1226">INDEX(_xlfn.TEXTSPLIT(E1226,"-"),2)</f>
        <v>男装</v>
      </c>
      <c r="G1226" s="2" t="str" cm="1">
        <f t="array" ref="G1226">INDEX(_xlfn.TEXTSPLIT(E1226,"-"),3)</f>
        <v>套装</v>
      </c>
      <c r="H1226" s="5">
        <v>58583</v>
      </c>
      <c r="I1226" s="5">
        <v>8958409.97</v>
      </c>
      <c r="J1226" s="7">
        <v>0.01</v>
      </c>
      <c r="K1226" s="6">
        <v>0.0119</v>
      </c>
    </row>
    <row r="1227" ht="14.5" spans="1:11">
      <c r="A1227" s="3" t="str">
        <f t="shared" si="78"/>
        <v>2026年</v>
      </c>
      <c r="B1227" s="3" t="str">
        <f t="shared" si="79"/>
        <v>2月</v>
      </c>
      <c r="C1227" s="4" t="str">
        <f t="shared" si="80"/>
        <v>W6</v>
      </c>
      <c r="D1227" s="2" t="s">
        <v>770</v>
      </c>
      <c r="E1227" s="2" t="s">
        <v>813</v>
      </c>
      <c r="F1227" s="2" t="str" cm="1">
        <f t="array" ref="F1227">INDEX(_xlfn.TEXTSPLIT(E1227,"-"),2)</f>
        <v>男装</v>
      </c>
      <c r="G1227" s="2" t="str" cm="1">
        <f t="array" ref="G1227">INDEX(_xlfn.TEXTSPLIT(E1227,"-"),3)</f>
        <v>学生校服</v>
      </c>
      <c r="H1227" s="5">
        <v>3</v>
      </c>
      <c r="I1227" s="5">
        <v>224.78</v>
      </c>
      <c r="J1227" s="2" t="s">
        <v>713</v>
      </c>
      <c r="K1227" s="6">
        <v>-0.7979</v>
      </c>
    </row>
    <row r="1228" ht="14.5" spans="1:11">
      <c r="A1228" s="3" t="str">
        <f t="shared" si="78"/>
        <v>2026年</v>
      </c>
      <c r="B1228" s="3" t="str">
        <f t="shared" si="79"/>
        <v>2月</v>
      </c>
      <c r="C1228" s="4" t="str">
        <f t="shared" si="80"/>
        <v>W6</v>
      </c>
      <c r="D1228" s="2" t="s">
        <v>770</v>
      </c>
      <c r="E1228" s="2" t="s">
        <v>814</v>
      </c>
      <c r="F1228" s="2" t="str" cm="1">
        <f t="array" ref="F1228">INDEX(_xlfn.TEXTSPLIT(E1228,"-"),2)</f>
        <v>男装</v>
      </c>
      <c r="G1228" s="2" t="str" cm="1">
        <f t="array" ref="G1228">INDEX(_xlfn.TEXTSPLIT(E1228,"-"),3)</f>
        <v>打底衫</v>
      </c>
      <c r="H1228" s="5">
        <v>18489</v>
      </c>
      <c r="I1228" s="5">
        <v>1244239.18</v>
      </c>
      <c r="J1228" s="6">
        <v>0.0014</v>
      </c>
      <c r="K1228" s="6">
        <v>0.0237</v>
      </c>
    </row>
    <row r="1229" ht="14.5" spans="1:11">
      <c r="A1229" s="3" t="str">
        <f t="shared" si="78"/>
        <v>2026年</v>
      </c>
      <c r="B1229" s="3" t="str">
        <f t="shared" si="79"/>
        <v>2月</v>
      </c>
      <c r="C1229" s="4" t="str">
        <f t="shared" si="80"/>
        <v>W6</v>
      </c>
      <c r="D1229" s="2" t="s">
        <v>770</v>
      </c>
      <c r="E1229" s="2" t="s">
        <v>815</v>
      </c>
      <c r="F1229" s="2" t="str" cm="1">
        <f t="array" ref="F1229">INDEX(_xlfn.TEXTSPLIT(E1229,"-"),2)</f>
        <v>男装</v>
      </c>
      <c r="G1229" s="2" t="str" cm="1">
        <f t="array" ref="G1229">INDEX(_xlfn.TEXTSPLIT(E1229,"-"),3)</f>
        <v>新中式男装</v>
      </c>
      <c r="H1229" s="5">
        <v>898</v>
      </c>
      <c r="I1229" s="5">
        <v>229503.54</v>
      </c>
      <c r="J1229" s="6">
        <v>0.0003</v>
      </c>
      <c r="K1229" s="6">
        <v>3.8376</v>
      </c>
    </row>
    <row r="1230" ht="14.5" spans="1:11">
      <c r="A1230" s="3" t="str">
        <f t="shared" si="78"/>
        <v>2026年</v>
      </c>
      <c r="B1230" s="3" t="str">
        <f t="shared" si="79"/>
        <v>2月</v>
      </c>
      <c r="C1230" s="4" t="str">
        <f t="shared" si="80"/>
        <v>W6</v>
      </c>
      <c r="D1230" s="2" t="s">
        <v>770</v>
      </c>
      <c r="E1230" s="2" t="s">
        <v>816</v>
      </c>
      <c r="F1230" s="2" t="str" cm="1">
        <f t="array" ref="F1230">INDEX(_xlfn.TEXTSPLIT(E1230,"-"),2)</f>
        <v>男装</v>
      </c>
      <c r="G1230" s="2" t="str" cm="1">
        <f t="array" ref="G1230">INDEX(_xlfn.TEXTSPLIT(E1230,"-"),3)</f>
        <v>棉衣</v>
      </c>
      <c r="H1230" s="5">
        <v>385638</v>
      </c>
      <c r="I1230" s="5">
        <v>53118621.58</v>
      </c>
      <c r="J1230" s="6">
        <v>0.0595</v>
      </c>
      <c r="K1230" s="6">
        <v>-0.1385</v>
      </c>
    </row>
    <row r="1231" ht="14.5" spans="1:11">
      <c r="A1231" s="3" t="str">
        <f t="shared" si="78"/>
        <v>2026年</v>
      </c>
      <c r="B1231" s="3" t="str">
        <f t="shared" si="79"/>
        <v>2月</v>
      </c>
      <c r="C1231" s="4" t="str">
        <f t="shared" si="80"/>
        <v>W6</v>
      </c>
      <c r="D1231" s="2" t="s">
        <v>770</v>
      </c>
      <c r="E1231" s="2" t="s">
        <v>817</v>
      </c>
      <c r="F1231" s="2" t="str" cm="1">
        <f t="array" ref="F1231">INDEX(_xlfn.TEXTSPLIT(E1231,"-"),2)</f>
        <v>男装</v>
      </c>
      <c r="G1231" s="2" t="str" cm="1">
        <f t="array" ref="G1231">INDEX(_xlfn.TEXTSPLIT(E1231,"-"),3)</f>
        <v>棉裤</v>
      </c>
      <c r="H1231" s="5">
        <v>13876</v>
      </c>
      <c r="I1231" s="5">
        <v>1072566.67</v>
      </c>
      <c r="J1231" s="6">
        <v>0.0012</v>
      </c>
      <c r="K1231" s="6">
        <v>-0.1953</v>
      </c>
    </row>
    <row r="1232" ht="14.5" spans="1:11">
      <c r="A1232" s="3" t="str">
        <f t="shared" si="78"/>
        <v>2026年</v>
      </c>
      <c r="B1232" s="3" t="str">
        <f t="shared" si="79"/>
        <v>2月</v>
      </c>
      <c r="C1232" s="4" t="str">
        <f t="shared" si="80"/>
        <v>W6</v>
      </c>
      <c r="D1232" s="2" t="s">
        <v>770</v>
      </c>
      <c r="E1232" s="2" t="s">
        <v>818</v>
      </c>
      <c r="F1232" s="2" t="str" cm="1">
        <f t="array" ref="F1232">INDEX(_xlfn.TEXTSPLIT(E1232,"-"),2)</f>
        <v>男装</v>
      </c>
      <c r="G1232" s="2" t="str" cm="1">
        <f t="array" ref="G1232">INDEX(_xlfn.TEXTSPLIT(E1232,"-"),3)</f>
        <v>毛呢大衣</v>
      </c>
      <c r="H1232" s="5">
        <v>57794</v>
      </c>
      <c r="I1232" s="5">
        <v>24844997.77</v>
      </c>
      <c r="J1232" s="6">
        <v>0.0278</v>
      </c>
      <c r="K1232" s="6">
        <v>-0.1378</v>
      </c>
    </row>
    <row r="1233" ht="14.5" spans="1:11">
      <c r="A1233" s="3" t="str">
        <f t="shared" si="78"/>
        <v>2026年</v>
      </c>
      <c r="B1233" s="3" t="str">
        <f t="shared" si="79"/>
        <v>2月</v>
      </c>
      <c r="C1233" s="4" t="str">
        <f t="shared" si="80"/>
        <v>W6</v>
      </c>
      <c r="D1233" s="2" t="s">
        <v>770</v>
      </c>
      <c r="E1233" s="2" t="s">
        <v>819</v>
      </c>
      <c r="F1233" s="2" t="str" cm="1">
        <f t="array" ref="F1233">INDEX(_xlfn.TEXTSPLIT(E1233,"-"),2)</f>
        <v>男装</v>
      </c>
      <c r="G1233" s="2" t="str" cm="1">
        <f t="array" ref="G1233">INDEX(_xlfn.TEXTSPLIT(E1233,"-"),3)</f>
        <v>民族服装</v>
      </c>
      <c r="H1233" s="5">
        <v>8852</v>
      </c>
      <c r="I1233" s="5">
        <v>1942229.78</v>
      </c>
      <c r="J1233" s="6">
        <v>0.0022</v>
      </c>
      <c r="K1233" s="6">
        <v>-0.0152</v>
      </c>
    </row>
    <row r="1234" ht="14.5" spans="1:11">
      <c r="A1234" s="3" t="str">
        <f t="shared" si="78"/>
        <v>2026年</v>
      </c>
      <c r="B1234" s="3" t="str">
        <f t="shared" si="79"/>
        <v>2月</v>
      </c>
      <c r="C1234" s="4" t="str">
        <f t="shared" si="80"/>
        <v>W6</v>
      </c>
      <c r="D1234" s="2" t="s">
        <v>770</v>
      </c>
      <c r="E1234" s="2" t="s">
        <v>820</v>
      </c>
      <c r="F1234" s="2" t="str" cm="1">
        <f t="array" ref="F1234">INDEX(_xlfn.TEXTSPLIT(E1234,"-"),2)</f>
        <v>男装</v>
      </c>
      <c r="G1234" s="2" t="str" cm="1">
        <f t="array" ref="G1234">INDEX(_xlfn.TEXTSPLIT(E1234,"-"),3)</f>
        <v>派克服</v>
      </c>
      <c r="H1234" s="5">
        <v>12075</v>
      </c>
      <c r="I1234" s="5">
        <v>2575456.48</v>
      </c>
      <c r="J1234" s="6">
        <v>0.0029</v>
      </c>
      <c r="K1234" s="6">
        <v>-0.0372</v>
      </c>
    </row>
    <row r="1235" ht="14.5" spans="1:11">
      <c r="A1235" s="3" t="str">
        <f t="shared" si="78"/>
        <v>2026年</v>
      </c>
      <c r="B1235" s="3" t="str">
        <f t="shared" si="79"/>
        <v>2月</v>
      </c>
      <c r="C1235" s="4" t="str">
        <f t="shared" si="80"/>
        <v>W6</v>
      </c>
      <c r="D1235" s="2" t="s">
        <v>770</v>
      </c>
      <c r="E1235" s="2" t="s">
        <v>821</v>
      </c>
      <c r="F1235" s="2" t="str" cm="1">
        <f t="array" ref="F1235">INDEX(_xlfn.TEXTSPLIT(E1235,"-"),2)</f>
        <v>男装</v>
      </c>
      <c r="G1235" s="2" t="str" cm="1">
        <f t="array" ref="G1235">INDEX(_xlfn.TEXTSPLIT(E1235,"-"),3)</f>
        <v>牛仔裤</v>
      </c>
      <c r="H1235" s="5">
        <v>731333</v>
      </c>
      <c r="I1235" s="5">
        <v>85702143.43</v>
      </c>
      <c r="J1235" s="6">
        <v>0.096</v>
      </c>
      <c r="K1235" s="6">
        <v>-0.0607</v>
      </c>
    </row>
    <row r="1236" ht="14.5" spans="1:11">
      <c r="A1236" s="3" t="str">
        <f t="shared" si="78"/>
        <v>2026年</v>
      </c>
      <c r="B1236" s="3" t="str">
        <f t="shared" si="79"/>
        <v>2月</v>
      </c>
      <c r="C1236" s="4" t="str">
        <f t="shared" si="80"/>
        <v>W6</v>
      </c>
      <c r="D1236" s="2" t="s">
        <v>770</v>
      </c>
      <c r="E1236" s="2" t="s">
        <v>822</v>
      </c>
      <c r="F1236" s="2" t="str" cm="1">
        <f t="array" ref="F1236">INDEX(_xlfn.TEXTSPLIT(E1236,"-"),2)</f>
        <v>男装</v>
      </c>
      <c r="G1236" s="2" t="str" cm="1">
        <f t="array" ref="G1236">INDEX(_xlfn.TEXTSPLIT(E1236,"-"),3)</f>
        <v>皮草</v>
      </c>
      <c r="H1236" s="5">
        <v>5044</v>
      </c>
      <c r="I1236" s="5">
        <v>5280552.37</v>
      </c>
      <c r="J1236" s="6">
        <v>0.0059</v>
      </c>
      <c r="K1236" s="6">
        <v>-0.1123</v>
      </c>
    </row>
    <row r="1237" ht="14.5" spans="1:11">
      <c r="A1237" s="3" t="str">
        <f t="shared" si="78"/>
        <v>2026年</v>
      </c>
      <c r="B1237" s="3" t="str">
        <f t="shared" si="79"/>
        <v>2月</v>
      </c>
      <c r="C1237" s="4" t="str">
        <f t="shared" si="80"/>
        <v>W6</v>
      </c>
      <c r="D1237" s="2" t="s">
        <v>770</v>
      </c>
      <c r="E1237" s="2" t="s">
        <v>823</v>
      </c>
      <c r="F1237" s="2" t="str" cm="1">
        <f t="array" ref="F1237">INDEX(_xlfn.TEXTSPLIT(E1237,"-"),2)</f>
        <v>男装</v>
      </c>
      <c r="G1237" s="2" t="str" cm="1">
        <f t="array" ref="G1237">INDEX(_xlfn.TEXTSPLIT(E1237,"-"),3)</f>
        <v>皮衣</v>
      </c>
      <c r="H1237" s="5">
        <v>70512</v>
      </c>
      <c r="I1237" s="5">
        <v>30889929.58</v>
      </c>
      <c r="J1237" s="6">
        <v>0.0346</v>
      </c>
      <c r="K1237" s="6">
        <v>-0.0343</v>
      </c>
    </row>
    <row r="1238" ht="14.5" spans="1:11">
      <c r="A1238" s="3" t="str">
        <f t="shared" si="78"/>
        <v>2026年</v>
      </c>
      <c r="B1238" s="3" t="str">
        <f t="shared" si="79"/>
        <v>2月</v>
      </c>
      <c r="C1238" s="4" t="str">
        <f t="shared" si="80"/>
        <v>W6</v>
      </c>
      <c r="D1238" s="2" t="s">
        <v>770</v>
      </c>
      <c r="E1238" s="2" t="s">
        <v>824</v>
      </c>
      <c r="F1238" s="2" t="str" cm="1">
        <f t="array" ref="F1238">INDEX(_xlfn.TEXTSPLIT(E1238,"-"),2)</f>
        <v>男装</v>
      </c>
      <c r="G1238" s="2" t="str" cm="1">
        <f t="array" ref="G1238">INDEX(_xlfn.TEXTSPLIT(E1238,"-"),3)</f>
        <v>皮裤</v>
      </c>
      <c r="H1238" s="5">
        <v>1507</v>
      </c>
      <c r="I1238" s="5">
        <v>243570.01</v>
      </c>
      <c r="J1238" s="6">
        <v>0.0003</v>
      </c>
      <c r="K1238" s="6">
        <v>-0.4407</v>
      </c>
    </row>
    <row r="1239" ht="14.5" spans="1:11">
      <c r="A1239" s="3" t="str">
        <f t="shared" si="78"/>
        <v>2026年</v>
      </c>
      <c r="B1239" s="3" t="str">
        <f t="shared" si="79"/>
        <v>2月</v>
      </c>
      <c r="C1239" s="4" t="str">
        <f t="shared" si="80"/>
        <v>W6</v>
      </c>
      <c r="D1239" s="2" t="s">
        <v>770</v>
      </c>
      <c r="E1239" s="2" t="s">
        <v>825</v>
      </c>
      <c r="F1239" s="2" t="str" cm="1">
        <f t="array" ref="F1239">INDEX(_xlfn.TEXTSPLIT(E1239,"-"),2)</f>
        <v>男装</v>
      </c>
      <c r="G1239" s="2" t="str" cm="1">
        <f t="array" ref="G1239">INDEX(_xlfn.TEXTSPLIT(E1239,"-"),3)</f>
        <v>短外套</v>
      </c>
      <c r="H1239" s="5">
        <v>41401</v>
      </c>
      <c r="I1239" s="5">
        <v>4119567.02</v>
      </c>
      <c r="J1239" s="6">
        <v>0.0046</v>
      </c>
      <c r="K1239" s="6">
        <v>0.045</v>
      </c>
    </row>
    <row r="1240" ht="14.5" spans="1:11">
      <c r="A1240" s="3" t="str">
        <f t="shared" si="78"/>
        <v>2026年</v>
      </c>
      <c r="B1240" s="3" t="str">
        <f t="shared" si="79"/>
        <v>2月</v>
      </c>
      <c r="C1240" s="4" t="str">
        <f t="shared" si="80"/>
        <v>W6</v>
      </c>
      <c r="D1240" s="2" t="s">
        <v>770</v>
      </c>
      <c r="E1240" s="2" t="s">
        <v>826</v>
      </c>
      <c r="F1240" s="2" t="str" cm="1">
        <f t="array" ref="F1240">INDEX(_xlfn.TEXTSPLIT(E1240,"-"),2)</f>
        <v>男装</v>
      </c>
      <c r="G1240" s="2" t="str" cm="1">
        <f t="array" ref="G1240">INDEX(_xlfn.TEXTSPLIT(E1240,"-"),3)</f>
        <v>短裤</v>
      </c>
      <c r="H1240" s="5">
        <v>47964</v>
      </c>
      <c r="I1240" s="5">
        <v>1643699.75</v>
      </c>
      <c r="J1240" s="6">
        <v>0.0018</v>
      </c>
      <c r="K1240" s="6">
        <v>-0.0604</v>
      </c>
    </row>
    <row r="1241" ht="14.5" spans="1:11">
      <c r="A1241" s="3" t="str">
        <f t="shared" si="78"/>
        <v>2026年</v>
      </c>
      <c r="B1241" s="3" t="str">
        <f t="shared" si="79"/>
        <v>2月</v>
      </c>
      <c r="C1241" s="4" t="str">
        <f t="shared" si="80"/>
        <v>W6</v>
      </c>
      <c r="D1241" s="2" t="s">
        <v>770</v>
      </c>
      <c r="E1241" s="2" t="s">
        <v>827</v>
      </c>
      <c r="F1241" s="2" t="str" cm="1">
        <f t="array" ref="F1241">INDEX(_xlfn.TEXTSPLIT(E1241,"-"),2)</f>
        <v>男装</v>
      </c>
      <c r="G1241" s="2" t="str" cm="1">
        <f t="array" ref="G1241">INDEX(_xlfn.TEXTSPLIT(E1241,"-"),3)</f>
        <v>紧身衣</v>
      </c>
      <c r="H1241" s="5">
        <v>235</v>
      </c>
      <c r="I1241" s="5">
        <v>7284.53</v>
      </c>
      <c r="J1241" s="2" t="s">
        <v>713</v>
      </c>
      <c r="K1241" s="6">
        <v>0.1446</v>
      </c>
    </row>
    <row r="1242" ht="14.5" spans="1:11">
      <c r="A1242" s="3" t="str">
        <f t="shared" si="78"/>
        <v>2026年</v>
      </c>
      <c r="B1242" s="3" t="str">
        <f t="shared" si="79"/>
        <v>2月</v>
      </c>
      <c r="C1242" s="4" t="str">
        <f t="shared" si="80"/>
        <v>W6</v>
      </c>
      <c r="D1242" s="2" t="s">
        <v>770</v>
      </c>
      <c r="E1242" s="2" t="s">
        <v>828</v>
      </c>
      <c r="F1242" s="2" t="str" cm="1">
        <f t="array" ref="F1242">INDEX(_xlfn.TEXTSPLIT(E1242,"-"),2)</f>
        <v>男装</v>
      </c>
      <c r="G1242" s="2" t="str" cm="1">
        <f t="array" ref="G1242">INDEX(_xlfn.TEXTSPLIT(E1242,"-"),3)</f>
        <v>羊毛衫</v>
      </c>
      <c r="H1242" s="5">
        <v>105849</v>
      </c>
      <c r="I1242" s="5">
        <v>15977509.97</v>
      </c>
      <c r="J1242" s="6">
        <v>0.0179</v>
      </c>
      <c r="K1242" s="6">
        <v>-0.2522</v>
      </c>
    </row>
    <row r="1243" ht="14.5" spans="1:11">
      <c r="A1243" s="3" t="str">
        <f t="shared" si="78"/>
        <v>2026年</v>
      </c>
      <c r="B1243" s="3" t="str">
        <f t="shared" si="79"/>
        <v>2月</v>
      </c>
      <c r="C1243" s="4" t="str">
        <f t="shared" si="80"/>
        <v>W6</v>
      </c>
      <c r="D1243" s="2" t="s">
        <v>770</v>
      </c>
      <c r="E1243" s="2" t="s">
        <v>829</v>
      </c>
      <c r="F1243" s="2" t="str" cm="1">
        <f t="array" ref="F1243">INDEX(_xlfn.TEXTSPLIT(E1243,"-"),2)</f>
        <v>男装</v>
      </c>
      <c r="G1243" s="2" t="str" cm="1">
        <f t="array" ref="G1243">INDEX(_xlfn.TEXTSPLIT(E1243,"-"),3)</f>
        <v>羊绒衫</v>
      </c>
      <c r="H1243" s="5">
        <v>17826</v>
      </c>
      <c r="I1243" s="5">
        <v>5505629.9</v>
      </c>
      <c r="J1243" s="6">
        <v>0.0062</v>
      </c>
      <c r="K1243" s="6">
        <v>-0.2386</v>
      </c>
    </row>
    <row r="1244" ht="14.5" spans="1:11">
      <c r="A1244" s="3" t="str">
        <f t="shared" ref="A1244:A1307" si="81">TEXT(YEAR(D1244),"0")&amp;"年"</f>
        <v>2026年</v>
      </c>
      <c r="B1244" s="3" t="str">
        <f t="shared" ref="B1244:B1307" si="82">TEXT(MONTH(D1244),"0")&amp;"月"</f>
        <v>2月</v>
      </c>
      <c r="C1244" s="4" t="str">
        <f t="shared" ref="C1244:C1307" si="83">"W"&amp;TEXT(WEEKNUM(D1244,2),"0")</f>
        <v>W6</v>
      </c>
      <c r="D1244" s="2" t="s">
        <v>770</v>
      </c>
      <c r="E1244" s="2" t="s">
        <v>830</v>
      </c>
      <c r="F1244" s="2" t="str" cm="1">
        <f t="array" ref="F1244">INDEX(_xlfn.TEXTSPLIT(E1244,"-"),2)</f>
        <v>男装</v>
      </c>
      <c r="G1244" s="2" t="str" cm="1">
        <f t="array" ref="G1244">INDEX(_xlfn.TEXTSPLIT(E1244,"-"),3)</f>
        <v>羽绒服</v>
      </c>
      <c r="H1244" s="5">
        <v>593090</v>
      </c>
      <c r="I1244" s="5">
        <v>212353726.94</v>
      </c>
      <c r="J1244" s="6">
        <v>0.2378</v>
      </c>
      <c r="K1244" s="6">
        <v>-0.1948</v>
      </c>
    </row>
    <row r="1245" ht="14.5" spans="1:11">
      <c r="A1245" s="3" t="str">
        <f t="shared" si="81"/>
        <v>2026年</v>
      </c>
      <c r="B1245" s="3" t="str">
        <f t="shared" si="82"/>
        <v>2月</v>
      </c>
      <c r="C1245" s="4" t="str">
        <f t="shared" si="83"/>
        <v>W6</v>
      </c>
      <c r="D1245" s="2" t="s">
        <v>770</v>
      </c>
      <c r="E1245" s="2" t="s">
        <v>831</v>
      </c>
      <c r="F1245" s="2" t="str" cm="1">
        <f t="array" ref="F1245">INDEX(_xlfn.TEXTSPLIT(E1245,"-"),2)</f>
        <v>男装</v>
      </c>
      <c r="G1245" s="2" t="str" cm="1">
        <f t="array" ref="G1245">INDEX(_xlfn.TEXTSPLIT(E1245,"-"),3)</f>
        <v>羽绒裤</v>
      </c>
      <c r="H1245" s="5">
        <v>7424</v>
      </c>
      <c r="I1245" s="5">
        <v>1093368.76</v>
      </c>
      <c r="J1245" s="6">
        <v>0.0012</v>
      </c>
      <c r="K1245" s="6">
        <v>-0.361</v>
      </c>
    </row>
    <row r="1246" ht="14.5" spans="1:11">
      <c r="A1246" s="3" t="str">
        <f t="shared" si="81"/>
        <v>2026年</v>
      </c>
      <c r="B1246" s="3" t="str">
        <f t="shared" si="82"/>
        <v>2月</v>
      </c>
      <c r="C1246" s="4" t="str">
        <f t="shared" si="83"/>
        <v>W6</v>
      </c>
      <c r="D1246" s="2" t="s">
        <v>770</v>
      </c>
      <c r="E1246" s="2" t="s">
        <v>832</v>
      </c>
      <c r="F1246" s="2" t="str" cm="1">
        <f t="array" ref="F1246">INDEX(_xlfn.TEXTSPLIT(E1246,"-"),2)</f>
        <v>男装</v>
      </c>
      <c r="G1246" s="2" t="str" cm="1">
        <f t="array" ref="G1246">INDEX(_xlfn.TEXTSPLIT(E1246,"-"),3)</f>
        <v>羽绒马甲</v>
      </c>
      <c r="H1246" s="5">
        <v>10230</v>
      </c>
      <c r="I1246" s="5">
        <v>2284625.38</v>
      </c>
      <c r="J1246" s="6">
        <v>0.0026</v>
      </c>
      <c r="K1246" s="6">
        <v>-0.1103</v>
      </c>
    </row>
    <row r="1247" ht="14.5" spans="1:11">
      <c r="A1247" s="3" t="str">
        <f t="shared" si="81"/>
        <v>2026年</v>
      </c>
      <c r="B1247" s="3" t="str">
        <f t="shared" si="82"/>
        <v>2月</v>
      </c>
      <c r="C1247" s="4" t="str">
        <f t="shared" si="83"/>
        <v>W6</v>
      </c>
      <c r="D1247" s="2" t="s">
        <v>770</v>
      </c>
      <c r="E1247" s="2" t="s">
        <v>833</v>
      </c>
      <c r="F1247" s="2" t="str" cm="1">
        <f t="array" ref="F1247">INDEX(_xlfn.TEXTSPLIT(E1247,"-"),2)</f>
        <v>男装</v>
      </c>
      <c r="G1247" s="2" t="str" cm="1">
        <f t="array" ref="G1247">INDEX(_xlfn.TEXTSPLIT(E1247,"-"),3)</f>
        <v>背心</v>
      </c>
      <c r="H1247" s="5">
        <v>35512</v>
      </c>
      <c r="I1247" s="5">
        <v>2235172.51</v>
      </c>
      <c r="J1247" s="6">
        <v>0.0025</v>
      </c>
      <c r="K1247" s="6">
        <v>-0.1304</v>
      </c>
    </row>
    <row r="1248" ht="14.5" spans="1:11">
      <c r="A1248" s="3" t="str">
        <f t="shared" si="81"/>
        <v>2026年</v>
      </c>
      <c r="B1248" s="3" t="str">
        <f t="shared" si="82"/>
        <v>2月</v>
      </c>
      <c r="C1248" s="4" t="str">
        <f t="shared" si="83"/>
        <v>W6</v>
      </c>
      <c r="D1248" s="2" t="s">
        <v>770</v>
      </c>
      <c r="E1248" s="2" t="s">
        <v>834</v>
      </c>
      <c r="F1248" s="2" t="str" cm="1">
        <f t="array" ref="F1248">INDEX(_xlfn.TEXTSPLIT(E1248,"-"),2)</f>
        <v>男装</v>
      </c>
      <c r="G1248" s="2" t="str" cm="1">
        <f t="array" ref="G1248">INDEX(_xlfn.TEXTSPLIT(E1248,"-"),3)</f>
        <v>衬衫</v>
      </c>
      <c r="H1248" s="5">
        <v>100452</v>
      </c>
      <c r="I1248" s="5">
        <v>12280457.94</v>
      </c>
      <c r="J1248" s="6">
        <v>0.0138</v>
      </c>
      <c r="K1248" s="6">
        <v>-0.0534</v>
      </c>
    </row>
    <row r="1249" ht="14.5" spans="1:11">
      <c r="A1249" s="3" t="str">
        <f t="shared" si="81"/>
        <v>2026年</v>
      </c>
      <c r="B1249" s="3" t="str">
        <f t="shared" si="82"/>
        <v>2月</v>
      </c>
      <c r="C1249" s="4" t="str">
        <f t="shared" si="83"/>
        <v>W6</v>
      </c>
      <c r="D1249" s="2" t="s">
        <v>770</v>
      </c>
      <c r="E1249" s="2" t="s">
        <v>835</v>
      </c>
      <c r="F1249" s="2" t="str" cm="1">
        <f t="array" ref="F1249">INDEX(_xlfn.TEXTSPLIT(E1249,"-"),2)</f>
        <v>男装</v>
      </c>
      <c r="G1249" s="2" t="str" cm="1">
        <f t="array" ref="G1249">INDEX(_xlfn.TEXTSPLIT(E1249,"-"),3)</f>
        <v>西服</v>
      </c>
      <c r="H1249" s="5">
        <v>113351</v>
      </c>
      <c r="I1249" s="5">
        <v>21141750.91</v>
      </c>
      <c r="J1249" s="6">
        <v>0.0237</v>
      </c>
      <c r="K1249" s="6">
        <v>-0.0661</v>
      </c>
    </row>
    <row r="1250" ht="14.5" spans="1:11">
      <c r="A1250" s="3" t="str">
        <f t="shared" si="81"/>
        <v>2026年</v>
      </c>
      <c r="B1250" s="3" t="str">
        <f t="shared" si="82"/>
        <v>2月</v>
      </c>
      <c r="C1250" s="4" t="str">
        <f t="shared" si="83"/>
        <v>W6</v>
      </c>
      <c r="D1250" s="2" t="s">
        <v>770</v>
      </c>
      <c r="E1250" s="2" t="s">
        <v>836</v>
      </c>
      <c r="F1250" s="2" t="str" cm="1">
        <f t="array" ref="F1250">INDEX(_xlfn.TEXTSPLIT(E1250,"-"),2)</f>
        <v>男装</v>
      </c>
      <c r="G1250" s="2" t="str" cm="1">
        <f t="array" ref="G1250">INDEX(_xlfn.TEXTSPLIT(E1250,"-"),3)</f>
        <v>连体衣/裤</v>
      </c>
      <c r="H1250" s="5">
        <v>1020</v>
      </c>
      <c r="I1250" s="5">
        <v>30161.48</v>
      </c>
      <c r="J1250" s="2" t="s">
        <v>713</v>
      </c>
      <c r="K1250" s="6">
        <v>0.0418</v>
      </c>
    </row>
    <row r="1251" ht="14.5" spans="1:11">
      <c r="A1251" s="3" t="str">
        <f t="shared" si="81"/>
        <v>2026年</v>
      </c>
      <c r="B1251" s="3" t="str">
        <f t="shared" si="82"/>
        <v>2月</v>
      </c>
      <c r="C1251" s="4" t="str">
        <f t="shared" si="83"/>
        <v>W6</v>
      </c>
      <c r="D1251" s="2" t="s">
        <v>770</v>
      </c>
      <c r="E1251" s="2" t="s">
        <v>837</v>
      </c>
      <c r="F1251" s="2" t="str" cm="1">
        <f t="array" ref="F1251">INDEX(_xlfn.TEXTSPLIT(E1251,"-"),2)</f>
        <v>男装</v>
      </c>
      <c r="G1251" s="2" t="str" cm="1">
        <f t="array" ref="G1251">INDEX(_xlfn.TEXTSPLIT(E1251,"-"),3)</f>
        <v>速干/三防T恤</v>
      </c>
      <c r="H1251" s="5">
        <v>671</v>
      </c>
      <c r="I1251" s="5">
        <v>71984.58</v>
      </c>
      <c r="J1251" s="6">
        <v>0.0001</v>
      </c>
      <c r="K1251" s="6">
        <v>-0.5103</v>
      </c>
    </row>
    <row r="1252" ht="14.5" spans="1:11">
      <c r="A1252" s="3" t="str">
        <f t="shared" si="81"/>
        <v>2026年</v>
      </c>
      <c r="B1252" s="3" t="str">
        <f t="shared" si="82"/>
        <v>2月</v>
      </c>
      <c r="C1252" s="4" t="str">
        <f t="shared" si="83"/>
        <v>W6</v>
      </c>
      <c r="D1252" s="2" t="s">
        <v>770</v>
      </c>
      <c r="E1252" s="2" t="s">
        <v>838</v>
      </c>
      <c r="F1252" s="2" t="str" cm="1">
        <f t="array" ref="F1252">INDEX(_xlfn.TEXTSPLIT(E1252,"-"),2)</f>
        <v>男装</v>
      </c>
      <c r="G1252" s="2" t="str" cm="1">
        <f t="array" ref="G1252">INDEX(_xlfn.TEXTSPLIT(E1252,"-"),3)</f>
        <v>针织衫/毛衣</v>
      </c>
      <c r="H1252" s="5">
        <v>448898</v>
      </c>
      <c r="I1252" s="5">
        <v>53271504.75</v>
      </c>
      <c r="J1252" s="6">
        <v>0.0597</v>
      </c>
      <c r="K1252" s="6">
        <v>-0.089</v>
      </c>
    </row>
    <row r="1253" ht="14.5" spans="1:11">
      <c r="A1253" s="3" t="str">
        <f t="shared" si="81"/>
        <v>2026年</v>
      </c>
      <c r="B1253" s="3" t="str">
        <f t="shared" si="82"/>
        <v>2月</v>
      </c>
      <c r="C1253" s="4" t="str">
        <f t="shared" si="83"/>
        <v>W6</v>
      </c>
      <c r="D1253" s="2" t="s">
        <v>770</v>
      </c>
      <c r="E1253" s="2" t="s">
        <v>839</v>
      </c>
      <c r="F1253" s="2" t="str" cm="1">
        <f t="array" ref="F1253">INDEX(_xlfn.TEXTSPLIT(E1253,"-"),2)</f>
        <v>男装</v>
      </c>
      <c r="G1253" s="2" t="str" cm="1">
        <f t="array" ref="G1253">INDEX(_xlfn.TEXTSPLIT(E1253,"-"),3)</f>
        <v>防晒服</v>
      </c>
      <c r="H1253" s="5">
        <v>199</v>
      </c>
      <c r="I1253" s="5">
        <v>19243.49</v>
      </c>
      <c r="J1253" s="2" t="s">
        <v>713</v>
      </c>
      <c r="K1253" s="6">
        <v>-0.038</v>
      </c>
    </row>
    <row r="1254" ht="14.5" spans="1:11">
      <c r="A1254" s="3" t="str">
        <f t="shared" si="81"/>
        <v>2026年</v>
      </c>
      <c r="B1254" s="3" t="str">
        <f t="shared" si="82"/>
        <v>2月</v>
      </c>
      <c r="C1254" s="4" t="str">
        <f t="shared" si="83"/>
        <v>W6</v>
      </c>
      <c r="D1254" s="2" t="s">
        <v>770</v>
      </c>
      <c r="E1254" s="2" t="s">
        <v>840</v>
      </c>
      <c r="F1254" s="2" t="str" cm="1">
        <f t="array" ref="F1254">INDEX(_xlfn.TEXTSPLIT(E1254,"-"),2)</f>
        <v>男装</v>
      </c>
      <c r="G1254" s="2" t="str" cm="1">
        <f t="array" ref="G1254">INDEX(_xlfn.TEXTSPLIT(E1254,"-"),3)</f>
        <v>风衣</v>
      </c>
      <c r="H1254" s="5">
        <v>7653</v>
      </c>
      <c r="I1254" s="5">
        <v>2436315.01</v>
      </c>
      <c r="J1254" s="6">
        <v>0.0027</v>
      </c>
      <c r="K1254" s="6">
        <v>-0.1125</v>
      </c>
    </row>
    <row r="1255" ht="14.5" spans="1:11">
      <c r="A1255" s="3" t="str">
        <f t="shared" si="81"/>
        <v>2026年</v>
      </c>
      <c r="B1255" s="3" t="str">
        <f t="shared" si="82"/>
        <v>2月</v>
      </c>
      <c r="C1255" s="4" t="str">
        <f t="shared" si="83"/>
        <v>W6</v>
      </c>
      <c r="D1255" s="2" t="s">
        <v>770</v>
      </c>
      <c r="E1255" s="2" t="s">
        <v>841</v>
      </c>
      <c r="F1255" s="2" t="str" cm="1">
        <f t="array" ref="F1255">INDEX(_xlfn.TEXTSPLIT(E1255,"-"),2)</f>
        <v>男装</v>
      </c>
      <c r="G1255" s="2" t="str" cm="1">
        <f t="array" ref="G1255">INDEX(_xlfn.TEXTSPLIT(E1255,"-"),3)</f>
        <v>马甲</v>
      </c>
      <c r="H1255" s="5">
        <v>40419</v>
      </c>
      <c r="I1255" s="5">
        <v>3849877.81</v>
      </c>
      <c r="J1255" s="6">
        <v>0.0043</v>
      </c>
      <c r="K1255" s="6">
        <v>-0.1011</v>
      </c>
    </row>
    <row r="1256" ht="14.5" spans="1:11">
      <c r="A1256" s="3" t="str">
        <f t="shared" si="81"/>
        <v>2026年</v>
      </c>
      <c r="B1256" s="3" t="str">
        <f t="shared" si="82"/>
        <v>2月</v>
      </c>
      <c r="C1256" s="4" t="str">
        <f t="shared" si="83"/>
        <v>W6</v>
      </c>
      <c r="D1256" s="2" t="s">
        <v>771</v>
      </c>
      <c r="E1256" s="2" t="s">
        <v>804</v>
      </c>
      <c r="F1256" s="2" t="str" cm="1">
        <f t="array" ref="F1256">INDEX(_xlfn.TEXTSPLIT(E1256,"-"),2)</f>
        <v>男装</v>
      </c>
      <c r="G1256" s="2" t="str" cm="1">
        <f t="array" ref="G1256">INDEX(_xlfn.TEXTSPLIT(E1256,"-"),3)</f>
        <v>Polo衫</v>
      </c>
      <c r="H1256" s="5">
        <v>52905</v>
      </c>
      <c r="I1256" s="5">
        <v>4785238.86</v>
      </c>
      <c r="J1256" s="6">
        <v>0.0054</v>
      </c>
      <c r="K1256" s="6">
        <v>-0.0563</v>
      </c>
    </row>
    <row r="1257" ht="14.5" spans="1:11">
      <c r="A1257" s="3" t="str">
        <f t="shared" si="81"/>
        <v>2026年</v>
      </c>
      <c r="B1257" s="3" t="str">
        <f t="shared" si="82"/>
        <v>2月</v>
      </c>
      <c r="C1257" s="4" t="str">
        <f t="shared" si="83"/>
        <v>W6</v>
      </c>
      <c r="D1257" s="2" t="s">
        <v>771</v>
      </c>
      <c r="E1257" s="2" t="s">
        <v>805</v>
      </c>
      <c r="F1257" s="2" t="str" cm="1">
        <f t="array" ref="F1257">INDEX(_xlfn.TEXTSPLIT(E1257,"-"),2)</f>
        <v>男装</v>
      </c>
      <c r="G1257" s="2" t="str" cm="1">
        <f t="array" ref="G1257">INDEX(_xlfn.TEXTSPLIT(E1257,"-"),3)</f>
        <v>T恤</v>
      </c>
      <c r="H1257" s="5">
        <v>441411</v>
      </c>
      <c r="I1257" s="5">
        <v>33933453.26</v>
      </c>
      <c r="J1257" s="6">
        <v>0.0384</v>
      </c>
      <c r="K1257" s="6">
        <v>-0.0378</v>
      </c>
    </row>
    <row r="1258" ht="14.5" spans="1:11">
      <c r="A1258" s="3" t="str">
        <f t="shared" si="81"/>
        <v>2026年</v>
      </c>
      <c r="B1258" s="3" t="str">
        <f t="shared" si="82"/>
        <v>2月</v>
      </c>
      <c r="C1258" s="4" t="str">
        <f t="shared" si="83"/>
        <v>W6</v>
      </c>
      <c r="D1258" s="2" t="s">
        <v>771</v>
      </c>
      <c r="E1258" s="2" t="s">
        <v>806</v>
      </c>
      <c r="F1258" s="2" t="str" cm="1">
        <f t="array" ref="F1258">INDEX(_xlfn.TEXTSPLIT(E1258,"-"),2)</f>
        <v>男装</v>
      </c>
      <c r="G1258" s="2" t="str" cm="1">
        <f t="array" ref="G1258">INDEX(_xlfn.TEXTSPLIT(E1258,"-"),3)</f>
        <v>中老年男装</v>
      </c>
      <c r="H1258" s="5">
        <v>188147</v>
      </c>
      <c r="I1258" s="5">
        <v>25326581.46</v>
      </c>
      <c r="J1258" s="6">
        <v>0.0287</v>
      </c>
      <c r="K1258" s="6">
        <v>0.513</v>
      </c>
    </row>
    <row r="1259" ht="14.5" spans="1:11">
      <c r="A1259" s="3" t="str">
        <f t="shared" si="81"/>
        <v>2026年</v>
      </c>
      <c r="B1259" s="3" t="str">
        <f t="shared" si="82"/>
        <v>2月</v>
      </c>
      <c r="C1259" s="4" t="str">
        <f t="shared" si="83"/>
        <v>W6</v>
      </c>
      <c r="D1259" s="2" t="s">
        <v>771</v>
      </c>
      <c r="E1259" s="2" t="s">
        <v>807</v>
      </c>
      <c r="F1259" s="2" t="str" cm="1">
        <f t="array" ref="F1259">INDEX(_xlfn.TEXTSPLIT(E1259,"-"),2)</f>
        <v>男装</v>
      </c>
      <c r="G1259" s="2" t="str" cm="1">
        <f t="array" ref="G1259">INDEX(_xlfn.TEXTSPLIT(E1259,"-"),3)</f>
        <v>休闲裤</v>
      </c>
      <c r="H1259" s="5">
        <v>947280</v>
      </c>
      <c r="I1259" s="5">
        <v>102129295.22</v>
      </c>
      <c r="J1259" s="6">
        <v>0.1157</v>
      </c>
      <c r="K1259" s="6">
        <v>-0.0338</v>
      </c>
    </row>
    <row r="1260" ht="14.5" spans="1:11">
      <c r="A1260" s="3" t="str">
        <f t="shared" si="81"/>
        <v>2026年</v>
      </c>
      <c r="B1260" s="3" t="str">
        <f t="shared" si="82"/>
        <v>2月</v>
      </c>
      <c r="C1260" s="4" t="str">
        <f t="shared" si="83"/>
        <v>W6</v>
      </c>
      <c r="D1260" s="2" t="s">
        <v>771</v>
      </c>
      <c r="E1260" s="2" t="s">
        <v>808</v>
      </c>
      <c r="F1260" s="2" t="str" cm="1">
        <f t="array" ref="F1260">INDEX(_xlfn.TEXTSPLIT(E1260,"-"),2)</f>
        <v>男装</v>
      </c>
      <c r="G1260" s="2" t="str" cm="1">
        <f t="array" ref="G1260">INDEX(_xlfn.TEXTSPLIT(E1260,"-"),3)</f>
        <v>卫衣</v>
      </c>
      <c r="H1260" s="5">
        <v>658577</v>
      </c>
      <c r="I1260" s="5">
        <v>56281765.11</v>
      </c>
      <c r="J1260" s="6">
        <v>0.0638</v>
      </c>
      <c r="K1260" s="6">
        <v>-0.017</v>
      </c>
    </row>
    <row r="1261" ht="14.5" spans="1:11">
      <c r="A1261" s="3" t="str">
        <f t="shared" si="81"/>
        <v>2026年</v>
      </c>
      <c r="B1261" s="3" t="str">
        <f t="shared" si="82"/>
        <v>2月</v>
      </c>
      <c r="C1261" s="4" t="str">
        <f t="shared" si="83"/>
        <v>W6</v>
      </c>
      <c r="D1261" s="2" t="s">
        <v>771</v>
      </c>
      <c r="E1261" s="2" t="s">
        <v>809</v>
      </c>
      <c r="F1261" s="2" t="str" cm="1">
        <f t="array" ref="F1261">INDEX(_xlfn.TEXTSPLIT(E1261,"-"),2)</f>
        <v>男装</v>
      </c>
      <c r="G1261" s="2" t="str" cm="1">
        <f t="array" ref="G1261">INDEX(_xlfn.TEXTSPLIT(E1261,"-"),3)</f>
        <v>卫裤</v>
      </c>
      <c r="H1261" s="5">
        <v>194674</v>
      </c>
      <c r="I1261" s="5">
        <v>18906065.74</v>
      </c>
      <c r="J1261" s="6">
        <v>0.0214</v>
      </c>
      <c r="K1261" s="6">
        <v>-0.1123</v>
      </c>
    </row>
    <row r="1262" ht="14.5" spans="1:11">
      <c r="A1262" s="3" t="str">
        <f t="shared" si="81"/>
        <v>2026年</v>
      </c>
      <c r="B1262" s="3" t="str">
        <f t="shared" si="82"/>
        <v>2月</v>
      </c>
      <c r="C1262" s="4" t="str">
        <f t="shared" si="83"/>
        <v>W6</v>
      </c>
      <c r="D1262" s="2" t="s">
        <v>771</v>
      </c>
      <c r="E1262" s="2" t="s">
        <v>810</v>
      </c>
      <c r="F1262" s="2" t="str" cm="1">
        <f t="array" ref="F1262">INDEX(_xlfn.TEXTSPLIT(E1262,"-"),2)</f>
        <v>男装</v>
      </c>
      <c r="G1262" s="2" t="str" cm="1">
        <f t="array" ref="G1262">INDEX(_xlfn.TEXTSPLIT(E1262,"-"),3)</f>
        <v>大码男装</v>
      </c>
      <c r="H1262" s="5">
        <v>44214</v>
      </c>
      <c r="I1262" s="5">
        <v>4066741.47</v>
      </c>
      <c r="J1262" s="6">
        <v>0.0046</v>
      </c>
      <c r="K1262" s="6">
        <v>0.0373</v>
      </c>
    </row>
    <row r="1263" ht="14.5" spans="1:11">
      <c r="A1263" s="3" t="str">
        <f t="shared" si="81"/>
        <v>2026年</v>
      </c>
      <c r="B1263" s="3" t="str">
        <f t="shared" si="82"/>
        <v>2月</v>
      </c>
      <c r="C1263" s="4" t="str">
        <f t="shared" si="83"/>
        <v>W6</v>
      </c>
      <c r="D1263" s="2" t="s">
        <v>771</v>
      </c>
      <c r="E1263" s="2" t="s">
        <v>811</v>
      </c>
      <c r="F1263" s="2" t="str" cm="1">
        <f t="array" ref="F1263">INDEX(_xlfn.TEXTSPLIT(E1263,"-"),2)</f>
        <v>男装</v>
      </c>
      <c r="G1263" s="2" t="str" cm="1">
        <f t="array" ref="G1263">INDEX(_xlfn.TEXTSPLIT(E1263,"-"),3)</f>
        <v>夹克</v>
      </c>
      <c r="H1263" s="5">
        <v>521961</v>
      </c>
      <c r="I1263" s="5">
        <v>99223646.81</v>
      </c>
      <c r="J1263" s="6">
        <v>0.1124</v>
      </c>
      <c r="K1263" s="6">
        <v>0.0643</v>
      </c>
    </row>
    <row r="1264" ht="14.5" spans="1:11">
      <c r="A1264" s="3" t="str">
        <f t="shared" si="81"/>
        <v>2026年</v>
      </c>
      <c r="B1264" s="3" t="str">
        <f t="shared" si="82"/>
        <v>2月</v>
      </c>
      <c r="C1264" s="4" t="str">
        <f t="shared" si="83"/>
        <v>W6</v>
      </c>
      <c r="D1264" s="2" t="s">
        <v>771</v>
      </c>
      <c r="E1264" s="2" t="s">
        <v>812</v>
      </c>
      <c r="F1264" s="2" t="str" cm="1">
        <f t="array" ref="F1264">INDEX(_xlfn.TEXTSPLIT(E1264,"-"),2)</f>
        <v>男装</v>
      </c>
      <c r="G1264" s="2" t="str" cm="1">
        <f t="array" ref="G1264">INDEX(_xlfn.TEXTSPLIT(E1264,"-"),3)</f>
        <v>套装</v>
      </c>
      <c r="H1264" s="5">
        <v>52849</v>
      </c>
      <c r="I1264" s="5">
        <v>8137924.45</v>
      </c>
      <c r="J1264" s="6">
        <v>0.0092</v>
      </c>
      <c r="K1264" s="6">
        <v>-0.0916</v>
      </c>
    </row>
    <row r="1265" ht="14.5" spans="1:11">
      <c r="A1265" s="3" t="str">
        <f t="shared" si="81"/>
        <v>2026年</v>
      </c>
      <c r="B1265" s="3" t="str">
        <f t="shared" si="82"/>
        <v>2月</v>
      </c>
      <c r="C1265" s="4" t="str">
        <f t="shared" si="83"/>
        <v>W6</v>
      </c>
      <c r="D1265" s="2" t="s">
        <v>771</v>
      </c>
      <c r="E1265" s="2" t="s">
        <v>813</v>
      </c>
      <c r="F1265" s="2" t="str" cm="1">
        <f t="array" ref="F1265">INDEX(_xlfn.TEXTSPLIT(E1265,"-"),2)</f>
        <v>男装</v>
      </c>
      <c r="G1265" s="2" t="str" cm="1">
        <f t="array" ref="G1265">INDEX(_xlfn.TEXTSPLIT(E1265,"-"),3)</f>
        <v>学生校服</v>
      </c>
      <c r="H1265" s="5">
        <v>6</v>
      </c>
      <c r="I1265" s="5">
        <v>732.58</v>
      </c>
      <c r="J1265" s="2" t="s">
        <v>713</v>
      </c>
      <c r="K1265" s="6">
        <v>2.2591</v>
      </c>
    </row>
    <row r="1266" ht="14.5" spans="1:11">
      <c r="A1266" s="3" t="str">
        <f t="shared" si="81"/>
        <v>2026年</v>
      </c>
      <c r="B1266" s="3" t="str">
        <f t="shared" si="82"/>
        <v>2月</v>
      </c>
      <c r="C1266" s="4" t="str">
        <f t="shared" si="83"/>
        <v>W6</v>
      </c>
      <c r="D1266" s="2" t="s">
        <v>771</v>
      </c>
      <c r="E1266" s="2" t="s">
        <v>814</v>
      </c>
      <c r="F1266" s="2" t="str" cm="1">
        <f t="array" ref="F1266">INDEX(_xlfn.TEXTSPLIT(E1266,"-"),2)</f>
        <v>男装</v>
      </c>
      <c r="G1266" s="2" t="str" cm="1">
        <f t="array" ref="G1266">INDEX(_xlfn.TEXTSPLIT(E1266,"-"),3)</f>
        <v>打底衫</v>
      </c>
      <c r="H1266" s="5">
        <v>23991</v>
      </c>
      <c r="I1266" s="5">
        <v>1261323.6</v>
      </c>
      <c r="J1266" s="6">
        <v>0.0014</v>
      </c>
      <c r="K1266" s="6">
        <v>0.0137</v>
      </c>
    </row>
    <row r="1267" ht="14.5" spans="1:11">
      <c r="A1267" s="3" t="str">
        <f t="shared" si="81"/>
        <v>2026年</v>
      </c>
      <c r="B1267" s="3" t="str">
        <f t="shared" si="82"/>
        <v>2月</v>
      </c>
      <c r="C1267" s="4" t="str">
        <f t="shared" si="83"/>
        <v>W6</v>
      </c>
      <c r="D1267" s="2" t="s">
        <v>771</v>
      </c>
      <c r="E1267" s="2" t="s">
        <v>815</v>
      </c>
      <c r="F1267" s="2" t="str" cm="1">
        <f t="array" ref="F1267">INDEX(_xlfn.TEXTSPLIT(E1267,"-"),2)</f>
        <v>男装</v>
      </c>
      <c r="G1267" s="2" t="str" cm="1">
        <f t="array" ref="G1267">INDEX(_xlfn.TEXTSPLIT(E1267,"-"),3)</f>
        <v>新中式男装</v>
      </c>
      <c r="H1267" s="5">
        <v>465</v>
      </c>
      <c r="I1267" s="5">
        <v>125529.58</v>
      </c>
      <c r="J1267" s="6">
        <v>0.0001</v>
      </c>
      <c r="K1267" s="6">
        <v>-0.453</v>
      </c>
    </row>
    <row r="1268" ht="14.5" spans="1:11">
      <c r="A1268" s="3" t="str">
        <f t="shared" si="81"/>
        <v>2026年</v>
      </c>
      <c r="B1268" s="3" t="str">
        <f t="shared" si="82"/>
        <v>2月</v>
      </c>
      <c r="C1268" s="4" t="str">
        <f t="shared" si="83"/>
        <v>W6</v>
      </c>
      <c r="D1268" s="2" t="s">
        <v>771</v>
      </c>
      <c r="E1268" s="2" t="s">
        <v>816</v>
      </c>
      <c r="F1268" s="2" t="str" cm="1">
        <f t="array" ref="F1268">INDEX(_xlfn.TEXTSPLIT(E1268,"-"),2)</f>
        <v>男装</v>
      </c>
      <c r="G1268" s="2" t="str" cm="1">
        <f t="array" ref="G1268">INDEX(_xlfn.TEXTSPLIT(E1268,"-"),3)</f>
        <v>棉衣</v>
      </c>
      <c r="H1268" s="5">
        <v>368023</v>
      </c>
      <c r="I1268" s="5">
        <v>51123351.63</v>
      </c>
      <c r="J1268" s="6">
        <v>0.0579</v>
      </c>
      <c r="K1268" s="6">
        <v>-0.0376</v>
      </c>
    </row>
    <row r="1269" ht="14.5" spans="1:11">
      <c r="A1269" s="3" t="str">
        <f t="shared" si="81"/>
        <v>2026年</v>
      </c>
      <c r="B1269" s="3" t="str">
        <f t="shared" si="82"/>
        <v>2月</v>
      </c>
      <c r="C1269" s="4" t="str">
        <f t="shared" si="83"/>
        <v>W6</v>
      </c>
      <c r="D1269" s="2" t="s">
        <v>771</v>
      </c>
      <c r="E1269" s="2" t="s">
        <v>817</v>
      </c>
      <c r="F1269" s="2" t="str" cm="1">
        <f t="array" ref="F1269">INDEX(_xlfn.TEXTSPLIT(E1269,"-"),2)</f>
        <v>男装</v>
      </c>
      <c r="G1269" s="2" t="str" cm="1">
        <f t="array" ref="G1269">INDEX(_xlfn.TEXTSPLIT(E1269,"-"),3)</f>
        <v>棉裤</v>
      </c>
      <c r="H1269" s="5">
        <v>11614</v>
      </c>
      <c r="I1269" s="5">
        <v>864778.73</v>
      </c>
      <c r="J1269" s="6">
        <v>0.001</v>
      </c>
      <c r="K1269" s="6">
        <v>-0.1937</v>
      </c>
    </row>
    <row r="1270" ht="14.5" spans="1:11">
      <c r="A1270" s="3" t="str">
        <f t="shared" si="81"/>
        <v>2026年</v>
      </c>
      <c r="B1270" s="3" t="str">
        <f t="shared" si="82"/>
        <v>2月</v>
      </c>
      <c r="C1270" s="4" t="str">
        <f t="shared" si="83"/>
        <v>W6</v>
      </c>
      <c r="D1270" s="2" t="s">
        <v>771</v>
      </c>
      <c r="E1270" s="2" t="s">
        <v>818</v>
      </c>
      <c r="F1270" s="2" t="str" cm="1">
        <f t="array" ref="F1270">INDEX(_xlfn.TEXTSPLIT(E1270,"-"),2)</f>
        <v>男装</v>
      </c>
      <c r="G1270" s="2" t="str" cm="1">
        <f t="array" ref="G1270">INDEX(_xlfn.TEXTSPLIT(E1270,"-"),3)</f>
        <v>毛呢大衣</v>
      </c>
      <c r="H1270" s="5">
        <v>59956</v>
      </c>
      <c r="I1270" s="5">
        <v>25392387.48</v>
      </c>
      <c r="J1270" s="6">
        <v>0.0288</v>
      </c>
      <c r="K1270" s="6">
        <v>0.022</v>
      </c>
    </row>
    <row r="1271" ht="14.5" spans="1:11">
      <c r="A1271" s="3" t="str">
        <f t="shared" si="81"/>
        <v>2026年</v>
      </c>
      <c r="B1271" s="3" t="str">
        <f t="shared" si="82"/>
        <v>2月</v>
      </c>
      <c r="C1271" s="4" t="str">
        <f t="shared" si="83"/>
        <v>W6</v>
      </c>
      <c r="D1271" s="2" t="s">
        <v>771</v>
      </c>
      <c r="E1271" s="2" t="s">
        <v>819</v>
      </c>
      <c r="F1271" s="2" t="str" cm="1">
        <f t="array" ref="F1271">INDEX(_xlfn.TEXTSPLIT(E1271,"-"),2)</f>
        <v>男装</v>
      </c>
      <c r="G1271" s="2" t="str" cm="1">
        <f t="array" ref="G1271">INDEX(_xlfn.TEXTSPLIT(E1271,"-"),3)</f>
        <v>民族服装</v>
      </c>
      <c r="H1271" s="5">
        <v>9204</v>
      </c>
      <c r="I1271" s="5">
        <v>2001589.96</v>
      </c>
      <c r="J1271" s="6">
        <v>0.0023</v>
      </c>
      <c r="K1271" s="6">
        <v>0.0306</v>
      </c>
    </row>
    <row r="1272" ht="14.5" spans="1:11">
      <c r="A1272" s="3" t="str">
        <f t="shared" si="81"/>
        <v>2026年</v>
      </c>
      <c r="B1272" s="3" t="str">
        <f t="shared" si="82"/>
        <v>2月</v>
      </c>
      <c r="C1272" s="4" t="str">
        <f t="shared" si="83"/>
        <v>W6</v>
      </c>
      <c r="D1272" s="2" t="s">
        <v>771</v>
      </c>
      <c r="E1272" s="2" t="s">
        <v>820</v>
      </c>
      <c r="F1272" s="2" t="str" cm="1">
        <f t="array" ref="F1272">INDEX(_xlfn.TEXTSPLIT(E1272,"-"),2)</f>
        <v>男装</v>
      </c>
      <c r="G1272" s="2" t="str" cm="1">
        <f t="array" ref="G1272">INDEX(_xlfn.TEXTSPLIT(E1272,"-"),3)</f>
        <v>派克服</v>
      </c>
      <c r="H1272" s="5">
        <v>10772</v>
      </c>
      <c r="I1272" s="5">
        <v>2219470.5</v>
      </c>
      <c r="J1272" s="6">
        <v>0.0025</v>
      </c>
      <c r="K1272" s="6">
        <v>-0.1382</v>
      </c>
    </row>
    <row r="1273" ht="14.5" spans="1:11">
      <c r="A1273" s="3" t="str">
        <f t="shared" si="81"/>
        <v>2026年</v>
      </c>
      <c r="B1273" s="3" t="str">
        <f t="shared" si="82"/>
        <v>2月</v>
      </c>
      <c r="C1273" s="4" t="str">
        <f t="shared" si="83"/>
        <v>W6</v>
      </c>
      <c r="D1273" s="2" t="s">
        <v>771</v>
      </c>
      <c r="E1273" s="2" t="s">
        <v>821</v>
      </c>
      <c r="F1273" s="2" t="str" cm="1">
        <f t="array" ref="F1273">INDEX(_xlfn.TEXTSPLIT(E1273,"-"),2)</f>
        <v>男装</v>
      </c>
      <c r="G1273" s="2" t="str" cm="1">
        <f t="array" ref="G1273">INDEX(_xlfn.TEXTSPLIT(E1273,"-"),3)</f>
        <v>牛仔裤</v>
      </c>
      <c r="H1273" s="5">
        <v>718611</v>
      </c>
      <c r="I1273" s="5">
        <v>83002264.13</v>
      </c>
      <c r="J1273" s="6">
        <v>0.094</v>
      </c>
      <c r="K1273" s="6">
        <v>-0.0315</v>
      </c>
    </row>
    <row r="1274" ht="14.5" spans="1:11">
      <c r="A1274" s="3" t="str">
        <f t="shared" si="81"/>
        <v>2026年</v>
      </c>
      <c r="B1274" s="3" t="str">
        <f t="shared" si="82"/>
        <v>2月</v>
      </c>
      <c r="C1274" s="4" t="str">
        <f t="shared" si="83"/>
        <v>W6</v>
      </c>
      <c r="D1274" s="2" t="s">
        <v>771</v>
      </c>
      <c r="E1274" s="2" t="s">
        <v>822</v>
      </c>
      <c r="F1274" s="2" t="str" cm="1">
        <f t="array" ref="F1274">INDEX(_xlfn.TEXTSPLIT(E1274,"-"),2)</f>
        <v>男装</v>
      </c>
      <c r="G1274" s="2" t="str" cm="1">
        <f t="array" ref="G1274">INDEX(_xlfn.TEXTSPLIT(E1274,"-"),3)</f>
        <v>皮草</v>
      </c>
      <c r="H1274" s="5">
        <v>5965</v>
      </c>
      <c r="I1274" s="5">
        <v>5451160.05</v>
      </c>
      <c r="J1274" s="6">
        <v>0.0062</v>
      </c>
      <c r="K1274" s="6">
        <v>0.0323</v>
      </c>
    </row>
    <row r="1275" ht="14.5" spans="1:11">
      <c r="A1275" s="3" t="str">
        <f t="shared" si="81"/>
        <v>2026年</v>
      </c>
      <c r="B1275" s="3" t="str">
        <f t="shared" si="82"/>
        <v>2月</v>
      </c>
      <c r="C1275" s="4" t="str">
        <f t="shared" si="83"/>
        <v>W6</v>
      </c>
      <c r="D1275" s="2" t="s">
        <v>771</v>
      </c>
      <c r="E1275" s="2" t="s">
        <v>823</v>
      </c>
      <c r="F1275" s="2" t="str" cm="1">
        <f t="array" ref="F1275">INDEX(_xlfn.TEXTSPLIT(E1275,"-"),2)</f>
        <v>男装</v>
      </c>
      <c r="G1275" s="2" t="str" cm="1">
        <f t="array" ref="G1275">INDEX(_xlfn.TEXTSPLIT(E1275,"-"),3)</f>
        <v>皮衣</v>
      </c>
      <c r="H1275" s="5">
        <v>67747</v>
      </c>
      <c r="I1275" s="5">
        <v>28616019.73</v>
      </c>
      <c r="J1275" s="6">
        <v>0.0324</v>
      </c>
      <c r="K1275" s="6">
        <v>-0.0736</v>
      </c>
    </row>
    <row r="1276" ht="14.5" spans="1:11">
      <c r="A1276" s="3" t="str">
        <f t="shared" si="81"/>
        <v>2026年</v>
      </c>
      <c r="B1276" s="3" t="str">
        <f t="shared" si="82"/>
        <v>2月</v>
      </c>
      <c r="C1276" s="4" t="str">
        <f t="shared" si="83"/>
        <v>W6</v>
      </c>
      <c r="D1276" s="2" t="s">
        <v>771</v>
      </c>
      <c r="E1276" s="2" t="s">
        <v>824</v>
      </c>
      <c r="F1276" s="2" t="str" cm="1">
        <f t="array" ref="F1276">INDEX(_xlfn.TEXTSPLIT(E1276,"-"),2)</f>
        <v>男装</v>
      </c>
      <c r="G1276" s="2" t="str" cm="1">
        <f t="array" ref="G1276">INDEX(_xlfn.TEXTSPLIT(E1276,"-"),3)</f>
        <v>皮裤</v>
      </c>
      <c r="H1276" s="5">
        <v>1103</v>
      </c>
      <c r="I1276" s="5">
        <v>230357.99</v>
      </c>
      <c r="J1276" s="6">
        <v>0.0003</v>
      </c>
      <c r="K1276" s="6">
        <v>-0.0542</v>
      </c>
    </row>
    <row r="1277" ht="14.5" spans="1:11">
      <c r="A1277" s="3" t="str">
        <f t="shared" si="81"/>
        <v>2026年</v>
      </c>
      <c r="B1277" s="3" t="str">
        <f t="shared" si="82"/>
        <v>2月</v>
      </c>
      <c r="C1277" s="4" t="str">
        <f t="shared" si="83"/>
        <v>W6</v>
      </c>
      <c r="D1277" s="2" t="s">
        <v>771</v>
      </c>
      <c r="E1277" s="2" t="s">
        <v>825</v>
      </c>
      <c r="F1277" s="2" t="str" cm="1">
        <f t="array" ref="F1277">INDEX(_xlfn.TEXTSPLIT(E1277,"-"),2)</f>
        <v>男装</v>
      </c>
      <c r="G1277" s="2" t="str" cm="1">
        <f t="array" ref="G1277">INDEX(_xlfn.TEXTSPLIT(E1277,"-"),3)</f>
        <v>短外套</v>
      </c>
      <c r="H1277" s="5">
        <v>46178</v>
      </c>
      <c r="I1277" s="5">
        <v>4507474.96</v>
      </c>
      <c r="J1277" s="6">
        <v>0.0051</v>
      </c>
      <c r="K1277" s="6">
        <v>0.0942</v>
      </c>
    </row>
    <row r="1278" ht="14.5" spans="1:11">
      <c r="A1278" s="3" t="str">
        <f t="shared" si="81"/>
        <v>2026年</v>
      </c>
      <c r="B1278" s="3" t="str">
        <f t="shared" si="82"/>
        <v>2月</v>
      </c>
      <c r="C1278" s="4" t="str">
        <f t="shared" si="83"/>
        <v>W6</v>
      </c>
      <c r="D1278" s="2" t="s">
        <v>771</v>
      </c>
      <c r="E1278" s="2" t="s">
        <v>826</v>
      </c>
      <c r="F1278" s="2" t="str" cm="1">
        <f t="array" ref="F1278">INDEX(_xlfn.TEXTSPLIT(E1278,"-"),2)</f>
        <v>男装</v>
      </c>
      <c r="G1278" s="2" t="str" cm="1">
        <f t="array" ref="G1278">INDEX(_xlfn.TEXTSPLIT(E1278,"-"),3)</f>
        <v>短裤</v>
      </c>
      <c r="H1278" s="5">
        <v>49530</v>
      </c>
      <c r="I1278" s="5">
        <v>1669355.52</v>
      </c>
      <c r="J1278" s="6">
        <v>0.0019</v>
      </c>
      <c r="K1278" s="6">
        <v>0.0156</v>
      </c>
    </row>
    <row r="1279" ht="14.5" spans="1:11">
      <c r="A1279" s="3" t="str">
        <f t="shared" si="81"/>
        <v>2026年</v>
      </c>
      <c r="B1279" s="3" t="str">
        <f t="shared" si="82"/>
        <v>2月</v>
      </c>
      <c r="C1279" s="4" t="str">
        <f t="shared" si="83"/>
        <v>W6</v>
      </c>
      <c r="D1279" s="2" t="s">
        <v>771</v>
      </c>
      <c r="E1279" s="2" t="s">
        <v>827</v>
      </c>
      <c r="F1279" s="2" t="str" cm="1">
        <f t="array" ref="F1279">INDEX(_xlfn.TEXTSPLIT(E1279,"-"),2)</f>
        <v>男装</v>
      </c>
      <c r="G1279" s="2" t="str" cm="1">
        <f t="array" ref="G1279">INDEX(_xlfn.TEXTSPLIT(E1279,"-"),3)</f>
        <v>紧身衣</v>
      </c>
      <c r="H1279" s="5">
        <v>173</v>
      </c>
      <c r="I1279" s="5">
        <v>5118.49</v>
      </c>
      <c r="J1279" s="2" t="s">
        <v>713</v>
      </c>
      <c r="K1279" s="6">
        <v>-0.2973</v>
      </c>
    </row>
    <row r="1280" ht="14.5" spans="1:11">
      <c r="A1280" s="3" t="str">
        <f t="shared" si="81"/>
        <v>2026年</v>
      </c>
      <c r="B1280" s="3" t="str">
        <f t="shared" si="82"/>
        <v>2月</v>
      </c>
      <c r="C1280" s="4" t="str">
        <f t="shared" si="83"/>
        <v>W6</v>
      </c>
      <c r="D1280" s="2" t="s">
        <v>771</v>
      </c>
      <c r="E1280" s="2" t="s">
        <v>828</v>
      </c>
      <c r="F1280" s="2" t="str" cm="1">
        <f t="array" ref="F1280">INDEX(_xlfn.TEXTSPLIT(E1280,"-"),2)</f>
        <v>男装</v>
      </c>
      <c r="G1280" s="2" t="str" cm="1">
        <f t="array" ref="G1280">INDEX(_xlfn.TEXTSPLIT(E1280,"-"),3)</f>
        <v>羊毛衫</v>
      </c>
      <c r="H1280" s="5">
        <v>108070</v>
      </c>
      <c r="I1280" s="5">
        <v>16322732.04</v>
      </c>
      <c r="J1280" s="6">
        <v>0.0185</v>
      </c>
      <c r="K1280" s="6">
        <v>0.0216</v>
      </c>
    </row>
    <row r="1281" ht="14.5" spans="1:11">
      <c r="A1281" s="3" t="str">
        <f t="shared" si="81"/>
        <v>2026年</v>
      </c>
      <c r="B1281" s="3" t="str">
        <f t="shared" si="82"/>
        <v>2月</v>
      </c>
      <c r="C1281" s="4" t="str">
        <f t="shared" si="83"/>
        <v>W6</v>
      </c>
      <c r="D1281" s="2" t="s">
        <v>771</v>
      </c>
      <c r="E1281" s="2" t="s">
        <v>829</v>
      </c>
      <c r="F1281" s="2" t="str" cm="1">
        <f t="array" ref="F1281">INDEX(_xlfn.TEXTSPLIT(E1281,"-"),2)</f>
        <v>男装</v>
      </c>
      <c r="G1281" s="2" t="str" cm="1">
        <f t="array" ref="G1281">INDEX(_xlfn.TEXTSPLIT(E1281,"-"),3)</f>
        <v>羊绒衫</v>
      </c>
      <c r="H1281" s="5">
        <v>19335</v>
      </c>
      <c r="I1281" s="5">
        <v>6034250.07</v>
      </c>
      <c r="J1281" s="6">
        <v>0.0068</v>
      </c>
      <c r="K1281" s="6">
        <v>0.096</v>
      </c>
    </row>
    <row r="1282" ht="14.5" spans="1:11">
      <c r="A1282" s="3" t="str">
        <f t="shared" si="81"/>
        <v>2026年</v>
      </c>
      <c r="B1282" s="3" t="str">
        <f t="shared" si="82"/>
        <v>2月</v>
      </c>
      <c r="C1282" s="4" t="str">
        <f t="shared" si="83"/>
        <v>W6</v>
      </c>
      <c r="D1282" s="2" t="s">
        <v>771</v>
      </c>
      <c r="E1282" s="2" t="s">
        <v>830</v>
      </c>
      <c r="F1282" s="2" t="str" cm="1">
        <f t="array" ref="F1282">INDEX(_xlfn.TEXTSPLIT(E1282,"-"),2)</f>
        <v>男装</v>
      </c>
      <c r="G1282" s="2" t="str" cm="1">
        <f t="array" ref="G1282">INDEX(_xlfn.TEXTSPLIT(E1282,"-"),3)</f>
        <v>羽绒服</v>
      </c>
      <c r="H1282" s="5">
        <v>583818</v>
      </c>
      <c r="I1282" s="5">
        <v>202983978.35</v>
      </c>
      <c r="J1282" s="7">
        <v>0.23</v>
      </c>
      <c r="K1282" s="6">
        <v>-0.0441</v>
      </c>
    </row>
    <row r="1283" ht="14.5" spans="1:11">
      <c r="A1283" s="3" t="str">
        <f t="shared" si="81"/>
        <v>2026年</v>
      </c>
      <c r="B1283" s="3" t="str">
        <f t="shared" si="82"/>
        <v>2月</v>
      </c>
      <c r="C1283" s="4" t="str">
        <f t="shared" si="83"/>
        <v>W6</v>
      </c>
      <c r="D1283" s="2" t="s">
        <v>771</v>
      </c>
      <c r="E1283" s="2" t="s">
        <v>831</v>
      </c>
      <c r="F1283" s="2" t="str" cm="1">
        <f t="array" ref="F1283">INDEX(_xlfn.TEXTSPLIT(E1283,"-"),2)</f>
        <v>男装</v>
      </c>
      <c r="G1283" s="2" t="str" cm="1">
        <f t="array" ref="G1283">INDEX(_xlfn.TEXTSPLIT(E1283,"-"),3)</f>
        <v>羽绒裤</v>
      </c>
      <c r="H1283" s="5">
        <v>6594</v>
      </c>
      <c r="I1283" s="5">
        <v>927438.73</v>
      </c>
      <c r="J1283" s="6">
        <v>0.0011</v>
      </c>
      <c r="K1283" s="6">
        <v>-0.1518</v>
      </c>
    </row>
    <row r="1284" ht="14.5" spans="1:11">
      <c r="A1284" s="3" t="str">
        <f t="shared" si="81"/>
        <v>2026年</v>
      </c>
      <c r="B1284" s="3" t="str">
        <f t="shared" si="82"/>
        <v>2月</v>
      </c>
      <c r="C1284" s="4" t="str">
        <f t="shared" si="83"/>
        <v>W6</v>
      </c>
      <c r="D1284" s="2" t="s">
        <v>771</v>
      </c>
      <c r="E1284" s="2" t="s">
        <v>832</v>
      </c>
      <c r="F1284" s="2" t="str" cm="1">
        <f t="array" ref="F1284">INDEX(_xlfn.TEXTSPLIT(E1284,"-"),2)</f>
        <v>男装</v>
      </c>
      <c r="G1284" s="2" t="str" cm="1">
        <f t="array" ref="G1284">INDEX(_xlfn.TEXTSPLIT(E1284,"-"),3)</f>
        <v>羽绒马甲</v>
      </c>
      <c r="H1284" s="5">
        <v>10819</v>
      </c>
      <c r="I1284" s="5">
        <v>2554041.11</v>
      </c>
      <c r="J1284" s="6">
        <v>0.0029</v>
      </c>
      <c r="K1284" s="6">
        <v>0.1179</v>
      </c>
    </row>
    <row r="1285" ht="14.5" spans="1:11">
      <c r="A1285" s="3" t="str">
        <f t="shared" si="81"/>
        <v>2026年</v>
      </c>
      <c r="B1285" s="3" t="str">
        <f t="shared" si="82"/>
        <v>2月</v>
      </c>
      <c r="C1285" s="4" t="str">
        <f t="shared" si="83"/>
        <v>W6</v>
      </c>
      <c r="D1285" s="2" t="s">
        <v>771</v>
      </c>
      <c r="E1285" s="2" t="s">
        <v>833</v>
      </c>
      <c r="F1285" s="2" t="str" cm="1">
        <f t="array" ref="F1285">INDEX(_xlfn.TEXTSPLIT(E1285,"-"),2)</f>
        <v>男装</v>
      </c>
      <c r="G1285" s="2" t="str" cm="1">
        <f t="array" ref="G1285">INDEX(_xlfn.TEXTSPLIT(E1285,"-"),3)</f>
        <v>背心</v>
      </c>
      <c r="H1285" s="5">
        <v>32631</v>
      </c>
      <c r="I1285" s="5">
        <v>1985817.07</v>
      </c>
      <c r="J1285" s="6">
        <v>0.0022</v>
      </c>
      <c r="K1285" s="6">
        <v>-0.1116</v>
      </c>
    </row>
    <row r="1286" ht="14.5" spans="1:11">
      <c r="A1286" s="3" t="str">
        <f t="shared" si="81"/>
        <v>2026年</v>
      </c>
      <c r="B1286" s="3" t="str">
        <f t="shared" si="82"/>
        <v>2月</v>
      </c>
      <c r="C1286" s="4" t="str">
        <f t="shared" si="83"/>
        <v>W6</v>
      </c>
      <c r="D1286" s="2" t="s">
        <v>771</v>
      </c>
      <c r="E1286" s="2" t="s">
        <v>834</v>
      </c>
      <c r="F1286" s="2" t="str" cm="1">
        <f t="array" ref="F1286">INDEX(_xlfn.TEXTSPLIT(E1286,"-"),2)</f>
        <v>男装</v>
      </c>
      <c r="G1286" s="2" t="str" cm="1">
        <f t="array" ref="G1286">INDEX(_xlfn.TEXTSPLIT(E1286,"-"),3)</f>
        <v>衬衫</v>
      </c>
      <c r="H1286" s="5">
        <v>108149</v>
      </c>
      <c r="I1286" s="5">
        <v>13333534.26</v>
      </c>
      <c r="J1286" s="6">
        <v>0.0151</v>
      </c>
      <c r="K1286" s="6">
        <v>0.0858</v>
      </c>
    </row>
    <row r="1287" ht="14.5" spans="1:11">
      <c r="A1287" s="3" t="str">
        <f t="shared" si="81"/>
        <v>2026年</v>
      </c>
      <c r="B1287" s="3" t="str">
        <f t="shared" si="82"/>
        <v>2月</v>
      </c>
      <c r="C1287" s="4" t="str">
        <f t="shared" si="83"/>
        <v>W6</v>
      </c>
      <c r="D1287" s="2" t="s">
        <v>771</v>
      </c>
      <c r="E1287" s="2" t="s">
        <v>835</v>
      </c>
      <c r="F1287" s="2" t="str" cm="1">
        <f t="array" ref="F1287">INDEX(_xlfn.TEXTSPLIT(E1287,"-"),2)</f>
        <v>男装</v>
      </c>
      <c r="G1287" s="2" t="str" cm="1">
        <f t="array" ref="G1287">INDEX(_xlfn.TEXTSPLIT(E1287,"-"),3)</f>
        <v>西服</v>
      </c>
      <c r="H1287" s="5">
        <v>110581</v>
      </c>
      <c r="I1287" s="5">
        <v>21353804.41</v>
      </c>
      <c r="J1287" s="6">
        <v>0.0242</v>
      </c>
      <c r="K1287" s="7">
        <v>0.01</v>
      </c>
    </row>
    <row r="1288" ht="14.5" spans="1:11">
      <c r="A1288" s="3" t="str">
        <f t="shared" si="81"/>
        <v>2026年</v>
      </c>
      <c r="B1288" s="3" t="str">
        <f t="shared" si="82"/>
        <v>2月</v>
      </c>
      <c r="C1288" s="4" t="str">
        <f t="shared" si="83"/>
        <v>W6</v>
      </c>
      <c r="D1288" s="2" t="s">
        <v>771</v>
      </c>
      <c r="E1288" s="2" t="s">
        <v>836</v>
      </c>
      <c r="F1288" s="2" t="str" cm="1">
        <f t="array" ref="F1288">INDEX(_xlfn.TEXTSPLIT(E1288,"-"),2)</f>
        <v>男装</v>
      </c>
      <c r="G1288" s="2" t="str" cm="1">
        <f t="array" ref="G1288">INDEX(_xlfn.TEXTSPLIT(E1288,"-"),3)</f>
        <v>连体衣/裤</v>
      </c>
      <c r="H1288" s="5">
        <v>1000</v>
      </c>
      <c r="I1288" s="5">
        <v>31453.55</v>
      </c>
      <c r="J1288" s="2" t="s">
        <v>713</v>
      </c>
      <c r="K1288" s="6">
        <v>0.0428</v>
      </c>
    </row>
    <row r="1289" ht="14.5" spans="1:11">
      <c r="A1289" s="3" t="str">
        <f t="shared" si="81"/>
        <v>2026年</v>
      </c>
      <c r="B1289" s="3" t="str">
        <f t="shared" si="82"/>
        <v>2月</v>
      </c>
      <c r="C1289" s="4" t="str">
        <f t="shared" si="83"/>
        <v>W6</v>
      </c>
      <c r="D1289" s="2" t="s">
        <v>771</v>
      </c>
      <c r="E1289" s="2" t="s">
        <v>837</v>
      </c>
      <c r="F1289" s="2" t="str" cm="1">
        <f t="array" ref="F1289">INDEX(_xlfn.TEXTSPLIT(E1289,"-"),2)</f>
        <v>男装</v>
      </c>
      <c r="G1289" s="2" t="str" cm="1">
        <f t="array" ref="G1289">INDEX(_xlfn.TEXTSPLIT(E1289,"-"),3)</f>
        <v>速干/三防T恤</v>
      </c>
      <c r="H1289" s="5">
        <v>1069</v>
      </c>
      <c r="I1289" s="5">
        <v>200062.5</v>
      </c>
      <c r="J1289" s="6">
        <v>0.0002</v>
      </c>
      <c r="K1289" s="6">
        <v>1.7792</v>
      </c>
    </row>
    <row r="1290" ht="14.5" spans="1:11">
      <c r="A1290" s="3" t="str">
        <f t="shared" si="81"/>
        <v>2026年</v>
      </c>
      <c r="B1290" s="3" t="str">
        <f t="shared" si="82"/>
        <v>2月</v>
      </c>
      <c r="C1290" s="4" t="str">
        <f t="shared" si="83"/>
        <v>W6</v>
      </c>
      <c r="D1290" s="2" t="s">
        <v>771</v>
      </c>
      <c r="E1290" s="2" t="s">
        <v>838</v>
      </c>
      <c r="F1290" s="2" t="str" cm="1">
        <f t="array" ref="F1290">INDEX(_xlfn.TEXTSPLIT(E1290,"-"),2)</f>
        <v>男装</v>
      </c>
      <c r="G1290" s="2" t="str" cm="1">
        <f t="array" ref="G1290">INDEX(_xlfn.TEXTSPLIT(E1290,"-"),3)</f>
        <v>针织衫/毛衣</v>
      </c>
      <c r="H1290" s="5">
        <v>426711</v>
      </c>
      <c r="I1290" s="5">
        <v>51463582.32</v>
      </c>
      <c r="J1290" s="6">
        <v>0.0583</v>
      </c>
      <c r="K1290" s="6">
        <v>-0.0339</v>
      </c>
    </row>
    <row r="1291" ht="14.5" spans="1:11">
      <c r="A1291" s="3" t="str">
        <f t="shared" si="81"/>
        <v>2026年</v>
      </c>
      <c r="B1291" s="3" t="str">
        <f t="shared" si="82"/>
        <v>2月</v>
      </c>
      <c r="C1291" s="4" t="str">
        <f t="shared" si="83"/>
        <v>W6</v>
      </c>
      <c r="D1291" s="2" t="s">
        <v>771</v>
      </c>
      <c r="E1291" s="2" t="s">
        <v>839</v>
      </c>
      <c r="F1291" s="2" t="str" cm="1">
        <f t="array" ref="F1291">INDEX(_xlfn.TEXTSPLIT(E1291,"-"),2)</f>
        <v>男装</v>
      </c>
      <c r="G1291" s="2" t="str" cm="1">
        <f t="array" ref="G1291">INDEX(_xlfn.TEXTSPLIT(E1291,"-"),3)</f>
        <v>防晒服</v>
      </c>
      <c r="H1291" s="5">
        <v>208</v>
      </c>
      <c r="I1291" s="5">
        <v>23852.47</v>
      </c>
      <c r="J1291" s="2" t="s">
        <v>713</v>
      </c>
      <c r="K1291" s="6">
        <v>0.2395</v>
      </c>
    </row>
    <row r="1292" ht="14.5" spans="1:11">
      <c r="A1292" s="3" t="str">
        <f t="shared" si="81"/>
        <v>2026年</v>
      </c>
      <c r="B1292" s="3" t="str">
        <f t="shared" si="82"/>
        <v>2月</v>
      </c>
      <c r="C1292" s="4" t="str">
        <f t="shared" si="83"/>
        <v>W6</v>
      </c>
      <c r="D1292" s="2" t="s">
        <v>771</v>
      </c>
      <c r="E1292" s="2" t="s">
        <v>840</v>
      </c>
      <c r="F1292" s="2" t="str" cm="1">
        <f t="array" ref="F1292">INDEX(_xlfn.TEXTSPLIT(E1292,"-"),2)</f>
        <v>男装</v>
      </c>
      <c r="G1292" s="2" t="str" cm="1">
        <f t="array" ref="G1292">INDEX(_xlfn.TEXTSPLIT(E1292,"-"),3)</f>
        <v>风衣</v>
      </c>
      <c r="H1292" s="5">
        <v>7733</v>
      </c>
      <c r="I1292" s="5">
        <v>2516209.51</v>
      </c>
      <c r="J1292" s="6">
        <v>0.0029</v>
      </c>
      <c r="K1292" s="6">
        <v>0.0328</v>
      </c>
    </row>
    <row r="1293" ht="14.5" spans="1:11">
      <c r="A1293" s="3" t="str">
        <f t="shared" si="81"/>
        <v>2026年</v>
      </c>
      <c r="B1293" s="3" t="str">
        <f t="shared" si="82"/>
        <v>2月</v>
      </c>
      <c r="C1293" s="4" t="str">
        <f t="shared" si="83"/>
        <v>W6</v>
      </c>
      <c r="D1293" s="2" t="s">
        <v>771</v>
      </c>
      <c r="E1293" s="2" t="s">
        <v>841</v>
      </c>
      <c r="F1293" s="2" t="str" cm="1">
        <f t="array" ref="F1293">INDEX(_xlfn.TEXTSPLIT(E1293,"-"),2)</f>
        <v>男装</v>
      </c>
      <c r="G1293" s="2" t="str" cm="1">
        <f t="array" ref="G1293">INDEX(_xlfn.TEXTSPLIT(E1293,"-"),3)</f>
        <v>马甲</v>
      </c>
      <c r="H1293" s="5">
        <v>37570</v>
      </c>
      <c r="I1293" s="5">
        <v>3674011.94</v>
      </c>
      <c r="J1293" s="6">
        <v>0.0042</v>
      </c>
      <c r="K1293" s="6">
        <v>-0.0457</v>
      </c>
    </row>
    <row r="1294" ht="14.5" spans="1:11">
      <c r="A1294" s="3" t="str">
        <f t="shared" si="81"/>
        <v>2026年</v>
      </c>
      <c r="B1294" s="3" t="str">
        <f t="shared" si="82"/>
        <v>2月</v>
      </c>
      <c r="C1294" s="4" t="str">
        <f t="shared" si="83"/>
        <v>W6</v>
      </c>
      <c r="D1294" s="2" t="s">
        <v>772</v>
      </c>
      <c r="E1294" s="2" t="s">
        <v>804</v>
      </c>
      <c r="F1294" s="2" t="str" cm="1">
        <f t="array" ref="F1294">INDEX(_xlfn.TEXTSPLIT(E1294,"-"),2)</f>
        <v>男装</v>
      </c>
      <c r="G1294" s="2" t="str" cm="1">
        <f t="array" ref="G1294">INDEX(_xlfn.TEXTSPLIT(E1294,"-"),3)</f>
        <v>Polo衫</v>
      </c>
      <c r="H1294" s="5">
        <v>57572</v>
      </c>
      <c r="I1294" s="5">
        <v>5544409.34</v>
      </c>
      <c r="J1294" s="6">
        <v>0.0065</v>
      </c>
      <c r="K1294" s="6">
        <v>0.1586</v>
      </c>
    </row>
    <row r="1295" ht="14.5" spans="1:11">
      <c r="A1295" s="3" t="str">
        <f t="shared" si="81"/>
        <v>2026年</v>
      </c>
      <c r="B1295" s="3" t="str">
        <f t="shared" si="82"/>
        <v>2月</v>
      </c>
      <c r="C1295" s="4" t="str">
        <f t="shared" si="83"/>
        <v>W6</v>
      </c>
      <c r="D1295" s="2" t="s">
        <v>772</v>
      </c>
      <c r="E1295" s="2" t="s">
        <v>805</v>
      </c>
      <c r="F1295" s="2" t="str" cm="1">
        <f t="array" ref="F1295">INDEX(_xlfn.TEXTSPLIT(E1295,"-"),2)</f>
        <v>男装</v>
      </c>
      <c r="G1295" s="2" t="str" cm="1">
        <f t="array" ref="G1295">INDEX(_xlfn.TEXTSPLIT(E1295,"-"),3)</f>
        <v>T恤</v>
      </c>
      <c r="H1295" s="5">
        <v>434899</v>
      </c>
      <c r="I1295" s="5">
        <v>33958704.31</v>
      </c>
      <c r="J1295" s="6">
        <v>0.0396</v>
      </c>
      <c r="K1295" s="6">
        <v>0.0007</v>
      </c>
    </row>
    <row r="1296" ht="14.5" spans="1:11">
      <c r="A1296" s="3" t="str">
        <f t="shared" si="81"/>
        <v>2026年</v>
      </c>
      <c r="B1296" s="3" t="str">
        <f t="shared" si="82"/>
        <v>2月</v>
      </c>
      <c r="C1296" s="4" t="str">
        <f t="shared" si="83"/>
        <v>W6</v>
      </c>
      <c r="D1296" s="2" t="s">
        <v>772</v>
      </c>
      <c r="E1296" s="2" t="s">
        <v>806</v>
      </c>
      <c r="F1296" s="2" t="str" cm="1">
        <f t="array" ref="F1296">INDEX(_xlfn.TEXTSPLIT(E1296,"-"),2)</f>
        <v>男装</v>
      </c>
      <c r="G1296" s="2" t="str" cm="1">
        <f t="array" ref="G1296">INDEX(_xlfn.TEXTSPLIT(E1296,"-"),3)</f>
        <v>中老年男装</v>
      </c>
      <c r="H1296" s="5">
        <v>138831</v>
      </c>
      <c r="I1296" s="5">
        <v>18714221.62</v>
      </c>
      <c r="J1296" s="6">
        <v>0.0218</v>
      </c>
      <c r="K1296" s="6">
        <v>-0.2611</v>
      </c>
    </row>
    <row r="1297" ht="14.5" spans="1:11">
      <c r="A1297" s="3" t="str">
        <f t="shared" si="81"/>
        <v>2026年</v>
      </c>
      <c r="B1297" s="3" t="str">
        <f t="shared" si="82"/>
        <v>2月</v>
      </c>
      <c r="C1297" s="4" t="str">
        <f t="shared" si="83"/>
        <v>W6</v>
      </c>
      <c r="D1297" s="2" t="s">
        <v>772</v>
      </c>
      <c r="E1297" s="2" t="s">
        <v>807</v>
      </c>
      <c r="F1297" s="2" t="str" cm="1">
        <f t="array" ref="F1297">INDEX(_xlfn.TEXTSPLIT(E1297,"-"),2)</f>
        <v>男装</v>
      </c>
      <c r="G1297" s="2" t="str" cm="1">
        <f t="array" ref="G1297">INDEX(_xlfn.TEXTSPLIT(E1297,"-"),3)</f>
        <v>休闲裤</v>
      </c>
      <c r="H1297" s="5">
        <v>893861</v>
      </c>
      <c r="I1297" s="5">
        <v>97379322.68</v>
      </c>
      <c r="J1297" s="6">
        <v>0.1135</v>
      </c>
      <c r="K1297" s="6">
        <v>-0.0465</v>
      </c>
    </row>
    <row r="1298" ht="14.5" spans="1:11">
      <c r="A1298" s="3" t="str">
        <f t="shared" si="81"/>
        <v>2026年</v>
      </c>
      <c r="B1298" s="3" t="str">
        <f t="shared" si="82"/>
        <v>2月</v>
      </c>
      <c r="C1298" s="4" t="str">
        <f t="shared" si="83"/>
        <v>W6</v>
      </c>
      <c r="D1298" s="2" t="s">
        <v>772</v>
      </c>
      <c r="E1298" s="2" t="s">
        <v>808</v>
      </c>
      <c r="F1298" s="2" t="str" cm="1">
        <f t="array" ref="F1298">INDEX(_xlfn.TEXTSPLIT(E1298,"-"),2)</f>
        <v>男装</v>
      </c>
      <c r="G1298" s="2" t="str" cm="1">
        <f t="array" ref="G1298">INDEX(_xlfn.TEXTSPLIT(E1298,"-"),3)</f>
        <v>卫衣</v>
      </c>
      <c r="H1298" s="5">
        <v>595066</v>
      </c>
      <c r="I1298" s="5">
        <v>53177415.67</v>
      </c>
      <c r="J1298" s="6">
        <v>0.062</v>
      </c>
      <c r="K1298" s="6">
        <v>-0.0552</v>
      </c>
    </row>
    <row r="1299" ht="14.5" spans="1:11">
      <c r="A1299" s="3" t="str">
        <f t="shared" si="81"/>
        <v>2026年</v>
      </c>
      <c r="B1299" s="3" t="str">
        <f t="shared" si="82"/>
        <v>2月</v>
      </c>
      <c r="C1299" s="4" t="str">
        <f t="shared" si="83"/>
        <v>W6</v>
      </c>
      <c r="D1299" s="2" t="s">
        <v>772</v>
      </c>
      <c r="E1299" s="2" t="s">
        <v>809</v>
      </c>
      <c r="F1299" s="2" t="str" cm="1">
        <f t="array" ref="F1299">INDEX(_xlfn.TEXTSPLIT(E1299,"-"),2)</f>
        <v>男装</v>
      </c>
      <c r="G1299" s="2" t="str" cm="1">
        <f t="array" ref="G1299">INDEX(_xlfn.TEXTSPLIT(E1299,"-"),3)</f>
        <v>卫裤</v>
      </c>
      <c r="H1299" s="5">
        <v>184802</v>
      </c>
      <c r="I1299" s="5">
        <v>18242991.54</v>
      </c>
      <c r="J1299" s="6">
        <v>0.0213</v>
      </c>
      <c r="K1299" s="6">
        <v>-0.0351</v>
      </c>
    </row>
    <row r="1300" ht="14.5" spans="1:11">
      <c r="A1300" s="3" t="str">
        <f t="shared" si="81"/>
        <v>2026年</v>
      </c>
      <c r="B1300" s="3" t="str">
        <f t="shared" si="82"/>
        <v>2月</v>
      </c>
      <c r="C1300" s="4" t="str">
        <f t="shared" si="83"/>
        <v>W6</v>
      </c>
      <c r="D1300" s="2" t="s">
        <v>772</v>
      </c>
      <c r="E1300" s="2" t="s">
        <v>810</v>
      </c>
      <c r="F1300" s="2" t="str" cm="1">
        <f t="array" ref="F1300">INDEX(_xlfn.TEXTSPLIT(E1300,"-"),2)</f>
        <v>男装</v>
      </c>
      <c r="G1300" s="2" t="str" cm="1">
        <f t="array" ref="G1300">INDEX(_xlfn.TEXTSPLIT(E1300,"-"),3)</f>
        <v>大码男装</v>
      </c>
      <c r="H1300" s="5">
        <v>44722</v>
      </c>
      <c r="I1300" s="5">
        <v>3620382.69</v>
      </c>
      <c r="J1300" s="6">
        <v>0.0042</v>
      </c>
      <c r="K1300" s="6">
        <v>-0.1098</v>
      </c>
    </row>
    <row r="1301" ht="14.5" spans="1:11">
      <c r="A1301" s="3" t="str">
        <f t="shared" si="81"/>
        <v>2026年</v>
      </c>
      <c r="B1301" s="3" t="str">
        <f t="shared" si="82"/>
        <v>2月</v>
      </c>
      <c r="C1301" s="4" t="str">
        <f t="shared" si="83"/>
        <v>W6</v>
      </c>
      <c r="D1301" s="2" t="s">
        <v>772</v>
      </c>
      <c r="E1301" s="2" t="s">
        <v>811</v>
      </c>
      <c r="F1301" s="2" t="str" cm="1">
        <f t="array" ref="F1301">INDEX(_xlfn.TEXTSPLIT(E1301,"-"),2)</f>
        <v>男装</v>
      </c>
      <c r="G1301" s="2" t="str" cm="1">
        <f t="array" ref="G1301">INDEX(_xlfn.TEXTSPLIT(E1301,"-"),3)</f>
        <v>夹克</v>
      </c>
      <c r="H1301" s="5">
        <v>533236</v>
      </c>
      <c r="I1301" s="5">
        <v>102227299.07</v>
      </c>
      <c r="J1301" s="6">
        <v>0.1191</v>
      </c>
      <c r="K1301" s="6">
        <v>0.0303</v>
      </c>
    </row>
    <row r="1302" ht="14.5" spans="1:11">
      <c r="A1302" s="3" t="str">
        <f t="shared" si="81"/>
        <v>2026年</v>
      </c>
      <c r="B1302" s="3" t="str">
        <f t="shared" si="82"/>
        <v>2月</v>
      </c>
      <c r="C1302" s="4" t="str">
        <f t="shared" si="83"/>
        <v>W6</v>
      </c>
      <c r="D1302" s="2" t="s">
        <v>772</v>
      </c>
      <c r="E1302" s="2" t="s">
        <v>812</v>
      </c>
      <c r="F1302" s="2" t="str" cm="1">
        <f t="array" ref="F1302">INDEX(_xlfn.TEXTSPLIT(E1302,"-"),2)</f>
        <v>男装</v>
      </c>
      <c r="G1302" s="2" t="str" cm="1">
        <f t="array" ref="G1302">INDEX(_xlfn.TEXTSPLIT(E1302,"-"),3)</f>
        <v>套装</v>
      </c>
      <c r="H1302" s="5">
        <v>55144</v>
      </c>
      <c r="I1302" s="5">
        <v>8623885.71</v>
      </c>
      <c r="J1302" s="7">
        <v>0.01</v>
      </c>
      <c r="K1302" s="6">
        <v>0.0597</v>
      </c>
    </row>
    <row r="1303" ht="14.5" spans="1:11">
      <c r="A1303" s="3" t="str">
        <f t="shared" si="81"/>
        <v>2026年</v>
      </c>
      <c r="B1303" s="3" t="str">
        <f t="shared" si="82"/>
        <v>2月</v>
      </c>
      <c r="C1303" s="4" t="str">
        <f t="shared" si="83"/>
        <v>W6</v>
      </c>
      <c r="D1303" s="2" t="s">
        <v>772</v>
      </c>
      <c r="E1303" s="2" t="s">
        <v>813</v>
      </c>
      <c r="F1303" s="2" t="str" cm="1">
        <f t="array" ref="F1303">INDEX(_xlfn.TEXTSPLIT(E1303,"-"),2)</f>
        <v>男装</v>
      </c>
      <c r="G1303" s="2" t="str" cm="1">
        <f t="array" ref="G1303">INDEX(_xlfn.TEXTSPLIT(E1303,"-"),3)</f>
        <v>学生校服</v>
      </c>
      <c r="H1303" s="5">
        <v>17</v>
      </c>
      <c r="I1303" s="5">
        <v>2293</v>
      </c>
      <c r="J1303" s="2" t="s">
        <v>713</v>
      </c>
      <c r="K1303" s="7">
        <v>2.13</v>
      </c>
    </row>
    <row r="1304" ht="14.5" spans="1:11">
      <c r="A1304" s="3" t="str">
        <f t="shared" si="81"/>
        <v>2026年</v>
      </c>
      <c r="B1304" s="3" t="str">
        <f t="shared" si="82"/>
        <v>2月</v>
      </c>
      <c r="C1304" s="4" t="str">
        <f t="shared" si="83"/>
        <v>W6</v>
      </c>
      <c r="D1304" s="2" t="s">
        <v>772</v>
      </c>
      <c r="E1304" s="2" t="s">
        <v>814</v>
      </c>
      <c r="F1304" s="2" t="str" cm="1">
        <f t="array" ref="F1304">INDEX(_xlfn.TEXTSPLIT(E1304,"-"),2)</f>
        <v>男装</v>
      </c>
      <c r="G1304" s="2" t="str" cm="1">
        <f t="array" ref="G1304">INDEX(_xlfn.TEXTSPLIT(E1304,"-"),3)</f>
        <v>打底衫</v>
      </c>
      <c r="H1304" s="5">
        <v>21456</v>
      </c>
      <c r="I1304" s="5">
        <v>1065906.05</v>
      </c>
      <c r="J1304" s="6">
        <v>0.0012</v>
      </c>
      <c r="K1304" s="6">
        <v>-0.1549</v>
      </c>
    </row>
    <row r="1305" ht="14.5" spans="1:11">
      <c r="A1305" s="3" t="str">
        <f t="shared" si="81"/>
        <v>2026年</v>
      </c>
      <c r="B1305" s="3" t="str">
        <f t="shared" si="82"/>
        <v>2月</v>
      </c>
      <c r="C1305" s="4" t="str">
        <f t="shared" si="83"/>
        <v>W6</v>
      </c>
      <c r="D1305" s="2" t="s">
        <v>772</v>
      </c>
      <c r="E1305" s="2" t="s">
        <v>815</v>
      </c>
      <c r="F1305" s="2" t="str" cm="1">
        <f t="array" ref="F1305">INDEX(_xlfn.TEXTSPLIT(E1305,"-"),2)</f>
        <v>男装</v>
      </c>
      <c r="G1305" s="2" t="str" cm="1">
        <f t="array" ref="G1305">INDEX(_xlfn.TEXTSPLIT(E1305,"-"),3)</f>
        <v>新中式男装</v>
      </c>
      <c r="H1305" s="5">
        <v>1023</v>
      </c>
      <c r="I1305" s="5">
        <v>417451.93</v>
      </c>
      <c r="J1305" s="6">
        <v>0.0005</v>
      </c>
      <c r="K1305" s="6">
        <v>2.3255</v>
      </c>
    </row>
    <row r="1306" ht="14.5" spans="1:11">
      <c r="A1306" s="3" t="str">
        <f t="shared" si="81"/>
        <v>2026年</v>
      </c>
      <c r="B1306" s="3" t="str">
        <f t="shared" si="82"/>
        <v>2月</v>
      </c>
      <c r="C1306" s="4" t="str">
        <f t="shared" si="83"/>
        <v>W6</v>
      </c>
      <c r="D1306" s="2" t="s">
        <v>772</v>
      </c>
      <c r="E1306" s="2" t="s">
        <v>816</v>
      </c>
      <c r="F1306" s="2" t="str" cm="1">
        <f t="array" ref="F1306">INDEX(_xlfn.TEXTSPLIT(E1306,"-"),2)</f>
        <v>男装</v>
      </c>
      <c r="G1306" s="2" t="str" cm="1">
        <f t="array" ref="G1306">INDEX(_xlfn.TEXTSPLIT(E1306,"-"),3)</f>
        <v>棉衣</v>
      </c>
      <c r="H1306" s="5">
        <v>330627</v>
      </c>
      <c r="I1306" s="5">
        <v>45860466.87</v>
      </c>
      <c r="J1306" s="6">
        <v>0.0534</v>
      </c>
      <c r="K1306" s="6">
        <v>-0.1029</v>
      </c>
    </row>
    <row r="1307" ht="14.5" spans="1:11">
      <c r="A1307" s="3" t="str">
        <f t="shared" si="81"/>
        <v>2026年</v>
      </c>
      <c r="B1307" s="3" t="str">
        <f t="shared" si="82"/>
        <v>2月</v>
      </c>
      <c r="C1307" s="4" t="str">
        <f t="shared" si="83"/>
        <v>W6</v>
      </c>
      <c r="D1307" s="2" t="s">
        <v>772</v>
      </c>
      <c r="E1307" s="2" t="s">
        <v>817</v>
      </c>
      <c r="F1307" s="2" t="str" cm="1">
        <f t="array" ref="F1307">INDEX(_xlfn.TEXTSPLIT(E1307,"-"),2)</f>
        <v>男装</v>
      </c>
      <c r="G1307" s="2" t="str" cm="1">
        <f t="array" ref="G1307">INDEX(_xlfn.TEXTSPLIT(E1307,"-"),3)</f>
        <v>棉裤</v>
      </c>
      <c r="H1307" s="5">
        <v>9214</v>
      </c>
      <c r="I1307" s="5">
        <v>710342.59</v>
      </c>
      <c r="J1307" s="6">
        <v>0.0008</v>
      </c>
      <c r="K1307" s="6">
        <v>-0.1786</v>
      </c>
    </row>
    <row r="1308" ht="14.5" spans="1:11">
      <c r="A1308" s="3" t="str">
        <f t="shared" ref="A1308:A1371" si="84">TEXT(YEAR(D1308),"0")&amp;"年"</f>
        <v>2026年</v>
      </c>
      <c r="B1308" s="3" t="str">
        <f t="shared" ref="B1308:B1371" si="85">TEXT(MONTH(D1308),"0")&amp;"月"</f>
        <v>2月</v>
      </c>
      <c r="C1308" s="4" t="str">
        <f t="shared" ref="C1308:C1371" si="86">"W"&amp;TEXT(WEEKNUM(D1308,2),"0")</f>
        <v>W6</v>
      </c>
      <c r="D1308" s="2" t="s">
        <v>772</v>
      </c>
      <c r="E1308" s="2" t="s">
        <v>818</v>
      </c>
      <c r="F1308" s="2" t="str" cm="1">
        <f t="array" ref="F1308">INDEX(_xlfn.TEXTSPLIT(E1308,"-"),2)</f>
        <v>男装</v>
      </c>
      <c r="G1308" s="2" t="str" cm="1">
        <f t="array" ref="G1308">INDEX(_xlfn.TEXTSPLIT(E1308,"-"),3)</f>
        <v>毛呢大衣</v>
      </c>
      <c r="H1308" s="5">
        <v>57484</v>
      </c>
      <c r="I1308" s="5">
        <v>23776108</v>
      </c>
      <c r="J1308" s="6">
        <v>0.0277</v>
      </c>
      <c r="K1308" s="6">
        <v>-0.0637</v>
      </c>
    </row>
    <row r="1309" ht="14.5" spans="1:11">
      <c r="A1309" s="3" t="str">
        <f t="shared" si="84"/>
        <v>2026年</v>
      </c>
      <c r="B1309" s="3" t="str">
        <f t="shared" si="85"/>
        <v>2月</v>
      </c>
      <c r="C1309" s="4" t="str">
        <f t="shared" si="86"/>
        <v>W6</v>
      </c>
      <c r="D1309" s="2" t="s">
        <v>772</v>
      </c>
      <c r="E1309" s="2" t="s">
        <v>819</v>
      </c>
      <c r="F1309" s="2" t="str" cm="1">
        <f t="array" ref="F1309">INDEX(_xlfn.TEXTSPLIT(E1309,"-"),2)</f>
        <v>男装</v>
      </c>
      <c r="G1309" s="2" t="str" cm="1">
        <f t="array" ref="G1309">INDEX(_xlfn.TEXTSPLIT(E1309,"-"),3)</f>
        <v>民族服装</v>
      </c>
      <c r="H1309" s="5">
        <v>10806</v>
      </c>
      <c r="I1309" s="5">
        <v>2423262.01</v>
      </c>
      <c r="J1309" s="6">
        <v>0.0028</v>
      </c>
      <c r="K1309" s="6">
        <v>0.2107</v>
      </c>
    </row>
    <row r="1310" ht="14.5" spans="1:11">
      <c r="A1310" s="3" t="str">
        <f t="shared" si="84"/>
        <v>2026年</v>
      </c>
      <c r="B1310" s="3" t="str">
        <f t="shared" si="85"/>
        <v>2月</v>
      </c>
      <c r="C1310" s="4" t="str">
        <f t="shared" si="86"/>
        <v>W6</v>
      </c>
      <c r="D1310" s="2" t="s">
        <v>772</v>
      </c>
      <c r="E1310" s="2" t="s">
        <v>820</v>
      </c>
      <c r="F1310" s="2" t="str" cm="1">
        <f t="array" ref="F1310">INDEX(_xlfn.TEXTSPLIT(E1310,"-"),2)</f>
        <v>男装</v>
      </c>
      <c r="G1310" s="2" t="str" cm="1">
        <f t="array" ref="G1310">INDEX(_xlfn.TEXTSPLIT(E1310,"-"),3)</f>
        <v>派克服</v>
      </c>
      <c r="H1310" s="5">
        <v>8393</v>
      </c>
      <c r="I1310" s="5">
        <v>1722433.94</v>
      </c>
      <c r="J1310" s="6">
        <v>0.002</v>
      </c>
      <c r="K1310" s="6">
        <v>-0.2239</v>
      </c>
    </row>
    <row r="1311" ht="14.5" spans="1:11">
      <c r="A1311" s="3" t="str">
        <f t="shared" si="84"/>
        <v>2026年</v>
      </c>
      <c r="B1311" s="3" t="str">
        <f t="shared" si="85"/>
        <v>2月</v>
      </c>
      <c r="C1311" s="4" t="str">
        <f t="shared" si="86"/>
        <v>W6</v>
      </c>
      <c r="D1311" s="2" t="s">
        <v>772</v>
      </c>
      <c r="E1311" s="2" t="s">
        <v>821</v>
      </c>
      <c r="F1311" s="2" t="str" cm="1">
        <f t="array" ref="F1311">INDEX(_xlfn.TEXTSPLIT(E1311,"-"),2)</f>
        <v>男装</v>
      </c>
      <c r="G1311" s="2" t="str" cm="1">
        <f t="array" ref="G1311">INDEX(_xlfn.TEXTSPLIT(E1311,"-"),3)</f>
        <v>牛仔裤</v>
      </c>
      <c r="H1311" s="5">
        <v>697000</v>
      </c>
      <c r="I1311" s="5">
        <v>81883060.41</v>
      </c>
      <c r="J1311" s="6">
        <v>0.0954</v>
      </c>
      <c r="K1311" s="6">
        <v>-0.0135</v>
      </c>
    </row>
    <row r="1312" ht="14.5" spans="1:11">
      <c r="A1312" s="3" t="str">
        <f t="shared" si="84"/>
        <v>2026年</v>
      </c>
      <c r="B1312" s="3" t="str">
        <f t="shared" si="85"/>
        <v>2月</v>
      </c>
      <c r="C1312" s="4" t="str">
        <f t="shared" si="86"/>
        <v>W6</v>
      </c>
      <c r="D1312" s="2" t="s">
        <v>772</v>
      </c>
      <c r="E1312" s="2" t="s">
        <v>822</v>
      </c>
      <c r="F1312" s="2" t="str" cm="1">
        <f t="array" ref="F1312">INDEX(_xlfn.TEXTSPLIT(E1312,"-"),2)</f>
        <v>男装</v>
      </c>
      <c r="G1312" s="2" t="str" cm="1">
        <f t="array" ref="G1312">INDEX(_xlfn.TEXTSPLIT(E1312,"-"),3)</f>
        <v>皮草</v>
      </c>
      <c r="H1312" s="5">
        <v>4892</v>
      </c>
      <c r="I1312" s="5">
        <v>4677481.06</v>
      </c>
      <c r="J1312" s="6">
        <v>0.0055</v>
      </c>
      <c r="K1312" s="6">
        <v>-0.1419</v>
      </c>
    </row>
    <row r="1313" ht="14.5" spans="1:11">
      <c r="A1313" s="3" t="str">
        <f t="shared" si="84"/>
        <v>2026年</v>
      </c>
      <c r="B1313" s="3" t="str">
        <f t="shared" si="85"/>
        <v>2月</v>
      </c>
      <c r="C1313" s="4" t="str">
        <f t="shared" si="86"/>
        <v>W6</v>
      </c>
      <c r="D1313" s="2" t="s">
        <v>772</v>
      </c>
      <c r="E1313" s="2" t="s">
        <v>823</v>
      </c>
      <c r="F1313" s="2" t="str" cm="1">
        <f t="array" ref="F1313">INDEX(_xlfn.TEXTSPLIT(E1313,"-"),2)</f>
        <v>男装</v>
      </c>
      <c r="G1313" s="2" t="str" cm="1">
        <f t="array" ref="G1313">INDEX(_xlfn.TEXTSPLIT(E1313,"-"),3)</f>
        <v>皮衣</v>
      </c>
      <c r="H1313" s="5">
        <v>65213</v>
      </c>
      <c r="I1313" s="5">
        <v>29879919.91</v>
      </c>
      <c r="J1313" s="6">
        <v>0.0348</v>
      </c>
      <c r="K1313" s="6">
        <v>0.0442</v>
      </c>
    </row>
    <row r="1314" ht="14.5" spans="1:11">
      <c r="A1314" s="3" t="str">
        <f t="shared" si="84"/>
        <v>2026年</v>
      </c>
      <c r="B1314" s="3" t="str">
        <f t="shared" si="85"/>
        <v>2月</v>
      </c>
      <c r="C1314" s="4" t="str">
        <f t="shared" si="86"/>
        <v>W6</v>
      </c>
      <c r="D1314" s="2" t="s">
        <v>772</v>
      </c>
      <c r="E1314" s="2" t="s">
        <v>824</v>
      </c>
      <c r="F1314" s="2" t="str" cm="1">
        <f t="array" ref="F1314">INDEX(_xlfn.TEXTSPLIT(E1314,"-"),2)</f>
        <v>男装</v>
      </c>
      <c r="G1314" s="2" t="str" cm="1">
        <f t="array" ref="G1314">INDEX(_xlfn.TEXTSPLIT(E1314,"-"),3)</f>
        <v>皮裤</v>
      </c>
      <c r="H1314" s="5">
        <v>1449</v>
      </c>
      <c r="I1314" s="5">
        <v>278245.13</v>
      </c>
      <c r="J1314" s="6">
        <v>0.0003</v>
      </c>
      <c r="K1314" s="6">
        <v>0.2079</v>
      </c>
    </row>
    <row r="1315" ht="14.5" spans="1:11">
      <c r="A1315" s="3" t="str">
        <f t="shared" si="84"/>
        <v>2026年</v>
      </c>
      <c r="B1315" s="3" t="str">
        <f t="shared" si="85"/>
        <v>2月</v>
      </c>
      <c r="C1315" s="4" t="str">
        <f t="shared" si="86"/>
        <v>W6</v>
      </c>
      <c r="D1315" s="2" t="s">
        <v>772</v>
      </c>
      <c r="E1315" s="2" t="s">
        <v>825</v>
      </c>
      <c r="F1315" s="2" t="str" cm="1">
        <f t="array" ref="F1315">INDEX(_xlfn.TEXTSPLIT(E1315,"-"),2)</f>
        <v>男装</v>
      </c>
      <c r="G1315" s="2" t="str" cm="1">
        <f t="array" ref="G1315">INDEX(_xlfn.TEXTSPLIT(E1315,"-"),3)</f>
        <v>短外套</v>
      </c>
      <c r="H1315" s="5">
        <v>35789</v>
      </c>
      <c r="I1315" s="5">
        <v>3672226.85</v>
      </c>
      <c r="J1315" s="6">
        <v>0.0043</v>
      </c>
      <c r="K1315" s="6">
        <v>-0.1853</v>
      </c>
    </row>
    <row r="1316" ht="14.5" spans="1:11">
      <c r="A1316" s="3" t="str">
        <f t="shared" si="84"/>
        <v>2026年</v>
      </c>
      <c r="B1316" s="3" t="str">
        <f t="shared" si="85"/>
        <v>2月</v>
      </c>
      <c r="C1316" s="4" t="str">
        <f t="shared" si="86"/>
        <v>W6</v>
      </c>
      <c r="D1316" s="2" t="s">
        <v>772</v>
      </c>
      <c r="E1316" s="2" t="s">
        <v>826</v>
      </c>
      <c r="F1316" s="2" t="str" cm="1">
        <f t="array" ref="F1316">INDEX(_xlfn.TEXTSPLIT(E1316,"-"),2)</f>
        <v>男装</v>
      </c>
      <c r="G1316" s="2" t="str" cm="1">
        <f t="array" ref="G1316">INDEX(_xlfn.TEXTSPLIT(E1316,"-"),3)</f>
        <v>短裤</v>
      </c>
      <c r="H1316" s="5">
        <v>48012</v>
      </c>
      <c r="I1316" s="5">
        <v>1828870.19</v>
      </c>
      <c r="J1316" s="6">
        <v>0.0021</v>
      </c>
      <c r="K1316" s="6">
        <v>0.0956</v>
      </c>
    </row>
    <row r="1317" ht="14.5" spans="1:11">
      <c r="A1317" s="3" t="str">
        <f t="shared" si="84"/>
        <v>2026年</v>
      </c>
      <c r="B1317" s="3" t="str">
        <f t="shared" si="85"/>
        <v>2月</v>
      </c>
      <c r="C1317" s="4" t="str">
        <f t="shared" si="86"/>
        <v>W6</v>
      </c>
      <c r="D1317" s="2" t="s">
        <v>772</v>
      </c>
      <c r="E1317" s="2" t="s">
        <v>827</v>
      </c>
      <c r="F1317" s="2" t="str" cm="1">
        <f t="array" ref="F1317">INDEX(_xlfn.TEXTSPLIT(E1317,"-"),2)</f>
        <v>男装</v>
      </c>
      <c r="G1317" s="2" t="str" cm="1">
        <f t="array" ref="G1317">INDEX(_xlfn.TEXTSPLIT(E1317,"-"),3)</f>
        <v>紧身衣</v>
      </c>
      <c r="H1317" s="5">
        <v>295</v>
      </c>
      <c r="I1317" s="5">
        <v>9865.44</v>
      </c>
      <c r="J1317" s="2" t="s">
        <v>713</v>
      </c>
      <c r="K1317" s="6">
        <v>0.9274</v>
      </c>
    </row>
    <row r="1318" ht="14.5" spans="1:11">
      <c r="A1318" s="3" t="str">
        <f t="shared" si="84"/>
        <v>2026年</v>
      </c>
      <c r="B1318" s="3" t="str">
        <f t="shared" si="85"/>
        <v>2月</v>
      </c>
      <c r="C1318" s="4" t="str">
        <f t="shared" si="86"/>
        <v>W6</v>
      </c>
      <c r="D1318" s="2" t="s">
        <v>772</v>
      </c>
      <c r="E1318" s="2" t="s">
        <v>828</v>
      </c>
      <c r="F1318" s="2" t="str" cm="1">
        <f t="array" ref="F1318">INDEX(_xlfn.TEXTSPLIT(E1318,"-"),2)</f>
        <v>男装</v>
      </c>
      <c r="G1318" s="2" t="str" cm="1">
        <f t="array" ref="G1318">INDEX(_xlfn.TEXTSPLIT(E1318,"-"),3)</f>
        <v>羊毛衫</v>
      </c>
      <c r="H1318" s="5">
        <v>93664</v>
      </c>
      <c r="I1318" s="5">
        <v>14787358.72</v>
      </c>
      <c r="J1318" s="6">
        <v>0.0172</v>
      </c>
      <c r="K1318" s="6">
        <v>-0.0941</v>
      </c>
    </row>
    <row r="1319" ht="14.5" spans="1:11">
      <c r="A1319" s="3" t="str">
        <f t="shared" si="84"/>
        <v>2026年</v>
      </c>
      <c r="B1319" s="3" t="str">
        <f t="shared" si="85"/>
        <v>2月</v>
      </c>
      <c r="C1319" s="4" t="str">
        <f t="shared" si="86"/>
        <v>W6</v>
      </c>
      <c r="D1319" s="2" t="s">
        <v>772</v>
      </c>
      <c r="E1319" s="2" t="s">
        <v>829</v>
      </c>
      <c r="F1319" s="2" t="str" cm="1">
        <f t="array" ref="F1319">INDEX(_xlfn.TEXTSPLIT(E1319,"-"),2)</f>
        <v>男装</v>
      </c>
      <c r="G1319" s="2" t="str" cm="1">
        <f t="array" ref="G1319">INDEX(_xlfn.TEXTSPLIT(E1319,"-"),3)</f>
        <v>羊绒衫</v>
      </c>
      <c r="H1319" s="5">
        <v>17606</v>
      </c>
      <c r="I1319" s="5">
        <v>5452394.33</v>
      </c>
      <c r="J1319" s="6">
        <v>0.0064</v>
      </c>
      <c r="K1319" s="6">
        <v>-0.0964</v>
      </c>
    </row>
    <row r="1320" ht="14.5" spans="1:11">
      <c r="A1320" s="3" t="str">
        <f t="shared" si="84"/>
        <v>2026年</v>
      </c>
      <c r="B1320" s="3" t="str">
        <f t="shared" si="85"/>
        <v>2月</v>
      </c>
      <c r="C1320" s="4" t="str">
        <f t="shared" si="86"/>
        <v>W6</v>
      </c>
      <c r="D1320" s="2" t="s">
        <v>772</v>
      </c>
      <c r="E1320" s="2" t="s">
        <v>830</v>
      </c>
      <c r="F1320" s="2" t="str" cm="1">
        <f t="array" ref="F1320">INDEX(_xlfn.TEXTSPLIT(E1320,"-"),2)</f>
        <v>男装</v>
      </c>
      <c r="G1320" s="2" t="str" cm="1">
        <f t="array" ref="G1320">INDEX(_xlfn.TEXTSPLIT(E1320,"-"),3)</f>
        <v>羽绒服</v>
      </c>
      <c r="H1320" s="5">
        <v>545294</v>
      </c>
      <c r="I1320" s="5">
        <v>197865565</v>
      </c>
      <c r="J1320" s="6">
        <v>0.2306</v>
      </c>
      <c r="K1320" s="6">
        <v>-0.0252</v>
      </c>
    </row>
    <row r="1321" ht="14.5" spans="1:11">
      <c r="A1321" s="3" t="str">
        <f t="shared" si="84"/>
        <v>2026年</v>
      </c>
      <c r="B1321" s="3" t="str">
        <f t="shared" si="85"/>
        <v>2月</v>
      </c>
      <c r="C1321" s="4" t="str">
        <f t="shared" si="86"/>
        <v>W6</v>
      </c>
      <c r="D1321" s="2" t="s">
        <v>772</v>
      </c>
      <c r="E1321" s="2" t="s">
        <v>831</v>
      </c>
      <c r="F1321" s="2" t="str" cm="1">
        <f t="array" ref="F1321">INDEX(_xlfn.TEXTSPLIT(E1321,"-"),2)</f>
        <v>男装</v>
      </c>
      <c r="G1321" s="2" t="str" cm="1">
        <f t="array" ref="G1321">INDEX(_xlfn.TEXTSPLIT(E1321,"-"),3)</f>
        <v>羽绒裤</v>
      </c>
      <c r="H1321" s="5">
        <v>6035</v>
      </c>
      <c r="I1321" s="5">
        <v>903175.05</v>
      </c>
      <c r="J1321" s="6">
        <v>0.0011</v>
      </c>
      <c r="K1321" s="6">
        <v>-0.0262</v>
      </c>
    </row>
    <row r="1322" ht="14.5" spans="1:11">
      <c r="A1322" s="3" t="str">
        <f t="shared" si="84"/>
        <v>2026年</v>
      </c>
      <c r="B1322" s="3" t="str">
        <f t="shared" si="85"/>
        <v>2月</v>
      </c>
      <c r="C1322" s="4" t="str">
        <f t="shared" si="86"/>
        <v>W6</v>
      </c>
      <c r="D1322" s="2" t="s">
        <v>772</v>
      </c>
      <c r="E1322" s="2" t="s">
        <v>832</v>
      </c>
      <c r="F1322" s="2" t="str" cm="1">
        <f t="array" ref="F1322">INDEX(_xlfn.TEXTSPLIT(E1322,"-"),2)</f>
        <v>男装</v>
      </c>
      <c r="G1322" s="2" t="str" cm="1">
        <f t="array" ref="G1322">INDEX(_xlfn.TEXTSPLIT(E1322,"-"),3)</f>
        <v>羽绒马甲</v>
      </c>
      <c r="H1322" s="5">
        <v>12274</v>
      </c>
      <c r="I1322" s="5">
        <v>2505927.96</v>
      </c>
      <c r="J1322" s="6">
        <v>0.0029</v>
      </c>
      <c r="K1322" s="6">
        <v>-0.0188</v>
      </c>
    </row>
    <row r="1323" ht="14.5" spans="1:11">
      <c r="A1323" s="3" t="str">
        <f t="shared" si="84"/>
        <v>2026年</v>
      </c>
      <c r="B1323" s="3" t="str">
        <f t="shared" si="85"/>
        <v>2月</v>
      </c>
      <c r="C1323" s="4" t="str">
        <f t="shared" si="86"/>
        <v>W6</v>
      </c>
      <c r="D1323" s="2" t="s">
        <v>772</v>
      </c>
      <c r="E1323" s="2" t="s">
        <v>833</v>
      </c>
      <c r="F1323" s="2" t="str" cm="1">
        <f t="array" ref="F1323">INDEX(_xlfn.TEXTSPLIT(E1323,"-"),2)</f>
        <v>男装</v>
      </c>
      <c r="G1323" s="2" t="str" cm="1">
        <f t="array" ref="G1323">INDEX(_xlfn.TEXTSPLIT(E1323,"-"),3)</f>
        <v>背心</v>
      </c>
      <c r="H1323" s="5">
        <v>33134</v>
      </c>
      <c r="I1323" s="5">
        <v>2037971.64</v>
      </c>
      <c r="J1323" s="6">
        <v>0.0024</v>
      </c>
      <c r="K1323" s="6">
        <v>0.0263</v>
      </c>
    </row>
    <row r="1324" ht="14.5" spans="1:11">
      <c r="A1324" s="3" t="str">
        <f t="shared" si="84"/>
        <v>2026年</v>
      </c>
      <c r="B1324" s="3" t="str">
        <f t="shared" si="85"/>
        <v>2月</v>
      </c>
      <c r="C1324" s="4" t="str">
        <f t="shared" si="86"/>
        <v>W6</v>
      </c>
      <c r="D1324" s="2" t="s">
        <v>772</v>
      </c>
      <c r="E1324" s="2" t="s">
        <v>834</v>
      </c>
      <c r="F1324" s="2" t="str" cm="1">
        <f t="array" ref="F1324">INDEX(_xlfn.TEXTSPLIT(E1324,"-"),2)</f>
        <v>男装</v>
      </c>
      <c r="G1324" s="2" t="str" cm="1">
        <f t="array" ref="G1324">INDEX(_xlfn.TEXTSPLIT(E1324,"-"),3)</f>
        <v>衬衫</v>
      </c>
      <c r="H1324" s="5">
        <v>106479</v>
      </c>
      <c r="I1324" s="5">
        <v>13562955.89</v>
      </c>
      <c r="J1324" s="6">
        <v>0.0158</v>
      </c>
      <c r="K1324" s="6">
        <v>0.0172</v>
      </c>
    </row>
    <row r="1325" ht="14.5" spans="1:11">
      <c r="A1325" s="3" t="str">
        <f t="shared" si="84"/>
        <v>2026年</v>
      </c>
      <c r="B1325" s="3" t="str">
        <f t="shared" si="85"/>
        <v>2月</v>
      </c>
      <c r="C1325" s="4" t="str">
        <f t="shared" si="86"/>
        <v>W6</v>
      </c>
      <c r="D1325" s="2" t="s">
        <v>772</v>
      </c>
      <c r="E1325" s="2" t="s">
        <v>835</v>
      </c>
      <c r="F1325" s="2" t="str" cm="1">
        <f t="array" ref="F1325">INDEX(_xlfn.TEXTSPLIT(E1325,"-"),2)</f>
        <v>男装</v>
      </c>
      <c r="G1325" s="2" t="str" cm="1">
        <f t="array" ref="G1325">INDEX(_xlfn.TEXTSPLIT(E1325,"-"),3)</f>
        <v>西服</v>
      </c>
      <c r="H1325" s="5">
        <v>112403</v>
      </c>
      <c r="I1325" s="5">
        <v>21285973.44</v>
      </c>
      <c r="J1325" s="6">
        <v>0.0248</v>
      </c>
      <c r="K1325" s="6">
        <v>-0.0032</v>
      </c>
    </row>
    <row r="1326" ht="14.5" spans="1:11">
      <c r="A1326" s="3" t="str">
        <f t="shared" si="84"/>
        <v>2026年</v>
      </c>
      <c r="B1326" s="3" t="str">
        <f t="shared" si="85"/>
        <v>2月</v>
      </c>
      <c r="C1326" s="4" t="str">
        <f t="shared" si="86"/>
        <v>W6</v>
      </c>
      <c r="D1326" s="2" t="s">
        <v>772</v>
      </c>
      <c r="E1326" s="2" t="s">
        <v>836</v>
      </c>
      <c r="F1326" s="2" t="str" cm="1">
        <f t="array" ref="F1326">INDEX(_xlfn.TEXTSPLIT(E1326,"-"),2)</f>
        <v>男装</v>
      </c>
      <c r="G1326" s="2" t="str" cm="1">
        <f t="array" ref="G1326">INDEX(_xlfn.TEXTSPLIT(E1326,"-"),3)</f>
        <v>连体衣/裤</v>
      </c>
      <c r="H1326" s="5">
        <v>1023</v>
      </c>
      <c r="I1326" s="5">
        <v>35487.41</v>
      </c>
      <c r="J1326" s="2" t="s">
        <v>713</v>
      </c>
      <c r="K1326" s="6">
        <v>0.1282</v>
      </c>
    </row>
    <row r="1327" ht="14.5" spans="1:11">
      <c r="A1327" s="3" t="str">
        <f t="shared" si="84"/>
        <v>2026年</v>
      </c>
      <c r="B1327" s="3" t="str">
        <f t="shared" si="85"/>
        <v>2月</v>
      </c>
      <c r="C1327" s="4" t="str">
        <f t="shared" si="86"/>
        <v>W6</v>
      </c>
      <c r="D1327" s="2" t="s">
        <v>772</v>
      </c>
      <c r="E1327" s="2" t="s">
        <v>837</v>
      </c>
      <c r="F1327" s="2" t="str" cm="1">
        <f t="array" ref="F1327">INDEX(_xlfn.TEXTSPLIT(E1327,"-"),2)</f>
        <v>男装</v>
      </c>
      <c r="G1327" s="2" t="str" cm="1">
        <f t="array" ref="G1327">INDEX(_xlfn.TEXTSPLIT(E1327,"-"),3)</f>
        <v>速干/三防T恤</v>
      </c>
      <c r="H1327" s="5">
        <v>839</v>
      </c>
      <c r="I1327" s="5">
        <v>100646.37</v>
      </c>
      <c r="J1327" s="6">
        <v>0.0001</v>
      </c>
      <c r="K1327" s="6">
        <v>-0.4969</v>
      </c>
    </row>
    <row r="1328" ht="14.5" spans="1:11">
      <c r="A1328" s="3" t="str">
        <f t="shared" si="84"/>
        <v>2026年</v>
      </c>
      <c r="B1328" s="3" t="str">
        <f t="shared" si="85"/>
        <v>2月</v>
      </c>
      <c r="C1328" s="4" t="str">
        <f t="shared" si="86"/>
        <v>W6</v>
      </c>
      <c r="D1328" s="2" t="s">
        <v>772</v>
      </c>
      <c r="E1328" s="2" t="s">
        <v>838</v>
      </c>
      <c r="F1328" s="2" t="str" cm="1">
        <f t="array" ref="F1328">INDEX(_xlfn.TEXTSPLIT(E1328,"-"),2)</f>
        <v>男装</v>
      </c>
      <c r="G1328" s="2" t="str" cm="1">
        <f t="array" ref="G1328">INDEX(_xlfn.TEXTSPLIT(E1328,"-"),3)</f>
        <v>针织衫/毛衣</v>
      </c>
      <c r="H1328" s="5">
        <v>420807</v>
      </c>
      <c r="I1328" s="5">
        <v>52626813.79</v>
      </c>
      <c r="J1328" s="6">
        <v>0.0613</v>
      </c>
      <c r="K1328" s="6">
        <v>0.0226</v>
      </c>
    </row>
    <row r="1329" ht="14.5" spans="1:11">
      <c r="A1329" s="3" t="str">
        <f t="shared" si="84"/>
        <v>2026年</v>
      </c>
      <c r="B1329" s="3" t="str">
        <f t="shared" si="85"/>
        <v>2月</v>
      </c>
      <c r="C1329" s="4" t="str">
        <f t="shared" si="86"/>
        <v>W6</v>
      </c>
      <c r="D1329" s="2" t="s">
        <v>772</v>
      </c>
      <c r="E1329" s="2" t="s">
        <v>839</v>
      </c>
      <c r="F1329" s="2" t="str" cm="1">
        <f t="array" ref="F1329">INDEX(_xlfn.TEXTSPLIT(E1329,"-"),2)</f>
        <v>男装</v>
      </c>
      <c r="G1329" s="2" t="str" cm="1">
        <f t="array" ref="G1329">INDEX(_xlfn.TEXTSPLIT(E1329,"-"),3)</f>
        <v>防晒服</v>
      </c>
      <c r="H1329" s="5">
        <v>254</v>
      </c>
      <c r="I1329" s="5">
        <v>25590.1</v>
      </c>
      <c r="J1329" s="2" t="s">
        <v>713</v>
      </c>
      <c r="K1329" s="6">
        <v>0.0728</v>
      </c>
    </row>
    <row r="1330" ht="14.5" spans="1:11">
      <c r="A1330" s="3" t="str">
        <f t="shared" si="84"/>
        <v>2026年</v>
      </c>
      <c r="B1330" s="3" t="str">
        <f t="shared" si="85"/>
        <v>2月</v>
      </c>
      <c r="C1330" s="4" t="str">
        <f t="shared" si="86"/>
        <v>W6</v>
      </c>
      <c r="D1330" s="2" t="s">
        <v>772</v>
      </c>
      <c r="E1330" s="2" t="s">
        <v>840</v>
      </c>
      <c r="F1330" s="2" t="str" cm="1">
        <f t="array" ref="F1330">INDEX(_xlfn.TEXTSPLIT(E1330,"-"),2)</f>
        <v>男装</v>
      </c>
      <c r="G1330" s="2" t="str" cm="1">
        <f t="array" ref="G1330">INDEX(_xlfn.TEXTSPLIT(E1330,"-"),3)</f>
        <v>风衣</v>
      </c>
      <c r="H1330" s="5">
        <v>9422</v>
      </c>
      <c r="I1330" s="5">
        <v>3043706.78</v>
      </c>
      <c r="J1330" s="6">
        <v>0.0035</v>
      </c>
      <c r="K1330" s="6">
        <v>0.2096</v>
      </c>
    </row>
    <row r="1331" ht="14.5" spans="1:11">
      <c r="A1331" s="3" t="str">
        <f t="shared" si="84"/>
        <v>2026年</v>
      </c>
      <c r="B1331" s="3" t="str">
        <f t="shared" si="85"/>
        <v>2月</v>
      </c>
      <c r="C1331" s="4" t="str">
        <f t="shared" si="86"/>
        <v>W6</v>
      </c>
      <c r="D1331" s="2" t="s">
        <v>772</v>
      </c>
      <c r="E1331" s="2" t="s">
        <v>841</v>
      </c>
      <c r="F1331" s="2" t="str" cm="1">
        <f t="array" ref="F1331">INDEX(_xlfn.TEXTSPLIT(E1331,"-"),2)</f>
        <v>男装</v>
      </c>
      <c r="G1331" s="2" t="str" cm="1">
        <f t="array" ref="G1331">INDEX(_xlfn.TEXTSPLIT(E1331,"-"),3)</f>
        <v>马甲</v>
      </c>
      <c r="H1331" s="5">
        <v>39443</v>
      </c>
      <c r="I1331" s="5">
        <v>4282911.83</v>
      </c>
      <c r="J1331" s="6">
        <v>0.005</v>
      </c>
      <c r="K1331" s="6">
        <v>0.1657</v>
      </c>
    </row>
    <row r="1332" ht="14.5" spans="1:11">
      <c r="A1332" s="3" t="str">
        <f t="shared" si="84"/>
        <v>2026年</v>
      </c>
      <c r="B1332" s="3" t="str">
        <f t="shared" si="85"/>
        <v>2月</v>
      </c>
      <c r="C1332" s="4" t="str">
        <f t="shared" si="86"/>
        <v>W6</v>
      </c>
      <c r="D1332" s="2" t="s">
        <v>773</v>
      </c>
      <c r="E1332" s="2" t="s">
        <v>804</v>
      </c>
      <c r="F1332" s="2" t="str" cm="1">
        <f t="array" ref="F1332">INDEX(_xlfn.TEXTSPLIT(E1332,"-"),2)</f>
        <v>男装</v>
      </c>
      <c r="G1332" s="2" t="str" cm="1">
        <f t="array" ref="G1332">INDEX(_xlfn.TEXTSPLIT(E1332,"-"),3)</f>
        <v>Polo衫</v>
      </c>
      <c r="H1332" s="5">
        <v>57241</v>
      </c>
      <c r="I1332" s="5">
        <v>5219598.69</v>
      </c>
      <c r="J1332" s="6">
        <v>0.0065</v>
      </c>
      <c r="K1332" s="6">
        <v>-0.0586</v>
      </c>
    </row>
    <row r="1333" ht="14.5" spans="1:11">
      <c r="A1333" s="3" t="str">
        <f t="shared" si="84"/>
        <v>2026年</v>
      </c>
      <c r="B1333" s="3" t="str">
        <f t="shared" si="85"/>
        <v>2月</v>
      </c>
      <c r="C1333" s="4" t="str">
        <f t="shared" si="86"/>
        <v>W6</v>
      </c>
      <c r="D1333" s="2" t="s">
        <v>773</v>
      </c>
      <c r="E1333" s="2" t="s">
        <v>805</v>
      </c>
      <c r="F1333" s="2" t="str" cm="1">
        <f t="array" ref="F1333">INDEX(_xlfn.TEXTSPLIT(E1333,"-"),2)</f>
        <v>男装</v>
      </c>
      <c r="G1333" s="2" t="str" cm="1">
        <f t="array" ref="G1333">INDEX(_xlfn.TEXTSPLIT(E1333,"-"),3)</f>
        <v>T恤</v>
      </c>
      <c r="H1333" s="5">
        <v>445655</v>
      </c>
      <c r="I1333" s="5">
        <v>36515200.48</v>
      </c>
      <c r="J1333" s="6">
        <v>0.0456</v>
      </c>
      <c r="K1333" s="6">
        <v>0.0753</v>
      </c>
    </row>
    <row r="1334" ht="14.5" spans="1:11">
      <c r="A1334" s="3" t="str">
        <f t="shared" si="84"/>
        <v>2026年</v>
      </c>
      <c r="B1334" s="3" t="str">
        <f t="shared" si="85"/>
        <v>2月</v>
      </c>
      <c r="C1334" s="4" t="str">
        <f t="shared" si="86"/>
        <v>W6</v>
      </c>
      <c r="D1334" s="2" t="s">
        <v>773</v>
      </c>
      <c r="E1334" s="2" t="s">
        <v>806</v>
      </c>
      <c r="F1334" s="2" t="str" cm="1">
        <f t="array" ref="F1334">INDEX(_xlfn.TEXTSPLIT(E1334,"-"),2)</f>
        <v>男装</v>
      </c>
      <c r="G1334" s="2" t="str" cm="1">
        <f t="array" ref="G1334">INDEX(_xlfn.TEXTSPLIT(E1334,"-"),3)</f>
        <v>中老年男装</v>
      </c>
      <c r="H1334" s="5">
        <v>99407</v>
      </c>
      <c r="I1334" s="5">
        <v>13413997.21</v>
      </c>
      <c r="J1334" s="6">
        <v>0.0168</v>
      </c>
      <c r="K1334" s="6">
        <v>-0.2832</v>
      </c>
    </row>
    <row r="1335" ht="14.5" spans="1:11">
      <c r="A1335" s="3" t="str">
        <f t="shared" si="84"/>
        <v>2026年</v>
      </c>
      <c r="B1335" s="3" t="str">
        <f t="shared" si="85"/>
        <v>2月</v>
      </c>
      <c r="C1335" s="4" t="str">
        <f t="shared" si="86"/>
        <v>W6</v>
      </c>
      <c r="D1335" s="2" t="s">
        <v>773</v>
      </c>
      <c r="E1335" s="2" t="s">
        <v>807</v>
      </c>
      <c r="F1335" s="2" t="str" cm="1">
        <f t="array" ref="F1335">INDEX(_xlfn.TEXTSPLIT(E1335,"-"),2)</f>
        <v>男装</v>
      </c>
      <c r="G1335" s="2" t="str" cm="1">
        <f t="array" ref="G1335">INDEX(_xlfn.TEXTSPLIT(E1335,"-"),3)</f>
        <v>休闲裤</v>
      </c>
      <c r="H1335" s="5">
        <v>870066</v>
      </c>
      <c r="I1335" s="5">
        <v>94488303.37</v>
      </c>
      <c r="J1335" s="6">
        <v>0.118</v>
      </c>
      <c r="K1335" s="6">
        <v>-0.0297</v>
      </c>
    </row>
    <row r="1336" ht="14.5" spans="1:11">
      <c r="A1336" s="3" t="str">
        <f t="shared" si="84"/>
        <v>2026年</v>
      </c>
      <c r="B1336" s="3" t="str">
        <f t="shared" si="85"/>
        <v>2月</v>
      </c>
      <c r="C1336" s="4" t="str">
        <f t="shared" si="86"/>
        <v>W6</v>
      </c>
      <c r="D1336" s="2" t="s">
        <v>773</v>
      </c>
      <c r="E1336" s="2" t="s">
        <v>808</v>
      </c>
      <c r="F1336" s="2" t="str" cm="1">
        <f t="array" ref="F1336">INDEX(_xlfn.TEXTSPLIT(E1336,"-"),2)</f>
        <v>男装</v>
      </c>
      <c r="G1336" s="2" t="str" cm="1">
        <f t="array" ref="G1336">INDEX(_xlfn.TEXTSPLIT(E1336,"-"),3)</f>
        <v>卫衣</v>
      </c>
      <c r="H1336" s="5">
        <v>591424</v>
      </c>
      <c r="I1336" s="5">
        <v>51174968.02</v>
      </c>
      <c r="J1336" s="6">
        <v>0.0639</v>
      </c>
      <c r="K1336" s="6">
        <v>-0.0377</v>
      </c>
    </row>
    <row r="1337" ht="14.5" spans="1:11">
      <c r="A1337" s="3" t="str">
        <f t="shared" si="84"/>
        <v>2026年</v>
      </c>
      <c r="B1337" s="3" t="str">
        <f t="shared" si="85"/>
        <v>2月</v>
      </c>
      <c r="C1337" s="4" t="str">
        <f t="shared" si="86"/>
        <v>W6</v>
      </c>
      <c r="D1337" s="2" t="s">
        <v>773</v>
      </c>
      <c r="E1337" s="2" t="s">
        <v>809</v>
      </c>
      <c r="F1337" s="2" t="str" cm="1">
        <f t="array" ref="F1337">INDEX(_xlfn.TEXTSPLIT(E1337,"-"),2)</f>
        <v>男装</v>
      </c>
      <c r="G1337" s="2" t="str" cm="1">
        <f t="array" ref="G1337">INDEX(_xlfn.TEXTSPLIT(E1337,"-"),3)</f>
        <v>卫裤</v>
      </c>
      <c r="H1337" s="5">
        <v>178369</v>
      </c>
      <c r="I1337" s="5">
        <v>17616364.29</v>
      </c>
      <c r="J1337" s="6">
        <v>0.022</v>
      </c>
      <c r="K1337" s="6">
        <v>-0.0343</v>
      </c>
    </row>
    <row r="1338" ht="14.5" spans="1:11">
      <c r="A1338" s="3" t="str">
        <f t="shared" si="84"/>
        <v>2026年</v>
      </c>
      <c r="B1338" s="3" t="str">
        <f t="shared" si="85"/>
        <v>2月</v>
      </c>
      <c r="C1338" s="4" t="str">
        <f t="shared" si="86"/>
        <v>W6</v>
      </c>
      <c r="D1338" s="2" t="s">
        <v>773</v>
      </c>
      <c r="E1338" s="2" t="s">
        <v>810</v>
      </c>
      <c r="F1338" s="2" t="str" cm="1">
        <f t="array" ref="F1338">INDEX(_xlfn.TEXTSPLIT(E1338,"-"),2)</f>
        <v>男装</v>
      </c>
      <c r="G1338" s="2" t="str" cm="1">
        <f t="array" ref="G1338">INDEX(_xlfn.TEXTSPLIT(E1338,"-"),3)</f>
        <v>大码男装</v>
      </c>
      <c r="H1338" s="5">
        <v>45922</v>
      </c>
      <c r="I1338" s="5">
        <v>4263792.98</v>
      </c>
      <c r="J1338" s="6">
        <v>0.0053</v>
      </c>
      <c r="K1338" s="6">
        <v>0.1777</v>
      </c>
    </row>
    <row r="1339" ht="14.5" spans="1:11">
      <c r="A1339" s="3" t="str">
        <f t="shared" si="84"/>
        <v>2026年</v>
      </c>
      <c r="B1339" s="3" t="str">
        <f t="shared" si="85"/>
        <v>2月</v>
      </c>
      <c r="C1339" s="4" t="str">
        <f t="shared" si="86"/>
        <v>W6</v>
      </c>
      <c r="D1339" s="2" t="s">
        <v>773</v>
      </c>
      <c r="E1339" s="2" t="s">
        <v>811</v>
      </c>
      <c r="F1339" s="2" t="str" cm="1">
        <f t="array" ref="F1339">INDEX(_xlfn.TEXTSPLIT(E1339,"-"),2)</f>
        <v>男装</v>
      </c>
      <c r="G1339" s="2" t="str" cm="1">
        <f t="array" ref="G1339">INDEX(_xlfn.TEXTSPLIT(E1339,"-"),3)</f>
        <v>夹克</v>
      </c>
      <c r="H1339" s="5">
        <v>503448</v>
      </c>
      <c r="I1339" s="5">
        <v>94630328.04</v>
      </c>
      <c r="J1339" s="6">
        <v>0.1182</v>
      </c>
      <c r="K1339" s="6">
        <v>-0.0743</v>
      </c>
    </row>
    <row r="1340" ht="14.5" spans="1:11">
      <c r="A1340" s="3" t="str">
        <f t="shared" si="84"/>
        <v>2026年</v>
      </c>
      <c r="B1340" s="3" t="str">
        <f t="shared" si="85"/>
        <v>2月</v>
      </c>
      <c r="C1340" s="4" t="str">
        <f t="shared" si="86"/>
        <v>W6</v>
      </c>
      <c r="D1340" s="2" t="s">
        <v>773</v>
      </c>
      <c r="E1340" s="2" t="s">
        <v>812</v>
      </c>
      <c r="F1340" s="2" t="str" cm="1">
        <f t="array" ref="F1340">INDEX(_xlfn.TEXTSPLIT(E1340,"-"),2)</f>
        <v>男装</v>
      </c>
      <c r="G1340" s="2" t="str" cm="1">
        <f t="array" ref="G1340">INDEX(_xlfn.TEXTSPLIT(E1340,"-"),3)</f>
        <v>套装</v>
      </c>
      <c r="H1340" s="5">
        <v>52589</v>
      </c>
      <c r="I1340" s="5">
        <v>8292136.61</v>
      </c>
      <c r="J1340" s="6">
        <v>0.0104</v>
      </c>
      <c r="K1340" s="6">
        <v>-0.0385</v>
      </c>
    </row>
    <row r="1341" ht="14.5" spans="1:11">
      <c r="A1341" s="3" t="str">
        <f t="shared" si="84"/>
        <v>2026年</v>
      </c>
      <c r="B1341" s="3" t="str">
        <f t="shared" si="85"/>
        <v>2月</v>
      </c>
      <c r="C1341" s="4" t="str">
        <f t="shared" si="86"/>
        <v>W6</v>
      </c>
      <c r="D1341" s="2" t="s">
        <v>773</v>
      </c>
      <c r="E1341" s="2" t="s">
        <v>813</v>
      </c>
      <c r="F1341" s="2" t="str" cm="1">
        <f t="array" ref="F1341">INDEX(_xlfn.TEXTSPLIT(E1341,"-"),2)</f>
        <v>男装</v>
      </c>
      <c r="G1341" s="2" t="str" cm="1">
        <f t="array" ref="G1341">INDEX(_xlfn.TEXTSPLIT(E1341,"-"),3)</f>
        <v>学生校服</v>
      </c>
      <c r="H1341" s="5">
        <v>2</v>
      </c>
      <c r="I1341" s="5">
        <v>190.66</v>
      </c>
      <c r="J1341" s="2" t="s">
        <v>713</v>
      </c>
      <c r="K1341" s="6">
        <v>-0.9169</v>
      </c>
    </row>
    <row r="1342" ht="14.5" spans="1:11">
      <c r="A1342" s="3" t="str">
        <f t="shared" si="84"/>
        <v>2026年</v>
      </c>
      <c r="B1342" s="3" t="str">
        <f t="shared" si="85"/>
        <v>2月</v>
      </c>
      <c r="C1342" s="4" t="str">
        <f t="shared" si="86"/>
        <v>W6</v>
      </c>
      <c r="D1342" s="2" t="s">
        <v>773</v>
      </c>
      <c r="E1342" s="2" t="s">
        <v>814</v>
      </c>
      <c r="F1342" s="2" t="str" cm="1">
        <f t="array" ref="F1342">INDEX(_xlfn.TEXTSPLIT(E1342,"-"),2)</f>
        <v>男装</v>
      </c>
      <c r="G1342" s="2" t="str" cm="1">
        <f t="array" ref="G1342">INDEX(_xlfn.TEXTSPLIT(E1342,"-"),3)</f>
        <v>打底衫</v>
      </c>
      <c r="H1342" s="5">
        <v>41274</v>
      </c>
      <c r="I1342" s="5">
        <v>1207061.91</v>
      </c>
      <c r="J1342" s="6">
        <v>0.0015</v>
      </c>
      <c r="K1342" s="6">
        <v>0.1324</v>
      </c>
    </row>
    <row r="1343" ht="14.5" spans="1:11">
      <c r="A1343" s="3" t="str">
        <f t="shared" si="84"/>
        <v>2026年</v>
      </c>
      <c r="B1343" s="3" t="str">
        <f t="shared" si="85"/>
        <v>2月</v>
      </c>
      <c r="C1343" s="4" t="str">
        <f t="shared" si="86"/>
        <v>W6</v>
      </c>
      <c r="D1343" s="2" t="s">
        <v>773</v>
      </c>
      <c r="E1343" s="2" t="s">
        <v>815</v>
      </c>
      <c r="F1343" s="2" t="str" cm="1">
        <f t="array" ref="F1343">INDEX(_xlfn.TEXTSPLIT(E1343,"-"),2)</f>
        <v>男装</v>
      </c>
      <c r="G1343" s="2" t="str" cm="1">
        <f t="array" ref="G1343">INDEX(_xlfn.TEXTSPLIT(E1343,"-"),3)</f>
        <v>新中式男装</v>
      </c>
      <c r="H1343" s="5">
        <v>751</v>
      </c>
      <c r="I1343" s="5">
        <v>199322.97</v>
      </c>
      <c r="J1343" s="6">
        <v>0.0002</v>
      </c>
      <c r="K1343" s="6">
        <v>-0.5225</v>
      </c>
    </row>
    <row r="1344" ht="14.5" spans="1:11">
      <c r="A1344" s="3" t="str">
        <f t="shared" si="84"/>
        <v>2026年</v>
      </c>
      <c r="B1344" s="3" t="str">
        <f t="shared" si="85"/>
        <v>2月</v>
      </c>
      <c r="C1344" s="4" t="str">
        <f t="shared" si="86"/>
        <v>W6</v>
      </c>
      <c r="D1344" s="2" t="s">
        <v>773</v>
      </c>
      <c r="E1344" s="2" t="s">
        <v>816</v>
      </c>
      <c r="F1344" s="2" t="str" cm="1">
        <f t="array" ref="F1344">INDEX(_xlfn.TEXTSPLIT(E1344,"-"),2)</f>
        <v>男装</v>
      </c>
      <c r="G1344" s="2" t="str" cm="1">
        <f t="array" ref="G1344">INDEX(_xlfn.TEXTSPLIT(E1344,"-"),3)</f>
        <v>棉衣</v>
      </c>
      <c r="H1344" s="5">
        <v>318428</v>
      </c>
      <c r="I1344" s="5">
        <v>43517561.82</v>
      </c>
      <c r="J1344" s="6">
        <v>0.0544</v>
      </c>
      <c r="K1344" s="6">
        <v>-0.0511</v>
      </c>
    </row>
    <row r="1345" ht="14.5" spans="1:11">
      <c r="A1345" s="3" t="str">
        <f t="shared" si="84"/>
        <v>2026年</v>
      </c>
      <c r="B1345" s="3" t="str">
        <f t="shared" si="85"/>
        <v>2月</v>
      </c>
      <c r="C1345" s="4" t="str">
        <f t="shared" si="86"/>
        <v>W6</v>
      </c>
      <c r="D1345" s="2" t="s">
        <v>773</v>
      </c>
      <c r="E1345" s="2" t="s">
        <v>817</v>
      </c>
      <c r="F1345" s="2" t="str" cm="1">
        <f t="array" ref="F1345">INDEX(_xlfn.TEXTSPLIT(E1345,"-"),2)</f>
        <v>男装</v>
      </c>
      <c r="G1345" s="2" t="str" cm="1">
        <f t="array" ref="G1345">INDEX(_xlfn.TEXTSPLIT(E1345,"-"),3)</f>
        <v>棉裤</v>
      </c>
      <c r="H1345" s="5">
        <v>8455</v>
      </c>
      <c r="I1345" s="5">
        <v>611313.59</v>
      </c>
      <c r="J1345" s="6">
        <v>0.0008</v>
      </c>
      <c r="K1345" s="6">
        <v>-0.1394</v>
      </c>
    </row>
    <row r="1346" ht="14.5" spans="1:11">
      <c r="A1346" s="3" t="str">
        <f t="shared" si="84"/>
        <v>2026年</v>
      </c>
      <c r="B1346" s="3" t="str">
        <f t="shared" si="85"/>
        <v>2月</v>
      </c>
      <c r="C1346" s="4" t="str">
        <f t="shared" si="86"/>
        <v>W6</v>
      </c>
      <c r="D1346" s="2" t="s">
        <v>773</v>
      </c>
      <c r="E1346" s="2" t="s">
        <v>818</v>
      </c>
      <c r="F1346" s="2" t="str" cm="1">
        <f t="array" ref="F1346">INDEX(_xlfn.TEXTSPLIT(E1346,"-"),2)</f>
        <v>男装</v>
      </c>
      <c r="G1346" s="2" t="str" cm="1">
        <f t="array" ref="G1346">INDEX(_xlfn.TEXTSPLIT(E1346,"-"),3)</f>
        <v>毛呢大衣</v>
      </c>
      <c r="H1346" s="5">
        <v>54500</v>
      </c>
      <c r="I1346" s="5">
        <v>23934168.99</v>
      </c>
      <c r="J1346" s="6">
        <v>0.0299</v>
      </c>
      <c r="K1346" s="6">
        <v>0.0066</v>
      </c>
    </row>
    <row r="1347" ht="14.5" spans="1:11">
      <c r="A1347" s="3" t="str">
        <f t="shared" si="84"/>
        <v>2026年</v>
      </c>
      <c r="B1347" s="3" t="str">
        <f t="shared" si="85"/>
        <v>2月</v>
      </c>
      <c r="C1347" s="4" t="str">
        <f t="shared" si="86"/>
        <v>W6</v>
      </c>
      <c r="D1347" s="2" t="s">
        <v>773</v>
      </c>
      <c r="E1347" s="2" t="s">
        <v>819</v>
      </c>
      <c r="F1347" s="2" t="str" cm="1">
        <f t="array" ref="F1347">INDEX(_xlfn.TEXTSPLIT(E1347,"-"),2)</f>
        <v>男装</v>
      </c>
      <c r="G1347" s="2" t="str" cm="1">
        <f t="array" ref="G1347">INDEX(_xlfn.TEXTSPLIT(E1347,"-"),3)</f>
        <v>民族服装</v>
      </c>
      <c r="H1347" s="5">
        <v>8350</v>
      </c>
      <c r="I1347" s="5">
        <v>1888840.35</v>
      </c>
      <c r="J1347" s="6">
        <v>0.0024</v>
      </c>
      <c r="K1347" s="6">
        <v>-0.2205</v>
      </c>
    </row>
    <row r="1348" ht="14.5" spans="1:11">
      <c r="A1348" s="3" t="str">
        <f t="shared" si="84"/>
        <v>2026年</v>
      </c>
      <c r="B1348" s="3" t="str">
        <f t="shared" si="85"/>
        <v>2月</v>
      </c>
      <c r="C1348" s="4" t="str">
        <f t="shared" si="86"/>
        <v>W6</v>
      </c>
      <c r="D1348" s="2" t="s">
        <v>773</v>
      </c>
      <c r="E1348" s="2" t="s">
        <v>820</v>
      </c>
      <c r="F1348" s="2" t="str" cm="1">
        <f t="array" ref="F1348">INDEX(_xlfn.TEXTSPLIT(E1348,"-"),2)</f>
        <v>男装</v>
      </c>
      <c r="G1348" s="2" t="str" cm="1">
        <f t="array" ref="G1348">INDEX(_xlfn.TEXTSPLIT(E1348,"-"),3)</f>
        <v>派克服</v>
      </c>
      <c r="H1348" s="5">
        <v>7131</v>
      </c>
      <c r="I1348" s="5">
        <v>1413935.94</v>
      </c>
      <c r="J1348" s="6">
        <v>0.0018</v>
      </c>
      <c r="K1348" s="6">
        <v>-0.1791</v>
      </c>
    </row>
    <row r="1349" ht="14.5" spans="1:11">
      <c r="A1349" s="3" t="str">
        <f t="shared" si="84"/>
        <v>2026年</v>
      </c>
      <c r="B1349" s="3" t="str">
        <f t="shared" si="85"/>
        <v>2月</v>
      </c>
      <c r="C1349" s="4" t="str">
        <f t="shared" si="86"/>
        <v>W6</v>
      </c>
      <c r="D1349" s="2" t="s">
        <v>773</v>
      </c>
      <c r="E1349" s="2" t="s">
        <v>821</v>
      </c>
      <c r="F1349" s="2" t="str" cm="1">
        <f t="array" ref="F1349">INDEX(_xlfn.TEXTSPLIT(E1349,"-"),2)</f>
        <v>男装</v>
      </c>
      <c r="G1349" s="2" t="str" cm="1">
        <f t="array" ref="G1349">INDEX(_xlfn.TEXTSPLIT(E1349,"-"),3)</f>
        <v>牛仔裤</v>
      </c>
      <c r="H1349" s="5">
        <v>682518</v>
      </c>
      <c r="I1349" s="5">
        <v>79337204.29</v>
      </c>
      <c r="J1349" s="6">
        <v>0.0991</v>
      </c>
      <c r="K1349" s="6">
        <v>-0.0311</v>
      </c>
    </row>
    <row r="1350" ht="14.5" spans="1:11">
      <c r="A1350" s="3" t="str">
        <f t="shared" si="84"/>
        <v>2026年</v>
      </c>
      <c r="B1350" s="3" t="str">
        <f t="shared" si="85"/>
        <v>2月</v>
      </c>
      <c r="C1350" s="4" t="str">
        <f t="shared" si="86"/>
        <v>W6</v>
      </c>
      <c r="D1350" s="2" t="s">
        <v>773</v>
      </c>
      <c r="E1350" s="2" t="s">
        <v>822</v>
      </c>
      <c r="F1350" s="2" t="str" cm="1">
        <f t="array" ref="F1350">INDEX(_xlfn.TEXTSPLIT(E1350,"-"),2)</f>
        <v>男装</v>
      </c>
      <c r="G1350" s="2" t="str" cm="1">
        <f t="array" ref="G1350">INDEX(_xlfn.TEXTSPLIT(E1350,"-"),3)</f>
        <v>皮草</v>
      </c>
      <c r="H1350" s="5">
        <v>5001</v>
      </c>
      <c r="I1350" s="5">
        <v>3739187.53</v>
      </c>
      <c r="J1350" s="6">
        <v>0.0047</v>
      </c>
      <c r="K1350" s="6">
        <v>-0.2006</v>
      </c>
    </row>
    <row r="1351" ht="14.5" spans="1:11">
      <c r="A1351" s="3" t="str">
        <f t="shared" si="84"/>
        <v>2026年</v>
      </c>
      <c r="B1351" s="3" t="str">
        <f t="shared" si="85"/>
        <v>2月</v>
      </c>
      <c r="C1351" s="4" t="str">
        <f t="shared" si="86"/>
        <v>W6</v>
      </c>
      <c r="D1351" s="2" t="s">
        <v>773</v>
      </c>
      <c r="E1351" s="2" t="s">
        <v>823</v>
      </c>
      <c r="F1351" s="2" t="str" cm="1">
        <f t="array" ref="F1351">INDEX(_xlfn.TEXTSPLIT(E1351,"-"),2)</f>
        <v>男装</v>
      </c>
      <c r="G1351" s="2" t="str" cm="1">
        <f t="array" ref="G1351">INDEX(_xlfn.TEXTSPLIT(E1351,"-"),3)</f>
        <v>皮衣</v>
      </c>
      <c r="H1351" s="5">
        <v>63666</v>
      </c>
      <c r="I1351" s="5">
        <v>25532283.9</v>
      </c>
      <c r="J1351" s="6">
        <v>0.0319</v>
      </c>
      <c r="K1351" s="6">
        <v>-0.1455</v>
      </c>
    </row>
    <row r="1352" ht="14.5" spans="1:11">
      <c r="A1352" s="3" t="str">
        <f t="shared" si="84"/>
        <v>2026年</v>
      </c>
      <c r="B1352" s="3" t="str">
        <f t="shared" si="85"/>
        <v>2月</v>
      </c>
      <c r="C1352" s="4" t="str">
        <f t="shared" si="86"/>
        <v>W6</v>
      </c>
      <c r="D1352" s="2" t="s">
        <v>773</v>
      </c>
      <c r="E1352" s="2" t="s">
        <v>824</v>
      </c>
      <c r="F1352" s="2" t="str" cm="1">
        <f t="array" ref="F1352">INDEX(_xlfn.TEXTSPLIT(E1352,"-"),2)</f>
        <v>男装</v>
      </c>
      <c r="G1352" s="2" t="str" cm="1">
        <f t="array" ref="G1352">INDEX(_xlfn.TEXTSPLIT(E1352,"-"),3)</f>
        <v>皮裤</v>
      </c>
      <c r="H1352" s="5">
        <v>806</v>
      </c>
      <c r="I1352" s="5">
        <v>188881.42</v>
      </c>
      <c r="J1352" s="6">
        <v>0.0002</v>
      </c>
      <c r="K1352" s="6">
        <v>-0.3212</v>
      </c>
    </row>
    <row r="1353" ht="14.5" spans="1:11">
      <c r="A1353" s="3" t="str">
        <f t="shared" si="84"/>
        <v>2026年</v>
      </c>
      <c r="B1353" s="3" t="str">
        <f t="shared" si="85"/>
        <v>2月</v>
      </c>
      <c r="C1353" s="4" t="str">
        <f t="shared" si="86"/>
        <v>W6</v>
      </c>
      <c r="D1353" s="2" t="s">
        <v>773</v>
      </c>
      <c r="E1353" s="2" t="s">
        <v>825</v>
      </c>
      <c r="F1353" s="2" t="str" cm="1">
        <f t="array" ref="F1353">INDEX(_xlfn.TEXTSPLIT(E1353,"-"),2)</f>
        <v>男装</v>
      </c>
      <c r="G1353" s="2" t="str" cm="1">
        <f t="array" ref="G1353">INDEX(_xlfn.TEXTSPLIT(E1353,"-"),3)</f>
        <v>短外套</v>
      </c>
      <c r="H1353" s="5">
        <v>31637</v>
      </c>
      <c r="I1353" s="5">
        <v>3296016.54</v>
      </c>
      <c r="J1353" s="6">
        <v>0.0041</v>
      </c>
      <c r="K1353" s="6">
        <v>-0.1024</v>
      </c>
    </row>
    <row r="1354" ht="14.5" spans="1:11">
      <c r="A1354" s="3" t="str">
        <f t="shared" si="84"/>
        <v>2026年</v>
      </c>
      <c r="B1354" s="3" t="str">
        <f t="shared" si="85"/>
        <v>2月</v>
      </c>
      <c r="C1354" s="4" t="str">
        <f t="shared" si="86"/>
        <v>W6</v>
      </c>
      <c r="D1354" s="2" t="s">
        <v>773</v>
      </c>
      <c r="E1354" s="2" t="s">
        <v>826</v>
      </c>
      <c r="F1354" s="2" t="str" cm="1">
        <f t="array" ref="F1354">INDEX(_xlfn.TEXTSPLIT(E1354,"-"),2)</f>
        <v>男装</v>
      </c>
      <c r="G1354" s="2" t="str" cm="1">
        <f t="array" ref="G1354">INDEX(_xlfn.TEXTSPLIT(E1354,"-"),3)</f>
        <v>短裤</v>
      </c>
      <c r="H1354" s="5">
        <v>51219</v>
      </c>
      <c r="I1354" s="5">
        <v>1846048.09</v>
      </c>
      <c r="J1354" s="6">
        <v>0.0023</v>
      </c>
      <c r="K1354" s="6">
        <v>0.0094</v>
      </c>
    </row>
    <row r="1355" ht="14.5" spans="1:11">
      <c r="A1355" s="3" t="str">
        <f t="shared" si="84"/>
        <v>2026年</v>
      </c>
      <c r="B1355" s="3" t="str">
        <f t="shared" si="85"/>
        <v>2月</v>
      </c>
      <c r="C1355" s="4" t="str">
        <f t="shared" si="86"/>
        <v>W6</v>
      </c>
      <c r="D1355" s="2" t="s">
        <v>773</v>
      </c>
      <c r="E1355" s="2" t="s">
        <v>827</v>
      </c>
      <c r="F1355" s="2" t="str" cm="1">
        <f t="array" ref="F1355">INDEX(_xlfn.TEXTSPLIT(E1355,"-"),2)</f>
        <v>男装</v>
      </c>
      <c r="G1355" s="2" t="str" cm="1">
        <f t="array" ref="G1355">INDEX(_xlfn.TEXTSPLIT(E1355,"-"),3)</f>
        <v>紧身衣</v>
      </c>
      <c r="H1355" s="5">
        <v>273</v>
      </c>
      <c r="I1355" s="5">
        <v>8537.24</v>
      </c>
      <c r="J1355" s="2" t="s">
        <v>713</v>
      </c>
      <c r="K1355" s="6">
        <v>-0.1346</v>
      </c>
    </row>
    <row r="1356" ht="14.5" spans="1:11">
      <c r="A1356" s="3" t="str">
        <f t="shared" si="84"/>
        <v>2026年</v>
      </c>
      <c r="B1356" s="3" t="str">
        <f t="shared" si="85"/>
        <v>2月</v>
      </c>
      <c r="C1356" s="4" t="str">
        <f t="shared" si="86"/>
        <v>W6</v>
      </c>
      <c r="D1356" s="2" t="s">
        <v>773</v>
      </c>
      <c r="E1356" s="2" t="s">
        <v>828</v>
      </c>
      <c r="F1356" s="2" t="str" cm="1">
        <f t="array" ref="F1356">INDEX(_xlfn.TEXTSPLIT(E1356,"-"),2)</f>
        <v>男装</v>
      </c>
      <c r="G1356" s="2" t="str" cm="1">
        <f t="array" ref="G1356">INDEX(_xlfn.TEXTSPLIT(E1356,"-"),3)</f>
        <v>羊毛衫</v>
      </c>
      <c r="H1356" s="5">
        <v>88878</v>
      </c>
      <c r="I1356" s="5">
        <v>13785487.97</v>
      </c>
      <c r="J1356" s="6">
        <v>0.0172</v>
      </c>
      <c r="K1356" s="6">
        <v>-0.0678</v>
      </c>
    </row>
    <row r="1357" ht="14.5" spans="1:11">
      <c r="A1357" s="3" t="str">
        <f t="shared" si="84"/>
        <v>2026年</v>
      </c>
      <c r="B1357" s="3" t="str">
        <f t="shared" si="85"/>
        <v>2月</v>
      </c>
      <c r="C1357" s="4" t="str">
        <f t="shared" si="86"/>
        <v>W6</v>
      </c>
      <c r="D1357" s="2" t="s">
        <v>773</v>
      </c>
      <c r="E1357" s="2" t="s">
        <v>829</v>
      </c>
      <c r="F1357" s="2" t="str" cm="1">
        <f t="array" ref="F1357">INDEX(_xlfn.TEXTSPLIT(E1357,"-"),2)</f>
        <v>男装</v>
      </c>
      <c r="G1357" s="2" t="str" cm="1">
        <f t="array" ref="G1357">INDEX(_xlfn.TEXTSPLIT(E1357,"-"),3)</f>
        <v>羊绒衫</v>
      </c>
      <c r="H1357" s="5">
        <v>19448</v>
      </c>
      <c r="I1357" s="5">
        <v>5429373.44</v>
      </c>
      <c r="J1357" s="6">
        <v>0.0068</v>
      </c>
      <c r="K1357" s="6">
        <v>-0.0042</v>
      </c>
    </row>
    <row r="1358" ht="14.5" spans="1:11">
      <c r="A1358" s="3" t="str">
        <f t="shared" si="84"/>
        <v>2026年</v>
      </c>
      <c r="B1358" s="3" t="str">
        <f t="shared" si="85"/>
        <v>2月</v>
      </c>
      <c r="C1358" s="4" t="str">
        <f t="shared" si="86"/>
        <v>W6</v>
      </c>
      <c r="D1358" s="2" t="s">
        <v>773</v>
      </c>
      <c r="E1358" s="2" t="s">
        <v>830</v>
      </c>
      <c r="F1358" s="2" t="str" cm="1">
        <f t="array" ref="F1358">INDEX(_xlfn.TEXTSPLIT(E1358,"-"),2)</f>
        <v>男装</v>
      </c>
      <c r="G1358" s="2" t="str" cm="1">
        <f t="array" ref="G1358">INDEX(_xlfn.TEXTSPLIT(E1358,"-"),3)</f>
        <v>羽绒服</v>
      </c>
      <c r="H1358" s="5">
        <v>499218</v>
      </c>
      <c r="I1358" s="5">
        <v>175253874.25</v>
      </c>
      <c r="J1358" s="6">
        <v>0.2189</v>
      </c>
      <c r="K1358" s="6">
        <v>-0.1143</v>
      </c>
    </row>
    <row r="1359" ht="14.5" spans="1:11">
      <c r="A1359" s="3" t="str">
        <f t="shared" si="84"/>
        <v>2026年</v>
      </c>
      <c r="B1359" s="3" t="str">
        <f t="shared" si="85"/>
        <v>2月</v>
      </c>
      <c r="C1359" s="4" t="str">
        <f t="shared" si="86"/>
        <v>W6</v>
      </c>
      <c r="D1359" s="2" t="s">
        <v>773</v>
      </c>
      <c r="E1359" s="2" t="s">
        <v>831</v>
      </c>
      <c r="F1359" s="2" t="str" cm="1">
        <f t="array" ref="F1359">INDEX(_xlfn.TEXTSPLIT(E1359,"-"),2)</f>
        <v>男装</v>
      </c>
      <c r="G1359" s="2" t="str" cm="1">
        <f t="array" ref="G1359">INDEX(_xlfn.TEXTSPLIT(E1359,"-"),3)</f>
        <v>羽绒裤</v>
      </c>
      <c r="H1359" s="5">
        <v>4390</v>
      </c>
      <c r="I1359" s="5">
        <v>619242.99</v>
      </c>
      <c r="J1359" s="6">
        <v>0.0008</v>
      </c>
      <c r="K1359" s="6">
        <v>-0.3144</v>
      </c>
    </row>
    <row r="1360" ht="14.5" spans="1:11">
      <c r="A1360" s="3" t="str">
        <f t="shared" si="84"/>
        <v>2026年</v>
      </c>
      <c r="B1360" s="3" t="str">
        <f t="shared" si="85"/>
        <v>2月</v>
      </c>
      <c r="C1360" s="4" t="str">
        <f t="shared" si="86"/>
        <v>W6</v>
      </c>
      <c r="D1360" s="2" t="s">
        <v>773</v>
      </c>
      <c r="E1360" s="2" t="s">
        <v>832</v>
      </c>
      <c r="F1360" s="2" t="str" cm="1">
        <f t="array" ref="F1360">INDEX(_xlfn.TEXTSPLIT(E1360,"-"),2)</f>
        <v>男装</v>
      </c>
      <c r="G1360" s="2" t="str" cm="1">
        <f t="array" ref="G1360">INDEX(_xlfn.TEXTSPLIT(E1360,"-"),3)</f>
        <v>羽绒马甲</v>
      </c>
      <c r="H1360" s="5">
        <v>10263</v>
      </c>
      <c r="I1360" s="5">
        <v>2273225.94</v>
      </c>
      <c r="J1360" s="6">
        <v>0.0028</v>
      </c>
      <c r="K1360" s="6">
        <v>-0.0929</v>
      </c>
    </row>
    <row r="1361" ht="14.5" spans="1:11">
      <c r="A1361" s="3" t="str">
        <f t="shared" si="84"/>
        <v>2026年</v>
      </c>
      <c r="B1361" s="3" t="str">
        <f t="shared" si="85"/>
        <v>2月</v>
      </c>
      <c r="C1361" s="4" t="str">
        <f t="shared" si="86"/>
        <v>W6</v>
      </c>
      <c r="D1361" s="2" t="s">
        <v>773</v>
      </c>
      <c r="E1361" s="2" t="s">
        <v>833</v>
      </c>
      <c r="F1361" s="2" t="str" cm="1">
        <f t="array" ref="F1361">INDEX(_xlfn.TEXTSPLIT(E1361,"-"),2)</f>
        <v>男装</v>
      </c>
      <c r="G1361" s="2" t="str" cm="1">
        <f t="array" ref="G1361">INDEX(_xlfn.TEXTSPLIT(E1361,"-"),3)</f>
        <v>背心</v>
      </c>
      <c r="H1361" s="5">
        <v>29950</v>
      </c>
      <c r="I1361" s="5">
        <v>1815525.07</v>
      </c>
      <c r="J1361" s="6">
        <v>0.0023</v>
      </c>
      <c r="K1361" s="6">
        <v>-0.1092</v>
      </c>
    </row>
    <row r="1362" ht="14.5" spans="1:11">
      <c r="A1362" s="3" t="str">
        <f t="shared" si="84"/>
        <v>2026年</v>
      </c>
      <c r="B1362" s="3" t="str">
        <f t="shared" si="85"/>
        <v>2月</v>
      </c>
      <c r="C1362" s="4" t="str">
        <f t="shared" si="86"/>
        <v>W6</v>
      </c>
      <c r="D1362" s="2" t="s">
        <v>773</v>
      </c>
      <c r="E1362" s="2" t="s">
        <v>834</v>
      </c>
      <c r="F1362" s="2" t="str" cm="1">
        <f t="array" ref="F1362">INDEX(_xlfn.TEXTSPLIT(E1362,"-"),2)</f>
        <v>男装</v>
      </c>
      <c r="G1362" s="2" t="str" cm="1">
        <f t="array" ref="G1362">INDEX(_xlfn.TEXTSPLIT(E1362,"-"),3)</f>
        <v>衬衫</v>
      </c>
      <c r="H1362" s="5">
        <v>104814</v>
      </c>
      <c r="I1362" s="5">
        <v>13378459.05</v>
      </c>
      <c r="J1362" s="6">
        <v>0.0167</v>
      </c>
      <c r="K1362" s="6">
        <v>-0.0136</v>
      </c>
    </row>
    <row r="1363" ht="14.5" spans="1:11">
      <c r="A1363" s="3" t="str">
        <f t="shared" si="84"/>
        <v>2026年</v>
      </c>
      <c r="B1363" s="3" t="str">
        <f t="shared" si="85"/>
        <v>2月</v>
      </c>
      <c r="C1363" s="4" t="str">
        <f t="shared" si="86"/>
        <v>W6</v>
      </c>
      <c r="D1363" s="2" t="s">
        <v>773</v>
      </c>
      <c r="E1363" s="2" t="s">
        <v>835</v>
      </c>
      <c r="F1363" s="2" t="str" cm="1">
        <f t="array" ref="F1363">INDEX(_xlfn.TEXTSPLIT(E1363,"-"),2)</f>
        <v>男装</v>
      </c>
      <c r="G1363" s="2" t="str" cm="1">
        <f t="array" ref="G1363">INDEX(_xlfn.TEXTSPLIT(E1363,"-"),3)</f>
        <v>西服</v>
      </c>
      <c r="H1363" s="5">
        <v>106913</v>
      </c>
      <c r="I1363" s="5">
        <v>20817461.64</v>
      </c>
      <c r="J1363" s="6">
        <v>0.026</v>
      </c>
      <c r="K1363" s="6">
        <v>-0.022</v>
      </c>
    </row>
    <row r="1364" ht="14.5" spans="1:11">
      <c r="A1364" s="3" t="str">
        <f t="shared" si="84"/>
        <v>2026年</v>
      </c>
      <c r="B1364" s="3" t="str">
        <f t="shared" si="85"/>
        <v>2月</v>
      </c>
      <c r="C1364" s="4" t="str">
        <f t="shared" si="86"/>
        <v>W6</v>
      </c>
      <c r="D1364" s="2" t="s">
        <v>773</v>
      </c>
      <c r="E1364" s="2" t="s">
        <v>836</v>
      </c>
      <c r="F1364" s="2" t="str" cm="1">
        <f t="array" ref="F1364">INDEX(_xlfn.TEXTSPLIT(E1364,"-"),2)</f>
        <v>男装</v>
      </c>
      <c r="G1364" s="2" t="str" cm="1">
        <f t="array" ref="G1364">INDEX(_xlfn.TEXTSPLIT(E1364,"-"),3)</f>
        <v>连体衣/裤</v>
      </c>
      <c r="H1364" s="5">
        <v>1283</v>
      </c>
      <c r="I1364" s="5">
        <v>45820.72</v>
      </c>
      <c r="J1364" s="6">
        <v>0.0001</v>
      </c>
      <c r="K1364" s="6">
        <v>0.2912</v>
      </c>
    </row>
    <row r="1365" ht="14.5" spans="1:11">
      <c r="A1365" s="3" t="str">
        <f t="shared" si="84"/>
        <v>2026年</v>
      </c>
      <c r="B1365" s="3" t="str">
        <f t="shared" si="85"/>
        <v>2月</v>
      </c>
      <c r="C1365" s="4" t="str">
        <f t="shared" si="86"/>
        <v>W6</v>
      </c>
      <c r="D1365" s="2" t="s">
        <v>773</v>
      </c>
      <c r="E1365" s="2" t="s">
        <v>837</v>
      </c>
      <c r="F1365" s="2" t="str" cm="1">
        <f t="array" ref="F1365">INDEX(_xlfn.TEXTSPLIT(E1365,"-"),2)</f>
        <v>男装</v>
      </c>
      <c r="G1365" s="2" t="str" cm="1">
        <f t="array" ref="G1365">INDEX(_xlfn.TEXTSPLIT(E1365,"-"),3)</f>
        <v>速干/三防T恤</v>
      </c>
      <c r="H1365" s="5">
        <v>822</v>
      </c>
      <c r="I1365" s="5">
        <v>99894.44</v>
      </c>
      <c r="J1365" s="6">
        <v>0.0001</v>
      </c>
      <c r="K1365" s="6">
        <v>-0.0075</v>
      </c>
    </row>
    <row r="1366" ht="14.5" spans="1:11">
      <c r="A1366" s="3" t="str">
        <f t="shared" si="84"/>
        <v>2026年</v>
      </c>
      <c r="B1366" s="3" t="str">
        <f t="shared" si="85"/>
        <v>2月</v>
      </c>
      <c r="C1366" s="4" t="str">
        <f t="shared" si="86"/>
        <v>W6</v>
      </c>
      <c r="D1366" s="2" t="s">
        <v>773</v>
      </c>
      <c r="E1366" s="2" t="s">
        <v>838</v>
      </c>
      <c r="F1366" s="2" t="str" cm="1">
        <f t="array" ref="F1366">INDEX(_xlfn.TEXTSPLIT(E1366,"-"),2)</f>
        <v>男装</v>
      </c>
      <c r="G1366" s="2" t="str" cm="1">
        <f t="array" ref="G1366">INDEX(_xlfn.TEXTSPLIT(E1366,"-"),3)</f>
        <v>针织衫/毛衣</v>
      </c>
      <c r="H1366" s="5">
        <v>396889</v>
      </c>
      <c r="I1366" s="5">
        <v>48171280.94</v>
      </c>
      <c r="J1366" s="6">
        <v>0.0602</v>
      </c>
      <c r="K1366" s="6">
        <v>-0.0847</v>
      </c>
    </row>
    <row r="1367" ht="14.5" spans="1:11">
      <c r="A1367" s="3" t="str">
        <f t="shared" si="84"/>
        <v>2026年</v>
      </c>
      <c r="B1367" s="3" t="str">
        <f t="shared" si="85"/>
        <v>2月</v>
      </c>
      <c r="C1367" s="4" t="str">
        <f t="shared" si="86"/>
        <v>W6</v>
      </c>
      <c r="D1367" s="2" t="s">
        <v>773</v>
      </c>
      <c r="E1367" s="2" t="s">
        <v>839</v>
      </c>
      <c r="F1367" s="2" t="str" cm="1">
        <f t="array" ref="F1367">INDEX(_xlfn.TEXTSPLIT(E1367,"-"),2)</f>
        <v>男装</v>
      </c>
      <c r="G1367" s="2" t="str" cm="1">
        <f t="array" ref="G1367">INDEX(_xlfn.TEXTSPLIT(E1367,"-"),3)</f>
        <v>防晒服</v>
      </c>
      <c r="H1367" s="5">
        <v>306</v>
      </c>
      <c r="I1367" s="5">
        <v>26715.41</v>
      </c>
      <c r="J1367" s="2" t="s">
        <v>713</v>
      </c>
      <c r="K1367" s="6">
        <v>0.044</v>
      </c>
    </row>
    <row r="1368" ht="14.5" spans="1:11">
      <c r="A1368" s="3" t="str">
        <f t="shared" si="84"/>
        <v>2026年</v>
      </c>
      <c r="B1368" s="3" t="str">
        <f t="shared" si="85"/>
        <v>2月</v>
      </c>
      <c r="C1368" s="4" t="str">
        <f t="shared" si="86"/>
        <v>W6</v>
      </c>
      <c r="D1368" s="2" t="s">
        <v>773</v>
      </c>
      <c r="E1368" s="2" t="s">
        <v>840</v>
      </c>
      <c r="F1368" s="2" t="str" cm="1">
        <f t="array" ref="F1368">INDEX(_xlfn.TEXTSPLIT(E1368,"-"),2)</f>
        <v>男装</v>
      </c>
      <c r="G1368" s="2" t="str" cm="1">
        <f t="array" ref="G1368">INDEX(_xlfn.TEXTSPLIT(E1368,"-"),3)</f>
        <v>风衣</v>
      </c>
      <c r="H1368" s="5">
        <v>8333</v>
      </c>
      <c r="I1368" s="5">
        <v>2683650.21</v>
      </c>
      <c r="J1368" s="6">
        <v>0.0034</v>
      </c>
      <c r="K1368" s="6">
        <v>-0.1183</v>
      </c>
    </row>
    <row r="1369" ht="14.5" spans="1:11">
      <c r="A1369" s="3" t="str">
        <f t="shared" si="84"/>
        <v>2026年</v>
      </c>
      <c r="B1369" s="3" t="str">
        <f t="shared" si="85"/>
        <v>2月</v>
      </c>
      <c r="C1369" s="4" t="str">
        <f t="shared" si="86"/>
        <v>W6</v>
      </c>
      <c r="D1369" s="2" t="s">
        <v>773</v>
      </c>
      <c r="E1369" s="2" t="s">
        <v>841</v>
      </c>
      <c r="F1369" s="2" t="str" cm="1">
        <f t="array" ref="F1369">INDEX(_xlfn.TEXTSPLIT(E1369,"-"),2)</f>
        <v>男装</v>
      </c>
      <c r="G1369" s="2" t="str" cm="1">
        <f t="array" ref="G1369">INDEX(_xlfn.TEXTSPLIT(E1369,"-"),3)</f>
        <v>马甲</v>
      </c>
      <c r="H1369" s="5">
        <v>35460</v>
      </c>
      <c r="I1369" s="5">
        <v>3712168.75</v>
      </c>
      <c r="J1369" s="6">
        <v>0.0046</v>
      </c>
      <c r="K1369" s="6">
        <v>-0.1333</v>
      </c>
    </row>
    <row r="1370" ht="14.5" spans="1:11">
      <c r="A1370" s="3" t="str">
        <f t="shared" si="84"/>
        <v>2026年</v>
      </c>
      <c r="B1370" s="3" t="str">
        <f t="shared" si="85"/>
        <v>2月</v>
      </c>
      <c r="C1370" s="4" t="str">
        <f t="shared" si="86"/>
        <v>W6</v>
      </c>
      <c r="D1370" s="2" t="s">
        <v>774</v>
      </c>
      <c r="E1370" s="2" t="s">
        <v>804</v>
      </c>
      <c r="F1370" s="2" t="str" cm="1">
        <f t="array" ref="F1370">INDEX(_xlfn.TEXTSPLIT(E1370,"-"),2)</f>
        <v>男装</v>
      </c>
      <c r="G1370" s="2" t="str" cm="1">
        <f t="array" ref="G1370">INDEX(_xlfn.TEXTSPLIT(E1370,"-"),3)</f>
        <v>Polo衫</v>
      </c>
      <c r="H1370" s="5">
        <v>55305</v>
      </c>
      <c r="I1370" s="5">
        <v>5106342.32</v>
      </c>
      <c r="J1370" s="6">
        <v>0.0067</v>
      </c>
      <c r="K1370" s="6">
        <v>-0.0217</v>
      </c>
    </row>
    <row r="1371" ht="14.5" spans="1:11">
      <c r="A1371" s="3" t="str">
        <f t="shared" si="84"/>
        <v>2026年</v>
      </c>
      <c r="B1371" s="3" t="str">
        <f t="shared" si="85"/>
        <v>2月</v>
      </c>
      <c r="C1371" s="4" t="str">
        <f t="shared" si="86"/>
        <v>W6</v>
      </c>
      <c r="D1371" s="2" t="s">
        <v>774</v>
      </c>
      <c r="E1371" s="2" t="s">
        <v>805</v>
      </c>
      <c r="F1371" s="2" t="str" cm="1">
        <f t="array" ref="F1371">INDEX(_xlfn.TEXTSPLIT(E1371,"-"),2)</f>
        <v>男装</v>
      </c>
      <c r="G1371" s="2" t="str" cm="1">
        <f t="array" ref="G1371">INDEX(_xlfn.TEXTSPLIT(E1371,"-"),3)</f>
        <v>T恤</v>
      </c>
      <c r="H1371" s="5">
        <v>487008</v>
      </c>
      <c r="I1371" s="5">
        <v>37003406.59</v>
      </c>
      <c r="J1371" s="6">
        <v>0.0482</v>
      </c>
      <c r="K1371" s="6">
        <v>0.0134</v>
      </c>
    </row>
    <row r="1372" ht="14.5" spans="1:11">
      <c r="A1372" s="3" t="str">
        <f t="shared" ref="A1372:A1435" si="87">TEXT(YEAR(D1372),"0")&amp;"年"</f>
        <v>2026年</v>
      </c>
      <c r="B1372" s="3" t="str">
        <f t="shared" ref="B1372:B1435" si="88">TEXT(MONTH(D1372),"0")&amp;"月"</f>
        <v>2月</v>
      </c>
      <c r="C1372" s="4" t="str">
        <f t="shared" ref="C1372:C1435" si="89">"W"&amp;TEXT(WEEKNUM(D1372,2),"0")</f>
        <v>W6</v>
      </c>
      <c r="D1372" s="2" t="s">
        <v>774</v>
      </c>
      <c r="E1372" s="2" t="s">
        <v>806</v>
      </c>
      <c r="F1372" s="2" t="str" cm="1">
        <f t="array" ref="F1372">INDEX(_xlfn.TEXTSPLIT(E1372,"-"),2)</f>
        <v>男装</v>
      </c>
      <c r="G1372" s="2" t="str" cm="1">
        <f t="array" ref="G1372">INDEX(_xlfn.TEXTSPLIT(E1372,"-"),3)</f>
        <v>中老年男装</v>
      </c>
      <c r="H1372" s="5">
        <v>117423</v>
      </c>
      <c r="I1372" s="5">
        <v>15673450.99</v>
      </c>
      <c r="J1372" s="6">
        <v>0.0204</v>
      </c>
      <c r="K1372" s="6">
        <v>0.1684</v>
      </c>
    </row>
    <row r="1373" ht="14.5" spans="1:11">
      <c r="A1373" s="3" t="str">
        <f t="shared" si="87"/>
        <v>2026年</v>
      </c>
      <c r="B1373" s="3" t="str">
        <f t="shared" si="88"/>
        <v>2月</v>
      </c>
      <c r="C1373" s="4" t="str">
        <f t="shared" si="89"/>
        <v>W6</v>
      </c>
      <c r="D1373" s="2" t="s">
        <v>774</v>
      </c>
      <c r="E1373" s="2" t="s">
        <v>807</v>
      </c>
      <c r="F1373" s="2" t="str" cm="1">
        <f t="array" ref="F1373">INDEX(_xlfn.TEXTSPLIT(E1373,"-"),2)</f>
        <v>男装</v>
      </c>
      <c r="G1373" s="2" t="str" cm="1">
        <f t="array" ref="G1373">INDEX(_xlfn.TEXTSPLIT(E1373,"-"),3)</f>
        <v>休闲裤</v>
      </c>
      <c r="H1373" s="5">
        <v>821236</v>
      </c>
      <c r="I1373" s="5">
        <v>88973039.26</v>
      </c>
      <c r="J1373" s="6">
        <v>0.1159</v>
      </c>
      <c r="K1373" s="6">
        <v>-0.0584</v>
      </c>
    </row>
    <row r="1374" ht="14.5" spans="1:11">
      <c r="A1374" s="3" t="str">
        <f t="shared" si="87"/>
        <v>2026年</v>
      </c>
      <c r="B1374" s="3" t="str">
        <f t="shared" si="88"/>
        <v>2月</v>
      </c>
      <c r="C1374" s="4" t="str">
        <f t="shared" si="89"/>
        <v>W6</v>
      </c>
      <c r="D1374" s="2" t="s">
        <v>774</v>
      </c>
      <c r="E1374" s="2" t="s">
        <v>808</v>
      </c>
      <c r="F1374" s="2" t="str" cm="1">
        <f t="array" ref="F1374">INDEX(_xlfn.TEXTSPLIT(E1374,"-"),2)</f>
        <v>男装</v>
      </c>
      <c r="G1374" s="2" t="str" cm="1">
        <f t="array" ref="G1374">INDEX(_xlfn.TEXTSPLIT(E1374,"-"),3)</f>
        <v>卫衣</v>
      </c>
      <c r="H1374" s="5">
        <v>567380</v>
      </c>
      <c r="I1374" s="5">
        <v>48683532.15</v>
      </c>
      <c r="J1374" s="6">
        <v>0.0634</v>
      </c>
      <c r="K1374" s="6">
        <v>-0.0487</v>
      </c>
    </row>
    <row r="1375" ht="14.5" spans="1:11">
      <c r="A1375" s="3" t="str">
        <f t="shared" si="87"/>
        <v>2026年</v>
      </c>
      <c r="B1375" s="3" t="str">
        <f t="shared" si="88"/>
        <v>2月</v>
      </c>
      <c r="C1375" s="4" t="str">
        <f t="shared" si="89"/>
        <v>W6</v>
      </c>
      <c r="D1375" s="2" t="s">
        <v>774</v>
      </c>
      <c r="E1375" s="2" t="s">
        <v>809</v>
      </c>
      <c r="F1375" s="2" t="str" cm="1">
        <f t="array" ref="F1375">INDEX(_xlfn.TEXTSPLIT(E1375,"-"),2)</f>
        <v>男装</v>
      </c>
      <c r="G1375" s="2" t="str" cm="1">
        <f t="array" ref="G1375">INDEX(_xlfn.TEXTSPLIT(E1375,"-"),3)</f>
        <v>卫裤</v>
      </c>
      <c r="H1375" s="5">
        <v>168091</v>
      </c>
      <c r="I1375" s="5">
        <v>16533407.36</v>
      </c>
      <c r="J1375" s="6">
        <v>0.0215</v>
      </c>
      <c r="K1375" s="6">
        <v>-0.0615</v>
      </c>
    </row>
    <row r="1376" ht="14.5" spans="1:11">
      <c r="A1376" s="3" t="str">
        <f t="shared" si="87"/>
        <v>2026年</v>
      </c>
      <c r="B1376" s="3" t="str">
        <f t="shared" si="88"/>
        <v>2月</v>
      </c>
      <c r="C1376" s="4" t="str">
        <f t="shared" si="89"/>
        <v>W6</v>
      </c>
      <c r="D1376" s="2" t="s">
        <v>774</v>
      </c>
      <c r="E1376" s="2" t="s">
        <v>810</v>
      </c>
      <c r="F1376" s="2" t="str" cm="1">
        <f t="array" ref="F1376">INDEX(_xlfn.TEXTSPLIT(E1376,"-"),2)</f>
        <v>男装</v>
      </c>
      <c r="G1376" s="2" t="str" cm="1">
        <f t="array" ref="G1376">INDEX(_xlfn.TEXTSPLIT(E1376,"-"),3)</f>
        <v>大码男装</v>
      </c>
      <c r="H1376" s="5">
        <v>43001</v>
      </c>
      <c r="I1376" s="5">
        <v>3650598.73</v>
      </c>
      <c r="J1376" s="6">
        <v>0.0048</v>
      </c>
      <c r="K1376" s="6">
        <v>-0.1438</v>
      </c>
    </row>
    <row r="1377" ht="14.5" spans="1:11">
      <c r="A1377" s="3" t="str">
        <f t="shared" si="87"/>
        <v>2026年</v>
      </c>
      <c r="B1377" s="3" t="str">
        <f t="shared" si="88"/>
        <v>2月</v>
      </c>
      <c r="C1377" s="4" t="str">
        <f t="shared" si="89"/>
        <v>W6</v>
      </c>
      <c r="D1377" s="2" t="s">
        <v>774</v>
      </c>
      <c r="E1377" s="2" t="s">
        <v>811</v>
      </c>
      <c r="F1377" s="2" t="str" cm="1">
        <f t="array" ref="F1377">INDEX(_xlfn.TEXTSPLIT(E1377,"-"),2)</f>
        <v>男装</v>
      </c>
      <c r="G1377" s="2" t="str" cm="1">
        <f t="array" ref="G1377">INDEX(_xlfn.TEXTSPLIT(E1377,"-"),3)</f>
        <v>夹克</v>
      </c>
      <c r="H1377" s="5">
        <v>474471</v>
      </c>
      <c r="I1377" s="5">
        <v>91643126.84</v>
      </c>
      <c r="J1377" s="6">
        <v>0.1194</v>
      </c>
      <c r="K1377" s="6">
        <v>-0.0316</v>
      </c>
    </row>
    <row r="1378" ht="14.5" spans="1:11">
      <c r="A1378" s="3" t="str">
        <f t="shared" si="87"/>
        <v>2026年</v>
      </c>
      <c r="B1378" s="3" t="str">
        <f t="shared" si="88"/>
        <v>2月</v>
      </c>
      <c r="C1378" s="4" t="str">
        <f t="shared" si="89"/>
        <v>W6</v>
      </c>
      <c r="D1378" s="2" t="s">
        <v>774</v>
      </c>
      <c r="E1378" s="2" t="s">
        <v>812</v>
      </c>
      <c r="F1378" s="2" t="str" cm="1">
        <f t="array" ref="F1378">INDEX(_xlfn.TEXTSPLIT(E1378,"-"),2)</f>
        <v>男装</v>
      </c>
      <c r="G1378" s="2" t="str" cm="1">
        <f t="array" ref="G1378">INDEX(_xlfn.TEXTSPLIT(E1378,"-"),3)</f>
        <v>套装</v>
      </c>
      <c r="H1378" s="5">
        <v>47115</v>
      </c>
      <c r="I1378" s="5">
        <v>7450677.65</v>
      </c>
      <c r="J1378" s="6">
        <v>0.0097</v>
      </c>
      <c r="K1378" s="6">
        <v>-0.1015</v>
      </c>
    </row>
    <row r="1379" ht="14.5" spans="1:11">
      <c r="A1379" s="3" t="str">
        <f t="shared" si="87"/>
        <v>2026年</v>
      </c>
      <c r="B1379" s="3" t="str">
        <f t="shared" si="88"/>
        <v>2月</v>
      </c>
      <c r="C1379" s="4" t="str">
        <f t="shared" si="89"/>
        <v>W6</v>
      </c>
      <c r="D1379" s="2" t="s">
        <v>774</v>
      </c>
      <c r="E1379" s="2" t="s">
        <v>813</v>
      </c>
      <c r="F1379" s="2" t="str" cm="1">
        <f t="array" ref="F1379">INDEX(_xlfn.TEXTSPLIT(E1379,"-"),2)</f>
        <v>男装</v>
      </c>
      <c r="G1379" s="2" t="str" cm="1">
        <f t="array" ref="G1379">INDEX(_xlfn.TEXTSPLIT(E1379,"-"),3)</f>
        <v>学生校服</v>
      </c>
      <c r="H1379" s="5">
        <v>17</v>
      </c>
      <c r="I1379" s="5">
        <v>2319.32</v>
      </c>
      <c r="J1379" s="2" t="s">
        <v>713</v>
      </c>
      <c r="K1379" s="6">
        <v>11.1647</v>
      </c>
    </row>
    <row r="1380" ht="14.5" spans="1:11">
      <c r="A1380" s="3" t="str">
        <f t="shared" si="87"/>
        <v>2026年</v>
      </c>
      <c r="B1380" s="3" t="str">
        <f t="shared" si="88"/>
        <v>2月</v>
      </c>
      <c r="C1380" s="4" t="str">
        <f t="shared" si="89"/>
        <v>W6</v>
      </c>
      <c r="D1380" s="2" t="s">
        <v>774</v>
      </c>
      <c r="E1380" s="2" t="s">
        <v>814</v>
      </c>
      <c r="F1380" s="2" t="str" cm="1">
        <f t="array" ref="F1380">INDEX(_xlfn.TEXTSPLIT(E1380,"-"),2)</f>
        <v>男装</v>
      </c>
      <c r="G1380" s="2" t="str" cm="1">
        <f t="array" ref="G1380">INDEX(_xlfn.TEXTSPLIT(E1380,"-"),3)</f>
        <v>打底衫</v>
      </c>
      <c r="H1380" s="5">
        <v>47698</v>
      </c>
      <c r="I1380" s="5">
        <v>1326774.5</v>
      </c>
      <c r="J1380" s="6">
        <v>0.0017</v>
      </c>
      <c r="K1380" s="6">
        <v>0.0992</v>
      </c>
    </row>
    <row r="1381" ht="14.5" spans="1:11">
      <c r="A1381" s="3" t="str">
        <f t="shared" si="87"/>
        <v>2026年</v>
      </c>
      <c r="B1381" s="3" t="str">
        <f t="shared" si="88"/>
        <v>2月</v>
      </c>
      <c r="C1381" s="4" t="str">
        <f t="shared" si="89"/>
        <v>W6</v>
      </c>
      <c r="D1381" s="2" t="s">
        <v>774</v>
      </c>
      <c r="E1381" s="2" t="s">
        <v>815</v>
      </c>
      <c r="F1381" s="2" t="str" cm="1">
        <f t="array" ref="F1381">INDEX(_xlfn.TEXTSPLIT(E1381,"-"),2)</f>
        <v>男装</v>
      </c>
      <c r="G1381" s="2" t="str" cm="1">
        <f t="array" ref="G1381">INDEX(_xlfn.TEXTSPLIT(E1381,"-"),3)</f>
        <v>新中式男装</v>
      </c>
      <c r="H1381" s="5">
        <v>1325</v>
      </c>
      <c r="I1381" s="5">
        <v>336871.93</v>
      </c>
      <c r="J1381" s="6">
        <v>0.0004</v>
      </c>
      <c r="K1381" s="6">
        <v>0.6901</v>
      </c>
    </row>
    <row r="1382" ht="14.5" spans="1:11">
      <c r="A1382" s="3" t="str">
        <f t="shared" si="87"/>
        <v>2026年</v>
      </c>
      <c r="B1382" s="3" t="str">
        <f t="shared" si="88"/>
        <v>2月</v>
      </c>
      <c r="C1382" s="4" t="str">
        <f t="shared" si="89"/>
        <v>W6</v>
      </c>
      <c r="D1382" s="2" t="s">
        <v>774</v>
      </c>
      <c r="E1382" s="2" t="s">
        <v>816</v>
      </c>
      <c r="F1382" s="2" t="str" cm="1">
        <f t="array" ref="F1382">INDEX(_xlfn.TEXTSPLIT(E1382,"-"),2)</f>
        <v>男装</v>
      </c>
      <c r="G1382" s="2" t="str" cm="1">
        <f t="array" ref="G1382">INDEX(_xlfn.TEXTSPLIT(E1382,"-"),3)</f>
        <v>棉衣</v>
      </c>
      <c r="H1382" s="5">
        <v>306623</v>
      </c>
      <c r="I1382" s="5">
        <v>42021267.53</v>
      </c>
      <c r="J1382" s="6">
        <v>0.0547</v>
      </c>
      <c r="K1382" s="6">
        <v>-0.0344</v>
      </c>
    </row>
    <row r="1383" ht="14.5" spans="1:11">
      <c r="A1383" s="3" t="str">
        <f t="shared" si="87"/>
        <v>2026年</v>
      </c>
      <c r="B1383" s="3" t="str">
        <f t="shared" si="88"/>
        <v>2月</v>
      </c>
      <c r="C1383" s="4" t="str">
        <f t="shared" si="89"/>
        <v>W6</v>
      </c>
      <c r="D1383" s="2" t="s">
        <v>774</v>
      </c>
      <c r="E1383" s="2" t="s">
        <v>817</v>
      </c>
      <c r="F1383" s="2" t="str" cm="1">
        <f t="array" ref="F1383">INDEX(_xlfn.TEXTSPLIT(E1383,"-"),2)</f>
        <v>男装</v>
      </c>
      <c r="G1383" s="2" t="str" cm="1">
        <f t="array" ref="G1383">INDEX(_xlfn.TEXTSPLIT(E1383,"-"),3)</f>
        <v>棉裤</v>
      </c>
      <c r="H1383" s="5">
        <v>9604</v>
      </c>
      <c r="I1383" s="5">
        <v>703651.56</v>
      </c>
      <c r="J1383" s="6">
        <v>0.0009</v>
      </c>
      <c r="K1383" s="6">
        <v>0.151</v>
      </c>
    </row>
    <row r="1384" ht="14.5" spans="1:11">
      <c r="A1384" s="3" t="str">
        <f t="shared" si="87"/>
        <v>2026年</v>
      </c>
      <c r="B1384" s="3" t="str">
        <f t="shared" si="88"/>
        <v>2月</v>
      </c>
      <c r="C1384" s="4" t="str">
        <f t="shared" si="89"/>
        <v>W6</v>
      </c>
      <c r="D1384" s="2" t="s">
        <v>774</v>
      </c>
      <c r="E1384" s="2" t="s">
        <v>818</v>
      </c>
      <c r="F1384" s="2" t="str" cm="1">
        <f t="array" ref="F1384">INDEX(_xlfn.TEXTSPLIT(E1384,"-"),2)</f>
        <v>男装</v>
      </c>
      <c r="G1384" s="2" t="str" cm="1">
        <f t="array" ref="G1384">INDEX(_xlfn.TEXTSPLIT(E1384,"-"),3)</f>
        <v>毛呢大衣</v>
      </c>
      <c r="H1384" s="5">
        <v>48987</v>
      </c>
      <c r="I1384" s="5">
        <v>20685840.21</v>
      </c>
      <c r="J1384" s="6">
        <v>0.027</v>
      </c>
      <c r="K1384" s="6">
        <v>-0.1357</v>
      </c>
    </row>
    <row r="1385" ht="14.5" spans="1:11">
      <c r="A1385" s="3" t="str">
        <f t="shared" si="87"/>
        <v>2026年</v>
      </c>
      <c r="B1385" s="3" t="str">
        <f t="shared" si="88"/>
        <v>2月</v>
      </c>
      <c r="C1385" s="4" t="str">
        <f t="shared" si="89"/>
        <v>W6</v>
      </c>
      <c r="D1385" s="2" t="s">
        <v>774</v>
      </c>
      <c r="E1385" s="2" t="s">
        <v>819</v>
      </c>
      <c r="F1385" s="2" t="str" cm="1">
        <f t="array" ref="F1385">INDEX(_xlfn.TEXTSPLIT(E1385,"-"),2)</f>
        <v>男装</v>
      </c>
      <c r="G1385" s="2" t="str" cm="1">
        <f t="array" ref="G1385">INDEX(_xlfn.TEXTSPLIT(E1385,"-"),3)</f>
        <v>民族服装</v>
      </c>
      <c r="H1385" s="5">
        <v>8170</v>
      </c>
      <c r="I1385" s="5">
        <v>1834091.55</v>
      </c>
      <c r="J1385" s="6">
        <v>0.0024</v>
      </c>
      <c r="K1385" s="6">
        <v>-0.029</v>
      </c>
    </row>
    <row r="1386" ht="14.5" spans="1:11">
      <c r="A1386" s="3" t="str">
        <f t="shared" si="87"/>
        <v>2026年</v>
      </c>
      <c r="B1386" s="3" t="str">
        <f t="shared" si="88"/>
        <v>2月</v>
      </c>
      <c r="C1386" s="4" t="str">
        <f t="shared" si="89"/>
        <v>W6</v>
      </c>
      <c r="D1386" s="2" t="s">
        <v>774</v>
      </c>
      <c r="E1386" s="2" t="s">
        <v>820</v>
      </c>
      <c r="F1386" s="2" t="str" cm="1">
        <f t="array" ref="F1386">INDEX(_xlfn.TEXTSPLIT(E1386,"-"),2)</f>
        <v>男装</v>
      </c>
      <c r="G1386" s="2" t="str" cm="1">
        <f t="array" ref="G1386">INDEX(_xlfn.TEXTSPLIT(E1386,"-"),3)</f>
        <v>派克服</v>
      </c>
      <c r="H1386" s="5">
        <v>7139</v>
      </c>
      <c r="I1386" s="5">
        <v>1518096.82</v>
      </c>
      <c r="J1386" s="6">
        <v>0.002</v>
      </c>
      <c r="K1386" s="6">
        <v>0.0737</v>
      </c>
    </row>
    <row r="1387" ht="14.5" spans="1:11">
      <c r="A1387" s="3" t="str">
        <f t="shared" si="87"/>
        <v>2026年</v>
      </c>
      <c r="B1387" s="3" t="str">
        <f t="shared" si="88"/>
        <v>2月</v>
      </c>
      <c r="C1387" s="4" t="str">
        <f t="shared" si="89"/>
        <v>W6</v>
      </c>
      <c r="D1387" s="2" t="s">
        <v>774</v>
      </c>
      <c r="E1387" s="2" t="s">
        <v>821</v>
      </c>
      <c r="F1387" s="2" t="str" cm="1">
        <f t="array" ref="F1387">INDEX(_xlfn.TEXTSPLIT(E1387,"-"),2)</f>
        <v>男装</v>
      </c>
      <c r="G1387" s="2" t="str" cm="1">
        <f t="array" ref="G1387">INDEX(_xlfn.TEXTSPLIT(E1387,"-"),3)</f>
        <v>牛仔裤</v>
      </c>
      <c r="H1387" s="5">
        <v>650272</v>
      </c>
      <c r="I1387" s="5">
        <v>74325113.33</v>
      </c>
      <c r="J1387" s="6">
        <v>0.0968</v>
      </c>
      <c r="K1387" s="6">
        <v>-0.0632</v>
      </c>
    </row>
    <row r="1388" ht="14.5" spans="1:11">
      <c r="A1388" s="3" t="str">
        <f t="shared" si="87"/>
        <v>2026年</v>
      </c>
      <c r="B1388" s="3" t="str">
        <f t="shared" si="88"/>
        <v>2月</v>
      </c>
      <c r="C1388" s="4" t="str">
        <f t="shared" si="89"/>
        <v>W6</v>
      </c>
      <c r="D1388" s="2" t="s">
        <v>774</v>
      </c>
      <c r="E1388" s="2" t="s">
        <v>822</v>
      </c>
      <c r="F1388" s="2" t="str" cm="1">
        <f t="array" ref="F1388">INDEX(_xlfn.TEXTSPLIT(E1388,"-"),2)</f>
        <v>男装</v>
      </c>
      <c r="G1388" s="2" t="str" cm="1">
        <f t="array" ref="G1388">INDEX(_xlfn.TEXTSPLIT(E1388,"-"),3)</f>
        <v>皮草</v>
      </c>
      <c r="H1388" s="5">
        <v>5289</v>
      </c>
      <c r="I1388" s="5">
        <v>3748454.67</v>
      </c>
      <c r="J1388" s="6">
        <v>0.0049</v>
      </c>
      <c r="K1388" s="6">
        <v>0.0025</v>
      </c>
    </row>
    <row r="1389" ht="14.5" spans="1:11">
      <c r="A1389" s="3" t="str">
        <f t="shared" si="87"/>
        <v>2026年</v>
      </c>
      <c r="B1389" s="3" t="str">
        <f t="shared" si="88"/>
        <v>2月</v>
      </c>
      <c r="C1389" s="4" t="str">
        <f t="shared" si="89"/>
        <v>W6</v>
      </c>
      <c r="D1389" s="2" t="s">
        <v>774</v>
      </c>
      <c r="E1389" s="2" t="s">
        <v>823</v>
      </c>
      <c r="F1389" s="2" t="str" cm="1">
        <f t="array" ref="F1389">INDEX(_xlfn.TEXTSPLIT(E1389,"-"),2)</f>
        <v>男装</v>
      </c>
      <c r="G1389" s="2" t="str" cm="1">
        <f t="array" ref="G1389">INDEX(_xlfn.TEXTSPLIT(E1389,"-"),3)</f>
        <v>皮衣</v>
      </c>
      <c r="H1389" s="5">
        <v>64918</v>
      </c>
      <c r="I1389" s="5">
        <v>27569667.67</v>
      </c>
      <c r="J1389" s="6">
        <v>0.0359</v>
      </c>
      <c r="K1389" s="6">
        <v>0.0798</v>
      </c>
    </row>
    <row r="1390" ht="14.5" spans="1:11">
      <c r="A1390" s="3" t="str">
        <f t="shared" si="87"/>
        <v>2026年</v>
      </c>
      <c r="B1390" s="3" t="str">
        <f t="shared" si="88"/>
        <v>2月</v>
      </c>
      <c r="C1390" s="4" t="str">
        <f t="shared" si="89"/>
        <v>W6</v>
      </c>
      <c r="D1390" s="2" t="s">
        <v>774</v>
      </c>
      <c r="E1390" s="2" t="s">
        <v>824</v>
      </c>
      <c r="F1390" s="2" t="str" cm="1">
        <f t="array" ref="F1390">INDEX(_xlfn.TEXTSPLIT(E1390,"-"),2)</f>
        <v>男装</v>
      </c>
      <c r="G1390" s="2" t="str" cm="1">
        <f t="array" ref="G1390">INDEX(_xlfn.TEXTSPLIT(E1390,"-"),3)</f>
        <v>皮裤</v>
      </c>
      <c r="H1390" s="5">
        <v>1286</v>
      </c>
      <c r="I1390" s="5">
        <v>263747.71</v>
      </c>
      <c r="J1390" s="6">
        <v>0.0003</v>
      </c>
      <c r="K1390" s="6">
        <v>0.3964</v>
      </c>
    </row>
    <row r="1391" ht="14.5" spans="1:11">
      <c r="A1391" s="3" t="str">
        <f t="shared" si="87"/>
        <v>2026年</v>
      </c>
      <c r="B1391" s="3" t="str">
        <f t="shared" si="88"/>
        <v>2月</v>
      </c>
      <c r="C1391" s="4" t="str">
        <f t="shared" si="89"/>
        <v>W6</v>
      </c>
      <c r="D1391" s="2" t="s">
        <v>774</v>
      </c>
      <c r="E1391" s="2" t="s">
        <v>825</v>
      </c>
      <c r="F1391" s="2" t="str" cm="1">
        <f t="array" ref="F1391">INDEX(_xlfn.TEXTSPLIT(E1391,"-"),2)</f>
        <v>男装</v>
      </c>
      <c r="G1391" s="2" t="str" cm="1">
        <f t="array" ref="G1391">INDEX(_xlfn.TEXTSPLIT(E1391,"-"),3)</f>
        <v>短外套</v>
      </c>
      <c r="H1391" s="5">
        <v>39007</v>
      </c>
      <c r="I1391" s="5">
        <v>3694597.36</v>
      </c>
      <c r="J1391" s="6">
        <v>0.0048</v>
      </c>
      <c r="K1391" s="6">
        <v>0.1209</v>
      </c>
    </row>
    <row r="1392" ht="14.5" spans="1:11">
      <c r="A1392" s="3" t="str">
        <f t="shared" si="87"/>
        <v>2026年</v>
      </c>
      <c r="B1392" s="3" t="str">
        <f t="shared" si="88"/>
        <v>2月</v>
      </c>
      <c r="C1392" s="4" t="str">
        <f t="shared" si="89"/>
        <v>W6</v>
      </c>
      <c r="D1392" s="2" t="s">
        <v>774</v>
      </c>
      <c r="E1392" s="2" t="s">
        <v>826</v>
      </c>
      <c r="F1392" s="2" t="str" cm="1">
        <f t="array" ref="F1392">INDEX(_xlfn.TEXTSPLIT(E1392,"-"),2)</f>
        <v>男装</v>
      </c>
      <c r="G1392" s="2" t="str" cm="1">
        <f t="array" ref="G1392">INDEX(_xlfn.TEXTSPLIT(E1392,"-"),3)</f>
        <v>短裤</v>
      </c>
      <c r="H1392" s="5">
        <v>44700</v>
      </c>
      <c r="I1392" s="5">
        <v>1692173.01</v>
      </c>
      <c r="J1392" s="6">
        <v>0.0022</v>
      </c>
      <c r="K1392" s="6">
        <v>-0.0834</v>
      </c>
    </row>
    <row r="1393" ht="14.5" spans="1:11">
      <c r="A1393" s="3" t="str">
        <f t="shared" si="87"/>
        <v>2026年</v>
      </c>
      <c r="B1393" s="3" t="str">
        <f t="shared" si="88"/>
        <v>2月</v>
      </c>
      <c r="C1393" s="4" t="str">
        <f t="shared" si="89"/>
        <v>W6</v>
      </c>
      <c r="D1393" s="2" t="s">
        <v>774</v>
      </c>
      <c r="E1393" s="2" t="s">
        <v>827</v>
      </c>
      <c r="F1393" s="2" t="str" cm="1">
        <f t="array" ref="F1393">INDEX(_xlfn.TEXTSPLIT(E1393,"-"),2)</f>
        <v>男装</v>
      </c>
      <c r="G1393" s="2" t="str" cm="1">
        <f t="array" ref="G1393">INDEX(_xlfn.TEXTSPLIT(E1393,"-"),3)</f>
        <v>紧身衣</v>
      </c>
      <c r="H1393" s="5">
        <v>216</v>
      </c>
      <c r="I1393" s="5">
        <v>6649.39</v>
      </c>
      <c r="J1393" s="2" t="s">
        <v>713</v>
      </c>
      <c r="K1393" s="6">
        <v>-0.2211</v>
      </c>
    </row>
    <row r="1394" ht="14.5" spans="1:11">
      <c r="A1394" s="3" t="str">
        <f t="shared" si="87"/>
        <v>2026年</v>
      </c>
      <c r="B1394" s="3" t="str">
        <f t="shared" si="88"/>
        <v>2月</v>
      </c>
      <c r="C1394" s="4" t="str">
        <f t="shared" si="89"/>
        <v>W6</v>
      </c>
      <c r="D1394" s="2" t="s">
        <v>774</v>
      </c>
      <c r="E1394" s="2" t="s">
        <v>828</v>
      </c>
      <c r="F1394" s="2" t="str" cm="1">
        <f t="array" ref="F1394">INDEX(_xlfn.TEXTSPLIT(E1394,"-"),2)</f>
        <v>男装</v>
      </c>
      <c r="G1394" s="2" t="str" cm="1">
        <f t="array" ref="G1394">INDEX(_xlfn.TEXTSPLIT(E1394,"-"),3)</f>
        <v>羊毛衫</v>
      </c>
      <c r="H1394" s="5">
        <v>89516</v>
      </c>
      <c r="I1394" s="5">
        <v>13627946.08</v>
      </c>
      <c r="J1394" s="6">
        <v>0.0178</v>
      </c>
      <c r="K1394" s="6">
        <v>-0.0114</v>
      </c>
    </row>
    <row r="1395" ht="14.5" spans="1:11">
      <c r="A1395" s="3" t="str">
        <f t="shared" si="87"/>
        <v>2026年</v>
      </c>
      <c r="B1395" s="3" t="str">
        <f t="shared" si="88"/>
        <v>2月</v>
      </c>
      <c r="C1395" s="4" t="str">
        <f t="shared" si="89"/>
        <v>W6</v>
      </c>
      <c r="D1395" s="2" t="s">
        <v>774</v>
      </c>
      <c r="E1395" s="2" t="s">
        <v>829</v>
      </c>
      <c r="F1395" s="2" t="str" cm="1">
        <f t="array" ref="F1395">INDEX(_xlfn.TEXTSPLIT(E1395,"-"),2)</f>
        <v>男装</v>
      </c>
      <c r="G1395" s="2" t="str" cm="1">
        <f t="array" ref="G1395">INDEX(_xlfn.TEXTSPLIT(E1395,"-"),3)</f>
        <v>羊绒衫</v>
      </c>
      <c r="H1395" s="5">
        <v>18571</v>
      </c>
      <c r="I1395" s="5">
        <v>5124771.59</v>
      </c>
      <c r="J1395" s="6">
        <v>0.0067</v>
      </c>
      <c r="K1395" s="6">
        <v>-0.0561</v>
      </c>
    </row>
    <row r="1396" ht="14.5" spans="1:11">
      <c r="A1396" s="3" t="str">
        <f t="shared" si="87"/>
        <v>2026年</v>
      </c>
      <c r="B1396" s="3" t="str">
        <f t="shared" si="88"/>
        <v>2月</v>
      </c>
      <c r="C1396" s="4" t="str">
        <f t="shared" si="89"/>
        <v>W6</v>
      </c>
      <c r="D1396" s="2" t="s">
        <v>774</v>
      </c>
      <c r="E1396" s="2" t="s">
        <v>830</v>
      </c>
      <c r="F1396" s="2" t="str" cm="1">
        <f t="array" ref="F1396">INDEX(_xlfn.TEXTSPLIT(E1396,"-"),2)</f>
        <v>男装</v>
      </c>
      <c r="G1396" s="2" t="str" cm="1">
        <f t="array" ref="G1396">INDEX(_xlfn.TEXTSPLIT(E1396,"-"),3)</f>
        <v>羽绒服</v>
      </c>
      <c r="H1396" s="5">
        <v>486518</v>
      </c>
      <c r="I1396" s="5">
        <v>167290134.28</v>
      </c>
      <c r="J1396" s="6">
        <v>0.218</v>
      </c>
      <c r="K1396" s="6">
        <v>-0.0454</v>
      </c>
    </row>
    <row r="1397" ht="14.5" spans="1:11">
      <c r="A1397" s="3" t="str">
        <f t="shared" si="87"/>
        <v>2026年</v>
      </c>
      <c r="B1397" s="3" t="str">
        <f t="shared" si="88"/>
        <v>2月</v>
      </c>
      <c r="C1397" s="4" t="str">
        <f t="shared" si="89"/>
        <v>W6</v>
      </c>
      <c r="D1397" s="2" t="s">
        <v>774</v>
      </c>
      <c r="E1397" s="2" t="s">
        <v>831</v>
      </c>
      <c r="F1397" s="2" t="str" cm="1">
        <f t="array" ref="F1397">INDEX(_xlfn.TEXTSPLIT(E1397,"-"),2)</f>
        <v>男装</v>
      </c>
      <c r="G1397" s="2" t="str" cm="1">
        <f t="array" ref="G1397">INDEX(_xlfn.TEXTSPLIT(E1397,"-"),3)</f>
        <v>羽绒裤</v>
      </c>
      <c r="H1397" s="5">
        <v>4173</v>
      </c>
      <c r="I1397" s="5">
        <v>611316.5</v>
      </c>
      <c r="J1397" s="6">
        <v>0.0008</v>
      </c>
      <c r="K1397" s="6">
        <v>-0.0128</v>
      </c>
    </row>
    <row r="1398" ht="14.5" spans="1:11">
      <c r="A1398" s="3" t="str">
        <f t="shared" si="87"/>
        <v>2026年</v>
      </c>
      <c r="B1398" s="3" t="str">
        <f t="shared" si="88"/>
        <v>2月</v>
      </c>
      <c r="C1398" s="4" t="str">
        <f t="shared" si="89"/>
        <v>W6</v>
      </c>
      <c r="D1398" s="2" t="s">
        <v>774</v>
      </c>
      <c r="E1398" s="2" t="s">
        <v>832</v>
      </c>
      <c r="F1398" s="2" t="str" cm="1">
        <f t="array" ref="F1398">INDEX(_xlfn.TEXTSPLIT(E1398,"-"),2)</f>
        <v>男装</v>
      </c>
      <c r="G1398" s="2" t="str" cm="1">
        <f t="array" ref="G1398">INDEX(_xlfn.TEXTSPLIT(E1398,"-"),3)</f>
        <v>羽绒马甲</v>
      </c>
      <c r="H1398" s="5">
        <v>8885</v>
      </c>
      <c r="I1398" s="5">
        <v>1859604.07</v>
      </c>
      <c r="J1398" s="6">
        <v>0.0024</v>
      </c>
      <c r="K1398" s="6">
        <v>-0.182</v>
      </c>
    </row>
    <row r="1399" ht="14.5" spans="1:11">
      <c r="A1399" s="3" t="str">
        <f t="shared" si="87"/>
        <v>2026年</v>
      </c>
      <c r="B1399" s="3" t="str">
        <f t="shared" si="88"/>
        <v>2月</v>
      </c>
      <c r="C1399" s="4" t="str">
        <f t="shared" si="89"/>
        <v>W6</v>
      </c>
      <c r="D1399" s="2" t="s">
        <v>774</v>
      </c>
      <c r="E1399" s="2" t="s">
        <v>833</v>
      </c>
      <c r="F1399" s="2" t="str" cm="1">
        <f t="array" ref="F1399">INDEX(_xlfn.TEXTSPLIT(E1399,"-"),2)</f>
        <v>男装</v>
      </c>
      <c r="G1399" s="2" t="str" cm="1">
        <f t="array" ref="G1399">INDEX(_xlfn.TEXTSPLIT(E1399,"-"),3)</f>
        <v>背心</v>
      </c>
      <c r="H1399" s="5">
        <v>30236</v>
      </c>
      <c r="I1399" s="5">
        <v>1858981.17</v>
      </c>
      <c r="J1399" s="6">
        <v>0.0024</v>
      </c>
      <c r="K1399" s="6">
        <v>0.0239</v>
      </c>
    </row>
    <row r="1400" ht="14.5" spans="1:11">
      <c r="A1400" s="3" t="str">
        <f t="shared" si="87"/>
        <v>2026年</v>
      </c>
      <c r="B1400" s="3" t="str">
        <f t="shared" si="88"/>
        <v>2月</v>
      </c>
      <c r="C1400" s="4" t="str">
        <f t="shared" si="89"/>
        <v>W6</v>
      </c>
      <c r="D1400" s="2" t="s">
        <v>774</v>
      </c>
      <c r="E1400" s="2" t="s">
        <v>834</v>
      </c>
      <c r="F1400" s="2" t="str" cm="1">
        <f t="array" ref="F1400">INDEX(_xlfn.TEXTSPLIT(E1400,"-"),2)</f>
        <v>男装</v>
      </c>
      <c r="G1400" s="2" t="str" cm="1">
        <f t="array" ref="G1400">INDEX(_xlfn.TEXTSPLIT(E1400,"-"),3)</f>
        <v>衬衫</v>
      </c>
      <c r="H1400" s="5">
        <v>99670</v>
      </c>
      <c r="I1400" s="5">
        <v>12723008.83</v>
      </c>
      <c r="J1400" s="6">
        <v>0.0166</v>
      </c>
      <c r="K1400" s="6">
        <v>-0.049</v>
      </c>
    </row>
    <row r="1401" ht="14.5" spans="1:11">
      <c r="A1401" s="3" t="str">
        <f t="shared" si="87"/>
        <v>2026年</v>
      </c>
      <c r="B1401" s="3" t="str">
        <f t="shared" si="88"/>
        <v>2月</v>
      </c>
      <c r="C1401" s="4" t="str">
        <f t="shared" si="89"/>
        <v>W6</v>
      </c>
      <c r="D1401" s="2" t="s">
        <v>774</v>
      </c>
      <c r="E1401" s="2" t="s">
        <v>835</v>
      </c>
      <c r="F1401" s="2" t="str" cm="1">
        <f t="array" ref="F1401">INDEX(_xlfn.TEXTSPLIT(E1401,"-"),2)</f>
        <v>男装</v>
      </c>
      <c r="G1401" s="2" t="str" cm="1">
        <f t="array" ref="G1401">INDEX(_xlfn.TEXTSPLIT(E1401,"-"),3)</f>
        <v>西服</v>
      </c>
      <c r="H1401" s="5">
        <v>100443</v>
      </c>
      <c r="I1401" s="5">
        <v>19324310.25</v>
      </c>
      <c r="J1401" s="6">
        <v>0.0252</v>
      </c>
      <c r="K1401" s="6">
        <v>-0.0717</v>
      </c>
    </row>
    <row r="1402" ht="14.5" spans="1:11">
      <c r="A1402" s="3" t="str">
        <f t="shared" si="87"/>
        <v>2026年</v>
      </c>
      <c r="B1402" s="3" t="str">
        <f t="shared" si="88"/>
        <v>2月</v>
      </c>
      <c r="C1402" s="4" t="str">
        <f t="shared" si="89"/>
        <v>W6</v>
      </c>
      <c r="D1402" s="2" t="s">
        <v>774</v>
      </c>
      <c r="E1402" s="2" t="s">
        <v>836</v>
      </c>
      <c r="F1402" s="2" t="str" cm="1">
        <f t="array" ref="F1402">INDEX(_xlfn.TEXTSPLIT(E1402,"-"),2)</f>
        <v>男装</v>
      </c>
      <c r="G1402" s="2" t="str" cm="1">
        <f t="array" ref="G1402">INDEX(_xlfn.TEXTSPLIT(E1402,"-"),3)</f>
        <v>连体衣/裤</v>
      </c>
      <c r="H1402" s="5">
        <v>1195</v>
      </c>
      <c r="I1402" s="5">
        <v>41607.75</v>
      </c>
      <c r="J1402" s="6">
        <v>0.0001</v>
      </c>
      <c r="K1402" s="6">
        <v>-0.0919</v>
      </c>
    </row>
    <row r="1403" ht="14.5" spans="1:11">
      <c r="A1403" s="3" t="str">
        <f t="shared" si="87"/>
        <v>2026年</v>
      </c>
      <c r="B1403" s="3" t="str">
        <f t="shared" si="88"/>
        <v>2月</v>
      </c>
      <c r="C1403" s="4" t="str">
        <f t="shared" si="89"/>
        <v>W6</v>
      </c>
      <c r="D1403" s="2" t="s">
        <v>774</v>
      </c>
      <c r="E1403" s="2" t="s">
        <v>837</v>
      </c>
      <c r="F1403" s="2" t="str" cm="1">
        <f t="array" ref="F1403">INDEX(_xlfn.TEXTSPLIT(E1403,"-"),2)</f>
        <v>男装</v>
      </c>
      <c r="G1403" s="2" t="str" cm="1">
        <f t="array" ref="G1403">INDEX(_xlfn.TEXTSPLIT(E1403,"-"),3)</f>
        <v>速干/三防T恤</v>
      </c>
      <c r="H1403" s="5">
        <v>644</v>
      </c>
      <c r="I1403" s="5">
        <v>83675.47</v>
      </c>
      <c r="J1403" s="6">
        <v>0.0001</v>
      </c>
      <c r="K1403" s="6">
        <v>-0.1624</v>
      </c>
    </row>
    <row r="1404" ht="14.5" spans="1:11">
      <c r="A1404" s="3" t="str">
        <f t="shared" si="87"/>
        <v>2026年</v>
      </c>
      <c r="B1404" s="3" t="str">
        <f t="shared" si="88"/>
        <v>2月</v>
      </c>
      <c r="C1404" s="4" t="str">
        <f t="shared" si="89"/>
        <v>W6</v>
      </c>
      <c r="D1404" s="2" t="s">
        <v>774</v>
      </c>
      <c r="E1404" s="2" t="s">
        <v>838</v>
      </c>
      <c r="F1404" s="2" t="str" cm="1">
        <f t="array" ref="F1404">INDEX(_xlfn.TEXTSPLIT(E1404,"-"),2)</f>
        <v>男装</v>
      </c>
      <c r="G1404" s="2" t="str" cm="1">
        <f t="array" ref="G1404">INDEX(_xlfn.TEXTSPLIT(E1404,"-"),3)</f>
        <v>针织衫/毛衣</v>
      </c>
      <c r="H1404" s="5">
        <v>363078</v>
      </c>
      <c r="I1404" s="5">
        <v>43486403.61</v>
      </c>
      <c r="J1404" s="6">
        <v>0.0567</v>
      </c>
      <c r="K1404" s="6">
        <v>-0.0973</v>
      </c>
    </row>
    <row r="1405" ht="14.5" spans="1:11">
      <c r="A1405" s="3" t="str">
        <f t="shared" si="87"/>
        <v>2026年</v>
      </c>
      <c r="B1405" s="3" t="str">
        <f t="shared" si="88"/>
        <v>2月</v>
      </c>
      <c r="C1405" s="4" t="str">
        <f t="shared" si="89"/>
        <v>W6</v>
      </c>
      <c r="D1405" s="2" t="s">
        <v>774</v>
      </c>
      <c r="E1405" s="2" t="s">
        <v>839</v>
      </c>
      <c r="F1405" s="2" t="str" cm="1">
        <f t="array" ref="F1405">INDEX(_xlfn.TEXTSPLIT(E1405,"-"),2)</f>
        <v>男装</v>
      </c>
      <c r="G1405" s="2" t="str" cm="1">
        <f t="array" ref="G1405">INDEX(_xlfn.TEXTSPLIT(E1405,"-"),3)</f>
        <v>防晒服</v>
      </c>
      <c r="H1405" s="5">
        <v>302</v>
      </c>
      <c r="I1405" s="5">
        <v>30003.93</v>
      </c>
      <c r="J1405" s="2" t="s">
        <v>713</v>
      </c>
      <c r="K1405" s="6">
        <v>0.1231</v>
      </c>
    </row>
    <row r="1406" ht="14.5" spans="1:11">
      <c r="A1406" s="3" t="str">
        <f t="shared" si="87"/>
        <v>2026年</v>
      </c>
      <c r="B1406" s="3" t="str">
        <f t="shared" si="88"/>
        <v>2月</v>
      </c>
      <c r="C1406" s="4" t="str">
        <f t="shared" si="89"/>
        <v>W6</v>
      </c>
      <c r="D1406" s="2" t="s">
        <v>774</v>
      </c>
      <c r="E1406" s="2" t="s">
        <v>840</v>
      </c>
      <c r="F1406" s="2" t="str" cm="1">
        <f t="array" ref="F1406">INDEX(_xlfn.TEXTSPLIT(E1406,"-"),2)</f>
        <v>男装</v>
      </c>
      <c r="G1406" s="2" t="str" cm="1">
        <f t="array" ref="G1406">INDEX(_xlfn.TEXTSPLIT(E1406,"-"),3)</f>
        <v>风衣</v>
      </c>
      <c r="H1406" s="5">
        <v>7853</v>
      </c>
      <c r="I1406" s="5">
        <v>2494520.92</v>
      </c>
      <c r="J1406" s="6">
        <v>0.0033</v>
      </c>
      <c r="K1406" s="6">
        <v>-0.0705</v>
      </c>
    </row>
    <row r="1407" ht="14.5" spans="1:11">
      <c r="A1407" s="3" t="str">
        <f t="shared" si="87"/>
        <v>2026年</v>
      </c>
      <c r="B1407" s="3" t="str">
        <f t="shared" si="88"/>
        <v>2月</v>
      </c>
      <c r="C1407" s="4" t="str">
        <f t="shared" si="89"/>
        <v>W6</v>
      </c>
      <c r="D1407" s="2" t="s">
        <v>774</v>
      </c>
      <c r="E1407" s="2" t="s">
        <v>841</v>
      </c>
      <c r="F1407" s="2" t="str" cm="1">
        <f t="array" ref="F1407">INDEX(_xlfn.TEXTSPLIT(E1407,"-"),2)</f>
        <v>男装</v>
      </c>
      <c r="G1407" s="2" t="str" cm="1">
        <f t="array" ref="G1407">INDEX(_xlfn.TEXTSPLIT(E1407,"-"),3)</f>
        <v>马甲</v>
      </c>
      <c r="H1407" s="5">
        <v>38760</v>
      </c>
      <c r="I1407" s="5">
        <v>4541588.99</v>
      </c>
      <c r="J1407" s="6">
        <v>0.0059</v>
      </c>
      <c r="K1407" s="6">
        <v>0.2234</v>
      </c>
    </row>
    <row r="1408" ht="14.5" spans="1:11">
      <c r="A1408" s="3" t="str">
        <f t="shared" si="87"/>
        <v>2026年</v>
      </c>
      <c r="B1408" s="3" t="str">
        <f t="shared" si="88"/>
        <v>2月</v>
      </c>
      <c r="C1408" s="4" t="str">
        <f t="shared" si="89"/>
        <v>W6</v>
      </c>
      <c r="D1408" s="2" t="s">
        <v>775</v>
      </c>
      <c r="E1408" s="2" t="s">
        <v>804</v>
      </c>
      <c r="F1408" s="2" t="str" cm="1">
        <f t="array" ref="F1408">INDEX(_xlfn.TEXTSPLIT(E1408,"-"),2)</f>
        <v>男装</v>
      </c>
      <c r="G1408" s="2" t="str" cm="1">
        <f t="array" ref="G1408">INDEX(_xlfn.TEXTSPLIT(E1408,"-"),3)</f>
        <v>Polo衫</v>
      </c>
      <c r="H1408" s="5">
        <v>55362</v>
      </c>
      <c r="I1408" s="5">
        <v>5221367.29</v>
      </c>
      <c r="J1408" s="6">
        <v>0.0066</v>
      </c>
      <c r="K1408" s="6">
        <v>0.0225</v>
      </c>
    </row>
    <row r="1409" ht="14.5" spans="1:11">
      <c r="A1409" s="3" t="str">
        <f t="shared" si="87"/>
        <v>2026年</v>
      </c>
      <c r="B1409" s="3" t="str">
        <f t="shared" si="88"/>
        <v>2月</v>
      </c>
      <c r="C1409" s="4" t="str">
        <f t="shared" si="89"/>
        <v>W6</v>
      </c>
      <c r="D1409" s="2" t="s">
        <v>775</v>
      </c>
      <c r="E1409" s="2" t="s">
        <v>805</v>
      </c>
      <c r="F1409" s="2" t="str" cm="1">
        <f t="array" ref="F1409">INDEX(_xlfn.TEXTSPLIT(E1409,"-"),2)</f>
        <v>男装</v>
      </c>
      <c r="G1409" s="2" t="str" cm="1">
        <f t="array" ref="G1409">INDEX(_xlfn.TEXTSPLIT(E1409,"-"),3)</f>
        <v>T恤</v>
      </c>
      <c r="H1409" s="5">
        <v>496713</v>
      </c>
      <c r="I1409" s="5">
        <v>36276384.31</v>
      </c>
      <c r="J1409" s="6">
        <v>0.0462</v>
      </c>
      <c r="K1409" s="6">
        <v>-0.0196</v>
      </c>
    </row>
    <row r="1410" ht="14.5" spans="1:11">
      <c r="A1410" s="3" t="str">
        <f t="shared" si="87"/>
        <v>2026年</v>
      </c>
      <c r="B1410" s="3" t="str">
        <f t="shared" si="88"/>
        <v>2月</v>
      </c>
      <c r="C1410" s="4" t="str">
        <f t="shared" si="89"/>
        <v>W6</v>
      </c>
      <c r="D1410" s="2" t="s">
        <v>775</v>
      </c>
      <c r="E1410" s="2" t="s">
        <v>806</v>
      </c>
      <c r="F1410" s="2" t="str" cm="1">
        <f t="array" ref="F1410">INDEX(_xlfn.TEXTSPLIT(E1410,"-"),2)</f>
        <v>男装</v>
      </c>
      <c r="G1410" s="2" t="str" cm="1">
        <f t="array" ref="G1410">INDEX(_xlfn.TEXTSPLIT(E1410,"-"),3)</f>
        <v>中老年男装</v>
      </c>
      <c r="H1410" s="5">
        <v>126881</v>
      </c>
      <c r="I1410" s="5">
        <v>17520180.13</v>
      </c>
      <c r="J1410" s="6">
        <v>0.0223</v>
      </c>
      <c r="K1410" s="6">
        <v>0.1178</v>
      </c>
    </row>
    <row r="1411" ht="14.5" spans="1:11">
      <c r="A1411" s="3" t="str">
        <f t="shared" si="87"/>
        <v>2026年</v>
      </c>
      <c r="B1411" s="3" t="str">
        <f t="shared" si="88"/>
        <v>2月</v>
      </c>
      <c r="C1411" s="4" t="str">
        <f t="shared" si="89"/>
        <v>W6</v>
      </c>
      <c r="D1411" s="2" t="s">
        <v>775</v>
      </c>
      <c r="E1411" s="2" t="s">
        <v>807</v>
      </c>
      <c r="F1411" s="2" t="str" cm="1">
        <f t="array" ref="F1411">INDEX(_xlfn.TEXTSPLIT(E1411,"-"),2)</f>
        <v>男装</v>
      </c>
      <c r="G1411" s="2" t="str" cm="1">
        <f t="array" ref="G1411">INDEX(_xlfn.TEXTSPLIT(E1411,"-"),3)</f>
        <v>休闲裤</v>
      </c>
      <c r="H1411" s="5">
        <v>836343</v>
      </c>
      <c r="I1411" s="5">
        <v>91566123.41</v>
      </c>
      <c r="J1411" s="6">
        <v>0.1166</v>
      </c>
      <c r="K1411" s="6">
        <v>0.0291</v>
      </c>
    </row>
    <row r="1412" ht="14.5" spans="1:11">
      <c r="A1412" s="3" t="str">
        <f t="shared" si="87"/>
        <v>2026年</v>
      </c>
      <c r="B1412" s="3" t="str">
        <f t="shared" si="88"/>
        <v>2月</v>
      </c>
      <c r="C1412" s="4" t="str">
        <f t="shared" si="89"/>
        <v>W6</v>
      </c>
      <c r="D1412" s="2" t="s">
        <v>775</v>
      </c>
      <c r="E1412" s="2" t="s">
        <v>808</v>
      </c>
      <c r="F1412" s="2" t="str" cm="1">
        <f t="array" ref="F1412">INDEX(_xlfn.TEXTSPLIT(E1412,"-"),2)</f>
        <v>男装</v>
      </c>
      <c r="G1412" s="2" t="str" cm="1">
        <f t="array" ref="G1412">INDEX(_xlfn.TEXTSPLIT(E1412,"-"),3)</f>
        <v>卫衣</v>
      </c>
      <c r="H1412" s="5">
        <v>576118</v>
      </c>
      <c r="I1412" s="5">
        <v>49709254.11</v>
      </c>
      <c r="J1412" s="6">
        <v>0.0633</v>
      </c>
      <c r="K1412" s="6">
        <v>0.0211</v>
      </c>
    </row>
    <row r="1413" ht="14.5" spans="1:11">
      <c r="A1413" s="3" t="str">
        <f t="shared" si="87"/>
        <v>2026年</v>
      </c>
      <c r="B1413" s="3" t="str">
        <f t="shared" si="88"/>
        <v>2月</v>
      </c>
      <c r="C1413" s="4" t="str">
        <f t="shared" si="89"/>
        <v>W6</v>
      </c>
      <c r="D1413" s="2" t="s">
        <v>775</v>
      </c>
      <c r="E1413" s="2" t="s">
        <v>809</v>
      </c>
      <c r="F1413" s="2" t="str" cm="1">
        <f t="array" ref="F1413">INDEX(_xlfn.TEXTSPLIT(E1413,"-"),2)</f>
        <v>男装</v>
      </c>
      <c r="G1413" s="2" t="str" cm="1">
        <f t="array" ref="G1413">INDEX(_xlfn.TEXTSPLIT(E1413,"-"),3)</f>
        <v>卫裤</v>
      </c>
      <c r="H1413" s="5">
        <v>168264</v>
      </c>
      <c r="I1413" s="5">
        <v>16418327.23</v>
      </c>
      <c r="J1413" s="6">
        <v>0.0209</v>
      </c>
      <c r="K1413" s="6">
        <v>-0.007</v>
      </c>
    </row>
    <row r="1414" ht="14.5" spans="1:11">
      <c r="A1414" s="3" t="str">
        <f t="shared" si="87"/>
        <v>2026年</v>
      </c>
      <c r="B1414" s="3" t="str">
        <f t="shared" si="88"/>
        <v>2月</v>
      </c>
      <c r="C1414" s="4" t="str">
        <f t="shared" si="89"/>
        <v>W6</v>
      </c>
      <c r="D1414" s="2" t="s">
        <v>775</v>
      </c>
      <c r="E1414" s="2" t="s">
        <v>810</v>
      </c>
      <c r="F1414" s="2" t="str" cm="1">
        <f t="array" ref="F1414">INDEX(_xlfn.TEXTSPLIT(E1414,"-"),2)</f>
        <v>男装</v>
      </c>
      <c r="G1414" s="2" t="str" cm="1">
        <f t="array" ref="G1414">INDEX(_xlfn.TEXTSPLIT(E1414,"-"),3)</f>
        <v>大码男装</v>
      </c>
      <c r="H1414" s="5">
        <v>45706</v>
      </c>
      <c r="I1414" s="5">
        <v>4004000.15</v>
      </c>
      <c r="J1414" s="6">
        <v>0.0051</v>
      </c>
      <c r="K1414" s="6">
        <v>0.0968</v>
      </c>
    </row>
    <row r="1415" ht="14.5" spans="1:11">
      <c r="A1415" s="3" t="str">
        <f t="shared" si="87"/>
        <v>2026年</v>
      </c>
      <c r="B1415" s="3" t="str">
        <f t="shared" si="88"/>
        <v>2月</v>
      </c>
      <c r="C1415" s="4" t="str">
        <f t="shared" si="89"/>
        <v>W6</v>
      </c>
      <c r="D1415" s="2" t="s">
        <v>775</v>
      </c>
      <c r="E1415" s="2" t="s">
        <v>811</v>
      </c>
      <c r="F1415" s="2" t="str" cm="1">
        <f t="array" ref="F1415">INDEX(_xlfn.TEXTSPLIT(E1415,"-"),2)</f>
        <v>男装</v>
      </c>
      <c r="G1415" s="2" t="str" cm="1">
        <f t="array" ref="G1415">INDEX(_xlfn.TEXTSPLIT(E1415,"-"),3)</f>
        <v>夹克</v>
      </c>
      <c r="H1415" s="5">
        <v>492681</v>
      </c>
      <c r="I1415" s="5">
        <v>96114778.29</v>
      </c>
      <c r="J1415" s="6">
        <v>0.1224</v>
      </c>
      <c r="K1415" s="6">
        <v>0.0488</v>
      </c>
    </row>
    <row r="1416" ht="14.5" spans="1:11">
      <c r="A1416" s="3" t="str">
        <f t="shared" si="87"/>
        <v>2026年</v>
      </c>
      <c r="B1416" s="3" t="str">
        <f t="shared" si="88"/>
        <v>2月</v>
      </c>
      <c r="C1416" s="4" t="str">
        <f t="shared" si="89"/>
        <v>W6</v>
      </c>
      <c r="D1416" s="2" t="s">
        <v>775</v>
      </c>
      <c r="E1416" s="2" t="s">
        <v>812</v>
      </c>
      <c r="F1416" s="2" t="str" cm="1">
        <f t="array" ref="F1416">INDEX(_xlfn.TEXTSPLIT(E1416,"-"),2)</f>
        <v>男装</v>
      </c>
      <c r="G1416" s="2" t="str" cm="1">
        <f t="array" ref="G1416">INDEX(_xlfn.TEXTSPLIT(E1416,"-"),3)</f>
        <v>套装</v>
      </c>
      <c r="H1416" s="5">
        <v>46201</v>
      </c>
      <c r="I1416" s="5">
        <v>7643568.95</v>
      </c>
      <c r="J1416" s="6">
        <v>0.0097</v>
      </c>
      <c r="K1416" s="6">
        <v>0.0259</v>
      </c>
    </row>
    <row r="1417" ht="14.5" spans="1:11">
      <c r="A1417" s="3" t="str">
        <f t="shared" si="87"/>
        <v>2026年</v>
      </c>
      <c r="B1417" s="3" t="str">
        <f t="shared" si="88"/>
        <v>2月</v>
      </c>
      <c r="C1417" s="4" t="str">
        <f t="shared" si="89"/>
        <v>W6</v>
      </c>
      <c r="D1417" s="2" t="s">
        <v>775</v>
      </c>
      <c r="E1417" s="2" t="s">
        <v>813</v>
      </c>
      <c r="F1417" s="2" t="str" cm="1">
        <f t="array" ref="F1417">INDEX(_xlfn.TEXTSPLIT(E1417,"-"),2)</f>
        <v>男装</v>
      </c>
      <c r="G1417" s="2" t="str" cm="1">
        <f t="array" ref="G1417">INDEX(_xlfn.TEXTSPLIT(E1417,"-"),3)</f>
        <v>学生校服</v>
      </c>
      <c r="H1417" s="5">
        <v>1</v>
      </c>
      <c r="I1417" s="5">
        <v>69</v>
      </c>
      <c r="J1417" s="2" t="s">
        <v>713</v>
      </c>
      <c r="K1417" s="6">
        <v>-0.9702</v>
      </c>
    </row>
    <row r="1418" ht="14.5" spans="1:11">
      <c r="A1418" s="3" t="str">
        <f t="shared" si="87"/>
        <v>2026年</v>
      </c>
      <c r="B1418" s="3" t="str">
        <f t="shared" si="88"/>
        <v>2月</v>
      </c>
      <c r="C1418" s="4" t="str">
        <f t="shared" si="89"/>
        <v>W6</v>
      </c>
      <c r="D1418" s="2" t="s">
        <v>775</v>
      </c>
      <c r="E1418" s="2" t="s">
        <v>814</v>
      </c>
      <c r="F1418" s="2" t="str" cm="1">
        <f t="array" ref="F1418">INDEX(_xlfn.TEXTSPLIT(E1418,"-"),2)</f>
        <v>男装</v>
      </c>
      <c r="G1418" s="2" t="str" cm="1">
        <f t="array" ref="G1418">INDEX(_xlfn.TEXTSPLIT(E1418,"-"),3)</f>
        <v>打底衫</v>
      </c>
      <c r="H1418" s="5">
        <v>70102</v>
      </c>
      <c r="I1418" s="5">
        <v>1461810.57</v>
      </c>
      <c r="J1418" s="6">
        <v>0.0019</v>
      </c>
      <c r="K1418" s="6">
        <v>0.1018</v>
      </c>
    </row>
    <row r="1419" ht="14.5" spans="1:11">
      <c r="A1419" s="3" t="str">
        <f t="shared" si="87"/>
        <v>2026年</v>
      </c>
      <c r="B1419" s="3" t="str">
        <f t="shared" si="88"/>
        <v>2月</v>
      </c>
      <c r="C1419" s="4" t="str">
        <f t="shared" si="89"/>
        <v>W6</v>
      </c>
      <c r="D1419" s="2" t="s">
        <v>775</v>
      </c>
      <c r="E1419" s="2" t="s">
        <v>815</v>
      </c>
      <c r="F1419" s="2" t="str" cm="1">
        <f t="array" ref="F1419">INDEX(_xlfn.TEXTSPLIT(E1419,"-"),2)</f>
        <v>男装</v>
      </c>
      <c r="G1419" s="2" t="str" cm="1">
        <f t="array" ref="G1419">INDEX(_xlfn.TEXTSPLIT(E1419,"-"),3)</f>
        <v>新中式男装</v>
      </c>
      <c r="H1419" s="5">
        <v>533</v>
      </c>
      <c r="I1419" s="5">
        <v>138671.57</v>
      </c>
      <c r="J1419" s="6">
        <v>0.0002</v>
      </c>
      <c r="K1419" s="6">
        <v>-0.5884</v>
      </c>
    </row>
    <row r="1420" ht="14.5" spans="1:11">
      <c r="A1420" s="3" t="str">
        <f t="shared" si="87"/>
        <v>2026年</v>
      </c>
      <c r="B1420" s="3" t="str">
        <f t="shared" si="88"/>
        <v>2月</v>
      </c>
      <c r="C1420" s="4" t="str">
        <f t="shared" si="89"/>
        <v>W6</v>
      </c>
      <c r="D1420" s="2" t="s">
        <v>775</v>
      </c>
      <c r="E1420" s="2" t="s">
        <v>816</v>
      </c>
      <c r="F1420" s="2" t="str" cm="1">
        <f t="array" ref="F1420">INDEX(_xlfn.TEXTSPLIT(E1420,"-"),2)</f>
        <v>男装</v>
      </c>
      <c r="G1420" s="2" t="str" cm="1">
        <f t="array" ref="G1420">INDEX(_xlfn.TEXTSPLIT(E1420,"-"),3)</f>
        <v>棉衣</v>
      </c>
      <c r="H1420" s="5">
        <v>313022</v>
      </c>
      <c r="I1420" s="5">
        <v>42021427.77</v>
      </c>
      <c r="J1420" s="6">
        <v>0.0535</v>
      </c>
      <c r="K1420" s="7">
        <v>0</v>
      </c>
    </row>
    <row r="1421" ht="14.5" spans="1:11">
      <c r="A1421" s="3" t="str">
        <f t="shared" si="87"/>
        <v>2026年</v>
      </c>
      <c r="B1421" s="3" t="str">
        <f t="shared" si="88"/>
        <v>2月</v>
      </c>
      <c r="C1421" s="4" t="str">
        <f t="shared" si="89"/>
        <v>W6</v>
      </c>
      <c r="D1421" s="2" t="s">
        <v>775</v>
      </c>
      <c r="E1421" s="2" t="s">
        <v>817</v>
      </c>
      <c r="F1421" s="2" t="str" cm="1">
        <f t="array" ref="F1421">INDEX(_xlfn.TEXTSPLIT(E1421,"-"),2)</f>
        <v>男装</v>
      </c>
      <c r="G1421" s="2" t="str" cm="1">
        <f t="array" ref="G1421">INDEX(_xlfn.TEXTSPLIT(E1421,"-"),3)</f>
        <v>棉裤</v>
      </c>
      <c r="H1421" s="5">
        <v>10359</v>
      </c>
      <c r="I1421" s="5">
        <v>734434.34</v>
      </c>
      <c r="J1421" s="6">
        <v>0.0009</v>
      </c>
      <c r="K1421" s="6">
        <v>0.0437</v>
      </c>
    </row>
    <row r="1422" ht="14.5" spans="1:11">
      <c r="A1422" s="3" t="str">
        <f t="shared" si="87"/>
        <v>2026年</v>
      </c>
      <c r="B1422" s="3" t="str">
        <f t="shared" si="88"/>
        <v>2月</v>
      </c>
      <c r="C1422" s="4" t="str">
        <f t="shared" si="89"/>
        <v>W6</v>
      </c>
      <c r="D1422" s="2" t="s">
        <v>775</v>
      </c>
      <c r="E1422" s="2" t="s">
        <v>818</v>
      </c>
      <c r="F1422" s="2" t="str" cm="1">
        <f t="array" ref="F1422">INDEX(_xlfn.TEXTSPLIT(E1422,"-"),2)</f>
        <v>男装</v>
      </c>
      <c r="G1422" s="2" t="str" cm="1">
        <f t="array" ref="G1422">INDEX(_xlfn.TEXTSPLIT(E1422,"-"),3)</f>
        <v>毛呢大衣</v>
      </c>
      <c r="H1422" s="5">
        <v>50447</v>
      </c>
      <c r="I1422" s="5">
        <v>21594129.26</v>
      </c>
      <c r="J1422" s="6">
        <v>0.0275</v>
      </c>
      <c r="K1422" s="6">
        <v>0.0439</v>
      </c>
    </row>
    <row r="1423" ht="14.5" spans="1:11">
      <c r="A1423" s="3" t="str">
        <f t="shared" si="87"/>
        <v>2026年</v>
      </c>
      <c r="B1423" s="3" t="str">
        <f t="shared" si="88"/>
        <v>2月</v>
      </c>
      <c r="C1423" s="4" t="str">
        <f t="shared" si="89"/>
        <v>W6</v>
      </c>
      <c r="D1423" s="2" t="s">
        <v>775</v>
      </c>
      <c r="E1423" s="2" t="s">
        <v>819</v>
      </c>
      <c r="F1423" s="2" t="str" cm="1">
        <f t="array" ref="F1423">INDEX(_xlfn.TEXTSPLIT(E1423,"-"),2)</f>
        <v>男装</v>
      </c>
      <c r="G1423" s="2" t="str" cm="1">
        <f t="array" ref="G1423">INDEX(_xlfn.TEXTSPLIT(E1423,"-"),3)</f>
        <v>民族服装</v>
      </c>
      <c r="H1423" s="5">
        <v>8739</v>
      </c>
      <c r="I1423" s="5">
        <v>1897820.39</v>
      </c>
      <c r="J1423" s="6">
        <v>0.0024</v>
      </c>
      <c r="K1423" s="6">
        <v>0.0347</v>
      </c>
    </row>
    <row r="1424" ht="14.5" spans="1:11">
      <c r="A1424" s="3" t="str">
        <f t="shared" si="87"/>
        <v>2026年</v>
      </c>
      <c r="B1424" s="3" t="str">
        <f t="shared" si="88"/>
        <v>2月</v>
      </c>
      <c r="C1424" s="4" t="str">
        <f t="shared" si="89"/>
        <v>W6</v>
      </c>
      <c r="D1424" s="2" t="s">
        <v>775</v>
      </c>
      <c r="E1424" s="2" t="s">
        <v>820</v>
      </c>
      <c r="F1424" s="2" t="str" cm="1">
        <f t="array" ref="F1424">INDEX(_xlfn.TEXTSPLIT(E1424,"-"),2)</f>
        <v>男装</v>
      </c>
      <c r="G1424" s="2" t="str" cm="1">
        <f t="array" ref="G1424">INDEX(_xlfn.TEXTSPLIT(E1424,"-"),3)</f>
        <v>派克服</v>
      </c>
      <c r="H1424" s="5">
        <v>7782</v>
      </c>
      <c r="I1424" s="5">
        <v>1519711.66</v>
      </c>
      <c r="J1424" s="6">
        <v>0.0019</v>
      </c>
      <c r="K1424" s="6">
        <v>0.0011</v>
      </c>
    </row>
    <row r="1425" ht="14.5" spans="1:11">
      <c r="A1425" s="3" t="str">
        <f t="shared" si="87"/>
        <v>2026年</v>
      </c>
      <c r="B1425" s="3" t="str">
        <f t="shared" si="88"/>
        <v>2月</v>
      </c>
      <c r="C1425" s="4" t="str">
        <f t="shared" si="89"/>
        <v>W6</v>
      </c>
      <c r="D1425" s="2" t="s">
        <v>775</v>
      </c>
      <c r="E1425" s="2" t="s">
        <v>821</v>
      </c>
      <c r="F1425" s="2" t="str" cm="1">
        <f t="array" ref="F1425">INDEX(_xlfn.TEXTSPLIT(E1425,"-"),2)</f>
        <v>男装</v>
      </c>
      <c r="G1425" s="2" t="str" cm="1">
        <f t="array" ref="G1425">INDEX(_xlfn.TEXTSPLIT(E1425,"-"),3)</f>
        <v>牛仔裤</v>
      </c>
      <c r="H1425" s="5">
        <v>659107</v>
      </c>
      <c r="I1425" s="5">
        <v>77212215.58</v>
      </c>
      <c r="J1425" s="6">
        <v>0.0983</v>
      </c>
      <c r="K1425" s="6">
        <v>0.0388</v>
      </c>
    </row>
    <row r="1426" ht="14.5" spans="1:11">
      <c r="A1426" s="3" t="str">
        <f t="shared" si="87"/>
        <v>2026年</v>
      </c>
      <c r="B1426" s="3" t="str">
        <f t="shared" si="88"/>
        <v>2月</v>
      </c>
      <c r="C1426" s="4" t="str">
        <f t="shared" si="89"/>
        <v>W6</v>
      </c>
      <c r="D1426" s="2" t="s">
        <v>775</v>
      </c>
      <c r="E1426" s="2" t="s">
        <v>822</v>
      </c>
      <c r="F1426" s="2" t="str" cm="1">
        <f t="array" ref="F1426">INDEX(_xlfn.TEXTSPLIT(E1426,"-"),2)</f>
        <v>男装</v>
      </c>
      <c r="G1426" s="2" t="str" cm="1">
        <f t="array" ref="G1426">INDEX(_xlfn.TEXTSPLIT(E1426,"-"),3)</f>
        <v>皮草</v>
      </c>
      <c r="H1426" s="5">
        <v>4139</v>
      </c>
      <c r="I1426" s="5">
        <v>4540692.51</v>
      </c>
      <c r="J1426" s="6">
        <v>0.0058</v>
      </c>
      <c r="K1426" s="6">
        <v>0.2114</v>
      </c>
    </row>
    <row r="1427" ht="14.5" spans="1:11">
      <c r="A1427" s="3" t="str">
        <f t="shared" si="87"/>
        <v>2026年</v>
      </c>
      <c r="B1427" s="3" t="str">
        <f t="shared" si="88"/>
        <v>2月</v>
      </c>
      <c r="C1427" s="4" t="str">
        <f t="shared" si="89"/>
        <v>W6</v>
      </c>
      <c r="D1427" s="2" t="s">
        <v>775</v>
      </c>
      <c r="E1427" s="2" t="s">
        <v>823</v>
      </c>
      <c r="F1427" s="2" t="str" cm="1">
        <f t="array" ref="F1427">INDEX(_xlfn.TEXTSPLIT(E1427,"-"),2)</f>
        <v>男装</v>
      </c>
      <c r="G1427" s="2" t="str" cm="1">
        <f t="array" ref="G1427">INDEX(_xlfn.TEXTSPLIT(E1427,"-"),3)</f>
        <v>皮衣</v>
      </c>
      <c r="H1427" s="5">
        <v>65375</v>
      </c>
      <c r="I1427" s="5">
        <v>27539638.37</v>
      </c>
      <c r="J1427" s="6">
        <v>0.0351</v>
      </c>
      <c r="K1427" s="6">
        <v>-0.0011</v>
      </c>
    </row>
    <row r="1428" ht="14.5" spans="1:11">
      <c r="A1428" s="3" t="str">
        <f t="shared" si="87"/>
        <v>2026年</v>
      </c>
      <c r="B1428" s="3" t="str">
        <f t="shared" si="88"/>
        <v>2月</v>
      </c>
      <c r="C1428" s="4" t="str">
        <f t="shared" si="89"/>
        <v>W6</v>
      </c>
      <c r="D1428" s="2" t="s">
        <v>775</v>
      </c>
      <c r="E1428" s="2" t="s">
        <v>824</v>
      </c>
      <c r="F1428" s="2" t="str" cm="1">
        <f t="array" ref="F1428">INDEX(_xlfn.TEXTSPLIT(E1428,"-"),2)</f>
        <v>男装</v>
      </c>
      <c r="G1428" s="2" t="str" cm="1">
        <f t="array" ref="G1428">INDEX(_xlfn.TEXTSPLIT(E1428,"-"),3)</f>
        <v>皮裤</v>
      </c>
      <c r="H1428" s="5">
        <v>1309</v>
      </c>
      <c r="I1428" s="5">
        <v>213572.55</v>
      </c>
      <c r="J1428" s="6">
        <v>0.0003</v>
      </c>
      <c r="K1428" s="6">
        <v>-0.1902</v>
      </c>
    </row>
    <row r="1429" ht="14.5" spans="1:11">
      <c r="A1429" s="3" t="str">
        <f t="shared" si="87"/>
        <v>2026年</v>
      </c>
      <c r="B1429" s="3" t="str">
        <f t="shared" si="88"/>
        <v>2月</v>
      </c>
      <c r="C1429" s="4" t="str">
        <f t="shared" si="89"/>
        <v>W6</v>
      </c>
      <c r="D1429" s="2" t="s">
        <v>775</v>
      </c>
      <c r="E1429" s="2" t="s">
        <v>825</v>
      </c>
      <c r="F1429" s="2" t="str" cm="1">
        <f t="array" ref="F1429">INDEX(_xlfn.TEXTSPLIT(E1429,"-"),2)</f>
        <v>男装</v>
      </c>
      <c r="G1429" s="2" t="str" cm="1">
        <f t="array" ref="G1429">INDEX(_xlfn.TEXTSPLIT(E1429,"-"),3)</f>
        <v>短外套</v>
      </c>
      <c r="H1429" s="5">
        <v>40266</v>
      </c>
      <c r="I1429" s="5">
        <v>3832853.99</v>
      </c>
      <c r="J1429" s="6">
        <v>0.0049</v>
      </c>
      <c r="K1429" s="6">
        <v>0.0374</v>
      </c>
    </row>
    <row r="1430" ht="14.5" spans="1:11">
      <c r="A1430" s="3" t="str">
        <f t="shared" si="87"/>
        <v>2026年</v>
      </c>
      <c r="B1430" s="3" t="str">
        <f t="shared" si="88"/>
        <v>2月</v>
      </c>
      <c r="C1430" s="4" t="str">
        <f t="shared" si="89"/>
        <v>W6</v>
      </c>
      <c r="D1430" s="2" t="s">
        <v>775</v>
      </c>
      <c r="E1430" s="2" t="s">
        <v>826</v>
      </c>
      <c r="F1430" s="2" t="str" cm="1">
        <f t="array" ref="F1430">INDEX(_xlfn.TEXTSPLIT(E1430,"-"),2)</f>
        <v>男装</v>
      </c>
      <c r="G1430" s="2" t="str" cm="1">
        <f t="array" ref="G1430">INDEX(_xlfn.TEXTSPLIT(E1430,"-"),3)</f>
        <v>短裤</v>
      </c>
      <c r="H1430" s="5">
        <v>41776</v>
      </c>
      <c r="I1430" s="5">
        <v>1567936.55</v>
      </c>
      <c r="J1430" s="6">
        <v>0.002</v>
      </c>
      <c r="K1430" s="6">
        <v>-0.0734</v>
      </c>
    </row>
    <row r="1431" ht="14.5" spans="1:11">
      <c r="A1431" s="3" t="str">
        <f t="shared" si="87"/>
        <v>2026年</v>
      </c>
      <c r="B1431" s="3" t="str">
        <f t="shared" si="88"/>
        <v>2月</v>
      </c>
      <c r="C1431" s="4" t="str">
        <f t="shared" si="89"/>
        <v>W6</v>
      </c>
      <c r="D1431" s="2" t="s">
        <v>775</v>
      </c>
      <c r="E1431" s="2" t="s">
        <v>827</v>
      </c>
      <c r="F1431" s="2" t="str" cm="1">
        <f t="array" ref="F1431">INDEX(_xlfn.TEXTSPLIT(E1431,"-"),2)</f>
        <v>男装</v>
      </c>
      <c r="G1431" s="2" t="str" cm="1">
        <f t="array" ref="G1431">INDEX(_xlfn.TEXTSPLIT(E1431,"-"),3)</f>
        <v>紧身衣</v>
      </c>
      <c r="H1431" s="5">
        <v>179</v>
      </c>
      <c r="I1431" s="5">
        <v>6072.88</v>
      </c>
      <c r="J1431" s="2" t="s">
        <v>713</v>
      </c>
      <c r="K1431" s="6">
        <v>-0.0867</v>
      </c>
    </row>
    <row r="1432" ht="14.5" spans="1:11">
      <c r="A1432" s="3" t="str">
        <f t="shared" si="87"/>
        <v>2026年</v>
      </c>
      <c r="B1432" s="3" t="str">
        <f t="shared" si="88"/>
        <v>2月</v>
      </c>
      <c r="C1432" s="4" t="str">
        <f t="shared" si="89"/>
        <v>W6</v>
      </c>
      <c r="D1432" s="2" t="s">
        <v>775</v>
      </c>
      <c r="E1432" s="2" t="s">
        <v>828</v>
      </c>
      <c r="F1432" s="2" t="str" cm="1">
        <f t="array" ref="F1432">INDEX(_xlfn.TEXTSPLIT(E1432,"-"),2)</f>
        <v>男装</v>
      </c>
      <c r="G1432" s="2" t="str" cm="1">
        <f t="array" ref="G1432">INDEX(_xlfn.TEXTSPLIT(E1432,"-"),3)</f>
        <v>羊毛衫</v>
      </c>
      <c r="H1432" s="5">
        <v>89763</v>
      </c>
      <c r="I1432" s="5">
        <v>14212320.29</v>
      </c>
      <c r="J1432" s="6">
        <v>0.0181</v>
      </c>
      <c r="K1432" s="6">
        <v>0.0429</v>
      </c>
    </row>
    <row r="1433" ht="14.5" spans="1:11">
      <c r="A1433" s="3" t="str">
        <f t="shared" si="87"/>
        <v>2026年</v>
      </c>
      <c r="B1433" s="3" t="str">
        <f t="shared" si="88"/>
        <v>2月</v>
      </c>
      <c r="C1433" s="4" t="str">
        <f t="shared" si="89"/>
        <v>W6</v>
      </c>
      <c r="D1433" s="2" t="s">
        <v>775</v>
      </c>
      <c r="E1433" s="2" t="s">
        <v>829</v>
      </c>
      <c r="F1433" s="2" t="str" cm="1">
        <f t="array" ref="F1433">INDEX(_xlfn.TEXTSPLIT(E1433,"-"),2)</f>
        <v>男装</v>
      </c>
      <c r="G1433" s="2" t="str" cm="1">
        <f t="array" ref="G1433">INDEX(_xlfn.TEXTSPLIT(E1433,"-"),3)</f>
        <v>羊绒衫</v>
      </c>
      <c r="H1433" s="5">
        <v>19208</v>
      </c>
      <c r="I1433" s="5">
        <v>5494098.78</v>
      </c>
      <c r="J1433" s="6">
        <v>0.007</v>
      </c>
      <c r="K1433" s="6">
        <v>0.0721</v>
      </c>
    </row>
    <row r="1434" ht="14.5" spans="1:11">
      <c r="A1434" s="3" t="str">
        <f t="shared" si="87"/>
        <v>2026年</v>
      </c>
      <c r="B1434" s="3" t="str">
        <f t="shared" si="88"/>
        <v>2月</v>
      </c>
      <c r="C1434" s="4" t="str">
        <f t="shared" si="89"/>
        <v>W6</v>
      </c>
      <c r="D1434" s="2" t="s">
        <v>775</v>
      </c>
      <c r="E1434" s="2" t="s">
        <v>830</v>
      </c>
      <c r="F1434" s="2" t="str" cm="1">
        <f t="array" ref="F1434">INDEX(_xlfn.TEXTSPLIT(E1434,"-"),2)</f>
        <v>男装</v>
      </c>
      <c r="G1434" s="2" t="str" cm="1">
        <f t="array" ref="G1434">INDEX(_xlfn.TEXTSPLIT(E1434,"-"),3)</f>
        <v>羽绒服</v>
      </c>
      <c r="H1434" s="5">
        <v>498634</v>
      </c>
      <c r="I1434" s="5">
        <v>169536306.16</v>
      </c>
      <c r="J1434" s="6">
        <v>0.2159</v>
      </c>
      <c r="K1434" s="6">
        <v>0.0134</v>
      </c>
    </row>
    <row r="1435" ht="14.5" spans="1:11">
      <c r="A1435" s="3" t="str">
        <f t="shared" si="87"/>
        <v>2026年</v>
      </c>
      <c r="B1435" s="3" t="str">
        <f t="shared" si="88"/>
        <v>2月</v>
      </c>
      <c r="C1435" s="4" t="str">
        <f t="shared" si="89"/>
        <v>W6</v>
      </c>
      <c r="D1435" s="2" t="s">
        <v>775</v>
      </c>
      <c r="E1435" s="2" t="s">
        <v>831</v>
      </c>
      <c r="F1435" s="2" t="str" cm="1">
        <f t="array" ref="F1435">INDEX(_xlfn.TEXTSPLIT(E1435,"-"),2)</f>
        <v>男装</v>
      </c>
      <c r="G1435" s="2" t="str" cm="1">
        <f t="array" ref="G1435">INDEX(_xlfn.TEXTSPLIT(E1435,"-"),3)</f>
        <v>羽绒裤</v>
      </c>
      <c r="H1435" s="5">
        <v>5099</v>
      </c>
      <c r="I1435" s="5">
        <v>735370.72</v>
      </c>
      <c r="J1435" s="6">
        <v>0.0009</v>
      </c>
      <c r="K1435" s="6">
        <v>0.2029</v>
      </c>
    </row>
    <row r="1436" ht="14.5" spans="1:11">
      <c r="A1436" s="3" t="str">
        <f t="shared" ref="A1436:A1499" si="90">TEXT(YEAR(D1436),"0")&amp;"年"</f>
        <v>2026年</v>
      </c>
      <c r="B1436" s="3" t="str">
        <f t="shared" ref="B1436:B1499" si="91">TEXT(MONTH(D1436),"0")&amp;"月"</f>
        <v>2月</v>
      </c>
      <c r="C1436" s="4" t="str">
        <f t="shared" ref="C1436:C1499" si="92">"W"&amp;TEXT(WEEKNUM(D1436,2),"0")</f>
        <v>W6</v>
      </c>
      <c r="D1436" s="2" t="s">
        <v>775</v>
      </c>
      <c r="E1436" s="2" t="s">
        <v>832</v>
      </c>
      <c r="F1436" s="2" t="str" cm="1">
        <f t="array" ref="F1436">INDEX(_xlfn.TEXTSPLIT(E1436,"-"),2)</f>
        <v>男装</v>
      </c>
      <c r="G1436" s="2" t="str" cm="1">
        <f t="array" ref="G1436">INDEX(_xlfn.TEXTSPLIT(E1436,"-"),3)</f>
        <v>羽绒马甲</v>
      </c>
      <c r="H1436" s="5">
        <v>8894</v>
      </c>
      <c r="I1436" s="5">
        <v>1945895.84</v>
      </c>
      <c r="J1436" s="6">
        <v>0.0025</v>
      </c>
      <c r="K1436" s="6">
        <v>0.0464</v>
      </c>
    </row>
    <row r="1437" ht="14.5" spans="1:11">
      <c r="A1437" s="3" t="str">
        <f t="shared" si="90"/>
        <v>2026年</v>
      </c>
      <c r="B1437" s="3" t="str">
        <f t="shared" si="91"/>
        <v>2月</v>
      </c>
      <c r="C1437" s="4" t="str">
        <f t="shared" si="92"/>
        <v>W6</v>
      </c>
      <c r="D1437" s="2" t="s">
        <v>775</v>
      </c>
      <c r="E1437" s="2" t="s">
        <v>833</v>
      </c>
      <c r="F1437" s="2" t="str" cm="1">
        <f t="array" ref="F1437">INDEX(_xlfn.TEXTSPLIT(E1437,"-"),2)</f>
        <v>男装</v>
      </c>
      <c r="G1437" s="2" t="str" cm="1">
        <f t="array" ref="G1437">INDEX(_xlfn.TEXTSPLIT(E1437,"-"),3)</f>
        <v>背心</v>
      </c>
      <c r="H1437" s="5">
        <v>32776</v>
      </c>
      <c r="I1437" s="5">
        <v>2015880.03</v>
      </c>
      <c r="J1437" s="6">
        <v>0.0026</v>
      </c>
      <c r="K1437" s="6">
        <v>0.0844</v>
      </c>
    </row>
    <row r="1438" ht="14.5" spans="1:11">
      <c r="A1438" s="3" t="str">
        <f t="shared" si="90"/>
        <v>2026年</v>
      </c>
      <c r="B1438" s="3" t="str">
        <f t="shared" si="91"/>
        <v>2月</v>
      </c>
      <c r="C1438" s="4" t="str">
        <f t="shared" si="92"/>
        <v>W6</v>
      </c>
      <c r="D1438" s="2" t="s">
        <v>775</v>
      </c>
      <c r="E1438" s="2" t="s">
        <v>834</v>
      </c>
      <c r="F1438" s="2" t="str" cm="1">
        <f t="array" ref="F1438">INDEX(_xlfn.TEXTSPLIT(E1438,"-"),2)</f>
        <v>男装</v>
      </c>
      <c r="G1438" s="2" t="str" cm="1">
        <f t="array" ref="G1438">INDEX(_xlfn.TEXTSPLIT(E1438,"-"),3)</f>
        <v>衬衫</v>
      </c>
      <c r="H1438" s="5">
        <v>100736</v>
      </c>
      <c r="I1438" s="5">
        <v>12948099.81</v>
      </c>
      <c r="J1438" s="6">
        <v>0.0165</v>
      </c>
      <c r="K1438" s="6">
        <v>0.0177</v>
      </c>
    </row>
    <row r="1439" ht="14.5" spans="1:11">
      <c r="A1439" s="3" t="str">
        <f t="shared" si="90"/>
        <v>2026年</v>
      </c>
      <c r="B1439" s="3" t="str">
        <f t="shared" si="91"/>
        <v>2月</v>
      </c>
      <c r="C1439" s="4" t="str">
        <f t="shared" si="92"/>
        <v>W6</v>
      </c>
      <c r="D1439" s="2" t="s">
        <v>775</v>
      </c>
      <c r="E1439" s="2" t="s">
        <v>835</v>
      </c>
      <c r="F1439" s="2" t="str" cm="1">
        <f t="array" ref="F1439">INDEX(_xlfn.TEXTSPLIT(E1439,"-"),2)</f>
        <v>男装</v>
      </c>
      <c r="G1439" s="2" t="str" cm="1">
        <f t="array" ref="G1439">INDEX(_xlfn.TEXTSPLIT(E1439,"-"),3)</f>
        <v>西服</v>
      </c>
      <c r="H1439" s="5">
        <v>98825</v>
      </c>
      <c r="I1439" s="5">
        <v>18942443.53</v>
      </c>
      <c r="J1439" s="6">
        <v>0.0241</v>
      </c>
      <c r="K1439" s="6">
        <v>-0.0198</v>
      </c>
    </row>
    <row r="1440" ht="14.5" spans="1:11">
      <c r="A1440" s="3" t="str">
        <f t="shared" si="90"/>
        <v>2026年</v>
      </c>
      <c r="B1440" s="3" t="str">
        <f t="shared" si="91"/>
        <v>2月</v>
      </c>
      <c r="C1440" s="4" t="str">
        <f t="shared" si="92"/>
        <v>W6</v>
      </c>
      <c r="D1440" s="2" t="s">
        <v>775</v>
      </c>
      <c r="E1440" s="2" t="s">
        <v>836</v>
      </c>
      <c r="F1440" s="2" t="str" cm="1">
        <f t="array" ref="F1440">INDEX(_xlfn.TEXTSPLIT(E1440,"-"),2)</f>
        <v>男装</v>
      </c>
      <c r="G1440" s="2" t="str" cm="1">
        <f t="array" ref="G1440">INDEX(_xlfn.TEXTSPLIT(E1440,"-"),3)</f>
        <v>连体衣/裤</v>
      </c>
      <c r="H1440" s="5">
        <v>1224</v>
      </c>
      <c r="I1440" s="5">
        <v>41377.12</v>
      </c>
      <c r="J1440" s="6">
        <v>0.0001</v>
      </c>
      <c r="K1440" s="6">
        <v>-0.0055</v>
      </c>
    </row>
    <row r="1441" ht="14.5" spans="1:11">
      <c r="A1441" s="3" t="str">
        <f t="shared" si="90"/>
        <v>2026年</v>
      </c>
      <c r="B1441" s="3" t="str">
        <f t="shared" si="91"/>
        <v>2月</v>
      </c>
      <c r="C1441" s="4" t="str">
        <f t="shared" si="92"/>
        <v>W6</v>
      </c>
      <c r="D1441" s="2" t="s">
        <v>775</v>
      </c>
      <c r="E1441" s="2" t="s">
        <v>837</v>
      </c>
      <c r="F1441" s="2" t="str" cm="1">
        <f t="array" ref="F1441">INDEX(_xlfn.TEXTSPLIT(E1441,"-"),2)</f>
        <v>男装</v>
      </c>
      <c r="G1441" s="2" t="str" cm="1">
        <f t="array" ref="G1441">INDEX(_xlfn.TEXTSPLIT(E1441,"-"),3)</f>
        <v>速干/三防T恤</v>
      </c>
      <c r="H1441" s="5">
        <v>630</v>
      </c>
      <c r="I1441" s="5">
        <v>82087.85</v>
      </c>
      <c r="J1441" s="6">
        <v>0.0001</v>
      </c>
      <c r="K1441" s="6">
        <v>-0.019</v>
      </c>
    </row>
    <row r="1442" ht="14.5" spans="1:11">
      <c r="A1442" s="3" t="str">
        <f t="shared" si="90"/>
        <v>2026年</v>
      </c>
      <c r="B1442" s="3" t="str">
        <f t="shared" si="91"/>
        <v>2月</v>
      </c>
      <c r="C1442" s="4" t="str">
        <f t="shared" si="92"/>
        <v>W6</v>
      </c>
      <c r="D1442" s="2" t="s">
        <v>775</v>
      </c>
      <c r="E1442" s="2" t="s">
        <v>838</v>
      </c>
      <c r="F1442" s="2" t="str" cm="1">
        <f t="array" ref="F1442">INDEX(_xlfn.TEXTSPLIT(E1442,"-"),2)</f>
        <v>男装</v>
      </c>
      <c r="G1442" s="2" t="str" cm="1">
        <f t="array" ref="G1442">INDEX(_xlfn.TEXTSPLIT(E1442,"-"),3)</f>
        <v>针织衫/毛衣</v>
      </c>
      <c r="H1442" s="5">
        <v>367393</v>
      </c>
      <c r="I1442" s="5">
        <v>44086458.2</v>
      </c>
      <c r="J1442" s="6">
        <v>0.0561</v>
      </c>
      <c r="K1442" s="6">
        <v>0.0138</v>
      </c>
    </row>
    <row r="1443" ht="14.5" spans="1:11">
      <c r="A1443" s="3" t="str">
        <f t="shared" si="90"/>
        <v>2026年</v>
      </c>
      <c r="B1443" s="3" t="str">
        <f t="shared" si="91"/>
        <v>2月</v>
      </c>
      <c r="C1443" s="4" t="str">
        <f t="shared" si="92"/>
        <v>W6</v>
      </c>
      <c r="D1443" s="2" t="s">
        <v>775</v>
      </c>
      <c r="E1443" s="2" t="s">
        <v>839</v>
      </c>
      <c r="F1443" s="2" t="str" cm="1">
        <f t="array" ref="F1443">INDEX(_xlfn.TEXTSPLIT(E1443,"-"),2)</f>
        <v>男装</v>
      </c>
      <c r="G1443" s="2" t="str" cm="1">
        <f t="array" ref="G1443">INDEX(_xlfn.TEXTSPLIT(E1443,"-"),3)</f>
        <v>防晒服</v>
      </c>
      <c r="H1443" s="5">
        <v>305</v>
      </c>
      <c r="I1443" s="5">
        <v>37905.99</v>
      </c>
      <c r="J1443" s="2" t="s">
        <v>713</v>
      </c>
      <c r="K1443" s="6">
        <v>0.2634</v>
      </c>
    </row>
    <row r="1444" ht="14.5" spans="1:11">
      <c r="A1444" s="3" t="str">
        <f t="shared" si="90"/>
        <v>2026年</v>
      </c>
      <c r="B1444" s="3" t="str">
        <f t="shared" si="91"/>
        <v>2月</v>
      </c>
      <c r="C1444" s="4" t="str">
        <f t="shared" si="92"/>
        <v>W6</v>
      </c>
      <c r="D1444" s="2" t="s">
        <v>775</v>
      </c>
      <c r="E1444" s="2" t="s">
        <v>840</v>
      </c>
      <c r="F1444" s="2" t="str" cm="1">
        <f t="array" ref="F1444">INDEX(_xlfn.TEXTSPLIT(E1444,"-"),2)</f>
        <v>男装</v>
      </c>
      <c r="G1444" s="2" t="str" cm="1">
        <f t="array" ref="G1444">INDEX(_xlfn.TEXTSPLIT(E1444,"-"),3)</f>
        <v>风衣</v>
      </c>
      <c r="H1444" s="5">
        <v>7771</v>
      </c>
      <c r="I1444" s="5">
        <v>2577665.62</v>
      </c>
      <c r="J1444" s="6">
        <v>0.0033</v>
      </c>
      <c r="K1444" s="6">
        <v>0.0333</v>
      </c>
    </row>
    <row r="1445" ht="14.5" spans="1:11">
      <c r="A1445" s="3" t="str">
        <f t="shared" si="90"/>
        <v>2026年</v>
      </c>
      <c r="B1445" s="3" t="str">
        <f t="shared" si="91"/>
        <v>2月</v>
      </c>
      <c r="C1445" s="4" t="str">
        <f t="shared" si="92"/>
        <v>W6</v>
      </c>
      <c r="D1445" s="2" t="s">
        <v>775</v>
      </c>
      <c r="E1445" s="2" t="s">
        <v>841</v>
      </c>
      <c r="F1445" s="2" t="str" cm="1">
        <f t="array" ref="F1445">INDEX(_xlfn.TEXTSPLIT(E1445,"-"),2)</f>
        <v>男装</v>
      </c>
      <c r="G1445" s="2" t="str" cm="1">
        <f t="array" ref="G1445">INDEX(_xlfn.TEXTSPLIT(E1445,"-"),3)</f>
        <v>马甲</v>
      </c>
      <c r="H1445" s="5">
        <v>36400</v>
      </c>
      <c r="I1445" s="5">
        <v>3786559.02</v>
      </c>
      <c r="J1445" s="6">
        <v>0.0048</v>
      </c>
      <c r="K1445" s="6">
        <v>-0.1662</v>
      </c>
    </row>
    <row r="1446" ht="14.5" spans="1:11">
      <c r="A1446" s="3" t="str">
        <f t="shared" si="90"/>
        <v>2026年</v>
      </c>
      <c r="B1446" s="3" t="str">
        <f t="shared" si="91"/>
        <v>2月</v>
      </c>
      <c r="C1446" s="4" t="str">
        <f t="shared" si="92"/>
        <v>W6</v>
      </c>
      <c r="D1446" s="2" t="s">
        <v>776</v>
      </c>
      <c r="E1446" s="2" t="s">
        <v>804</v>
      </c>
      <c r="F1446" s="2" t="str" cm="1">
        <f t="array" ref="F1446">INDEX(_xlfn.TEXTSPLIT(E1446,"-"),2)</f>
        <v>男装</v>
      </c>
      <c r="G1446" s="2" t="str" cm="1">
        <f t="array" ref="G1446">INDEX(_xlfn.TEXTSPLIT(E1446,"-"),3)</f>
        <v>Polo衫</v>
      </c>
      <c r="H1446" s="5">
        <v>56143</v>
      </c>
      <c r="I1446" s="5">
        <v>5867844.29</v>
      </c>
      <c r="J1446" s="6">
        <v>0.0071</v>
      </c>
      <c r="K1446" s="6">
        <v>0.1238</v>
      </c>
    </row>
    <row r="1447" ht="14.5" spans="1:11">
      <c r="A1447" s="3" t="str">
        <f t="shared" si="90"/>
        <v>2026年</v>
      </c>
      <c r="B1447" s="3" t="str">
        <f t="shared" si="91"/>
        <v>2月</v>
      </c>
      <c r="C1447" s="4" t="str">
        <f t="shared" si="92"/>
        <v>W6</v>
      </c>
      <c r="D1447" s="2" t="s">
        <v>776</v>
      </c>
      <c r="E1447" s="2" t="s">
        <v>805</v>
      </c>
      <c r="F1447" s="2" t="str" cm="1">
        <f t="array" ref="F1447">INDEX(_xlfn.TEXTSPLIT(E1447,"-"),2)</f>
        <v>男装</v>
      </c>
      <c r="G1447" s="2" t="str" cm="1">
        <f t="array" ref="G1447">INDEX(_xlfn.TEXTSPLIT(E1447,"-"),3)</f>
        <v>T恤</v>
      </c>
      <c r="H1447" s="5">
        <v>578439</v>
      </c>
      <c r="I1447" s="5">
        <v>47919677.79</v>
      </c>
      <c r="J1447" s="6">
        <v>0.0577</v>
      </c>
      <c r="K1447" s="6">
        <v>0.321</v>
      </c>
    </row>
    <row r="1448" ht="14.5" spans="1:11">
      <c r="A1448" s="3" t="str">
        <f t="shared" si="90"/>
        <v>2026年</v>
      </c>
      <c r="B1448" s="3" t="str">
        <f t="shared" si="91"/>
        <v>2月</v>
      </c>
      <c r="C1448" s="4" t="str">
        <f t="shared" si="92"/>
        <v>W6</v>
      </c>
      <c r="D1448" s="2" t="s">
        <v>776</v>
      </c>
      <c r="E1448" s="2" t="s">
        <v>806</v>
      </c>
      <c r="F1448" s="2" t="str" cm="1">
        <f t="array" ref="F1448">INDEX(_xlfn.TEXTSPLIT(E1448,"-"),2)</f>
        <v>男装</v>
      </c>
      <c r="G1448" s="2" t="str" cm="1">
        <f t="array" ref="G1448">INDEX(_xlfn.TEXTSPLIT(E1448,"-"),3)</f>
        <v>中老年男装</v>
      </c>
      <c r="H1448" s="5">
        <v>113678</v>
      </c>
      <c r="I1448" s="5">
        <v>15483147.11</v>
      </c>
      <c r="J1448" s="6">
        <v>0.0186</v>
      </c>
      <c r="K1448" s="6">
        <v>-0.1163</v>
      </c>
    </row>
    <row r="1449" ht="14.5" spans="1:11">
      <c r="A1449" s="3" t="str">
        <f t="shared" si="90"/>
        <v>2026年</v>
      </c>
      <c r="B1449" s="3" t="str">
        <f t="shared" si="91"/>
        <v>2月</v>
      </c>
      <c r="C1449" s="4" t="str">
        <f t="shared" si="92"/>
        <v>W6</v>
      </c>
      <c r="D1449" s="2" t="s">
        <v>776</v>
      </c>
      <c r="E1449" s="2" t="s">
        <v>807</v>
      </c>
      <c r="F1449" s="2" t="str" cm="1">
        <f t="array" ref="F1449">INDEX(_xlfn.TEXTSPLIT(E1449,"-"),2)</f>
        <v>男装</v>
      </c>
      <c r="G1449" s="2" t="str" cm="1">
        <f t="array" ref="G1449">INDEX(_xlfn.TEXTSPLIT(E1449,"-"),3)</f>
        <v>休闲裤</v>
      </c>
      <c r="H1449" s="5">
        <v>812852</v>
      </c>
      <c r="I1449" s="5">
        <v>91663778.24</v>
      </c>
      <c r="J1449" s="6">
        <v>0.1103</v>
      </c>
      <c r="K1449" s="6">
        <v>0.0011</v>
      </c>
    </row>
    <row r="1450" ht="14.5" spans="1:11">
      <c r="A1450" s="3" t="str">
        <f t="shared" si="90"/>
        <v>2026年</v>
      </c>
      <c r="B1450" s="3" t="str">
        <f t="shared" si="91"/>
        <v>2月</v>
      </c>
      <c r="C1450" s="4" t="str">
        <f t="shared" si="92"/>
        <v>W6</v>
      </c>
      <c r="D1450" s="2" t="s">
        <v>776</v>
      </c>
      <c r="E1450" s="2" t="s">
        <v>808</v>
      </c>
      <c r="F1450" s="2" t="str" cm="1">
        <f t="array" ref="F1450">INDEX(_xlfn.TEXTSPLIT(E1450,"-"),2)</f>
        <v>男装</v>
      </c>
      <c r="G1450" s="2" t="str" cm="1">
        <f t="array" ref="G1450">INDEX(_xlfn.TEXTSPLIT(E1450,"-"),3)</f>
        <v>卫衣</v>
      </c>
      <c r="H1450" s="5">
        <v>548338</v>
      </c>
      <c r="I1450" s="5">
        <v>47996483.55</v>
      </c>
      <c r="J1450" s="6">
        <v>0.0578</v>
      </c>
      <c r="K1450" s="6">
        <v>-0.0345</v>
      </c>
    </row>
    <row r="1451" ht="14.5" spans="1:11">
      <c r="A1451" s="3" t="str">
        <f t="shared" si="90"/>
        <v>2026年</v>
      </c>
      <c r="B1451" s="3" t="str">
        <f t="shared" si="91"/>
        <v>2月</v>
      </c>
      <c r="C1451" s="4" t="str">
        <f t="shared" si="92"/>
        <v>W6</v>
      </c>
      <c r="D1451" s="2" t="s">
        <v>776</v>
      </c>
      <c r="E1451" s="2" t="s">
        <v>809</v>
      </c>
      <c r="F1451" s="2" t="str" cm="1">
        <f t="array" ref="F1451">INDEX(_xlfn.TEXTSPLIT(E1451,"-"),2)</f>
        <v>男装</v>
      </c>
      <c r="G1451" s="2" t="str" cm="1">
        <f t="array" ref="G1451">INDEX(_xlfn.TEXTSPLIT(E1451,"-"),3)</f>
        <v>卫裤</v>
      </c>
      <c r="H1451" s="5">
        <v>211136</v>
      </c>
      <c r="I1451" s="5">
        <v>20849504.59</v>
      </c>
      <c r="J1451" s="6">
        <v>0.0251</v>
      </c>
      <c r="K1451" s="6">
        <v>0.2699</v>
      </c>
    </row>
    <row r="1452" ht="14.5" spans="1:11">
      <c r="A1452" s="3" t="str">
        <f t="shared" si="90"/>
        <v>2026年</v>
      </c>
      <c r="B1452" s="3" t="str">
        <f t="shared" si="91"/>
        <v>2月</v>
      </c>
      <c r="C1452" s="4" t="str">
        <f t="shared" si="92"/>
        <v>W6</v>
      </c>
      <c r="D1452" s="2" t="s">
        <v>776</v>
      </c>
      <c r="E1452" s="2" t="s">
        <v>810</v>
      </c>
      <c r="F1452" s="2" t="str" cm="1">
        <f t="array" ref="F1452">INDEX(_xlfn.TEXTSPLIT(E1452,"-"),2)</f>
        <v>男装</v>
      </c>
      <c r="G1452" s="2" t="str" cm="1">
        <f t="array" ref="G1452">INDEX(_xlfn.TEXTSPLIT(E1452,"-"),3)</f>
        <v>大码男装</v>
      </c>
      <c r="H1452" s="5">
        <v>40589</v>
      </c>
      <c r="I1452" s="5">
        <v>3388357.5</v>
      </c>
      <c r="J1452" s="6">
        <v>0.0041</v>
      </c>
      <c r="K1452" s="6">
        <v>-0.1538</v>
      </c>
    </row>
    <row r="1453" ht="14.5" spans="1:11">
      <c r="A1453" s="3" t="str">
        <f t="shared" si="90"/>
        <v>2026年</v>
      </c>
      <c r="B1453" s="3" t="str">
        <f t="shared" si="91"/>
        <v>2月</v>
      </c>
      <c r="C1453" s="4" t="str">
        <f t="shared" si="92"/>
        <v>W6</v>
      </c>
      <c r="D1453" s="2" t="s">
        <v>776</v>
      </c>
      <c r="E1453" s="2" t="s">
        <v>811</v>
      </c>
      <c r="F1453" s="2" t="str" cm="1">
        <f t="array" ref="F1453">INDEX(_xlfn.TEXTSPLIT(E1453,"-"),2)</f>
        <v>男装</v>
      </c>
      <c r="G1453" s="2" t="str" cm="1">
        <f t="array" ref="G1453">INDEX(_xlfn.TEXTSPLIT(E1453,"-"),3)</f>
        <v>夹克</v>
      </c>
      <c r="H1453" s="5">
        <v>493209</v>
      </c>
      <c r="I1453" s="5">
        <v>94533999.71</v>
      </c>
      <c r="J1453" s="6">
        <v>0.1138</v>
      </c>
      <c r="K1453" s="6">
        <v>-0.0164</v>
      </c>
    </row>
    <row r="1454" ht="14.5" spans="1:11">
      <c r="A1454" s="3" t="str">
        <f t="shared" si="90"/>
        <v>2026年</v>
      </c>
      <c r="B1454" s="3" t="str">
        <f t="shared" si="91"/>
        <v>2月</v>
      </c>
      <c r="C1454" s="4" t="str">
        <f t="shared" si="92"/>
        <v>W6</v>
      </c>
      <c r="D1454" s="2" t="s">
        <v>776</v>
      </c>
      <c r="E1454" s="2" t="s">
        <v>812</v>
      </c>
      <c r="F1454" s="2" t="str" cm="1">
        <f t="array" ref="F1454">INDEX(_xlfn.TEXTSPLIT(E1454,"-"),2)</f>
        <v>男装</v>
      </c>
      <c r="G1454" s="2" t="str" cm="1">
        <f t="array" ref="G1454">INDEX(_xlfn.TEXTSPLIT(E1454,"-"),3)</f>
        <v>套装</v>
      </c>
      <c r="H1454" s="5">
        <v>47747</v>
      </c>
      <c r="I1454" s="5">
        <v>8605153.51</v>
      </c>
      <c r="J1454" s="6">
        <v>0.0104</v>
      </c>
      <c r="K1454" s="6">
        <v>0.1258</v>
      </c>
    </row>
    <row r="1455" ht="14.5" spans="1:11">
      <c r="A1455" s="3" t="str">
        <f t="shared" si="90"/>
        <v>2026年</v>
      </c>
      <c r="B1455" s="3" t="str">
        <f t="shared" si="91"/>
        <v>2月</v>
      </c>
      <c r="C1455" s="4" t="str">
        <f t="shared" si="92"/>
        <v>W6</v>
      </c>
      <c r="D1455" s="2" t="s">
        <v>776</v>
      </c>
      <c r="E1455" s="2" t="s">
        <v>813</v>
      </c>
      <c r="F1455" s="2" t="str" cm="1">
        <f t="array" ref="F1455">INDEX(_xlfn.TEXTSPLIT(E1455,"-"),2)</f>
        <v>男装</v>
      </c>
      <c r="G1455" s="2" t="str" cm="1">
        <f t="array" ref="G1455">INDEX(_xlfn.TEXTSPLIT(E1455,"-"),3)</f>
        <v>学生校服</v>
      </c>
      <c r="H1455" s="5">
        <v>2</v>
      </c>
      <c r="I1455" s="5">
        <v>125</v>
      </c>
      <c r="J1455" s="2" t="s">
        <v>713</v>
      </c>
      <c r="K1455" s="6">
        <v>0.8116</v>
      </c>
    </row>
    <row r="1456" ht="14.5" spans="1:11">
      <c r="A1456" s="3" t="str">
        <f t="shared" si="90"/>
        <v>2026年</v>
      </c>
      <c r="B1456" s="3" t="str">
        <f t="shared" si="91"/>
        <v>2月</v>
      </c>
      <c r="C1456" s="4" t="str">
        <f t="shared" si="92"/>
        <v>W6</v>
      </c>
      <c r="D1456" s="2" t="s">
        <v>776</v>
      </c>
      <c r="E1456" s="2" t="s">
        <v>814</v>
      </c>
      <c r="F1456" s="2" t="str" cm="1">
        <f t="array" ref="F1456">INDEX(_xlfn.TEXTSPLIT(E1456,"-"),2)</f>
        <v>男装</v>
      </c>
      <c r="G1456" s="2" t="str" cm="1">
        <f t="array" ref="G1456">INDEX(_xlfn.TEXTSPLIT(E1456,"-"),3)</f>
        <v>打底衫</v>
      </c>
      <c r="H1456" s="5">
        <v>85943</v>
      </c>
      <c r="I1456" s="5">
        <v>1340844.12</v>
      </c>
      <c r="J1456" s="6">
        <v>0.0016</v>
      </c>
      <c r="K1456" s="6">
        <v>-0.0828</v>
      </c>
    </row>
    <row r="1457" ht="14.5" spans="1:11">
      <c r="A1457" s="3" t="str">
        <f t="shared" si="90"/>
        <v>2026年</v>
      </c>
      <c r="B1457" s="3" t="str">
        <f t="shared" si="91"/>
        <v>2月</v>
      </c>
      <c r="C1457" s="4" t="str">
        <f t="shared" si="92"/>
        <v>W6</v>
      </c>
      <c r="D1457" s="2" t="s">
        <v>776</v>
      </c>
      <c r="E1457" s="2" t="s">
        <v>815</v>
      </c>
      <c r="F1457" s="2" t="str" cm="1">
        <f t="array" ref="F1457">INDEX(_xlfn.TEXTSPLIT(E1457,"-"),2)</f>
        <v>男装</v>
      </c>
      <c r="G1457" s="2" t="str" cm="1">
        <f t="array" ref="G1457">INDEX(_xlfn.TEXTSPLIT(E1457,"-"),3)</f>
        <v>新中式男装</v>
      </c>
      <c r="H1457" s="5">
        <v>718</v>
      </c>
      <c r="I1457" s="5">
        <v>167877.39</v>
      </c>
      <c r="J1457" s="6">
        <v>0.0002</v>
      </c>
      <c r="K1457" s="6">
        <v>0.2106</v>
      </c>
    </row>
    <row r="1458" ht="14.5" spans="1:11">
      <c r="A1458" s="3" t="str">
        <f t="shared" si="90"/>
        <v>2026年</v>
      </c>
      <c r="B1458" s="3" t="str">
        <f t="shared" si="91"/>
        <v>2月</v>
      </c>
      <c r="C1458" s="4" t="str">
        <f t="shared" si="92"/>
        <v>W6</v>
      </c>
      <c r="D1458" s="2" t="s">
        <v>776</v>
      </c>
      <c r="E1458" s="2" t="s">
        <v>816</v>
      </c>
      <c r="F1458" s="2" t="str" cm="1">
        <f t="array" ref="F1458">INDEX(_xlfn.TEXTSPLIT(E1458,"-"),2)</f>
        <v>男装</v>
      </c>
      <c r="G1458" s="2" t="str" cm="1">
        <f t="array" ref="G1458">INDEX(_xlfn.TEXTSPLIT(E1458,"-"),3)</f>
        <v>棉衣</v>
      </c>
      <c r="H1458" s="5">
        <v>322984</v>
      </c>
      <c r="I1458" s="5">
        <v>43773680.03</v>
      </c>
      <c r="J1458" s="6">
        <v>0.0527</v>
      </c>
      <c r="K1458" s="6">
        <v>0.0417</v>
      </c>
    </row>
    <row r="1459" ht="14.5" spans="1:11">
      <c r="A1459" s="3" t="str">
        <f t="shared" si="90"/>
        <v>2026年</v>
      </c>
      <c r="B1459" s="3" t="str">
        <f t="shared" si="91"/>
        <v>2月</v>
      </c>
      <c r="C1459" s="4" t="str">
        <f t="shared" si="92"/>
        <v>W6</v>
      </c>
      <c r="D1459" s="2" t="s">
        <v>776</v>
      </c>
      <c r="E1459" s="2" t="s">
        <v>817</v>
      </c>
      <c r="F1459" s="2" t="str" cm="1">
        <f t="array" ref="F1459">INDEX(_xlfn.TEXTSPLIT(E1459,"-"),2)</f>
        <v>男装</v>
      </c>
      <c r="G1459" s="2" t="str" cm="1">
        <f t="array" ref="G1459">INDEX(_xlfn.TEXTSPLIT(E1459,"-"),3)</f>
        <v>棉裤</v>
      </c>
      <c r="H1459" s="5">
        <v>9684</v>
      </c>
      <c r="I1459" s="5">
        <v>712371.24</v>
      </c>
      <c r="J1459" s="6">
        <v>0.0009</v>
      </c>
      <c r="K1459" s="7">
        <v>-0.03</v>
      </c>
    </row>
    <row r="1460" ht="14.5" spans="1:11">
      <c r="A1460" s="3" t="str">
        <f t="shared" si="90"/>
        <v>2026年</v>
      </c>
      <c r="B1460" s="3" t="str">
        <f t="shared" si="91"/>
        <v>2月</v>
      </c>
      <c r="C1460" s="4" t="str">
        <f t="shared" si="92"/>
        <v>W6</v>
      </c>
      <c r="D1460" s="2" t="s">
        <v>776</v>
      </c>
      <c r="E1460" s="2" t="s">
        <v>818</v>
      </c>
      <c r="F1460" s="2" t="str" cm="1">
        <f t="array" ref="F1460">INDEX(_xlfn.TEXTSPLIT(E1460,"-"),2)</f>
        <v>男装</v>
      </c>
      <c r="G1460" s="2" t="str" cm="1">
        <f t="array" ref="G1460">INDEX(_xlfn.TEXTSPLIT(E1460,"-"),3)</f>
        <v>毛呢大衣</v>
      </c>
      <c r="H1460" s="5">
        <v>50673</v>
      </c>
      <c r="I1460" s="5">
        <v>21190608.77</v>
      </c>
      <c r="J1460" s="6">
        <v>0.0255</v>
      </c>
      <c r="K1460" s="6">
        <v>-0.0187</v>
      </c>
    </row>
    <row r="1461" ht="14.5" spans="1:11">
      <c r="A1461" s="3" t="str">
        <f t="shared" si="90"/>
        <v>2026年</v>
      </c>
      <c r="B1461" s="3" t="str">
        <f t="shared" si="91"/>
        <v>2月</v>
      </c>
      <c r="C1461" s="4" t="str">
        <f t="shared" si="92"/>
        <v>W6</v>
      </c>
      <c r="D1461" s="2" t="s">
        <v>776</v>
      </c>
      <c r="E1461" s="2" t="s">
        <v>819</v>
      </c>
      <c r="F1461" s="2" t="str" cm="1">
        <f t="array" ref="F1461">INDEX(_xlfn.TEXTSPLIT(E1461,"-"),2)</f>
        <v>男装</v>
      </c>
      <c r="G1461" s="2" t="str" cm="1">
        <f t="array" ref="G1461">INDEX(_xlfn.TEXTSPLIT(E1461,"-"),3)</f>
        <v>民族服装</v>
      </c>
      <c r="H1461" s="5">
        <v>7582</v>
      </c>
      <c r="I1461" s="5">
        <v>1741341.61</v>
      </c>
      <c r="J1461" s="6">
        <v>0.0021</v>
      </c>
      <c r="K1461" s="6">
        <v>-0.0825</v>
      </c>
    </row>
    <row r="1462" ht="14.5" spans="1:11">
      <c r="A1462" s="3" t="str">
        <f t="shared" si="90"/>
        <v>2026年</v>
      </c>
      <c r="B1462" s="3" t="str">
        <f t="shared" si="91"/>
        <v>2月</v>
      </c>
      <c r="C1462" s="4" t="str">
        <f t="shared" si="92"/>
        <v>W6</v>
      </c>
      <c r="D1462" s="2" t="s">
        <v>776</v>
      </c>
      <c r="E1462" s="2" t="s">
        <v>820</v>
      </c>
      <c r="F1462" s="2" t="str" cm="1">
        <f t="array" ref="F1462">INDEX(_xlfn.TEXTSPLIT(E1462,"-"),2)</f>
        <v>男装</v>
      </c>
      <c r="G1462" s="2" t="str" cm="1">
        <f t="array" ref="G1462">INDEX(_xlfn.TEXTSPLIT(E1462,"-"),3)</f>
        <v>派克服</v>
      </c>
      <c r="H1462" s="5">
        <v>7138</v>
      </c>
      <c r="I1462" s="5">
        <v>1461724.69</v>
      </c>
      <c r="J1462" s="6">
        <v>0.0018</v>
      </c>
      <c r="K1462" s="6">
        <v>-0.0382</v>
      </c>
    </row>
    <row r="1463" ht="14.5" spans="1:11">
      <c r="A1463" s="3" t="str">
        <f t="shared" si="90"/>
        <v>2026年</v>
      </c>
      <c r="B1463" s="3" t="str">
        <f t="shared" si="91"/>
        <v>2月</v>
      </c>
      <c r="C1463" s="4" t="str">
        <f t="shared" si="92"/>
        <v>W6</v>
      </c>
      <c r="D1463" s="2" t="s">
        <v>776</v>
      </c>
      <c r="E1463" s="2" t="s">
        <v>821</v>
      </c>
      <c r="F1463" s="2" t="str" cm="1">
        <f t="array" ref="F1463">INDEX(_xlfn.TEXTSPLIT(E1463,"-"),2)</f>
        <v>男装</v>
      </c>
      <c r="G1463" s="2" t="str" cm="1">
        <f t="array" ref="G1463">INDEX(_xlfn.TEXTSPLIT(E1463,"-"),3)</f>
        <v>牛仔裤</v>
      </c>
      <c r="H1463" s="5">
        <v>613707</v>
      </c>
      <c r="I1463" s="5">
        <v>72923523.18</v>
      </c>
      <c r="J1463" s="6">
        <v>0.0878</v>
      </c>
      <c r="K1463" s="6">
        <v>-0.0555</v>
      </c>
    </row>
    <row r="1464" ht="14.5" spans="1:11">
      <c r="A1464" s="3" t="str">
        <f t="shared" si="90"/>
        <v>2026年</v>
      </c>
      <c r="B1464" s="3" t="str">
        <f t="shared" si="91"/>
        <v>2月</v>
      </c>
      <c r="C1464" s="4" t="str">
        <f t="shared" si="92"/>
        <v>W6</v>
      </c>
      <c r="D1464" s="2" t="s">
        <v>776</v>
      </c>
      <c r="E1464" s="2" t="s">
        <v>822</v>
      </c>
      <c r="F1464" s="2" t="str" cm="1">
        <f t="array" ref="F1464">INDEX(_xlfn.TEXTSPLIT(E1464,"-"),2)</f>
        <v>男装</v>
      </c>
      <c r="G1464" s="2" t="str" cm="1">
        <f t="array" ref="G1464">INDEX(_xlfn.TEXTSPLIT(E1464,"-"),3)</f>
        <v>皮草</v>
      </c>
      <c r="H1464" s="5">
        <v>4258</v>
      </c>
      <c r="I1464" s="5">
        <v>3359107.28</v>
      </c>
      <c r="J1464" s="6">
        <v>0.004</v>
      </c>
      <c r="K1464" s="6">
        <v>-0.2602</v>
      </c>
    </row>
    <row r="1465" ht="14.5" spans="1:11">
      <c r="A1465" s="3" t="str">
        <f t="shared" si="90"/>
        <v>2026年</v>
      </c>
      <c r="B1465" s="3" t="str">
        <f t="shared" si="91"/>
        <v>2月</v>
      </c>
      <c r="C1465" s="4" t="str">
        <f t="shared" si="92"/>
        <v>W6</v>
      </c>
      <c r="D1465" s="2" t="s">
        <v>776</v>
      </c>
      <c r="E1465" s="2" t="s">
        <v>823</v>
      </c>
      <c r="F1465" s="2" t="str" cm="1">
        <f t="array" ref="F1465">INDEX(_xlfn.TEXTSPLIT(E1465,"-"),2)</f>
        <v>男装</v>
      </c>
      <c r="G1465" s="2" t="str" cm="1">
        <f t="array" ref="G1465">INDEX(_xlfn.TEXTSPLIT(E1465,"-"),3)</f>
        <v>皮衣</v>
      </c>
      <c r="H1465" s="5">
        <v>59085</v>
      </c>
      <c r="I1465" s="5">
        <v>24676583.46</v>
      </c>
      <c r="J1465" s="6">
        <v>0.0297</v>
      </c>
      <c r="K1465" s="6">
        <v>-0.104</v>
      </c>
    </row>
    <row r="1466" ht="14.5" spans="1:11">
      <c r="A1466" s="3" t="str">
        <f t="shared" si="90"/>
        <v>2026年</v>
      </c>
      <c r="B1466" s="3" t="str">
        <f t="shared" si="91"/>
        <v>2月</v>
      </c>
      <c r="C1466" s="4" t="str">
        <f t="shared" si="92"/>
        <v>W6</v>
      </c>
      <c r="D1466" s="2" t="s">
        <v>776</v>
      </c>
      <c r="E1466" s="2" t="s">
        <v>824</v>
      </c>
      <c r="F1466" s="2" t="str" cm="1">
        <f t="array" ref="F1466">INDEX(_xlfn.TEXTSPLIT(E1466,"-"),2)</f>
        <v>男装</v>
      </c>
      <c r="G1466" s="2" t="str" cm="1">
        <f t="array" ref="G1466">INDEX(_xlfn.TEXTSPLIT(E1466,"-"),3)</f>
        <v>皮裤</v>
      </c>
      <c r="H1466" s="5">
        <v>740</v>
      </c>
      <c r="I1466" s="5">
        <v>149378.72</v>
      </c>
      <c r="J1466" s="6">
        <v>0.0002</v>
      </c>
      <c r="K1466" s="6">
        <v>-0.3006</v>
      </c>
    </row>
    <row r="1467" ht="14.5" spans="1:11">
      <c r="A1467" s="3" t="str">
        <f t="shared" si="90"/>
        <v>2026年</v>
      </c>
      <c r="B1467" s="3" t="str">
        <f t="shared" si="91"/>
        <v>2月</v>
      </c>
      <c r="C1467" s="4" t="str">
        <f t="shared" si="92"/>
        <v>W6</v>
      </c>
      <c r="D1467" s="2" t="s">
        <v>776</v>
      </c>
      <c r="E1467" s="2" t="s">
        <v>825</v>
      </c>
      <c r="F1467" s="2" t="str" cm="1">
        <f t="array" ref="F1467">INDEX(_xlfn.TEXTSPLIT(E1467,"-"),2)</f>
        <v>男装</v>
      </c>
      <c r="G1467" s="2" t="str" cm="1">
        <f t="array" ref="G1467">INDEX(_xlfn.TEXTSPLIT(E1467,"-"),3)</f>
        <v>短外套</v>
      </c>
      <c r="H1467" s="5">
        <v>45549</v>
      </c>
      <c r="I1467" s="5">
        <v>4930307.73</v>
      </c>
      <c r="J1467" s="6">
        <v>0.0059</v>
      </c>
      <c r="K1467" s="6">
        <v>0.2863</v>
      </c>
    </row>
    <row r="1468" ht="14.5" spans="1:11">
      <c r="A1468" s="3" t="str">
        <f t="shared" si="90"/>
        <v>2026年</v>
      </c>
      <c r="B1468" s="3" t="str">
        <f t="shared" si="91"/>
        <v>2月</v>
      </c>
      <c r="C1468" s="4" t="str">
        <f t="shared" si="92"/>
        <v>W6</v>
      </c>
      <c r="D1468" s="2" t="s">
        <v>776</v>
      </c>
      <c r="E1468" s="2" t="s">
        <v>826</v>
      </c>
      <c r="F1468" s="2" t="str" cm="1">
        <f t="array" ref="F1468">INDEX(_xlfn.TEXTSPLIT(E1468,"-"),2)</f>
        <v>男装</v>
      </c>
      <c r="G1468" s="2" t="str" cm="1">
        <f t="array" ref="G1468">INDEX(_xlfn.TEXTSPLIT(E1468,"-"),3)</f>
        <v>短裤</v>
      </c>
      <c r="H1468" s="5">
        <v>43924</v>
      </c>
      <c r="I1468" s="5">
        <v>2001942.95</v>
      </c>
      <c r="J1468" s="6">
        <v>0.0024</v>
      </c>
      <c r="K1468" s="6">
        <v>0.2768</v>
      </c>
    </row>
    <row r="1469" ht="14.5" spans="1:11">
      <c r="A1469" s="3" t="str">
        <f t="shared" si="90"/>
        <v>2026年</v>
      </c>
      <c r="B1469" s="3" t="str">
        <f t="shared" si="91"/>
        <v>2月</v>
      </c>
      <c r="C1469" s="4" t="str">
        <f t="shared" si="92"/>
        <v>W6</v>
      </c>
      <c r="D1469" s="2" t="s">
        <v>776</v>
      </c>
      <c r="E1469" s="2" t="s">
        <v>827</v>
      </c>
      <c r="F1469" s="2" t="str" cm="1">
        <f t="array" ref="F1469">INDEX(_xlfn.TEXTSPLIT(E1469,"-"),2)</f>
        <v>男装</v>
      </c>
      <c r="G1469" s="2" t="str" cm="1">
        <f t="array" ref="G1469">INDEX(_xlfn.TEXTSPLIT(E1469,"-"),3)</f>
        <v>紧身衣</v>
      </c>
      <c r="H1469" s="5">
        <v>153</v>
      </c>
      <c r="I1469" s="5">
        <v>5387.5</v>
      </c>
      <c r="J1469" s="2" t="s">
        <v>713</v>
      </c>
      <c r="K1469" s="6">
        <v>-0.1129</v>
      </c>
    </row>
    <row r="1470" ht="14.5" spans="1:11">
      <c r="A1470" s="3" t="str">
        <f t="shared" si="90"/>
        <v>2026年</v>
      </c>
      <c r="B1470" s="3" t="str">
        <f t="shared" si="91"/>
        <v>2月</v>
      </c>
      <c r="C1470" s="4" t="str">
        <f t="shared" si="92"/>
        <v>W6</v>
      </c>
      <c r="D1470" s="2" t="s">
        <v>776</v>
      </c>
      <c r="E1470" s="2" t="s">
        <v>828</v>
      </c>
      <c r="F1470" s="2" t="str" cm="1">
        <f t="array" ref="F1470">INDEX(_xlfn.TEXTSPLIT(E1470,"-"),2)</f>
        <v>男装</v>
      </c>
      <c r="G1470" s="2" t="str" cm="1">
        <f t="array" ref="G1470">INDEX(_xlfn.TEXTSPLIT(E1470,"-"),3)</f>
        <v>羊毛衫</v>
      </c>
      <c r="H1470" s="5">
        <v>89031</v>
      </c>
      <c r="I1470" s="5">
        <v>17183042.35</v>
      </c>
      <c r="J1470" s="6">
        <v>0.0207</v>
      </c>
      <c r="K1470" s="6">
        <v>0.209</v>
      </c>
    </row>
    <row r="1471" ht="14.5" spans="1:11">
      <c r="A1471" s="3" t="str">
        <f t="shared" si="90"/>
        <v>2026年</v>
      </c>
      <c r="B1471" s="3" t="str">
        <f t="shared" si="91"/>
        <v>2月</v>
      </c>
      <c r="C1471" s="4" t="str">
        <f t="shared" si="92"/>
        <v>W6</v>
      </c>
      <c r="D1471" s="2" t="s">
        <v>776</v>
      </c>
      <c r="E1471" s="2" t="s">
        <v>829</v>
      </c>
      <c r="F1471" s="2" t="str" cm="1">
        <f t="array" ref="F1471">INDEX(_xlfn.TEXTSPLIT(E1471,"-"),2)</f>
        <v>男装</v>
      </c>
      <c r="G1471" s="2" t="str" cm="1">
        <f t="array" ref="G1471">INDEX(_xlfn.TEXTSPLIT(E1471,"-"),3)</f>
        <v>羊绒衫</v>
      </c>
      <c r="H1471" s="5">
        <v>16319</v>
      </c>
      <c r="I1471" s="5">
        <v>5484384.23</v>
      </c>
      <c r="J1471" s="6">
        <v>0.0066</v>
      </c>
      <c r="K1471" s="6">
        <v>-0.0018</v>
      </c>
    </row>
    <row r="1472" ht="14.5" spans="1:11">
      <c r="A1472" s="3" t="str">
        <f t="shared" si="90"/>
        <v>2026年</v>
      </c>
      <c r="B1472" s="3" t="str">
        <f t="shared" si="91"/>
        <v>2月</v>
      </c>
      <c r="C1472" s="4" t="str">
        <f t="shared" si="92"/>
        <v>W6</v>
      </c>
      <c r="D1472" s="2" t="s">
        <v>776</v>
      </c>
      <c r="E1472" s="2" t="s">
        <v>830</v>
      </c>
      <c r="F1472" s="2" t="str" cm="1">
        <f t="array" ref="F1472">INDEX(_xlfn.TEXTSPLIT(E1472,"-"),2)</f>
        <v>男装</v>
      </c>
      <c r="G1472" s="2" t="str" cm="1">
        <f t="array" ref="G1472">INDEX(_xlfn.TEXTSPLIT(E1472,"-"),3)</f>
        <v>羽绒服</v>
      </c>
      <c r="H1472" s="5">
        <v>556686</v>
      </c>
      <c r="I1472" s="5">
        <v>193836654.42</v>
      </c>
      <c r="J1472" s="6">
        <v>0.2333</v>
      </c>
      <c r="K1472" s="6">
        <v>0.1433</v>
      </c>
    </row>
    <row r="1473" ht="14.5" spans="1:11">
      <c r="A1473" s="3" t="str">
        <f t="shared" si="90"/>
        <v>2026年</v>
      </c>
      <c r="B1473" s="3" t="str">
        <f t="shared" si="91"/>
        <v>2月</v>
      </c>
      <c r="C1473" s="4" t="str">
        <f t="shared" si="92"/>
        <v>W6</v>
      </c>
      <c r="D1473" s="2" t="s">
        <v>776</v>
      </c>
      <c r="E1473" s="2" t="s">
        <v>831</v>
      </c>
      <c r="F1473" s="2" t="str" cm="1">
        <f t="array" ref="F1473">INDEX(_xlfn.TEXTSPLIT(E1473,"-"),2)</f>
        <v>男装</v>
      </c>
      <c r="G1473" s="2" t="str" cm="1">
        <f t="array" ref="G1473">INDEX(_xlfn.TEXTSPLIT(E1473,"-"),3)</f>
        <v>羽绒裤</v>
      </c>
      <c r="H1473" s="5">
        <v>37156</v>
      </c>
      <c r="I1473" s="5">
        <v>6399564.96</v>
      </c>
      <c r="J1473" s="6">
        <v>0.0077</v>
      </c>
      <c r="K1473" s="6">
        <v>7.7025</v>
      </c>
    </row>
    <row r="1474" ht="14.5" spans="1:11">
      <c r="A1474" s="3" t="str">
        <f t="shared" si="90"/>
        <v>2026年</v>
      </c>
      <c r="B1474" s="3" t="str">
        <f t="shared" si="91"/>
        <v>2月</v>
      </c>
      <c r="C1474" s="4" t="str">
        <f t="shared" si="92"/>
        <v>W6</v>
      </c>
      <c r="D1474" s="2" t="s">
        <v>776</v>
      </c>
      <c r="E1474" s="2" t="s">
        <v>832</v>
      </c>
      <c r="F1474" s="2" t="str" cm="1">
        <f t="array" ref="F1474">INDEX(_xlfn.TEXTSPLIT(E1474,"-"),2)</f>
        <v>男装</v>
      </c>
      <c r="G1474" s="2" t="str" cm="1">
        <f t="array" ref="G1474">INDEX(_xlfn.TEXTSPLIT(E1474,"-"),3)</f>
        <v>羽绒马甲</v>
      </c>
      <c r="H1474" s="5">
        <v>12999</v>
      </c>
      <c r="I1474" s="5">
        <v>3133584.77</v>
      </c>
      <c r="J1474" s="6">
        <v>0.0038</v>
      </c>
      <c r="K1474" s="6">
        <v>0.6104</v>
      </c>
    </row>
    <row r="1475" ht="14.5" spans="1:11">
      <c r="A1475" s="3" t="str">
        <f t="shared" si="90"/>
        <v>2026年</v>
      </c>
      <c r="B1475" s="3" t="str">
        <f t="shared" si="91"/>
        <v>2月</v>
      </c>
      <c r="C1475" s="4" t="str">
        <f t="shared" si="92"/>
        <v>W6</v>
      </c>
      <c r="D1475" s="2" t="s">
        <v>776</v>
      </c>
      <c r="E1475" s="2" t="s">
        <v>833</v>
      </c>
      <c r="F1475" s="2" t="str" cm="1">
        <f t="array" ref="F1475">INDEX(_xlfn.TEXTSPLIT(E1475,"-"),2)</f>
        <v>男装</v>
      </c>
      <c r="G1475" s="2" t="str" cm="1">
        <f t="array" ref="G1475">INDEX(_xlfn.TEXTSPLIT(E1475,"-"),3)</f>
        <v>背心</v>
      </c>
      <c r="H1475" s="5">
        <v>32377</v>
      </c>
      <c r="I1475" s="5">
        <v>2014465.09</v>
      </c>
      <c r="J1475" s="6">
        <v>0.0024</v>
      </c>
      <c r="K1475" s="6">
        <v>-0.0007</v>
      </c>
    </row>
    <row r="1476" ht="14.5" spans="1:11">
      <c r="A1476" s="3" t="str">
        <f t="shared" si="90"/>
        <v>2026年</v>
      </c>
      <c r="B1476" s="3" t="str">
        <f t="shared" si="91"/>
        <v>2月</v>
      </c>
      <c r="C1476" s="4" t="str">
        <f t="shared" si="92"/>
        <v>W6</v>
      </c>
      <c r="D1476" s="2" t="s">
        <v>776</v>
      </c>
      <c r="E1476" s="2" t="s">
        <v>834</v>
      </c>
      <c r="F1476" s="2" t="str" cm="1">
        <f t="array" ref="F1476">INDEX(_xlfn.TEXTSPLIT(E1476,"-"),2)</f>
        <v>男装</v>
      </c>
      <c r="G1476" s="2" t="str" cm="1">
        <f t="array" ref="G1476">INDEX(_xlfn.TEXTSPLIT(E1476,"-"),3)</f>
        <v>衬衫</v>
      </c>
      <c r="H1476" s="5">
        <v>96364</v>
      </c>
      <c r="I1476" s="5">
        <v>12977577.86</v>
      </c>
      <c r="J1476" s="6">
        <v>0.0156</v>
      </c>
      <c r="K1476" s="6">
        <v>0.0023</v>
      </c>
    </row>
    <row r="1477" ht="14.5" spans="1:11">
      <c r="A1477" s="3" t="str">
        <f t="shared" si="90"/>
        <v>2026年</v>
      </c>
      <c r="B1477" s="3" t="str">
        <f t="shared" si="91"/>
        <v>2月</v>
      </c>
      <c r="C1477" s="4" t="str">
        <f t="shared" si="92"/>
        <v>W6</v>
      </c>
      <c r="D1477" s="2" t="s">
        <v>776</v>
      </c>
      <c r="E1477" s="2" t="s">
        <v>835</v>
      </c>
      <c r="F1477" s="2" t="str" cm="1">
        <f t="array" ref="F1477">INDEX(_xlfn.TEXTSPLIT(E1477,"-"),2)</f>
        <v>男装</v>
      </c>
      <c r="G1477" s="2" t="str" cm="1">
        <f t="array" ref="G1477">INDEX(_xlfn.TEXTSPLIT(E1477,"-"),3)</f>
        <v>西服</v>
      </c>
      <c r="H1477" s="5">
        <v>102005</v>
      </c>
      <c r="I1477" s="5">
        <v>19431425.92</v>
      </c>
      <c r="J1477" s="6">
        <v>0.0234</v>
      </c>
      <c r="K1477" s="6">
        <v>0.0258</v>
      </c>
    </row>
    <row r="1478" ht="14.5" spans="1:11">
      <c r="A1478" s="3" t="str">
        <f t="shared" si="90"/>
        <v>2026年</v>
      </c>
      <c r="B1478" s="3" t="str">
        <f t="shared" si="91"/>
        <v>2月</v>
      </c>
      <c r="C1478" s="4" t="str">
        <f t="shared" si="92"/>
        <v>W6</v>
      </c>
      <c r="D1478" s="2" t="s">
        <v>776</v>
      </c>
      <c r="E1478" s="2" t="s">
        <v>836</v>
      </c>
      <c r="F1478" s="2" t="str" cm="1">
        <f t="array" ref="F1478">INDEX(_xlfn.TEXTSPLIT(E1478,"-"),2)</f>
        <v>男装</v>
      </c>
      <c r="G1478" s="2" t="str" cm="1">
        <f t="array" ref="G1478">INDEX(_xlfn.TEXTSPLIT(E1478,"-"),3)</f>
        <v>连体衣/裤</v>
      </c>
      <c r="H1478" s="5">
        <v>1072</v>
      </c>
      <c r="I1478" s="5">
        <v>38839.92</v>
      </c>
      <c r="J1478" s="2" t="s">
        <v>713</v>
      </c>
      <c r="K1478" s="6">
        <v>-0.0613</v>
      </c>
    </row>
    <row r="1479" ht="14.5" spans="1:11">
      <c r="A1479" s="3" t="str">
        <f t="shared" si="90"/>
        <v>2026年</v>
      </c>
      <c r="B1479" s="3" t="str">
        <f t="shared" si="91"/>
        <v>2月</v>
      </c>
      <c r="C1479" s="4" t="str">
        <f t="shared" si="92"/>
        <v>W6</v>
      </c>
      <c r="D1479" s="2" t="s">
        <v>776</v>
      </c>
      <c r="E1479" s="2" t="s">
        <v>837</v>
      </c>
      <c r="F1479" s="2" t="str" cm="1">
        <f t="array" ref="F1479">INDEX(_xlfn.TEXTSPLIT(E1479,"-"),2)</f>
        <v>男装</v>
      </c>
      <c r="G1479" s="2" t="str" cm="1">
        <f t="array" ref="G1479">INDEX(_xlfn.TEXTSPLIT(E1479,"-"),3)</f>
        <v>速干/三防T恤</v>
      </c>
      <c r="H1479" s="5">
        <v>666</v>
      </c>
      <c r="I1479" s="5">
        <v>89740.55</v>
      </c>
      <c r="J1479" s="6">
        <v>0.0001</v>
      </c>
      <c r="K1479" s="6">
        <v>0.0932</v>
      </c>
    </row>
    <row r="1480" ht="14.5" spans="1:11">
      <c r="A1480" s="3" t="str">
        <f t="shared" si="90"/>
        <v>2026年</v>
      </c>
      <c r="B1480" s="3" t="str">
        <f t="shared" si="91"/>
        <v>2月</v>
      </c>
      <c r="C1480" s="4" t="str">
        <f t="shared" si="92"/>
        <v>W6</v>
      </c>
      <c r="D1480" s="2" t="s">
        <v>776</v>
      </c>
      <c r="E1480" s="2" t="s">
        <v>838</v>
      </c>
      <c r="F1480" s="2" t="str" cm="1">
        <f t="array" ref="F1480">INDEX(_xlfn.TEXTSPLIT(E1480,"-"),2)</f>
        <v>男装</v>
      </c>
      <c r="G1480" s="2" t="str" cm="1">
        <f t="array" ref="G1480">INDEX(_xlfn.TEXTSPLIT(E1480,"-"),3)</f>
        <v>针织衫/毛衣</v>
      </c>
      <c r="H1480" s="5">
        <v>358635</v>
      </c>
      <c r="I1480" s="5">
        <v>47901992</v>
      </c>
      <c r="J1480" s="6">
        <v>0.0576</v>
      </c>
      <c r="K1480" s="6">
        <v>0.0865</v>
      </c>
    </row>
    <row r="1481" ht="14.5" spans="1:11">
      <c r="A1481" s="3" t="str">
        <f t="shared" si="90"/>
        <v>2026年</v>
      </c>
      <c r="B1481" s="3" t="str">
        <f t="shared" si="91"/>
        <v>2月</v>
      </c>
      <c r="C1481" s="4" t="str">
        <f t="shared" si="92"/>
        <v>W6</v>
      </c>
      <c r="D1481" s="2" t="s">
        <v>776</v>
      </c>
      <c r="E1481" s="2" t="s">
        <v>839</v>
      </c>
      <c r="F1481" s="2" t="str" cm="1">
        <f t="array" ref="F1481">INDEX(_xlfn.TEXTSPLIT(E1481,"-"),2)</f>
        <v>男装</v>
      </c>
      <c r="G1481" s="2" t="str" cm="1">
        <f t="array" ref="G1481">INDEX(_xlfn.TEXTSPLIT(E1481,"-"),3)</f>
        <v>防晒服</v>
      </c>
      <c r="H1481" s="5">
        <v>241</v>
      </c>
      <c r="I1481" s="5">
        <v>27081.76</v>
      </c>
      <c r="J1481" s="2" t="s">
        <v>713</v>
      </c>
      <c r="K1481" s="6">
        <v>-0.2856</v>
      </c>
    </row>
    <row r="1482" ht="14.5" spans="1:11">
      <c r="A1482" s="3" t="str">
        <f t="shared" si="90"/>
        <v>2026年</v>
      </c>
      <c r="B1482" s="3" t="str">
        <f t="shared" si="91"/>
        <v>2月</v>
      </c>
      <c r="C1482" s="4" t="str">
        <f t="shared" si="92"/>
        <v>W6</v>
      </c>
      <c r="D1482" s="2" t="s">
        <v>776</v>
      </c>
      <c r="E1482" s="2" t="s">
        <v>840</v>
      </c>
      <c r="F1482" s="2" t="str" cm="1">
        <f t="array" ref="F1482">INDEX(_xlfn.TEXTSPLIT(E1482,"-"),2)</f>
        <v>男装</v>
      </c>
      <c r="G1482" s="2" t="str" cm="1">
        <f t="array" ref="G1482">INDEX(_xlfn.TEXTSPLIT(E1482,"-"),3)</f>
        <v>风衣</v>
      </c>
      <c r="H1482" s="5">
        <v>10675</v>
      </c>
      <c r="I1482" s="5">
        <v>3397188.4</v>
      </c>
      <c r="J1482" s="6">
        <v>0.0041</v>
      </c>
      <c r="K1482" s="6">
        <v>0.3179</v>
      </c>
    </row>
    <row r="1483" ht="14.5" spans="1:11">
      <c r="A1483" s="3" t="str">
        <f t="shared" si="90"/>
        <v>2026年</v>
      </c>
      <c r="B1483" s="3" t="str">
        <f t="shared" si="91"/>
        <v>2月</v>
      </c>
      <c r="C1483" s="4" t="str">
        <f t="shared" si="92"/>
        <v>W6</v>
      </c>
      <c r="D1483" s="2" t="s">
        <v>776</v>
      </c>
      <c r="E1483" s="2" t="s">
        <v>841</v>
      </c>
      <c r="F1483" s="2" t="str" cm="1">
        <f t="array" ref="F1483">INDEX(_xlfn.TEXTSPLIT(E1483,"-"),2)</f>
        <v>男装</v>
      </c>
      <c r="G1483" s="2" t="str" cm="1">
        <f t="array" ref="G1483">INDEX(_xlfn.TEXTSPLIT(E1483,"-"),3)</f>
        <v>马甲</v>
      </c>
      <c r="H1483" s="5">
        <v>46500</v>
      </c>
      <c r="I1483" s="5">
        <v>4316666.41</v>
      </c>
      <c r="J1483" s="6">
        <v>0.0052</v>
      </c>
      <c r="K1483" s="7">
        <v>0.14</v>
      </c>
    </row>
    <row r="1484" ht="14.5" spans="1:11">
      <c r="A1484" s="3" t="str">
        <f t="shared" si="90"/>
        <v>2026年</v>
      </c>
      <c r="B1484" s="3" t="str">
        <f t="shared" si="91"/>
        <v>2月</v>
      </c>
      <c r="C1484" s="4" t="str">
        <f t="shared" si="92"/>
        <v>W7</v>
      </c>
      <c r="D1484" s="2" t="s">
        <v>777</v>
      </c>
      <c r="E1484" s="2" t="s">
        <v>804</v>
      </c>
      <c r="F1484" s="2" t="str" cm="1">
        <f t="array" ref="F1484">INDEX(_xlfn.TEXTSPLIT(E1484,"-"),2)</f>
        <v>男装</v>
      </c>
      <c r="G1484" s="2" t="str" cm="1">
        <f t="array" ref="G1484">INDEX(_xlfn.TEXTSPLIT(E1484,"-"),3)</f>
        <v>Polo衫</v>
      </c>
      <c r="H1484" s="5">
        <v>41364</v>
      </c>
      <c r="I1484" s="5">
        <v>3876666.35</v>
      </c>
      <c r="J1484" s="6">
        <v>0.0059</v>
      </c>
      <c r="K1484" s="6">
        <v>-0.3393</v>
      </c>
    </row>
    <row r="1485" ht="14.5" spans="1:11">
      <c r="A1485" s="3" t="str">
        <f t="shared" si="90"/>
        <v>2026年</v>
      </c>
      <c r="B1485" s="3" t="str">
        <f t="shared" si="91"/>
        <v>2月</v>
      </c>
      <c r="C1485" s="4" t="str">
        <f t="shared" si="92"/>
        <v>W7</v>
      </c>
      <c r="D1485" s="2" t="s">
        <v>777</v>
      </c>
      <c r="E1485" s="2" t="s">
        <v>805</v>
      </c>
      <c r="F1485" s="2" t="str" cm="1">
        <f t="array" ref="F1485">INDEX(_xlfn.TEXTSPLIT(E1485,"-"),2)</f>
        <v>男装</v>
      </c>
      <c r="G1485" s="2" t="str" cm="1">
        <f t="array" ref="G1485">INDEX(_xlfn.TEXTSPLIT(E1485,"-"),3)</f>
        <v>T恤</v>
      </c>
      <c r="H1485" s="5">
        <v>380991</v>
      </c>
      <c r="I1485" s="5">
        <v>30307565.39</v>
      </c>
      <c r="J1485" s="6">
        <v>0.0458</v>
      </c>
      <c r="K1485" s="6">
        <v>-0.3675</v>
      </c>
    </row>
    <row r="1486" ht="14.5" spans="1:11">
      <c r="A1486" s="3" t="str">
        <f t="shared" si="90"/>
        <v>2026年</v>
      </c>
      <c r="B1486" s="3" t="str">
        <f t="shared" si="91"/>
        <v>2月</v>
      </c>
      <c r="C1486" s="4" t="str">
        <f t="shared" si="92"/>
        <v>W7</v>
      </c>
      <c r="D1486" s="2" t="s">
        <v>777</v>
      </c>
      <c r="E1486" s="2" t="s">
        <v>806</v>
      </c>
      <c r="F1486" s="2" t="str" cm="1">
        <f t="array" ref="F1486">INDEX(_xlfn.TEXTSPLIT(E1486,"-"),2)</f>
        <v>男装</v>
      </c>
      <c r="G1486" s="2" t="str" cm="1">
        <f t="array" ref="G1486">INDEX(_xlfn.TEXTSPLIT(E1486,"-"),3)</f>
        <v>中老年男装</v>
      </c>
      <c r="H1486" s="5">
        <v>88276</v>
      </c>
      <c r="I1486" s="5">
        <v>11599991.17</v>
      </c>
      <c r="J1486" s="6">
        <v>0.0175</v>
      </c>
      <c r="K1486" s="6">
        <v>-0.2508</v>
      </c>
    </row>
    <row r="1487" ht="14.5" spans="1:11">
      <c r="A1487" s="3" t="str">
        <f t="shared" si="90"/>
        <v>2026年</v>
      </c>
      <c r="B1487" s="3" t="str">
        <f t="shared" si="91"/>
        <v>2月</v>
      </c>
      <c r="C1487" s="4" t="str">
        <f t="shared" si="92"/>
        <v>W7</v>
      </c>
      <c r="D1487" s="2" t="s">
        <v>777</v>
      </c>
      <c r="E1487" s="2" t="s">
        <v>807</v>
      </c>
      <c r="F1487" s="2" t="str" cm="1">
        <f t="array" ref="F1487">INDEX(_xlfn.TEXTSPLIT(E1487,"-"),2)</f>
        <v>男装</v>
      </c>
      <c r="G1487" s="2" t="str" cm="1">
        <f t="array" ref="G1487">INDEX(_xlfn.TEXTSPLIT(E1487,"-"),3)</f>
        <v>休闲裤</v>
      </c>
      <c r="H1487" s="5">
        <v>681736</v>
      </c>
      <c r="I1487" s="5">
        <v>74931476.09</v>
      </c>
      <c r="J1487" s="6">
        <v>0.1133</v>
      </c>
      <c r="K1487" s="6">
        <v>-0.1825</v>
      </c>
    </row>
    <row r="1488" ht="14.5" spans="1:11">
      <c r="A1488" s="3" t="str">
        <f t="shared" si="90"/>
        <v>2026年</v>
      </c>
      <c r="B1488" s="3" t="str">
        <f t="shared" si="91"/>
        <v>2月</v>
      </c>
      <c r="C1488" s="4" t="str">
        <f t="shared" si="92"/>
        <v>W7</v>
      </c>
      <c r="D1488" s="2" t="s">
        <v>777</v>
      </c>
      <c r="E1488" s="2" t="s">
        <v>808</v>
      </c>
      <c r="F1488" s="2" t="str" cm="1">
        <f t="array" ref="F1488">INDEX(_xlfn.TEXTSPLIT(E1488,"-"),2)</f>
        <v>男装</v>
      </c>
      <c r="G1488" s="2" t="str" cm="1">
        <f t="array" ref="G1488">INDEX(_xlfn.TEXTSPLIT(E1488,"-"),3)</f>
        <v>卫衣</v>
      </c>
      <c r="H1488" s="5">
        <v>466600</v>
      </c>
      <c r="I1488" s="5">
        <v>43178887.89</v>
      </c>
      <c r="J1488" s="6">
        <v>0.0653</v>
      </c>
      <c r="K1488" s="6">
        <v>-0.1004</v>
      </c>
    </row>
    <row r="1489" ht="14.5" spans="1:11">
      <c r="A1489" s="3" t="str">
        <f t="shared" si="90"/>
        <v>2026年</v>
      </c>
      <c r="B1489" s="3" t="str">
        <f t="shared" si="91"/>
        <v>2月</v>
      </c>
      <c r="C1489" s="4" t="str">
        <f t="shared" si="92"/>
        <v>W7</v>
      </c>
      <c r="D1489" s="2" t="s">
        <v>777</v>
      </c>
      <c r="E1489" s="2" t="s">
        <v>809</v>
      </c>
      <c r="F1489" s="2" t="str" cm="1">
        <f t="array" ref="F1489">INDEX(_xlfn.TEXTSPLIT(E1489,"-"),2)</f>
        <v>男装</v>
      </c>
      <c r="G1489" s="2" t="str" cm="1">
        <f t="array" ref="G1489">INDEX(_xlfn.TEXTSPLIT(E1489,"-"),3)</f>
        <v>卫裤</v>
      </c>
      <c r="H1489" s="5">
        <v>149745</v>
      </c>
      <c r="I1489" s="5">
        <v>14906560.17</v>
      </c>
      <c r="J1489" s="6">
        <v>0.0225</v>
      </c>
      <c r="K1489" s="6">
        <v>-0.285</v>
      </c>
    </row>
    <row r="1490" ht="14.5" spans="1:11">
      <c r="A1490" s="3" t="str">
        <f t="shared" si="90"/>
        <v>2026年</v>
      </c>
      <c r="B1490" s="3" t="str">
        <f t="shared" si="91"/>
        <v>2月</v>
      </c>
      <c r="C1490" s="4" t="str">
        <f t="shared" si="92"/>
        <v>W7</v>
      </c>
      <c r="D1490" s="2" t="s">
        <v>777</v>
      </c>
      <c r="E1490" s="2" t="s">
        <v>810</v>
      </c>
      <c r="F1490" s="2" t="str" cm="1">
        <f t="array" ref="F1490">INDEX(_xlfn.TEXTSPLIT(E1490,"-"),2)</f>
        <v>男装</v>
      </c>
      <c r="G1490" s="2" t="str" cm="1">
        <f t="array" ref="G1490">INDEX(_xlfn.TEXTSPLIT(E1490,"-"),3)</f>
        <v>大码男装</v>
      </c>
      <c r="H1490" s="5">
        <v>37646</v>
      </c>
      <c r="I1490" s="5">
        <v>2941067.66</v>
      </c>
      <c r="J1490" s="6">
        <v>0.0044</v>
      </c>
      <c r="K1490" s="6">
        <v>-0.132</v>
      </c>
    </row>
    <row r="1491" ht="14.5" spans="1:11">
      <c r="A1491" s="3" t="str">
        <f t="shared" si="90"/>
        <v>2026年</v>
      </c>
      <c r="B1491" s="3" t="str">
        <f t="shared" si="91"/>
        <v>2月</v>
      </c>
      <c r="C1491" s="4" t="str">
        <f t="shared" si="92"/>
        <v>W7</v>
      </c>
      <c r="D1491" s="2" t="s">
        <v>777</v>
      </c>
      <c r="E1491" s="2" t="s">
        <v>811</v>
      </c>
      <c r="F1491" s="2" t="str" cm="1">
        <f t="array" ref="F1491">INDEX(_xlfn.TEXTSPLIT(E1491,"-"),2)</f>
        <v>男装</v>
      </c>
      <c r="G1491" s="2" t="str" cm="1">
        <f t="array" ref="G1491">INDEX(_xlfn.TEXTSPLIT(E1491,"-"),3)</f>
        <v>夹克</v>
      </c>
      <c r="H1491" s="5">
        <v>424165</v>
      </c>
      <c r="I1491" s="5">
        <v>82658803.08</v>
      </c>
      <c r="J1491" s="6">
        <v>0.1249</v>
      </c>
      <c r="K1491" s="6">
        <v>-0.1256</v>
      </c>
    </row>
    <row r="1492" ht="14.5" spans="1:11">
      <c r="A1492" s="3" t="str">
        <f t="shared" si="90"/>
        <v>2026年</v>
      </c>
      <c r="B1492" s="3" t="str">
        <f t="shared" si="91"/>
        <v>2月</v>
      </c>
      <c r="C1492" s="4" t="str">
        <f t="shared" si="92"/>
        <v>W7</v>
      </c>
      <c r="D1492" s="2" t="s">
        <v>777</v>
      </c>
      <c r="E1492" s="2" t="s">
        <v>812</v>
      </c>
      <c r="F1492" s="2" t="str" cm="1">
        <f t="array" ref="F1492">INDEX(_xlfn.TEXTSPLIT(E1492,"-"),2)</f>
        <v>男装</v>
      </c>
      <c r="G1492" s="2" t="str" cm="1">
        <f t="array" ref="G1492">INDEX(_xlfn.TEXTSPLIT(E1492,"-"),3)</f>
        <v>套装</v>
      </c>
      <c r="H1492" s="5">
        <v>43699</v>
      </c>
      <c r="I1492" s="5">
        <v>6412451.77</v>
      </c>
      <c r="J1492" s="6">
        <v>0.0097</v>
      </c>
      <c r="K1492" s="6">
        <v>-0.2548</v>
      </c>
    </row>
    <row r="1493" ht="14.5" spans="1:11">
      <c r="A1493" s="3" t="str">
        <f t="shared" si="90"/>
        <v>2026年</v>
      </c>
      <c r="B1493" s="3" t="str">
        <f t="shared" si="91"/>
        <v>2月</v>
      </c>
      <c r="C1493" s="4" t="str">
        <f t="shared" si="92"/>
        <v>W7</v>
      </c>
      <c r="D1493" s="2" t="s">
        <v>777</v>
      </c>
      <c r="E1493" s="2" t="s">
        <v>813</v>
      </c>
      <c r="F1493" s="2" t="str" cm="1">
        <f t="array" ref="F1493">INDEX(_xlfn.TEXTSPLIT(E1493,"-"),2)</f>
        <v>男装</v>
      </c>
      <c r="G1493" s="2" t="str" cm="1">
        <f t="array" ref="G1493">INDEX(_xlfn.TEXTSPLIT(E1493,"-"),3)</f>
        <v>学生校服</v>
      </c>
      <c r="H1493" s="5">
        <v>4</v>
      </c>
      <c r="I1493" s="5">
        <v>250</v>
      </c>
      <c r="J1493" s="2" t="s">
        <v>713</v>
      </c>
      <c r="K1493" s="7">
        <v>1</v>
      </c>
    </row>
    <row r="1494" ht="14.5" spans="1:11">
      <c r="A1494" s="3" t="str">
        <f t="shared" si="90"/>
        <v>2026年</v>
      </c>
      <c r="B1494" s="3" t="str">
        <f t="shared" si="91"/>
        <v>2月</v>
      </c>
      <c r="C1494" s="4" t="str">
        <f t="shared" si="92"/>
        <v>W7</v>
      </c>
      <c r="D1494" s="2" t="s">
        <v>777</v>
      </c>
      <c r="E1494" s="2" t="s">
        <v>814</v>
      </c>
      <c r="F1494" s="2" t="str" cm="1">
        <f t="array" ref="F1494">INDEX(_xlfn.TEXTSPLIT(E1494,"-"),2)</f>
        <v>男装</v>
      </c>
      <c r="G1494" s="2" t="str" cm="1">
        <f t="array" ref="G1494">INDEX(_xlfn.TEXTSPLIT(E1494,"-"),3)</f>
        <v>打底衫</v>
      </c>
      <c r="H1494" s="5">
        <v>33677</v>
      </c>
      <c r="I1494" s="5">
        <v>908228.04</v>
      </c>
      <c r="J1494" s="6">
        <v>0.0014</v>
      </c>
      <c r="K1494" s="6">
        <v>-0.3226</v>
      </c>
    </row>
    <row r="1495" ht="14.5" spans="1:11">
      <c r="A1495" s="3" t="str">
        <f t="shared" si="90"/>
        <v>2026年</v>
      </c>
      <c r="B1495" s="3" t="str">
        <f t="shared" si="91"/>
        <v>2月</v>
      </c>
      <c r="C1495" s="4" t="str">
        <f t="shared" si="92"/>
        <v>W7</v>
      </c>
      <c r="D1495" s="2" t="s">
        <v>777</v>
      </c>
      <c r="E1495" s="2" t="s">
        <v>815</v>
      </c>
      <c r="F1495" s="2" t="str" cm="1">
        <f t="array" ref="F1495">INDEX(_xlfn.TEXTSPLIT(E1495,"-"),2)</f>
        <v>男装</v>
      </c>
      <c r="G1495" s="2" t="str" cm="1">
        <f t="array" ref="G1495">INDEX(_xlfn.TEXTSPLIT(E1495,"-"),3)</f>
        <v>新中式男装</v>
      </c>
      <c r="H1495" s="5">
        <v>371</v>
      </c>
      <c r="I1495" s="5">
        <v>99562.74</v>
      </c>
      <c r="J1495" s="6">
        <v>0.0002</v>
      </c>
      <c r="K1495" s="6">
        <v>-0.4069</v>
      </c>
    </row>
    <row r="1496" ht="14.5" spans="1:11">
      <c r="A1496" s="3" t="str">
        <f t="shared" si="90"/>
        <v>2026年</v>
      </c>
      <c r="B1496" s="3" t="str">
        <f t="shared" si="91"/>
        <v>2月</v>
      </c>
      <c r="C1496" s="4" t="str">
        <f t="shared" si="92"/>
        <v>W7</v>
      </c>
      <c r="D1496" s="2" t="s">
        <v>777</v>
      </c>
      <c r="E1496" s="2" t="s">
        <v>816</v>
      </c>
      <c r="F1496" s="2" t="str" cm="1">
        <f t="array" ref="F1496">INDEX(_xlfn.TEXTSPLIT(E1496,"-"),2)</f>
        <v>男装</v>
      </c>
      <c r="G1496" s="2" t="str" cm="1">
        <f t="array" ref="G1496">INDEX(_xlfn.TEXTSPLIT(E1496,"-"),3)</f>
        <v>棉衣</v>
      </c>
      <c r="H1496" s="5">
        <v>284354</v>
      </c>
      <c r="I1496" s="5">
        <v>36817887.33</v>
      </c>
      <c r="J1496" s="6">
        <v>0.0557</v>
      </c>
      <c r="K1496" s="6">
        <v>-0.1589</v>
      </c>
    </row>
    <row r="1497" ht="14.5" spans="1:11">
      <c r="A1497" s="3" t="str">
        <f t="shared" si="90"/>
        <v>2026年</v>
      </c>
      <c r="B1497" s="3" t="str">
        <f t="shared" si="91"/>
        <v>2月</v>
      </c>
      <c r="C1497" s="4" t="str">
        <f t="shared" si="92"/>
        <v>W7</v>
      </c>
      <c r="D1497" s="2" t="s">
        <v>777</v>
      </c>
      <c r="E1497" s="2" t="s">
        <v>817</v>
      </c>
      <c r="F1497" s="2" t="str" cm="1">
        <f t="array" ref="F1497">INDEX(_xlfn.TEXTSPLIT(E1497,"-"),2)</f>
        <v>男装</v>
      </c>
      <c r="G1497" s="2" t="str" cm="1">
        <f t="array" ref="G1497">INDEX(_xlfn.TEXTSPLIT(E1497,"-"),3)</f>
        <v>棉裤</v>
      </c>
      <c r="H1497" s="5">
        <v>8904</v>
      </c>
      <c r="I1497" s="5">
        <v>616082.4</v>
      </c>
      <c r="J1497" s="6">
        <v>0.0009</v>
      </c>
      <c r="K1497" s="6">
        <v>-0.1352</v>
      </c>
    </row>
    <row r="1498" ht="14.5" spans="1:11">
      <c r="A1498" s="3" t="str">
        <f t="shared" si="90"/>
        <v>2026年</v>
      </c>
      <c r="B1498" s="3" t="str">
        <f t="shared" si="91"/>
        <v>2月</v>
      </c>
      <c r="C1498" s="4" t="str">
        <f t="shared" si="92"/>
        <v>W7</v>
      </c>
      <c r="D1498" s="2" t="s">
        <v>777</v>
      </c>
      <c r="E1498" s="2" t="s">
        <v>818</v>
      </c>
      <c r="F1498" s="2" t="str" cm="1">
        <f t="array" ref="F1498">INDEX(_xlfn.TEXTSPLIT(E1498,"-"),2)</f>
        <v>男装</v>
      </c>
      <c r="G1498" s="2" t="str" cm="1">
        <f t="array" ref="G1498">INDEX(_xlfn.TEXTSPLIT(E1498,"-"),3)</f>
        <v>毛呢大衣</v>
      </c>
      <c r="H1498" s="5">
        <v>41886</v>
      </c>
      <c r="I1498" s="5">
        <v>17411965.96</v>
      </c>
      <c r="J1498" s="6">
        <v>0.0263</v>
      </c>
      <c r="K1498" s="6">
        <v>-0.1783</v>
      </c>
    </row>
    <row r="1499" ht="14.5" spans="1:11">
      <c r="A1499" s="3" t="str">
        <f t="shared" si="90"/>
        <v>2026年</v>
      </c>
      <c r="B1499" s="3" t="str">
        <f t="shared" si="91"/>
        <v>2月</v>
      </c>
      <c r="C1499" s="4" t="str">
        <f t="shared" si="92"/>
        <v>W7</v>
      </c>
      <c r="D1499" s="2" t="s">
        <v>777</v>
      </c>
      <c r="E1499" s="2" t="s">
        <v>819</v>
      </c>
      <c r="F1499" s="2" t="str" cm="1">
        <f t="array" ref="F1499">INDEX(_xlfn.TEXTSPLIT(E1499,"-"),2)</f>
        <v>男装</v>
      </c>
      <c r="G1499" s="2" t="str" cm="1">
        <f t="array" ref="G1499">INDEX(_xlfn.TEXTSPLIT(E1499,"-"),3)</f>
        <v>民族服装</v>
      </c>
      <c r="H1499" s="5">
        <v>6595</v>
      </c>
      <c r="I1499" s="5">
        <v>1475537.42</v>
      </c>
      <c r="J1499" s="6">
        <v>0.0022</v>
      </c>
      <c r="K1499" s="6">
        <v>-0.1526</v>
      </c>
    </row>
    <row r="1500" ht="14.5" spans="1:11">
      <c r="A1500" s="3" t="str">
        <f t="shared" ref="A1500:A1563" si="93">TEXT(YEAR(D1500),"0")&amp;"年"</f>
        <v>2026年</v>
      </c>
      <c r="B1500" s="3" t="str">
        <f t="shared" ref="B1500:B1563" si="94">TEXT(MONTH(D1500),"0")&amp;"月"</f>
        <v>2月</v>
      </c>
      <c r="C1500" s="4" t="str">
        <f t="shared" ref="C1500:C1563" si="95">"W"&amp;TEXT(WEEKNUM(D1500,2),"0")</f>
        <v>W7</v>
      </c>
      <c r="D1500" s="2" t="s">
        <v>777</v>
      </c>
      <c r="E1500" s="2" t="s">
        <v>820</v>
      </c>
      <c r="F1500" s="2" t="str" cm="1">
        <f t="array" ref="F1500">INDEX(_xlfn.TEXTSPLIT(E1500,"-"),2)</f>
        <v>男装</v>
      </c>
      <c r="G1500" s="2" t="str" cm="1">
        <f t="array" ref="G1500">INDEX(_xlfn.TEXTSPLIT(E1500,"-"),3)</f>
        <v>派克服</v>
      </c>
      <c r="H1500" s="5">
        <v>6426</v>
      </c>
      <c r="I1500" s="5">
        <v>1254837.72</v>
      </c>
      <c r="J1500" s="6">
        <v>0.0019</v>
      </c>
      <c r="K1500" s="6">
        <v>-0.1415</v>
      </c>
    </row>
    <row r="1501" ht="14.5" spans="1:11">
      <c r="A1501" s="3" t="str">
        <f t="shared" si="93"/>
        <v>2026年</v>
      </c>
      <c r="B1501" s="3" t="str">
        <f t="shared" si="94"/>
        <v>2月</v>
      </c>
      <c r="C1501" s="4" t="str">
        <f t="shared" si="95"/>
        <v>W7</v>
      </c>
      <c r="D1501" s="2" t="s">
        <v>777</v>
      </c>
      <c r="E1501" s="2" t="s">
        <v>821</v>
      </c>
      <c r="F1501" s="2" t="str" cm="1">
        <f t="array" ref="F1501">INDEX(_xlfn.TEXTSPLIT(E1501,"-"),2)</f>
        <v>男装</v>
      </c>
      <c r="G1501" s="2" t="str" cm="1">
        <f t="array" ref="G1501">INDEX(_xlfn.TEXTSPLIT(E1501,"-"),3)</f>
        <v>牛仔裤</v>
      </c>
      <c r="H1501" s="5">
        <v>528854</v>
      </c>
      <c r="I1501" s="5">
        <v>62287443.04</v>
      </c>
      <c r="J1501" s="6">
        <v>0.0941</v>
      </c>
      <c r="K1501" s="6">
        <v>-0.1459</v>
      </c>
    </row>
    <row r="1502" ht="14.5" spans="1:11">
      <c r="A1502" s="3" t="str">
        <f t="shared" si="93"/>
        <v>2026年</v>
      </c>
      <c r="B1502" s="3" t="str">
        <f t="shared" si="94"/>
        <v>2月</v>
      </c>
      <c r="C1502" s="4" t="str">
        <f t="shared" si="95"/>
        <v>W7</v>
      </c>
      <c r="D1502" s="2" t="s">
        <v>777</v>
      </c>
      <c r="E1502" s="2" t="s">
        <v>822</v>
      </c>
      <c r="F1502" s="2" t="str" cm="1">
        <f t="array" ref="F1502">INDEX(_xlfn.TEXTSPLIT(E1502,"-"),2)</f>
        <v>男装</v>
      </c>
      <c r="G1502" s="2" t="str" cm="1">
        <f t="array" ref="G1502">INDEX(_xlfn.TEXTSPLIT(E1502,"-"),3)</f>
        <v>皮草</v>
      </c>
      <c r="H1502" s="5">
        <v>3375</v>
      </c>
      <c r="I1502" s="5">
        <v>2723185.15</v>
      </c>
      <c r="J1502" s="6">
        <v>0.0041</v>
      </c>
      <c r="K1502" s="6">
        <v>-0.1893</v>
      </c>
    </row>
    <row r="1503" ht="14.5" spans="1:11">
      <c r="A1503" s="3" t="str">
        <f t="shared" si="93"/>
        <v>2026年</v>
      </c>
      <c r="B1503" s="3" t="str">
        <f t="shared" si="94"/>
        <v>2月</v>
      </c>
      <c r="C1503" s="4" t="str">
        <f t="shared" si="95"/>
        <v>W7</v>
      </c>
      <c r="D1503" s="2" t="s">
        <v>777</v>
      </c>
      <c r="E1503" s="2" t="s">
        <v>823</v>
      </c>
      <c r="F1503" s="2" t="str" cm="1">
        <f t="array" ref="F1503">INDEX(_xlfn.TEXTSPLIT(E1503,"-"),2)</f>
        <v>男装</v>
      </c>
      <c r="G1503" s="2" t="str" cm="1">
        <f t="array" ref="G1503">INDEX(_xlfn.TEXTSPLIT(E1503,"-"),3)</f>
        <v>皮衣</v>
      </c>
      <c r="H1503" s="5">
        <v>55489</v>
      </c>
      <c r="I1503" s="5">
        <v>23377389.82</v>
      </c>
      <c r="J1503" s="6">
        <v>0.0353</v>
      </c>
      <c r="K1503" s="6">
        <v>-0.0526</v>
      </c>
    </row>
    <row r="1504" ht="14.5" spans="1:11">
      <c r="A1504" s="3" t="str">
        <f t="shared" si="93"/>
        <v>2026年</v>
      </c>
      <c r="B1504" s="3" t="str">
        <f t="shared" si="94"/>
        <v>2月</v>
      </c>
      <c r="C1504" s="4" t="str">
        <f t="shared" si="95"/>
        <v>W7</v>
      </c>
      <c r="D1504" s="2" t="s">
        <v>777</v>
      </c>
      <c r="E1504" s="2" t="s">
        <v>824</v>
      </c>
      <c r="F1504" s="2" t="str" cm="1">
        <f t="array" ref="F1504">INDEX(_xlfn.TEXTSPLIT(E1504,"-"),2)</f>
        <v>男装</v>
      </c>
      <c r="G1504" s="2" t="str" cm="1">
        <f t="array" ref="G1504">INDEX(_xlfn.TEXTSPLIT(E1504,"-"),3)</f>
        <v>皮裤</v>
      </c>
      <c r="H1504" s="5">
        <v>988</v>
      </c>
      <c r="I1504" s="5">
        <v>171453.22</v>
      </c>
      <c r="J1504" s="6">
        <v>0.0003</v>
      </c>
      <c r="K1504" s="6">
        <v>0.1478</v>
      </c>
    </row>
    <row r="1505" ht="14.5" spans="1:11">
      <c r="A1505" s="3" t="str">
        <f t="shared" si="93"/>
        <v>2026年</v>
      </c>
      <c r="B1505" s="3" t="str">
        <f t="shared" si="94"/>
        <v>2月</v>
      </c>
      <c r="C1505" s="4" t="str">
        <f t="shared" si="95"/>
        <v>W7</v>
      </c>
      <c r="D1505" s="2" t="s">
        <v>777</v>
      </c>
      <c r="E1505" s="2" t="s">
        <v>825</v>
      </c>
      <c r="F1505" s="2" t="str" cm="1">
        <f t="array" ref="F1505">INDEX(_xlfn.TEXTSPLIT(E1505,"-"),2)</f>
        <v>男装</v>
      </c>
      <c r="G1505" s="2" t="str" cm="1">
        <f t="array" ref="G1505">INDEX(_xlfn.TEXTSPLIT(E1505,"-"),3)</f>
        <v>短外套</v>
      </c>
      <c r="H1505" s="5">
        <v>32620</v>
      </c>
      <c r="I1505" s="5">
        <v>3189056.28</v>
      </c>
      <c r="J1505" s="6">
        <v>0.0048</v>
      </c>
      <c r="K1505" s="6">
        <v>-0.3532</v>
      </c>
    </row>
    <row r="1506" ht="14.5" spans="1:11">
      <c r="A1506" s="3" t="str">
        <f t="shared" si="93"/>
        <v>2026年</v>
      </c>
      <c r="B1506" s="3" t="str">
        <f t="shared" si="94"/>
        <v>2月</v>
      </c>
      <c r="C1506" s="4" t="str">
        <f t="shared" si="95"/>
        <v>W7</v>
      </c>
      <c r="D1506" s="2" t="s">
        <v>777</v>
      </c>
      <c r="E1506" s="2" t="s">
        <v>826</v>
      </c>
      <c r="F1506" s="2" t="str" cm="1">
        <f t="array" ref="F1506">INDEX(_xlfn.TEXTSPLIT(E1506,"-"),2)</f>
        <v>男装</v>
      </c>
      <c r="G1506" s="2" t="str" cm="1">
        <f t="array" ref="G1506">INDEX(_xlfn.TEXTSPLIT(E1506,"-"),3)</f>
        <v>短裤</v>
      </c>
      <c r="H1506" s="5">
        <v>40877</v>
      </c>
      <c r="I1506" s="5">
        <v>1497593.57</v>
      </c>
      <c r="J1506" s="6">
        <v>0.0023</v>
      </c>
      <c r="K1506" s="6">
        <v>-0.2519</v>
      </c>
    </row>
    <row r="1507" ht="14.5" spans="1:11">
      <c r="A1507" s="3" t="str">
        <f t="shared" si="93"/>
        <v>2026年</v>
      </c>
      <c r="B1507" s="3" t="str">
        <f t="shared" si="94"/>
        <v>2月</v>
      </c>
      <c r="C1507" s="4" t="str">
        <f t="shared" si="95"/>
        <v>W7</v>
      </c>
      <c r="D1507" s="2" t="s">
        <v>777</v>
      </c>
      <c r="E1507" s="2" t="s">
        <v>827</v>
      </c>
      <c r="F1507" s="2" t="str" cm="1">
        <f t="array" ref="F1507">INDEX(_xlfn.TEXTSPLIT(E1507,"-"),2)</f>
        <v>男装</v>
      </c>
      <c r="G1507" s="2" t="str" cm="1">
        <f t="array" ref="G1507">INDEX(_xlfn.TEXTSPLIT(E1507,"-"),3)</f>
        <v>紧身衣</v>
      </c>
      <c r="H1507" s="5">
        <v>185</v>
      </c>
      <c r="I1507" s="5">
        <v>6269.28</v>
      </c>
      <c r="J1507" s="2" t="s">
        <v>713</v>
      </c>
      <c r="K1507" s="6">
        <v>0.1637</v>
      </c>
    </row>
    <row r="1508" ht="14.5" spans="1:11">
      <c r="A1508" s="3" t="str">
        <f t="shared" si="93"/>
        <v>2026年</v>
      </c>
      <c r="B1508" s="3" t="str">
        <f t="shared" si="94"/>
        <v>2月</v>
      </c>
      <c r="C1508" s="4" t="str">
        <f t="shared" si="95"/>
        <v>W7</v>
      </c>
      <c r="D1508" s="2" t="s">
        <v>777</v>
      </c>
      <c r="E1508" s="2" t="s">
        <v>828</v>
      </c>
      <c r="F1508" s="2" t="str" cm="1">
        <f t="array" ref="F1508">INDEX(_xlfn.TEXTSPLIT(E1508,"-"),2)</f>
        <v>男装</v>
      </c>
      <c r="G1508" s="2" t="str" cm="1">
        <f t="array" ref="G1508">INDEX(_xlfn.TEXTSPLIT(E1508,"-"),3)</f>
        <v>羊毛衫</v>
      </c>
      <c r="H1508" s="5">
        <v>80457</v>
      </c>
      <c r="I1508" s="5">
        <v>12469901.72</v>
      </c>
      <c r="J1508" s="6">
        <v>0.0188</v>
      </c>
      <c r="K1508" s="6">
        <v>-0.2743</v>
      </c>
    </row>
    <row r="1509" ht="14.5" spans="1:11">
      <c r="A1509" s="3" t="str">
        <f t="shared" si="93"/>
        <v>2026年</v>
      </c>
      <c r="B1509" s="3" t="str">
        <f t="shared" si="94"/>
        <v>2月</v>
      </c>
      <c r="C1509" s="4" t="str">
        <f t="shared" si="95"/>
        <v>W7</v>
      </c>
      <c r="D1509" s="2" t="s">
        <v>777</v>
      </c>
      <c r="E1509" s="2" t="s">
        <v>829</v>
      </c>
      <c r="F1509" s="2" t="str" cm="1">
        <f t="array" ref="F1509">INDEX(_xlfn.TEXTSPLIT(E1509,"-"),2)</f>
        <v>男装</v>
      </c>
      <c r="G1509" s="2" t="str" cm="1">
        <f t="array" ref="G1509">INDEX(_xlfn.TEXTSPLIT(E1509,"-"),3)</f>
        <v>羊绒衫</v>
      </c>
      <c r="H1509" s="5">
        <v>13229</v>
      </c>
      <c r="I1509" s="5">
        <v>4136208.14</v>
      </c>
      <c r="J1509" s="6">
        <v>0.0063</v>
      </c>
      <c r="K1509" s="6">
        <v>-0.2458</v>
      </c>
    </row>
    <row r="1510" ht="14.5" spans="1:11">
      <c r="A1510" s="3" t="str">
        <f t="shared" si="93"/>
        <v>2026年</v>
      </c>
      <c r="B1510" s="3" t="str">
        <f t="shared" si="94"/>
        <v>2月</v>
      </c>
      <c r="C1510" s="4" t="str">
        <f t="shared" si="95"/>
        <v>W7</v>
      </c>
      <c r="D1510" s="2" t="s">
        <v>777</v>
      </c>
      <c r="E1510" s="2" t="s">
        <v>830</v>
      </c>
      <c r="F1510" s="2" t="str" cm="1">
        <f t="array" ref="F1510">INDEX(_xlfn.TEXTSPLIT(E1510,"-"),2)</f>
        <v>男装</v>
      </c>
      <c r="G1510" s="2" t="str" cm="1">
        <f t="array" ref="G1510">INDEX(_xlfn.TEXTSPLIT(E1510,"-"),3)</f>
        <v>羽绒服</v>
      </c>
      <c r="H1510" s="5">
        <v>441107</v>
      </c>
      <c r="I1510" s="5">
        <v>148676621.48</v>
      </c>
      <c r="J1510" s="6">
        <v>0.2247</v>
      </c>
      <c r="K1510" s="6">
        <v>-0.233</v>
      </c>
    </row>
    <row r="1511" ht="14.5" spans="1:11">
      <c r="A1511" s="3" t="str">
        <f t="shared" si="93"/>
        <v>2026年</v>
      </c>
      <c r="B1511" s="3" t="str">
        <f t="shared" si="94"/>
        <v>2月</v>
      </c>
      <c r="C1511" s="4" t="str">
        <f t="shared" si="95"/>
        <v>W7</v>
      </c>
      <c r="D1511" s="2" t="s">
        <v>777</v>
      </c>
      <c r="E1511" s="2" t="s">
        <v>831</v>
      </c>
      <c r="F1511" s="2" t="str" cm="1">
        <f t="array" ref="F1511">INDEX(_xlfn.TEXTSPLIT(E1511,"-"),2)</f>
        <v>男装</v>
      </c>
      <c r="G1511" s="2" t="str" cm="1">
        <f t="array" ref="G1511">INDEX(_xlfn.TEXTSPLIT(E1511,"-"),3)</f>
        <v>羽绒裤</v>
      </c>
      <c r="H1511" s="5">
        <v>5393</v>
      </c>
      <c r="I1511" s="5">
        <v>742770.84</v>
      </c>
      <c r="J1511" s="6">
        <v>0.0011</v>
      </c>
      <c r="K1511" s="6">
        <v>-0.8839</v>
      </c>
    </row>
    <row r="1512" ht="14.5" spans="1:11">
      <c r="A1512" s="3" t="str">
        <f t="shared" si="93"/>
        <v>2026年</v>
      </c>
      <c r="B1512" s="3" t="str">
        <f t="shared" si="94"/>
        <v>2月</v>
      </c>
      <c r="C1512" s="4" t="str">
        <f t="shared" si="95"/>
        <v>W7</v>
      </c>
      <c r="D1512" s="2" t="s">
        <v>777</v>
      </c>
      <c r="E1512" s="2" t="s">
        <v>832</v>
      </c>
      <c r="F1512" s="2" t="str" cm="1">
        <f t="array" ref="F1512">INDEX(_xlfn.TEXTSPLIT(E1512,"-"),2)</f>
        <v>男装</v>
      </c>
      <c r="G1512" s="2" t="str" cm="1">
        <f t="array" ref="G1512">INDEX(_xlfn.TEXTSPLIT(E1512,"-"),3)</f>
        <v>羽绒马甲</v>
      </c>
      <c r="H1512" s="5">
        <v>8697</v>
      </c>
      <c r="I1512" s="5">
        <v>1942583.97</v>
      </c>
      <c r="J1512" s="6">
        <v>0.0029</v>
      </c>
      <c r="K1512" s="6">
        <v>-0.3801</v>
      </c>
    </row>
    <row r="1513" ht="14.5" spans="1:11">
      <c r="A1513" s="3" t="str">
        <f t="shared" si="93"/>
        <v>2026年</v>
      </c>
      <c r="B1513" s="3" t="str">
        <f t="shared" si="94"/>
        <v>2月</v>
      </c>
      <c r="C1513" s="4" t="str">
        <f t="shared" si="95"/>
        <v>W7</v>
      </c>
      <c r="D1513" s="2" t="s">
        <v>777</v>
      </c>
      <c r="E1513" s="2" t="s">
        <v>833</v>
      </c>
      <c r="F1513" s="2" t="str" cm="1">
        <f t="array" ref="F1513">INDEX(_xlfn.TEXTSPLIT(E1513,"-"),2)</f>
        <v>男装</v>
      </c>
      <c r="G1513" s="2" t="str" cm="1">
        <f t="array" ref="G1513">INDEX(_xlfn.TEXTSPLIT(E1513,"-"),3)</f>
        <v>背心</v>
      </c>
      <c r="H1513" s="5">
        <v>28173</v>
      </c>
      <c r="I1513" s="5">
        <v>1726464.47</v>
      </c>
      <c r="J1513" s="6">
        <v>0.0026</v>
      </c>
      <c r="K1513" s="6">
        <v>-0.143</v>
      </c>
    </row>
    <row r="1514" ht="14.5" spans="1:11">
      <c r="A1514" s="3" t="str">
        <f t="shared" si="93"/>
        <v>2026年</v>
      </c>
      <c r="B1514" s="3" t="str">
        <f t="shared" si="94"/>
        <v>2月</v>
      </c>
      <c r="C1514" s="4" t="str">
        <f t="shared" si="95"/>
        <v>W7</v>
      </c>
      <c r="D1514" s="2" t="s">
        <v>777</v>
      </c>
      <c r="E1514" s="2" t="s">
        <v>834</v>
      </c>
      <c r="F1514" s="2" t="str" cm="1">
        <f t="array" ref="F1514">INDEX(_xlfn.TEXTSPLIT(E1514,"-"),2)</f>
        <v>男装</v>
      </c>
      <c r="G1514" s="2" t="str" cm="1">
        <f t="array" ref="G1514">INDEX(_xlfn.TEXTSPLIT(E1514,"-"),3)</f>
        <v>衬衫</v>
      </c>
      <c r="H1514" s="5">
        <v>75479</v>
      </c>
      <c r="I1514" s="5">
        <v>9864210.02</v>
      </c>
      <c r="J1514" s="6">
        <v>0.0149</v>
      </c>
      <c r="K1514" s="6">
        <v>-0.2399</v>
      </c>
    </row>
    <row r="1515" ht="14.5" spans="1:11">
      <c r="A1515" s="3" t="str">
        <f t="shared" si="93"/>
        <v>2026年</v>
      </c>
      <c r="B1515" s="3" t="str">
        <f t="shared" si="94"/>
        <v>2月</v>
      </c>
      <c r="C1515" s="4" t="str">
        <f t="shared" si="95"/>
        <v>W7</v>
      </c>
      <c r="D1515" s="2" t="s">
        <v>777</v>
      </c>
      <c r="E1515" s="2" t="s">
        <v>835</v>
      </c>
      <c r="F1515" s="2" t="str" cm="1">
        <f t="array" ref="F1515">INDEX(_xlfn.TEXTSPLIT(E1515,"-"),2)</f>
        <v>男装</v>
      </c>
      <c r="G1515" s="2" t="str" cm="1">
        <f t="array" ref="G1515">INDEX(_xlfn.TEXTSPLIT(E1515,"-"),3)</f>
        <v>西服</v>
      </c>
      <c r="H1515" s="5">
        <v>79564</v>
      </c>
      <c r="I1515" s="5">
        <v>14880470.58</v>
      </c>
      <c r="J1515" s="6">
        <v>0.0225</v>
      </c>
      <c r="K1515" s="6">
        <v>-0.2342</v>
      </c>
    </row>
    <row r="1516" ht="14.5" spans="1:11">
      <c r="A1516" s="3" t="str">
        <f t="shared" si="93"/>
        <v>2026年</v>
      </c>
      <c r="B1516" s="3" t="str">
        <f t="shared" si="94"/>
        <v>2月</v>
      </c>
      <c r="C1516" s="4" t="str">
        <f t="shared" si="95"/>
        <v>W7</v>
      </c>
      <c r="D1516" s="2" t="s">
        <v>777</v>
      </c>
      <c r="E1516" s="2" t="s">
        <v>836</v>
      </c>
      <c r="F1516" s="2" t="str" cm="1">
        <f t="array" ref="F1516">INDEX(_xlfn.TEXTSPLIT(E1516,"-"),2)</f>
        <v>男装</v>
      </c>
      <c r="G1516" s="2" t="str" cm="1">
        <f t="array" ref="G1516">INDEX(_xlfn.TEXTSPLIT(E1516,"-"),3)</f>
        <v>连体衣/裤</v>
      </c>
      <c r="H1516" s="5">
        <v>1223</v>
      </c>
      <c r="I1516" s="5">
        <v>39549.44</v>
      </c>
      <c r="J1516" s="6">
        <v>0.0001</v>
      </c>
      <c r="K1516" s="6">
        <v>0.0183</v>
      </c>
    </row>
    <row r="1517" ht="14.5" spans="1:11">
      <c r="A1517" s="3" t="str">
        <f t="shared" si="93"/>
        <v>2026年</v>
      </c>
      <c r="B1517" s="3" t="str">
        <f t="shared" si="94"/>
        <v>2月</v>
      </c>
      <c r="C1517" s="4" t="str">
        <f t="shared" si="95"/>
        <v>W7</v>
      </c>
      <c r="D1517" s="2" t="s">
        <v>777</v>
      </c>
      <c r="E1517" s="2" t="s">
        <v>837</v>
      </c>
      <c r="F1517" s="2" t="str" cm="1">
        <f t="array" ref="F1517">INDEX(_xlfn.TEXTSPLIT(E1517,"-"),2)</f>
        <v>男装</v>
      </c>
      <c r="G1517" s="2" t="str" cm="1">
        <f t="array" ref="G1517">INDEX(_xlfn.TEXTSPLIT(E1517,"-"),3)</f>
        <v>速干/三防T恤</v>
      </c>
      <c r="H1517" s="5">
        <v>521</v>
      </c>
      <c r="I1517" s="5">
        <v>81032.56</v>
      </c>
      <c r="J1517" s="6">
        <v>0.0001</v>
      </c>
      <c r="K1517" s="6">
        <v>-0.097</v>
      </c>
    </row>
    <row r="1518" ht="14.5" spans="1:11">
      <c r="A1518" s="3" t="str">
        <f t="shared" si="93"/>
        <v>2026年</v>
      </c>
      <c r="B1518" s="3" t="str">
        <f t="shared" si="94"/>
        <v>2月</v>
      </c>
      <c r="C1518" s="4" t="str">
        <f t="shared" si="95"/>
        <v>W7</v>
      </c>
      <c r="D1518" s="2" t="s">
        <v>777</v>
      </c>
      <c r="E1518" s="2" t="s">
        <v>838</v>
      </c>
      <c r="F1518" s="2" t="str" cm="1">
        <f t="array" ref="F1518">INDEX(_xlfn.TEXTSPLIT(E1518,"-"),2)</f>
        <v>男装</v>
      </c>
      <c r="G1518" s="2" t="str" cm="1">
        <f t="array" ref="G1518">INDEX(_xlfn.TEXTSPLIT(E1518,"-"),3)</f>
        <v>针织衫/毛衣</v>
      </c>
      <c r="H1518" s="5">
        <v>307293</v>
      </c>
      <c r="I1518" s="5">
        <v>38176448.74</v>
      </c>
      <c r="J1518" s="6">
        <v>0.0577</v>
      </c>
      <c r="K1518" s="6">
        <v>-0.203</v>
      </c>
    </row>
    <row r="1519" ht="14.5" spans="1:11">
      <c r="A1519" s="3" t="str">
        <f t="shared" si="93"/>
        <v>2026年</v>
      </c>
      <c r="B1519" s="3" t="str">
        <f t="shared" si="94"/>
        <v>2月</v>
      </c>
      <c r="C1519" s="4" t="str">
        <f t="shared" si="95"/>
        <v>W7</v>
      </c>
      <c r="D1519" s="2" t="s">
        <v>777</v>
      </c>
      <c r="E1519" s="2" t="s">
        <v>839</v>
      </c>
      <c r="F1519" s="2" t="str" cm="1">
        <f t="array" ref="F1519">INDEX(_xlfn.TEXTSPLIT(E1519,"-"),2)</f>
        <v>男装</v>
      </c>
      <c r="G1519" s="2" t="str" cm="1">
        <f t="array" ref="G1519">INDEX(_xlfn.TEXTSPLIT(E1519,"-"),3)</f>
        <v>防晒服</v>
      </c>
      <c r="H1519" s="5">
        <v>169</v>
      </c>
      <c r="I1519" s="5">
        <v>22476.23</v>
      </c>
      <c r="J1519" s="2" t="s">
        <v>713</v>
      </c>
      <c r="K1519" s="6">
        <v>-0.1701</v>
      </c>
    </row>
    <row r="1520" ht="14.5" spans="1:11">
      <c r="A1520" s="3" t="str">
        <f t="shared" si="93"/>
        <v>2026年</v>
      </c>
      <c r="B1520" s="3" t="str">
        <f t="shared" si="94"/>
        <v>2月</v>
      </c>
      <c r="C1520" s="4" t="str">
        <f t="shared" si="95"/>
        <v>W7</v>
      </c>
      <c r="D1520" s="2" t="s">
        <v>777</v>
      </c>
      <c r="E1520" s="2" t="s">
        <v>840</v>
      </c>
      <c r="F1520" s="2" t="str" cm="1">
        <f t="array" ref="F1520">INDEX(_xlfn.TEXTSPLIT(E1520,"-"),2)</f>
        <v>男装</v>
      </c>
      <c r="G1520" s="2" t="str" cm="1">
        <f t="array" ref="G1520">INDEX(_xlfn.TEXTSPLIT(E1520,"-"),3)</f>
        <v>风衣</v>
      </c>
      <c r="H1520" s="5">
        <v>7903</v>
      </c>
      <c r="I1520" s="5">
        <v>2644002.74</v>
      </c>
      <c r="J1520" s="6">
        <v>0.004</v>
      </c>
      <c r="K1520" s="6">
        <v>-0.2217</v>
      </c>
    </row>
    <row r="1521" ht="14.5" spans="1:11">
      <c r="A1521" s="3" t="str">
        <f t="shared" si="93"/>
        <v>2026年</v>
      </c>
      <c r="B1521" s="3" t="str">
        <f t="shared" si="94"/>
        <v>2月</v>
      </c>
      <c r="C1521" s="4" t="str">
        <f t="shared" si="95"/>
        <v>W7</v>
      </c>
      <c r="D1521" s="2" t="s">
        <v>777</v>
      </c>
      <c r="E1521" s="2" t="s">
        <v>841</v>
      </c>
      <c r="F1521" s="2" t="str" cm="1">
        <f t="array" ref="F1521">INDEX(_xlfn.TEXTSPLIT(E1521,"-"),2)</f>
        <v>男装</v>
      </c>
      <c r="G1521" s="2" t="str" cm="1">
        <f t="array" ref="G1521">INDEX(_xlfn.TEXTSPLIT(E1521,"-"),3)</f>
        <v>马甲</v>
      </c>
      <c r="H1521" s="5">
        <v>31672</v>
      </c>
      <c r="I1521" s="5">
        <v>3541487.35</v>
      </c>
      <c r="J1521" s="6">
        <v>0.0054</v>
      </c>
      <c r="K1521" s="6">
        <v>-0.1796</v>
      </c>
    </row>
    <row r="1522" ht="14.5" spans="1:11">
      <c r="A1522" s="3" t="str">
        <f t="shared" si="93"/>
        <v>2026年</v>
      </c>
      <c r="B1522" s="3" t="str">
        <f t="shared" si="94"/>
        <v>2月</v>
      </c>
      <c r="C1522" s="4" t="str">
        <f t="shared" si="95"/>
        <v>W7</v>
      </c>
      <c r="D1522" s="2" t="s">
        <v>778</v>
      </c>
      <c r="E1522" s="2" t="s">
        <v>804</v>
      </c>
      <c r="F1522" s="2" t="str" cm="1">
        <f t="array" ref="F1522">INDEX(_xlfn.TEXTSPLIT(E1522,"-"),2)</f>
        <v>男装</v>
      </c>
      <c r="G1522" s="2" t="str" cm="1">
        <f t="array" ref="G1522">INDEX(_xlfn.TEXTSPLIT(E1522,"-"),3)</f>
        <v>Polo衫</v>
      </c>
      <c r="H1522" s="5">
        <v>31408</v>
      </c>
      <c r="I1522" s="5">
        <v>3265711.43</v>
      </c>
      <c r="J1522" s="6">
        <v>0.0056</v>
      </c>
      <c r="K1522" s="6">
        <v>-0.1576</v>
      </c>
    </row>
    <row r="1523" ht="14.5" spans="1:11">
      <c r="A1523" s="3" t="str">
        <f t="shared" si="93"/>
        <v>2026年</v>
      </c>
      <c r="B1523" s="3" t="str">
        <f t="shared" si="94"/>
        <v>2月</v>
      </c>
      <c r="C1523" s="4" t="str">
        <f t="shared" si="95"/>
        <v>W7</v>
      </c>
      <c r="D1523" s="2" t="s">
        <v>778</v>
      </c>
      <c r="E1523" s="2" t="s">
        <v>805</v>
      </c>
      <c r="F1523" s="2" t="str" cm="1">
        <f t="array" ref="F1523">INDEX(_xlfn.TEXTSPLIT(E1523,"-"),2)</f>
        <v>男装</v>
      </c>
      <c r="G1523" s="2" t="str" cm="1">
        <f t="array" ref="G1523">INDEX(_xlfn.TEXTSPLIT(E1523,"-"),3)</f>
        <v>T恤</v>
      </c>
      <c r="H1523" s="5">
        <v>354855</v>
      </c>
      <c r="I1523" s="5">
        <v>28181035.26</v>
      </c>
      <c r="J1523" s="6">
        <v>0.0485</v>
      </c>
      <c r="K1523" s="6">
        <v>-0.0702</v>
      </c>
    </row>
    <row r="1524" ht="14.5" spans="1:11">
      <c r="A1524" s="3" t="str">
        <f t="shared" si="93"/>
        <v>2026年</v>
      </c>
      <c r="B1524" s="3" t="str">
        <f t="shared" si="94"/>
        <v>2月</v>
      </c>
      <c r="C1524" s="4" t="str">
        <f t="shared" si="95"/>
        <v>W7</v>
      </c>
      <c r="D1524" s="2" t="s">
        <v>778</v>
      </c>
      <c r="E1524" s="2" t="s">
        <v>806</v>
      </c>
      <c r="F1524" s="2" t="str" cm="1">
        <f t="array" ref="F1524">INDEX(_xlfn.TEXTSPLIT(E1524,"-"),2)</f>
        <v>男装</v>
      </c>
      <c r="G1524" s="2" t="str" cm="1">
        <f t="array" ref="G1524">INDEX(_xlfn.TEXTSPLIT(E1524,"-"),3)</f>
        <v>中老年男装</v>
      </c>
      <c r="H1524" s="5">
        <v>97714</v>
      </c>
      <c r="I1524" s="5">
        <v>13297285.84</v>
      </c>
      <c r="J1524" s="6">
        <v>0.0229</v>
      </c>
      <c r="K1524" s="6">
        <v>0.1463</v>
      </c>
    </row>
    <row r="1525" ht="14.5" spans="1:11">
      <c r="A1525" s="3" t="str">
        <f t="shared" si="93"/>
        <v>2026年</v>
      </c>
      <c r="B1525" s="3" t="str">
        <f t="shared" si="94"/>
        <v>2月</v>
      </c>
      <c r="C1525" s="4" t="str">
        <f t="shared" si="95"/>
        <v>W7</v>
      </c>
      <c r="D1525" s="2" t="s">
        <v>778</v>
      </c>
      <c r="E1525" s="2" t="s">
        <v>807</v>
      </c>
      <c r="F1525" s="2" t="str" cm="1">
        <f t="array" ref="F1525">INDEX(_xlfn.TEXTSPLIT(E1525,"-"),2)</f>
        <v>男装</v>
      </c>
      <c r="G1525" s="2" t="str" cm="1">
        <f t="array" ref="G1525">INDEX(_xlfn.TEXTSPLIT(E1525,"-"),3)</f>
        <v>休闲裤</v>
      </c>
      <c r="H1525" s="5">
        <v>574064</v>
      </c>
      <c r="I1525" s="5">
        <v>63758547.46</v>
      </c>
      <c r="J1525" s="6">
        <v>0.1096</v>
      </c>
      <c r="K1525" s="6">
        <v>-0.1491</v>
      </c>
    </row>
    <row r="1526" ht="14.5" spans="1:11">
      <c r="A1526" s="3" t="str">
        <f t="shared" si="93"/>
        <v>2026年</v>
      </c>
      <c r="B1526" s="3" t="str">
        <f t="shared" si="94"/>
        <v>2月</v>
      </c>
      <c r="C1526" s="4" t="str">
        <f t="shared" si="95"/>
        <v>W7</v>
      </c>
      <c r="D1526" s="2" t="s">
        <v>778</v>
      </c>
      <c r="E1526" s="2" t="s">
        <v>808</v>
      </c>
      <c r="F1526" s="2" t="str" cm="1">
        <f t="array" ref="F1526">INDEX(_xlfn.TEXTSPLIT(E1526,"-"),2)</f>
        <v>男装</v>
      </c>
      <c r="G1526" s="2" t="str" cm="1">
        <f t="array" ref="G1526">INDEX(_xlfn.TEXTSPLIT(E1526,"-"),3)</f>
        <v>卫衣</v>
      </c>
      <c r="H1526" s="5">
        <v>401437</v>
      </c>
      <c r="I1526" s="5">
        <v>36861471.42</v>
      </c>
      <c r="J1526" s="6">
        <v>0.0634</v>
      </c>
      <c r="K1526" s="6">
        <v>-0.1463</v>
      </c>
    </row>
    <row r="1527" ht="14.5" spans="1:11">
      <c r="A1527" s="3" t="str">
        <f t="shared" si="93"/>
        <v>2026年</v>
      </c>
      <c r="B1527" s="3" t="str">
        <f t="shared" si="94"/>
        <v>2月</v>
      </c>
      <c r="C1527" s="4" t="str">
        <f t="shared" si="95"/>
        <v>W7</v>
      </c>
      <c r="D1527" s="2" t="s">
        <v>778</v>
      </c>
      <c r="E1527" s="2" t="s">
        <v>809</v>
      </c>
      <c r="F1527" s="2" t="str" cm="1">
        <f t="array" ref="F1527">INDEX(_xlfn.TEXTSPLIT(E1527,"-"),2)</f>
        <v>男装</v>
      </c>
      <c r="G1527" s="2" t="str" cm="1">
        <f t="array" ref="G1527">INDEX(_xlfn.TEXTSPLIT(E1527,"-"),3)</f>
        <v>卫裤</v>
      </c>
      <c r="H1527" s="5">
        <v>118112</v>
      </c>
      <c r="I1527" s="5">
        <v>12551053.89</v>
      </c>
      <c r="J1527" s="6">
        <v>0.0216</v>
      </c>
      <c r="K1527" s="6">
        <v>-0.158</v>
      </c>
    </row>
    <row r="1528" ht="14.5" spans="1:11">
      <c r="A1528" s="3" t="str">
        <f t="shared" si="93"/>
        <v>2026年</v>
      </c>
      <c r="B1528" s="3" t="str">
        <f t="shared" si="94"/>
        <v>2月</v>
      </c>
      <c r="C1528" s="4" t="str">
        <f t="shared" si="95"/>
        <v>W7</v>
      </c>
      <c r="D1528" s="2" t="s">
        <v>778</v>
      </c>
      <c r="E1528" s="2" t="s">
        <v>810</v>
      </c>
      <c r="F1528" s="2" t="str" cm="1">
        <f t="array" ref="F1528">INDEX(_xlfn.TEXTSPLIT(E1528,"-"),2)</f>
        <v>男装</v>
      </c>
      <c r="G1528" s="2" t="str" cm="1">
        <f t="array" ref="G1528">INDEX(_xlfn.TEXTSPLIT(E1528,"-"),3)</f>
        <v>大码男装</v>
      </c>
      <c r="H1528" s="5">
        <v>30926</v>
      </c>
      <c r="I1528" s="5">
        <v>2397662.36</v>
      </c>
      <c r="J1528" s="6">
        <v>0.0041</v>
      </c>
      <c r="K1528" s="6">
        <v>-0.1848</v>
      </c>
    </row>
    <row r="1529" ht="14.5" spans="1:11">
      <c r="A1529" s="3" t="str">
        <f t="shared" si="93"/>
        <v>2026年</v>
      </c>
      <c r="B1529" s="3" t="str">
        <f t="shared" si="94"/>
        <v>2月</v>
      </c>
      <c r="C1529" s="4" t="str">
        <f t="shared" si="95"/>
        <v>W7</v>
      </c>
      <c r="D1529" s="2" t="s">
        <v>778</v>
      </c>
      <c r="E1529" s="2" t="s">
        <v>811</v>
      </c>
      <c r="F1529" s="2" t="str" cm="1">
        <f t="array" ref="F1529">INDEX(_xlfn.TEXTSPLIT(E1529,"-"),2)</f>
        <v>男装</v>
      </c>
      <c r="G1529" s="2" t="str" cm="1">
        <f t="array" ref="G1529">INDEX(_xlfn.TEXTSPLIT(E1529,"-"),3)</f>
        <v>夹克</v>
      </c>
      <c r="H1529" s="5">
        <v>379246</v>
      </c>
      <c r="I1529" s="5">
        <v>75772753.22</v>
      </c>
      <c r="J1529" s="6">
        <v>0.1303</v>
      </c>
      <c r="K1529" s="6">
        <v>-0.0833</v>
      </c>
    </row>
    <row r="1530" ht="14.5" spans="1:11">
      <c r="A1530" s="3" t="str">
        <f t="shared" si="93"/>
        <v>2026年</v>
      </c>
      <c r="B1530" s="3" t="str">
        <f t="shared" si="94"/>
        <v>2月</v>
      </c>
      <c r="C1530" s="4" t="str">
        <f t="shared" si="95"/>
        <v>W7</v>
      </c>
      <c r="D1530" s="2" t="s">
        <v>778</v>
      </c>
      <c r="E1530" s="2" t="s">
        <v>812</v>
      </c>
      <c r="F1530" s="2" t="str" cm="1">
        <f t="array" ref="F1530">INDEX(_xlfn.TEXTSPLIT(E1530,"-"),2)</f>
        <v>男装</v>
      </c>
      <c r="G1530" s="2" t="str" cm="1">
        <f t="array" ref="G1530">INDEX(_xlfn.TEXTSPLIT(E1530,"-"),3)</f>
        <v>套装</v>
      </c>
      <c r="H1530" s="5">
        <v>31470</v>
      </c>
      <c r="I1530" s="5">
        <v>5200469.67</v>
      </c>
      <c r="J1530" s="6">
        <v>0.0089</v>
      </c>
      <c r="K1530" s="6">
        <v>-0.189</v>
      </c>
    </row>
    <row r="1531" ht="14.5" spans="1:11">
      <c r="A1531" s="3" t="str">
        <f t="shared" si="93"/>
        <v>2026年</v>
      </c>
      <c r="B1531" s="3" t="str">
        <f t="shared" si="94"/>
        <v>2月</v>
      </c>
      <c r="C1531" s="4" t="str">
        <f t="shared" si="95"/>
        <v>W7</v>
      </c>
      <c r="D1531" s="2" t="s">
        <v>778</v>
      </c>
      <c r="E1531" s="2" t="s">
        <v>813</v>
      </c>
      <c r="F1531" s="2" t="str" cm="1">
        <f t="array" ref="F1531">INDEX(_xlfn.TEXTSPLIT(E1531,"-"),2)</f>
        <v>男装</v>
      </c>
      <c r="G1531" s="2" t="str" cm="1">
        <f t="array" ref="G1531">INDEX(_xlfn.TEXTSPLIT(E1531,"-"),3)</f>
        <v>学生校服</v>
      </c>
      <c r="H1531" s="5">
        <v>1</v>
      </c>
      <c r="I1531" s="5">
        <v>139</v>
      </c>
      <c r="J1531" s="2" t="s">
        <v>713</v>
      </c>
      <c r="K1531" s="6">
        <v>-0.444</v>
      </c>
    </row>
    <row r="1532" ht="14.5" spans="1:11">
      <c r="A1532" s="3" t="str">
        <f t="shared" si="93"/>
        <v>2026年</v>
      </c>
      <c r="B1532" s="3" t="str">
        <f t="shared" si="94"/>
        <v>2月</v>
      </c>
      <c r="C1532" s="4" t="str">
        <f t="shared" si="95"/>
        <v>W7</v>
      </c>
      <c r="D1532" s="2" t="s">
        <v>778</v>
      </c>
      <c r="E1532" s="2" t="s">
        <v>814</v>
      </c>
      <c r="F1532" s="2" t="str" cm="1">
        <f t="array" ref="F1532">INDEX(_xlfn.TEXTSPLIT(E1532,"-"),2)</f>
        <v>男装</v>
      </c>
      <c r="G1532" s="2" t="str" cm="1">
        <f t="array" ref="G1532">INDEX(_xlfn.TEXTSPLIT(E1532,"-"),3)</f>
        <v>打底衫</v>
      </c>
      <c r="H1532" s="5">
        <v>30650</v>
      </c>
      <c r="I1532" s="5">
        <v>796617.61</v>
      </c>
      <c r="J1532" s="6">
        <v>0.0014</v>
      </c>
      <c r="K1532" s="6">
        <v>-0.1229</v>
      </c>
    </row>
    <row r="1533" ht="14.5" spans="1:11">
      <c r="A1533" s="3" t="str">
        <f t="shared" si="93"/>
        <v>2026年</v>
      </c>
      <c r="B1533" s="3" t="str">
        <f t="shared" si="94"/>
        <v>2月</v>
      </c>
      <c r="C1533" s="4" t="str">
        <f t="shared" si="95"/>
        <v>W7</v>
      </c>
      <c r="D1533" s="2" t="s">
        <v>778</v>
      </c>
      <c r="E1533" s="2" t="s">
        <v>815</v>
      </c>
      <c r="F1533" s="2" t="str" cm="1">
        <f t="array" ref="F1533">INDEX(_xlfn.TEXTSPLIT(E1533,"-"),2)</f>
        <v>男装</v>
      </c>
      <c r="G1533" s="2" t="str" cm="1">
        <f t="array" ref="G1533">INDEX(_xlfn.TEXTSPLIT(E1533,"-"),3)</f>
        <v>新中式男装</v>
      </c>
      <c r="H1533" s="5">
        <v>540</v>
      </c>
      <c r="I1533" s="5">
        <v>144648.44</v>
      </c>
      <c r="J1533" s="6">
        <v>0.0002</v>
      </c>
      <c r="K1533" s="6">
        <v>0.4528</v>
      </c>
    </row>
    <row r="1534" ht="14.5" spans="1:11">
      <c r="A1534" s="3" t="str">
        <f t="shared" si="93"/>
        <v>2026年</v>
      </c>
      <c r="B1534" s="3" t="str">
        <f t="shared" si="94"/>
        <v>2月</v>
      </c>
      <c r="C1534" s="4" t="str">
        <f t="shared" si="95"/>
        <v>W7</v>
      </c>
      <c r="D1534" s="2" t="s">
        <v>778</v>
      </c>
      <c r="E1534" s="2" t="s">
        <v>816</v>
      </c>
      <c r="F1534" s="2" t="str" cm="1">
        <f t="array" ref="F1534">INDEX(_xlfn.TEXTSPLIT(E1534,"-"),2)</f>
        <v>男装</v>
      </c>
      <c r="G1534" s="2" t="str" cm="1">
        <f t="array" ref="G1534">INDEX(_xlfn.TEXTSPLIT(E1534,"-"),3)</f>
        <v>棉衣</v>
      </c>
      <c r="H1534" s="5">
        <v>226212</v>
      </c>
      <c r="I1534" s="5">
        <v>30490942.14</v>
      </c>
      <c r="J1534" s="6">
        <v>0.0524</v>
      </c>
      <c r="K1534" s="6">
        <v>-0.1718</v>
      </c>
    </row>
    <row r="1535" ht="14.5" spans="1:11">
      <c r="A1535" s="3" t="str">
        <f t="shared" si="93"/>
        <v>2026年</v>
      </c>
      <c r="B1535" s="3" t="str">
        <f t="shared" si="94"/>
        <v>2月</v>
      </c>
      <c r="C1535" s="4" t="str">
        <f t="shared" si="95"/>
        <v>W7</v>
      </c>
      <c r="D1535" s="2" t="s">
        <v>778</v>
      </c>
      <c r="E1535" s="2" t="s">
        <v>817</v>
      </c>
      <c r="F1535" s="2" t="str" cm="1">
        <f t="array" ref="F1535">INDEX(_xlfn.TEXTSPLIT(E1535,"-"),2)</f>
        <v>男装</v>
      </c>
      <c r="G1535" s="2" t="str" cm="1">
        <f t="array" ref="G1535">INDEX(_xlfn.TEXTSPLIT(E1535,"-"),3)</f>
        <v>棉裤</v>
      </c>
      <c r="H1535" s="5">
        <v>5843</v>
      </c>
      <c r="I1535" s="5">
        <v>419249.85</v>
      </c>
      <c r="J1535" s="6">
        <v>0.0007</v>
      </c>
      <c r="K1535" s="6">
        <v>-0.3195</v>
      </c>
    </row>
    <row r="1536" ht="14.5" spans="1:11">
      <c r="A1536" s="3" t="str">
        <f t="shared" si="93"/>
        <v>2026年</v>
      </c>
      <c r="B1536" s="3" t="str">
        <f t="shared" si="94"/>
        <v>2月</v>
      </c>
      <c r="C1536" s="4" t="str">
        <f t="shared" si="95"/>
        <v>W7</v>
      </c>
      <c r="D1536" s="2" t="s">
        <v>778</v>
      </c>
      <c r="E1536" s="2" t="s">
        <v>818</v>
      </c>
      <c r="F1536" s="2" t="str" cm="1">
        <f t="array" ref="F1536">INDEX(_xlfn.TEXTSPLIT(E1536,"-"),2)</f>
        <v>男装</v>
      </c>
      <c r="G1536" s="2" t="str" cm="1">
        <f t="array" ref="G1536">INDEX(_xlfn.TEXTSPLIT(E1536,"-"),3)</f>
        <v>毛呢大衣</v>
      </c>
      <c r="H1536" s="5">
        <v>37339</v>
      </c>
      <c r="I1536" s="5">
        <v>16303308.84</v>
      </c>
      <c r="J1536" s="6">
        <v>0.028</v>
      </c>
      <c r="K1536" s="6">
        <v>-0.0637</v>
      </c>
    </row>
    <row r="1537" ht="14.5" spans="1:11">
      <c r="A1537" s="3" t="str">
        <f t="shared" si="93"/>
        <v>2026年</v>
      </c>
      <c r="B1537" s="3" t="str">
        <f t="shared" si="94"/>
        <v>2月</v>
      </c>
      <c r="C1537" s="4" t="str">
        <f t="shared" si="95"/>
        <v>W7</v>
      </c>
      <c r="D1537" s="2" t="s">
        <v>778</v>
      </c>
      <c r="E1537" s="2" t="s">
        <v>819</v>
      </c>
      <c r="F1537" s="2" t="str" cm="1">
        <f t="array" ref="F1537">INDEX(_xlfn.TEXTSPLIT(E1537,"-"),2)</f>
        <v>男装</v>
      </c>
      <c r="G1537" s="2" t="str" cm="1">
        <f t="array" ref="G1537">INDEX(_xlfn.TEXTSPLIT(E1537,"-"),3)</f>
        <v>民族服装</v>
      </c>
      <c r="H1537" s="5">
        <v>5759</v>
      </c>
      <c r="I1537" s="5">
        <v>1287741.68</v>
      </c>
      <c r="J1537" s="6">
        <v>0.0022</v>
      </c>
      <c r="K1537" s="6">
        <v>-0.1273</v>
      </c>
    </row>
    <row r="1538" ht="14.5" spans="1:11">
      <c r="A1538" s="3" t="str">
        <f t="shared" si="93"/>
        <v>2026年</v>
      </c>
      <c r="B1538" s="3" t="str">
        <f t="shared" si="94"/>
        <v>2月</v>
      </c>
      <c r="C1538" s="4" t="str">
        <f t="shared" si="95"/>
        <v>W7</v>
      </c>
      <c r="D1538" s="2" t="s">
        <v>778</v>
      </c>
      <c r="E1538" s="2" t="s">
        <v>820</v>
      </c>
      <c r="F1538" s="2" t="str" cm="1">
        <f t="array" ref="F1538">INDEX(_xlfn.TEXTSPLIT(E1538,"-"),2)</f>
        <v>男装</v>
      </c>
      <c r="G1538" s="2" t="str" cm="1">
        <f t="array" ref="G1538">INDEX(_xlfn.TEXTSPLIT(E1538,"-"),3)</f>
        <v>派克服</v>
      </c>
      <c r="H1538" s="5">
        <v>4565</v>
      </c>
      <c r="I1538" s="5">
        <v>877657.07</v>
      </c>
      <c r="J1538" s="6">
        <v>0.0015</v>
      </c>
      <c r="K1538" s="6">
        <v>-0.3006</v>
      </c>
    </row>
    <row r="1539" ht="14.5" spans="1:11">
      <c r="A1539" s="3" t="str">
        <f t="shared" si="93"/>
        <v>2026年</v>
      </c>
      <c r="B1539" s="3" t="str">
        <f t="shared" si="94"/>
        <v>2月</v>
      </c>
      <c r="C1539" s="4" t="str">
        <f t="shared" si="95"/>
        <v>W7</v>
      </c>
      <c r="D1539" s="2" t="s">
        <v>778</v>
      </c>
      <c r="E1539" s="2" t="s">
        <v>821</v>
      </c>
      <c r="F1539" s="2" t="str" cm="1">
        <f t="array" ref="F1539">INDEX(_xlfn.TEXTSPLIT(E1539,"-"),2)</f>
        <v>男装</v>
      </c>
      <c r="G1539" s="2" t="str" cm="1">
        <f t="array" ref="G1539">INDEX(_xlfn.TEXTSPLIT(E1539,"-"),3)</f>
        <v>牛仔裤</v>
      </c>
      <c r="H1539" s="5">
        <v>464514</v>
      </c>
      <c r="I1539" s="5">
        <v>56392258.17</v>
      </c>
      <c r="J1539" s="6">
        <v>0.097</v>
      </c>
      <c r="K1539" s="6">
        <v>-0.0946</v>
      </c>
    </row>
    <row r="1540" ht="14.5" spans="1:11">
      <c r="A1540" s="3" t="str">
        <f t="shared" si="93"/>
        <v>2026年</v>
      </c>
      <c r="B1540" s="3" t="str">
        <f t="shared" si="94"/>
        <v>2月</v>
      </c>
      <c r="C1540" s="4" t="str">
        <f t="shared" si="95"/>
        <v>W7</v>
      </c>
      <c r="D1540" s="2" t="s">
        <v>778</v>
      </c>
      <c r="E1540" s="2" t="s">
        <v>822</v>
      </c>
      <c r="F1540" s="2" t="str" cm="1">
        <f t="array" ref="F1540">INDEX(_xlfn.TEXTSPLIT(E1540,"-"),2)</f>
        <v>男装</v>
      </c>
      <c r="G1540" s="2" t="str" cm="1">
        <f t="array" ref="G1540">INDEX(_xlfn.TEXTSPLIT(E1540,"-"),3)</f>
        <v>皮草</v>
      </c>
      <c r="H1540" s="5">
        <v>3297</v>
      </c>
      <c r="I1540" s="5">
        <v>2618295.23</v>
      </c>
      <c r="J1540" s="6">
        <v>0.0045</v>
      </c>
      <c r="K1540" s="6">
        <v>-0.0385</v>
      </c>
    </row>
    <row r="1541" ht="14.5" spans="1:11">
      <c r="A1541" s="3" t="str">
        <f t="shared" si="93"/>
        <v>2026年</v>
      </c>
      <c r="B1541" s="3" t="str">
        <f t="shared" si="94"/>
        <v>2月</v>
      </c>
      <c r="C1541" s="4" t="str">
        <f t="shared" si="95"/>
        <v>W7</v>
      </c>
      <c r="D1541" s="2" t="s">
        <v>778</v>
      </c>
      <c r="E1541" s="2" t="s">
        <v>823</v>
      </c>
      <c r="F1541" s="2" t="str" cm="1">
        <f t="array" ref="F1541">INDEX(_xlfn.TEXTSPLIT(E1541,"-"),2)</f>
        <v>男装</v>
      </c>
      <c r="G1541" s="2" t="str" cm="1">
        <f t="array" ref="G1541">INDEX(_xlfn.TEXTSPLIT(E1541,"-"),3)</f>
        <v>皮衣</v>
      </c>
      <c r="H1541" s="5">
        <v>54114</v>
      </c>
      <c r="I1541" s="5">
        <v>26510671.48</v>
      </c>
      <c r="J1541" s="6">
        <v>0.0456</v>
      </c>
      <c r="K1541" s="6">
        <v>0.134</v>
      </c>
    </row>
    <row r="1542" ht="14.5" spans="1:11">
      <c r="A1542" s="3" t="str">
        <f t="shared" si="93"/>
        <v>2026年</v>
      </c>
      <c r="B1542" s="3" t="str">
        <f t="shared" si="94"/>
        <v>2月</v>
      </c>
      <c r="C1542" s="4" t="str">
        <f t="shared" si="95"/>
        <v>W7</v>
      </c>
      <c r="D1542" s="2" t="s">
        <v>778</v>
      </c>
      <c r="E1542" s="2" t="s">
        <v>824</v>
      </c>
      <c r="F1542" s="2" t="str" cm="1">
        <f t="array" ref="F1542">INDEX(_xlfn.TEXTSPLIT(E1542,"-"),2)</f>
        <v>男装</v>
      </c>
      <c r="G1542" s="2" t="str" cm="1">
        <f t="array" ref="G1542">INDEX(_xlfn.TEXTSPLIT(E1542,"-"),3)</f>
        <v>皮裤</v>
      </c>
      <c r="H1542" s="5">
        <v>640</v>
      </c>
      <c r="I1542" s="5">
        <v>148957.47</v>
      </c>
      <c r="J1542" s="6">
        <v>0.0003</v>
      </c>
      <c r="K1542" s="6">
        <v>-0.1312</v>
      </c>
    </row>
    <row r="1543" ht="14.5" spans="1:11">
      <c r="A1543" s="3" t="str">
        <f t="shared" si="93"/>
        <v>2026年</v>
      </c>
      <c r="B1543" s="3" t="str">
        <f t="shared" si="94"/>
        <v>2月</v>
      </c>
      <c r="C1543" s="4" t="str">
        <f t="shared" si="95"/>
        <v>W7</v>
      </c>
      <c r="D1543" s="2" t="s">
        <v>778</v>
      </c>
      <c r="E1543" s="2" t="s">
        <v>825</v>
      </c>
      <c r="F1543" s="2" t="str" cm="1">
        <f t="array" ref="F1543">INDEX(_xlfn.TEXTSPLIT(E1543,"-"),2)</f>
        <v>男装</v>
      </c>
      <c r="G1543" s="2" t="str" cm="1">
        <f t="array" ref="G1543">INDEX(_xlfn.TEXTSPLIT(E1543,"-"),3)</f>
        <v>短外套</v>
      </c>
      <c r="H1543" s="5">
        <v>27638</v>
      </c>
      <c r="I1543" s="5">
        <v>2803009.14</v>
      </c>
      <c r="J1543" s="6">
        <v>0.0048</v>
      </c>
      <c r="K1543" s="6">
        <v>-0.1211</v>
      </c>
    </row>
    <row r="1544" ht="14.5" spans="1:11">
      <c r="A1544" s="3" t="str">
        <f t="shared" si="93"/>
        <v>2026年</v>
      </c>
      <c r="B1544" s="3" t="str">
        <f t="shared" si="94"/>
        <v>2月</v>
      </c>
      <c r="C1544" s="4" t="str">
        <f t="shared" si="95"/>
        <v>W7</v>
      </c>
      <c r="D1544" s="2" t="s">
        <v>778</v>
      </c>
      <c r="E1544" s="2" t="s">
        <v>826</v>
      </c>
      <c r="F1544" s="2" t="str" cm="1">
        <f t="array" ref="F1544">INDEX(_xlfn.TEXTSPLIT(E1544,"-"),2)</f>
        <v>男装</v>
      </c>
      <c r="G1544" s="2" t="str" cm="1">
        <f t="array" ref="G1544">INDEX(_xlfn.TEXTSPLIT(E1544,"-"),3)</f>
        <v>短裤</v>
      </c>
      <c r="H1544" s="5">
        <v>32924</v>
      </c>
      <c r="I1544" s="5">
        <v>1229663.83</v>
      </c>
      <c r="J1544" s="6">
        <v>0.0021</v>
      </c>
      <c r="K1544" s="6">
        <v>-0.1789</v>
      </c>
    </row>
    <row r="1545" ht="14.5" spans="1:11">
      <c r="A1545" s="3" t="str">
        <f t="shared" si="93"/>
        <v>2026年</v>
      </c>
      <c r="B1545" s="3" t="str">
        <f t="shared" si="94"/>
        <v>2月</v>
      </c>
      <c r="C1545" s="4" t="str">
        <f t="shared" si="95"/>
        <v>W7</v>
      </c>
      <c r="D1545" s="2" t="s">
        <v>778</v>
      </c>
      <c r="E1545" s="2" t="s">
        <v>827</v>
      </c>
      <c r="F1545" s="2" t="str" cm="1">
        <f t="array" ref="F1545">INDEX(_xlfn.TEXTSPLIT(E1545,"-"),2)</f>
        <v>男装</v>
      </c>
      <c r="G1545" s="2" t="str" cm="1">
        <f t="array" ref="G1545">INDEX(_xlfn.TEXTSPLIT(E1545,"-"),3)</f>
        <v>紧身衣</v>
      </c>
      <c r="H1545" s="5">
        <v>218</v>
      </c>
      <c r="I1545" s="5">
        <v>6666.22</v>
      </c>
      <c r="J1545" s="2" t="s">
        <v>713</v>
      </c>
      <c r="K1545" s="6">
        <v>0.0633</v>
      </c>
    </row>
    <row r="1546" ht="14.5" spans="1:11">
      <c r="A1546" s="3" t="str">
        <f t="shared" si="93"/>
        <v>2026年</v>
      </c>
      <c r="B1546" s="3" t="str">
        <f t="shared" si="94"/>
        <v>2月</v>
      </c>
      <c r="C1546" s="4" t="str">
        <f t="shared" si="95"/>
        <v>W7</v>
      </c>
      <c r="D1546" s="2" t="s">
        <v>778</v>
      </c>
      <c r="E1546" s="2" t="s">
        <v>828</v>
      </c>
      <c r="F1546" s="2" t="str" cm="1">
        <f t="array" ref="F1546">INDEX(_xlfn.TEXTSPLIT(E1546,"-"),2)</f>
        <v>男装</v>
      </c>
      <c r="G1546" s="2" t="str" cm="1">
        <f t="array" ref="G1546">INDEX(_xlfn.TEXTSPLIT(E1546,"-"),3)</f>
        <v>羊毛衫</v>
      </c>
      <c r="H1546" s="5">
        <v>63767</v>
      </c>
      <c r="I1546" s="5">
        <v>10747254.69</v>
      </c>
      <c r="J1546" s="6">
        <v>0.0185</v>
      </c>
      <c r="K1546" s="6">
        <v>-0.1381</v>
      </c>
    </row>
    <row r="1547" ht="14.5" spans="1:11">
      <c r="A1547" s="3" t="str">
        <f t="shared" si="93"/>
        <v>2026年</v>
      </c>
      <c r="B1547" s="3" t="str">
        <f t="shared" si="94"/>
        <v>2月</v>
      </c>
      <c r="C1547" s="4" t="str">
        <f t="shared" si="95"/>
        <v>W7</v>
      </c>
      <c r="D1547" s="2" t="s">
        <v>778</v>
      </c>
      <c r="E1547" s="2" t="s">
        <v>829</v>
      </c>
      <c r="F1547" s="2" t="str" cm="1">
        <f t="array" ref="F1547">INDEX(_xlfn.TEXTSPLIT(E1547,"-"),2)</f>
        <v>男装</v>
      </c>
      <c r="G1547" s="2" t="str" cm="1">
        <f t="array" ref="G1547">INDEX(_xlfn.TEXTSPLIT(E1547,"-"),3)</f>
        <v>羊绒衫</v>
      </c>
      <c r="H1547" s="5">
        <v>10543</v>
      </c>
      <c r="I1547" s="5">
        <v>3697660.73</v>
      </c>
      <c r="J1547" s="6">
        <v>0.0064</v>
      </c>
      <c r="K1547" s="6">
        <v>-0.106</v>
      </c>
    </row>
    <row r="1548" ht="14.5" spans="1:11">
      <c r="A1548" s="3" t="str">
        <f t="shared" si="93"/>
        <v>2026年</v>
      </c>
      <c r="B1548" s="3" t="str">
        <f t="shared" si="94"/>
        <v>2月</v>
      </c>
      <c r="C1548" s="4" t="str">
        <f t="shared" si="95"/>
        <v>W7</v>
      </c>
      <c r="D1548" s="2" t="s">
        <v>778</v>
      </c>
      <c r="E1548" s="2" t="s">
        <v>830</v>
      </c>
      <c r="F1548" s="2" t="str" cm="1">
        <f t="array" ref="F1548">INDEX(_xlfn.TEXTSPLIT(E1548,"-"),2)</f>
        <v>男装</v>
      </c>
      <c r="G1548" s="2" t="str" cm="1">
        <f t="array" ref="G1548">INDEX(_xlfn.TEXTSPLIT(E1548,"-"),3)</f>
        <v>羽绒服</v>
      </c>
      <c r="H1548" s="5">
        <v>345278</v>
      </c>
      <c r="I1548" s="5">
        <v>121018812.54</v>
      </c>
      <c r="J1548" s="6">
        <v>0.2081</v>
      </c>
      <c r="K1548" s="6">
        <v>-0.186</v>
      </c>
    </row>
    <row r="1549" ht="14.5" spans="1:11">
      <c r="A1549" s="3" t="str">
        <f t="shared" si="93"/>
        <v>2026年</v>
      </c>
      <c r="B1549" s="3" t="str">
        <f t="shared" si="94"/>
        <v>2月</v>
      </c>
      <c r="C1549" s="4" t="str">
        <f t="shared" si="95"/>
        <v>W7</v>
      </c>
      <c r="D1549" s="2" t="s">
        <v>778</v>
      </c>
      <c r="E1549" s="2" t="s">
        <v>831</v>
      </c>
      <c r="F1549" s="2" t="str" cm="1">
        <f t="array" ref="F1549">INDEX(_xlfn.TEXTSPLIT(E1549,"-"),2)</f>
        <v>男装</v>
      </c>
      <c r="G1549" s="2" t="str" cm="1">
        <f t="array" ref="G1549">INDEX(_xlfn.TEXTSPLIT(E1549,"-"),3)</f>
        <v>羽绒裤</v>
      </c>
      <c r="H1549" s="5">
        <v>4716</v>
      </c>
      <c r="I1549" s="5">
        <v>806328.76</v>
      </c>
      <c r="J1549" s="6">
        <v>0.0014</v>
      </c>
      <c r="K1549" s="6">
        <v>0.0856</v>
      </c>
    </row>
    <row r="1550" ht="14.5" spans="1:11">
      <c r="A1550" s="3" t="str">
        <f t="shared" si="93"/>
        <v>2026年</v>
      </c>
      <c r="B1550" s="3" t="str">
        <f t="shared" si="94"/>
        <v>2月</v>
      </c>
      <c r="C1550" s="4" t="str">
        <f t="shared" si="95"/>
        <v>W7</v>
      </c>
      <c r="D1550" s="2" t="s">
        <v>778</v>
      </c>
      <c r="E1550" s="2" t="s">
        <v>832</v>
      </c>
      <c r="F1550" s="2" t="str" cm="1">
        <f t="array" ref="F1550">INDEX(_xlfn.TEXTSPLIT(E1550,"-"),2)</f>
        <v>男装</v>
      </c>
      <c r="G1550" s="2" t="str" cm="1">
        <f t="array" ref="G1550">INDEX(_xlfn.TEXTSPLIT(E1550,"-"),3)</f>
        <v>羽绒马甲</v>
      </c>
      <c r="H1550" s="5">
        <v>5692</v>
      </c>
      <c r="I1550" s="5">
        <v>1376334.77</v>
      </c>
      <c r="J1550" s="6">
        <v>0.0024</v>
      </c>
      <c r="K1550" s="6">
        <v>-0.2915</v>
      </c>
    </row>
    <row r="1551" ht="14.5" spans="1:11">
      <c r="A1551" s="3" t="str">
        <f t="shared" si="93"/>
        <v>2026年</v>
      </c>
      <c r="B1551" s="3" t="str">
        <f t="shared" si="94"/>
        <v>2月</v>
      </c>
      <c r="C1551" s="4" t="str">
        <f t="shared" si="95"/>
        <v>W7</v>
      </c>
      <c r="D1551" s="2" t="s">
        <v>778</v>
      </c>
      <c r="E1551" s="2" t="s">
        <v>833</v>
      </c>
      <c r="F1551" s="2" t="str" cm="1">
        <f t="array" ref="F1551">INDEX(_xlfn.TEXTSPLIT(E1551,"-"),2)</f>
        <v>男装</v>
      </c>
      <c r="G1551" s="2" t="str" cm="1">
        <f t="array" ref="G1551">INDEX(_xlfn.TEXTSPLIT(E1551,"-"),3)</f>
        <v>背心</v>
      </c>
      <c r="H1551" s="5">
        <v>24953</v>
      </c>
      <c r="I1551" s="5">
        <v>1599167.81</v>
      </c>
      <c r="J1551" s="6">
        <v>0.0027</v>
      </c>
      <c r="K1551" s="6">
        <v>-0.0737</v>
      </c>
    </row>
    <row r="1552" ht="14.5" spans="1:11">
      <c r="A1552" s="3" t="str">
        <f t="shared" si="93"/>
        <v>2026年</v>
      </c>
      <c r="B1552" s="3" t="str">
        <f t="shared" si="94"/>
        <v>2月</v>
      </c>
      <c r="C1552" s="4" t="str">
        <f t="shared" si="95"/>
        <v>W7</v>
      </c>
      <c r="D1552" s="2" t="s">
        <v>778</v>
      </c>
      <c r="E1552" s="2" t="s">
        <v>834</v>
      </c>
      <c r="F1552" s="2" t="str" cm="1">
        <f t="array" ref="F1552">INDEX(_xlfn.TEXTSPLIT(E1552,"-"),2)</f>
        <v>男装</v>
      </c>
      <c r="G1552" s="2" t="str" cm="1">
        <f t="array" ref="G1552">INDEX(_xlfn.TEXTSPLIT(E1552,"-"),3)</f>
        <v>衬衫</v>
      </c>
      <c r="H1552" s="5">
        <v>70363</v>
      </c>
      <c r="I1552" s="5">
        <v>9484558.25</v>
      </c>
      <c r="J1552" s="6">
        <v>0.0163</v>
      </c>
      <c r="K1552" s="6">
        <v>-0.0385</v>
      </c>
    </row>
    <row r="1553" ht="14.5" spans="1:11">
      <c r="A1553" s="3" t="str">
        <f t="shared" si="93"/>
        <v>2026年</v>
      </c>
      <c r="B1553" s="3" t="str">
        <f t="shared" si="94"/>
        <v>2月</v>
      </c>
      <c r="C1553" s="4" t="str">
        <f t="shared" si="95"/>
        <v>W7</v>
      </c>
      <c r="D1553" s="2" t="s">
        <v>778</v>
      </c>
      <c r="E1553" s="2" t="s">
        <v>835</v>
      </c>
      <c r="F1553" s="2" t="str" cm="1">
        <f t="array" ref="F1553">INDEX(_xlfn.TEXTSPLIT(E1553,"-"),2)</f>
        <v>男装</v>
      </c>
      <c r="G1553" s="2" t="str" cm="1">
        <f t="array" ref="G1553">INDEX(_xlfn.TEXTSPLIT(E1553,"-"),3)</f>
        <v>西服</v>
      </c>
      <c r="H1553" s="5">
        <v>71752</v>
      </c>
      <c r="I1553" s="5">
        <v>13307056.65</v>
      </c>
      <c r="J1553" s="6">
        <v>0.0229</v>
      </c>
      <c r="K1553" s="6">
        <v>-0.1057</v>
      </c>
    </row>
    <row r="1554" ht="14.5" spans="1:11">
      <c r="A1554" s="3" t="str">
        <f t="shared" si="93"/>
        <v>2026年</v>
      </c>
      <c r="B1554" s="3" t="str">
        <f t="shared" si="94"/>
        <v>2月</v>
      </c>
      <c r="C1554" s="4" t="str">
        <f t="shared" si="95"/>
        <v>W7</v>
      </c>
      <c r="D1554" s="2" t="s">
        <v>778</v>
      </c>
      <c r="E1554" s="2" t="s">
        <v>836</v>
      </c>
      <c r="F1554" s="2" t="str" cm="1">
        <f t="array" ref="F1554">INDEX(_xlfn.TEXTSPLIT(E1554,"-"),2)</f>
        <v>男装</v>
      </c>
      <c r="G1554" s="2" t="str" cm="1">
        <f t="array" ref="G1554">INDEX(_xlfn.TEXTSPLIT(E1554,"-"),3)</f>
        <v>连体衣/裤</v>
      </c>
      <c r="H1554" s="5">
        <v>1122</v>
      </c>
      <c r="I1554" s="5">
        <v>36048.88</v>
      </c>
      <c r="J1554" s="6">
        <v>0.0001</v>
      </c>
      <c r="K1554" s="6">
        <v>-0.0885</v>
      </c>
    </row>
    <row r="1555" ht="14.5" spans="1:11">
      <c r="A1555" s="3" t="str">
        <f t="shared" si="93"/>
        <v>2026年</v>
      </c>
      <c r="B1555" s="3" t="str">
        <f t="shared" si="94"/>
        <v>2月</v>
      </c>
      <c r="C1555" s="4" t="str">
        <f t="shared" si="95"/>
        <v>W7</v>
      </c>
      <c r="D1555" s="2" t="s">
        <v>778</v>
      </c>
      <c r="E1555" s="2" t="s">
        <v>837</v>
      </c>
      <c r="F1555" s="2" t="str" cm="1">
        <f t="array" ref="F1555">INDEX(_xlfn.TEXTSPLIT(E1555,"-"),2)</f>
        <v>男装</v>
      </c>
      <c r="G1555" s="2" t="str" cm="1">
        <f t="array" ref="G1555">INDEX(_xlfn.TEXTSPLIT(E1555,"-"),3)</f>
        <v>速干/三防T恤</v>
      </c>
      <c r="H1555" s="5">
        <v>544</v>
      </c>
      <c r="I1555" s="5">
        <v>72467.89</v>
      </c>
      <c r="J1555" s="6">
        <v>0.0001</v>
      </c>
      <c r="K1555" s="6">
        <v>-0.1057</v>
      </c>
    </row>
    <row r="1556" ht="14.5" spans="1:11">
      <c r="A1556" s="3" t="str">
        <f t="shared" si="93"/>
        <v>2026年</v>
      </c>
      <c r="B1556" s="3" t="str">
        <f t="shared" si="94"/>
        <v>2月</v>
      </c>
      <c r="C1556" s="4" t="str">
        <f t="shared" si="95"/>
        <v>W7</v>
      </c>
      <c r="D1556" s="2" t="s">
        <v>778</v>
      </c>
      <c r="E1556" s="2" t="s">
        <v>838</v>
      </c>
      <c r="F1556" s="2" t="str" cm="1">
        <f t="array" ref="F1556">INDEX(_xlfn.TEXTSPLIT(E1556,"-"),2)</f>
        <v>男装</v>
      </c>
      <c r="G1556" s="2" t="str" cm="1">
        <f t="array" ref="G1556">INDEX(_xlfn.TEXTSPLIT(E1556,"-"),3)</f>
        <v>针织衫/毛衣</v>
      </c>
      <c r="H1556" s="5">
        <v>263240</v>
      </c>
      <c r="I1556" s="5">
        <v>32945926.73</v>
      </c>
      <c r="J1556" s="6">
        <v>0.0566</v>
      </c>
      <c r="K1556" s="6">
        <v>-0.137</v>
      </c>
    </row>
    <row r="1557" ht="14.5" spans="1:11">
      <c r="A1557" s="3" t="str">
        <f t="shared" si="93"/>
        <v>2026年</v>
      </c>
      <c r="B1557" s="3" t="str">
        <f t="shared" si="94"/>
        <v>2月</v>
      </c>
      <c r="C1557" s="4" t="str">
        <f t="shared" si="95"/>
        <v>W7</v>
      </c>
      <c r="D1557" s="2" t="s">
        <v>778</v>
      </c>
      <c r="E1557" s="2" t="s">
        <v>839</v>
      </c>
      <c r="F1557" s="2" t="str" cm="1">
        <f t="array" ref="F1557">INDEX(_xlfn.TEXTSPLIT(E1557,"-"),2)</f>
        <v>男装</v>
      </c>
      <c r="G1557" s="2" t="str" cm="1">
        <f t="array" ref="G1557">INDEX(_xlfn.TEXTSPLIT(E1557,"-"),3)</f>
        <v>防晒服</v>
      </c>
      <c r="H1557" s="5">
        <v>332</v>
      </c>
      <c r="I1557" s="5">
        <v>32918.85</v>
      </c>
      <c r="J1557" s="6">
        <v>0.0001</v>
      </c>
      <c r="K1557" s="6">
        <v>0.4646</v>
      </c>
    </row>
    <row r="1558" ht="14.5" spans="1:11">
      <c r="A1558" s="3" t="str">
        <f t="shared" si="93"/>
        <v>2026年</v>
      </c>
      <c r="B1558" s="3" t="str">
        <f t="shared" si="94"/>
        <v>2月</v>
      </c>
      <c r="C1558" s="4" t="str">
        <f t="shared" si="95"/>
        <v>W7</v>
      </c>
      <c r="D1558" s="2" t="s">
        <v>778</v>
      </c>
      <c r="E1558" s="2" t="s">
        <v>840</v>
      </c>
      <c r="F1558" s="2" t="str" cm="1">
        <f t="array" ref="F1558">INDEX(_xlfn.TEXTSPLIT(E1558,"-"),2)</f>
        <v>男装</v>
      </c>
      <c r="G1558" s="2" t="str" cm="1">
        <f t="array" ref="G1558">INDEX(_xlfn.TEXTSPLIT(E1558,"-"),3)</f>
        <v>风衣</v>
      </c>
      <c r="H1558" s="5">
        <v>6307</v>
      </c>
      <c r="I1558" s="5">
        <v>2248762.2</v>
      </c>
      <c r="J1558" s="6">
        <v>0.0039</v>
      </c>
      <c r="K1558" s="6">
        <v>-0.1495</v>
      </c>
    </row>
    <row r="1559" ht="14.5" spans="1:11">
      <c r="A1559" s="3" t="str">
        <f t="shared" si="93"/>
        <v>2026年</v>
      </c>
      <c r="B1559" s="3" t="str">
        <f t="shared" si="94"/>
        <v>2月</v>
      </c>
      <c r="C1559" s="4" t="str">
        <f t="shared" si="95"/>
        <v>W7</v>
      </c>
      <c r="D1559" s="2" t="s">
        <v>778</v>
      </c>
      <c r="E1559" s="2" t="s">
        <v>841</v>
      </c>
      <c r="F1559" s="2" t="str" cm="1">
        <f t="array" ref="F1559">INDEX(_xlfn.TEXTSPLIT(E1559,"-"),2)</f>
        <v>男装</v>
      </c>
      <c r="G1559" s="2" t="str" cm="1">
        <f t="array" ref="G1559">INDEX(_xlfn.TEXTSPLIT(E1559,"-"),3)</f>
        <v>马甲</v>
      </c>
      <c r="H1559" s="5">
        <v>25558</v>
      </c>
      <c r="I1559" s="5">
        <v>2899254.39</v>
      </c>
      <c r="J1559" s="6">
        <v>0.005</v>
      </c>
      <c r="K1559" s="6">
        <v>-0.1813</v>
      </c>
    </row>
    <row r="1560" ht="14.5" spans="1:11">
      <c r="A1560" s="3" t="str">
        <f t="shared" si="93"/>
        <v>2026年</v>
      </c>
      <c r="B1560" s="3" t="str">
        <f t="shared" si="94"/>
        <v>2月</v>
      </c>
      <c r="C1560" s="4" t="str">
        <f t="shared" si="95"/>
        <v>W7</v>
      </c>
      <c r="D1560" s="2" t="s">
        <v>779</v>
      </c>
      <c r="E1560" s="2" t="s">
        <v>804</v>
      </c>
      <c r="F1560" s="2" t="str" cm="1">
        <f t="array" ref="F1560">INDEX(_xlfn.TEXTSPLIT(E1560,"-"),2)</f>
        <v>男装</v>
      </c>
      <c r="G1560" s="2" t="str" cm="1">
        <f t="array" ref="G1560">INDEX(_xlfn.TEXTSPLIT(E1560,"-"),3)</f>
        <v>Polo衫</v>
      </c>
      <c r="H1560" s="5">
        <v>24006</v>
      </c>
      <c r="I1560" s="5">
        <v>2731351.82</v>
      </c>
      <c r="J1560" s="6">
        <v>0.0064</v>
      </c>
      <c r="K1560" s="6">
        <v>-0.1636</v>
      </c>
    </row>
    <row r="1561" ht="14.5" spans="1:11">
      <c r="A1561" s="3" t="str">
        <f t="shared" si="93"/>
        <v>2026年</v>
      </c>
      <c r="B1561" s="3" t="str">
        <f t="shared" si="94"/>
        <v>2月</v>
      </c>
      <c r="C1561" s="4" t="str">
        <f t="shared" si="95"/>
        <v>W7</v>
      </c>
      <c r="D1561" s="2" t="s">
        <v>779</v>
      </c>
      <c r="E1561" s="2" t="s">
        <v>805</v>
      </c>
      <c r="F1561" s="2" t="str" cm="1">
        <f t="array" ref="F1561">INDEX(_xlfn.TEXTSPLIT(E1561,"-"),2)</f>
        <v>男装</v>
      </c>
      <c r="G1561" s="2" t="str" cm="1">
        <f t="array" ref="G1561">INDEX(_xlfn.TEXTSPLIT(E1561,"-"),3)</f>
        <v>T恤</v>
      </c>
      <c r="H1561" s="5">
        <v>314875</v>
      </c>
      <c r="I1561" s="5">
        <v>24330387.82</v>
      </c>
      <c r="J1561" s="6">
        <v>0.0569</v>
      </c>
      <c r="K1561" s="6">
        <v>-0.1366</v>
      </c>
    </row>
    <row r="1562" ht="14.5" spans="1:11">
      <c r="A1562" s="3" t="str">
        <f t="shared" si="93"/>
        <v>2026年</v>
      </c>
      <c r="B1562" s="3" t="str">
        <f t="shared" si="94"/>
        <v>2月</v>
      </c>
      <c r="C1562" s="4" t="str">
        <f t="shared" si="95"/>
        <v>W7</v>
      </c>
      <c r="D1562" s="2" t="s">
        <v>779</v>
      </c>
      <c r="E1562" s="2" t="s">
        <v>806</v>
      </c>
      <c r="F1562" s="2" t="str" cm="1">
        <f t="array" ref="F1562">INDEX(_xlfn.TEXTSPLIT(E1562,"-"),2)</f>
        <v>男装</v>
      </c>
      <c r="G1562" s="2" t="str" cm="1">
        <f t="array" ref="G1562">INDEX(_xlfn.TEXTSPLIT(E1562,"-"),3)</f>
        <v>中老年男装</v>
      </c>
      <c r="H1562" s="5">
        <v>45661</v>
      </c>
      <c r="I1562" s="5">
        <v>6116912.82</v>
      </c>
      <c r="J1562" s="6">
        <v>0.0143</v>
      </c>
      <c r="K1562" s="7">
        <v>-0.54</v>
      </c>
    </row>
    <row r="1563" ht="14.5" spans="1:11">
      <c r="A1563" s="3" t="str">
        <f t="shared" si="93"/>
        <v>2026年</v>
      </c>
      <c r="B1563" s="3" t="str">
        <f t="shared" si="94"/>
        <v>2月</v>
      </c>
      <c r="C1563" s="4" t="str">
        <f t="shared" si="95"/>
        <v>W7</v>
      </c>
      <c r="D1563" s="2" t="s">
        <v>779</v>
      </c>
      <c r="E1563" s="2" t="s">
        <v>807</v>
      </c>
      <c r="F1563" s="2" t="str" cm="1">
        <f t="array" ref="F1563">INDEX(_xlfn.TEXTSPLIT(E1563,"-"),2)</f>
        <v>男装</v>
      </c>
      <c r="G1563" s="2" t="str" cm="1">
        <f t="array" ref="G1563">INDEX(_xlfn.TEXTSPLIT(E1563,"-"),3)</f>
        <v>休闲裤</v>
      </c>
      <c r="H1563" s="5">
        <v>420991</v>
      </c>
      <c r="I1563" s="5">
        <v>47123125.28</v>
      </c>
      <c r="J1563" s="6">
        <v>0.1101</v>
      </c>
      <c r="K1563" s="6">
        <v>-0.2609</v>
      </c>
    </row>
    <row r="1564" ht="14.5" spans="1:11">
      <c r="A1564" s="3" t="str">
        <f t="shared" ref="A1564:A1627" si="96">TEXT(YEAR(D1564),"0")&amp;"年"</f>
        <v>2026年</v>
      </c>
      <c r="B1564" s="3" t="str">
        <f t="shared" ref="B1564:B1627" si="97">TEXT(MONTH(D1564),"0")&amp;"月"</f>
        <v>2月</v>
      </c>
      <c r="C1564" s="4" t="str">
        <f t="shared" ref="C1564:C1627" si="98">"W"&amp;TEXT(WEEKNUM(D1564,2),"0")</f>
        <v>W7</v>
      </c>
      <c r="D1564" s="2" t="s">
        <v>779</v>
      </c>
      <c r="E1564" s="2" t="s">
        <v>808</v>
      </c>
      <c r="F1564" s="2" t="str" cm="1">
        <f t="array" ref="F1564">INDEX(_xlfn.TEXTSPLIT(E1564,"-"),2)</f>
        <v>男装</v>
      </c>
      <c r="G1564" s="2" t="str" cm="1">
        <f t="array" ref="G1564">INDEX(_xlfn.TEXTSPLIT(E1564,"-"),3)</f>
        <v>卫衣</v>
      </c>
      <c r="H1564" s="5">
        <v>285877</v>
      </c>
      <c r="I1564" s="5">
        <v>27596993.28</v>
      </c>
      <c r="J1564" s="6">
        <v>0.0645</v>
      </c>
      <c r="K1564" s="6">
        <v>-0.2513</v>
      </c>
    </row>
    <row r="1565" ht="14.5" spans="1:11">
      <c r="A1565" s="3" t="str">
        <f t="shared" si="96"/>
        <v>2026年</v>
      </c>
      <c r="B1565" s="3" t="str">
        <f t="shared" si="97"/>
        <v>2月</v>
      </c>
      <c r="C1565" s="4" t="str">
        <f t="shared" si="98"/>
        <v>W7</v>
      </c>
      <c r="D1565" s="2" t="s">
        <v>779</v>
      </c>
      <c r="E1565" s="2" t="s">
        <v>809</v>
      </c>
      <c r="F1565" s="2" t="str" cm="1">
        <f t="array" ref="F1565">INDEX(_xlfn.TEXTSPLIT(E1565,"-"),2)</f>
        <v>男装</v>
      </c>
      <c r="G1565" s="2" t="str" cm="1">
        <f t="array" ref="G1565">INDEX(_xlfn.TEXTSPLIT(E1565,"-"),3)</f>
        <v>卫裤</v>
      </c>
      <c r="H1565" s="5">
        <v>86873</v>
      </c>
      <c r="I1565" s="5">
        <v>8893684.75</v>
      </c>
      <c r="J1565" s="6">
        <v>0.0208</v>
      </c>
      <c r="K1565" s="6">
        <v>-0.2914</v>
      </c>
    </row>
    <row r="1566" ht="14.5" spans="1:11">
      <c r="A1566" s="3" t="str">
        <f t="shared" si="96"/>
        <v>2026年</v>
      </c>
      <c r="B1566" s="3" t="str">
        <f t="shared" si="97"/>
        <v>2月</v>
      </c>
      <c r="C1566" s="4" t="str">
        <f t="shared" si="98"/>
        <v>W7</v>
      </c>
      <c r="D1566" s="2" t="s">
        <v>779</v>
      </c>
      <c r="E1566" s="2" t="s">
        <v>810</v>
      </c>
      <c r="F1566" s="2" t="str" cm="1">
        <f t="array" ref="F1566">INDEX(_xlfn.TEXTSPLIT(E1566,"-"),2)</f>
        <v>男装</v>
      </c>
      <c r="G1566" s="2" t="str" cm="1">
        <f t="array" ref="G1566">INDEX(_xlfn.TEXTSPLIT(E1566,"-"),3)</f>
        <v>大码男装</v>
      </c>
      <c r="H1566" s="5">
        <v>21045</v>
      </c>
      <c r="I1566" s="5">
        <v>1613350.5</v>
      </c>
      <c r="J1566" s="6">
        <v>0.0038</v>
      </c>
      <c r="K1566" s="6">
        <v>-0.3271</v>
      </c>
    </row>
    <row r="1567" ht="14.5" spans="1:11">
      <c r="A1567" s="3" t="str">
        <f t="shared" si="96"/>
        <v>2026年</v>
      </c>
      <c r="B1567" s="3" t="str">
        <f t="shared" si="97"/>
        <v>2月</v>
      </c>
      <c r="C1567" s="4" t="str">
        <f t="shared" si="98"/>
        <v>W7</v>
      </c>
      <c r="D1567" s="2" t="s">
        <v>779</v>
      </c>
      <c r="E1567" s="2" t="s">
        <v>811</v>
      </c>
      <c r="F1567" s="2" t="str" cm="1">
        <f t="array" ref="F1567">INDEX(_xlfn.TEXTSPLIT(E1567,"-"),2)</f>
        <v>男装</v>
      </c>
      <c r="G1567" s="2" t="str" cm="1">
        <f t="array" ref="G1567">INDEX(_xlfn.TEXTSPLIT(E1567,"-"),3)</f>
        <v>夹克</v>
      </c>
      <c r="H1567" s="5">
        <v>282060</v>
      </c>
      <c r="I1567" s="5">
        <v>58409264</v>
      </c>
      <c r="J1567" s="6">
        <v>0.1365</v>
      </c>
      <c r="K1567" s="6">
        <v>-0.2292</v>
      </c>
    </row>
    <row r="1568" ht="14.5" spans="1:11">
      <c r="A1568" s="3" t="str">
        <f t="shared" si="96"/>
        <v>2026年</v>
      </c>
      <c r="B1568" s="3" t="str">
        <f t="shared" si="97"/>
        <v>2月</v>
      </c>
      <c r="C1568" s="4" t="str">
        <f t="shared" si="98"/>
        <v>W7</v>
      </c>
      <c r="D1568" s="2" t="s">
        <v>779</v>
      </c>
      <c r="E1568" s="2" t="s">
        <v>812</v>
      </c>
      <c r="F1568" s="2" t="str" cm="1">
        <f t="array" ref="F1568">INDEX(_xlfn.TEXTSPLIT(E1568,"-"),2)</f>
        <v>男装</v>
      </c>
      <c r="G1568" s="2" t="str" cm="1">
        <f t="array" ref="G1568">INDEX(_xlfn.TEXTSPLIT(E1568,"-"),3)</f>
        <v>套装</v>
      </c>
      <c r="H1568" s="5">
        <v>25898</v>
      </c>
      <c r="I1568" s="5">
        <v>4193798.23</v>
      </c>
      <c r="J1568" s="6">
        <v>0.0098</v>
      </c>
      <c r="K1568" s="6">
        <v>-0.1936</v>
      </c>
    </row>
    <row r="1569" ht="14.5" spans="1:11">
      <c r="A1569" s="3" t="str">
        <f t="shared" si="96"/>
        <v>2026年</v>
      </c>
      <c r="B1569" s="3" t="str">
        <f t="shared" si="97"/>
        <v>2月</v>
      </c>
      <c r="C1569" s="4" t="str">
        <f t="shared" si="98"/>
        <v>W7</v>
      </c>
      <c r="D1569" s="2" t="s">
        <v>779</v>
      </c>
      <c r="E1569" s="2" t="s">
        <v>813</v>
      </c>
      <c r="F1569" s="2" t="str" cm="1">
        <f t="array" ref="F1569">INDEX(_xlfn.TEXTSPLIT(E1569,"-"),2)</f>
        <v>男装</v>
      </c>
      <c r="G1569" s="2" t="str" cm="1">
        <f t="array" ref="G1569">INDEX(_xlfn.TEXTSPLIT(E1569,"-"),3)</f>
        <v>学生校服</v>
      </c>
      <c r="H1569" s="5">
        <v>2</v>
      </c>
      <c r="I1569" s="5">
        <v>220.31</v>
      </c>
      <c r="J1569" s="2" t="s">
        <v>713</v>
      </c>
      <c r="K1569" s="6">
        <v>0.585</v>
      </c>
    </row>
    <row r="1570" ht="14.5" spans="1:11">
      <c r="A1570" s="3" t="str">
        <f t="shared" si="96"/>
        <v>2026年</v>
      </c>
      <c r="B1570" s="3" t="str">
        <f t="shared" si="97"/>
        <v>2月</v>
      </c>
      <c r="C1570" s="4" t="str">
        <f t="shared" si="98"/>
        <v>W7</v>
      </c>
      <c r="D1570" s="2" t="s">
        <v>779</v>
      </c>
      <c r="E1570" s="2" t="s">
        <v>814</v>
      </c>
      <c r="F1570" s="2" t="str" cm="1">
        <f t="array" ref="F1570">INDEX(_xlfn.TEXTSPLIT(E1570,"-"),2)</f>
        <v>男装</v>
      </c>
      <c r="G1570" s="2" t="str" cm="1">
        <f t="array" ref="G1570">INDEX(_xlfn.TEXTSPLIT(E1570,"-"),3)</f>
        <v>打底衫</v>
      </c>
      <c r="H1570" s="5">
        <v>16459</v>
      </c>
      <c r="I1570" s="5">
        <v>661454.08</v>
      </c>
      <c r="J1570" s="6">
        <v>0.0015</v>
      </c>
      <c r="K1570" s="6">
        <v>-0.1697</v>
      </c>
    </row>
    <row r="1571" ht="14.5" spans="1:11">
      <c r="A1571" s="3" t="str">
        <f t="shared" si="96"/>
        <v>2026年</v>
      </c>
      <c r="B1571" s="3" t="str">
        <f t="shared" si="97"/>
        <v>2月</v>
      </c>
      <c r="C1571" s="4" t="str">
        <f t="shared" si="98"/>
        <v>W7</v>
      </c>
      <c r="D1571" s="2" t="s">
        <v>779</v>
      </c>
      <c r="E1571" s="2" t="s">
        <v>815</v>
      </c>
      <c r="F1571" s="2" t="str" cm="1">
        <f t="array" ref="F1571">INDEX(_xlfn.TEXTSPLIT(E1571,"-"),2)</f>
        <v>男装</v>
      </c>
      <c r="G1571" s="2" t="str" cm="1">
        <f t="array" ref="G1571">INDEX(_xlfn.TEXTSPLIT(E1571,"-"),3)</f>
        <v>新中式男装</v>
      </c>
      <c r="H1571" s="5">
        <v>234</v>
      </c>
      <c r="I1571" s="5">
        <v>70619.29</v>
      </c>
      <c r="J1571" s="6">
        <v>0.0002</v>
      </c>
      <c r="K1571" s="6">
        <v>-0.5118</v>
      </c>
    </row>
    <row r="1572" ht="14.5" spans="1:11">
      <c r="A1572" s="3" t="str">
        <f t="shared" si="96"/>
        <v>2026年</v>
      </c>
      <c r="B1572" s="3" t="str">
        <f t="shared" si="97"/>
        <v>2月</v>
      </c>
      <c r="C1572" s="4" t="str">
        <f t="shared" si="98"/>
        <v>W7</v>
      </c>
      <c r="D1572" s="2" t="s">
        <v>779</v>
      </c>
      <c r="E1572" s="2" t="s">
        <v>816</v>
      </c>
      <c r="F1572" s="2" t="str" cm="1">
        <f t="array" ref="F1572">INDEX(_xlfn.TEXTSPLIT(E1572,"-"),2)</f>
        <v>男装</v>
      </c>
      <c r="G1572" s="2" t="str" cm="1">
        <f t="array" ref="G1572">INDEX(_xlfn.TEXTSPLIT(E1572,"-"),3)</f>
        <v>棉衣</v>
      </c>
      <c r="H1572" s="5">
        <v>165152</v>
      </c>
      <c r="I1572" s="5">
        <v>21682472.5</v>
      </c>
      <c r="J1572" s="6">
        <v>0.0507</v>
      </c>
      <c r="K1572" s="6">
        <v>-0.2889</v>
      </c>
    </row>
    <row r="1573" ht="14.5" spans="1:11">
      <c r="A1573" s="3" t="str">
        <f t="shared" si="96"/>
        <v>2026年</v>
      </c>
      <c r="B1573" s="3" t="str">
        <f t="shared" si="97"/>
        <v>2月</v>
      </c>
      <c r="C1573" s="4" t="str">
        <f t="shared" si="98"/>
        <v>W7</v>
      </c>
      <c r="D1573" s="2" t="s">
        <v>779</v>
      </c>
      <c r="E1573" s="2" t="s">
        <v>817</v>
      </c>
      <c r="F1573" s="2" t="str" cm="1">
        <f t="array" ref="F1573">INDEX(_xlfn.TEXTSPLIT(E1573,"-"),2)</f>
        <v>男装</v>
      </c>
      <c r="G1573" s="2" t="str" cm="1">
        <f t="array" ref="G1573">INDEX(_xlfn.TEXTSPLIT(E1573,"-"),3)</f>
        <v>棉裤</v>
      </c>
      <c r="H1573" s="5">
        <v>3427</v>
      </c>
      <c r="I1573" s="5">
        <v>246928.37</v>
      </c>
      <c r="J1573" s="6">
        <v>0.0006</v>
      </c>
      <c r="K1573" s="6">
        <v>-0.411</v>
      </c>
    </row>
    <row r="1574" ht="14.5" spans="1:11">
      <c r="A1574" s="3" t="str">
        <f t="shared" si="96"/>
        <v>2026年</v>
      </c>
      <c r="B1574" s="3" t="str">
        <f t="shared" si="97"/>
        <v>2月</v>
      </c>
      <c r="C1574" s="4" t="str">
        <f t="shared" si="98"/>
        <v>W7</v>
      </c>
      <c r="D1574" s="2" t="s">
        <v>779</v>
      </c>
      <c r="E1574" s="2" t="s">
        <v>818</v>
      </c>
      <c r="F1574" s="2" t="str" cm="1">
        <f t="array" ref="F1574">INDEX(_xlfn.TEXTSPLIT(E1574,"-"),2)</f>
        <v>男装</v>
      </c>
      <c r="G1574" s="2" t="str" cm="1">
        <f t="array" ref="G1574">INDEX(_xlfn.TEXTSPLIT(E1574,"-"),3)</f>
        <v>毛呢大衣</v>
      </c>
      <c r="H1574" s="5">
        <v>28013</v>
      </c>
      <c r="I1574" s="5">
        <v>11993282.57</v>
      </c>
      <c r="J1574" s="6">
        <v>0.028</v>
      </c>
      <c r="K1574" s="6">
        <v>-0.2644</v>
      </c>
    </row>
    <row r="1575" ht="14.5" spans="1:11">
      <c r="A1575" s="3" t="str">
        <f t="shared" si="96"/>
        <v>2026年</v>
      </c>
      <c r="B1575" s="3" t="str">
        <f t="shared" si="97"/>
        <v>2月</v>
      </c>
      <c r="C1575" s="4" t="str">
        <f t="shared" si="98"/>
        <v>W7</v>
      </c>
      <c r="D1575" s="2" t="s">
        <v>779</v>
      </c>
      <c r="E1575" s="2" t="s">
        <v>819</v>
      </c>
      <c r="F1575" s="2" t="str" cm="1">
        <f t="array" ref="F1575">INDEX(_xlfn.TEXTSPLIT(E1575,"-"),2)</f>
        <v>男装</v>
      </c>
      <c r="G1575" s="2" t="str" cm="1">
        <f t="array" ref="G1575">INDEX(_xlfn.TEXTSPLIT(E1575,"-"),3)</f>
        <v>民族服装</v>
      </c>
      <c r="H1575" s="5">
        <v>4227</v>
      </c>
      <c r="I1575" s="5">
        <v>936348.13</v>
      </c>
      <c r="J1575" s="6">
        <v>0.0022</v>
      </c>
      <c r="K1575" s="6">
        <v>-0.2729</v>
      </c>
    </row>
    <row r="1576" ht="14.5" spans="1:11">
      <c r="A1576" s="3" t="str">
        <f t="shared" si="96"/>
        <v>2026年</v>
      </c>
      <c r="B1576" s="3" t="str">
        <f t="shared" si="97"/>
        <v>2月</v>
      </c>
      <c r="C1576" s="4" t="str">
        <f t="shared" si="98"/>
        <v>W7</v>
      </c>
      <c r="D1576" s="2" t="s">
        <v>779</v>
      </c>
      <c r="E1576" s="2" t="s">
        <v>820</v>
      </c>
      <c r="F1576" s="2" t="str" cm="1">
        <f t="array" ref="F1576">INDEX(_xlfn.TEXTSPLIT(E1576,"-"),2)</f>
        <v>男装</v>
      </c>
      <c r="G1576" s="2" t="str" cm="1">
        <f t="array" ref="G1576">INDEX(_xlfn.TEXTSPLIT(E1576,"-"),3)</f>
        <v>派克服</v>
      </c>
      <c r="H1576" s="5">
        <v>3430</v>
      </c>
      <c r="I1576" s="5">
        <v>690801.67</v>
      </c>
      <c r="J1576" s="6">
        <v>0.0016</v>
      </c>
      <c r="K1576" s="6">
        <v>-0.2129</v>
      </c>
    </row>
    <row r="1577" ht="14.5" spans="1:11">
      <c r="A1577" s="3" t="str">
        <f t="shared" si="96"/>
        <v>2026年</v>
      </c>
      <c r="B1577" s="3" t="str">
        <f t="shared" si="97"/>
        <v>2月</v>
      </c>
      <c r="C1577" s="4" t="str">
        <f t="shared" si="98"/>
        <v>W7</v>
      </c>
      <c r="D1577" s="2" t="s">
        <v>779</v>
      </c>
      <c r="E1577" s="2" t="s">
        <v>821</v>
      </c>
      <c r="F1577" s="2" t="str" cm="1">
        <f t="array" ref="F1577">INDEX(_xlfn.TEXTSPLIT(E1577,"-"),2)</f>
        <v>男装</v>
      </c>
      <c r="G1577" s="2" t="str" cm="1">
        <f t="array" ref="G1577">INDEX(_xlfn.TEXTSPLIT(E1577,"-"),3)</f>
        <v>牛仔裤</v>
      </c>
      <c r="H1577" s="5">
        <v>338458</v>
      </c>
      <c r="I1577" s="5">
        <v>40558517.92</v>
      </c>
      <c r="J1577" s="6">
        <v>0.0948</v>
      </c>
      <c r="K1577" s="6">
        <v>-0.2808</v>
      </c>
    </row>
    <row r="1578" ht="14.5" spans="1:11">
      <c r="A1578" s="3" t="str">
        <f t="shared" si="96"/>
        <v>2026年</v>
      </c>
      <c r="B1578" s="3" t="str">
        <f t="shared" si="97"/>
        <v>2月</v>
      </c>
      <c r="C1578" s="4" t="str">
        <f t="shared" si="98"/>
        <v>W7</v>
      </c>
      <c r="D1578" s="2" t="s">
        <v>779</v>
      </c>
      <c r="E1578" s="2" t="s">
        <v>822</v>
      </c>
      <c r="F1578" s="2" t="str" cm="1">
        <f t="array" ref="F1578">INDEX(_xlfn.TEXTSPLIT(E1578,"-"),2)</f>
        <v>男装</v>
      </c>
      <c r="G1578" s="2" t="str" cm="1">
        <f t="array" ref="G1578">INDEX(_xlfn.TEXTSPLIT(E1578,"-"),3)</f>
        <v>皮草</v>
      </c>
      <c r="H1578" s="5">
        <v>2493</v>
      </c>
      <c r="I1578" s="5">
        <v>2089361.84</v>
      </c>
      <c r="J1578" s="6">
        <v>0.0049</v>
      </c>
      <c r="K1578" s="6">
        <v>-0.202</v>
      </c>
    </row>
    <row r="1579" ht="14.5" spans="1:11">
      <c r="A1579" s="3" t="str">
        <f t="shared" si="96"/>
        <v>2026年</v>
      </c>
      <c r="B1579" s="3" t="str">
        <f t="shared" si="97"/>
        <v>2月</v>
      </c>
      <c r="C1579" s="4" t="str">
        <f t="shared" si="98"/>
        <v>W7</v>
      </c>
      <c r="D1579" s="2" t="s">
        <v>779</v>
      </c>
      <c r="E1579" s="2" t="s">
        <v>823</v>
      </c>
      <c r="F1579" s="2" t="str" cm="1">
        <f t="array" ref="F1579">INDEX(_xlfn.TEXTSPLIT(E1579,"-"),2)</f>
        <v>男装</v>
      </c>
      <c r="G1579" s="2" t="str" cm="1">
        <f t="array" ref="G1579">INDEX(_xlfn.TEXTSPLIT(E1579,"-"),3)</f>
        <v>皮衣</v>
      </c>
      <c r="H1579" s="5">
        <v>44497</v>
      </c>
      <c r="I1579" s="5">
        <v>19517100.99</v>
      </c>
      <c r="J1579" s="6">
        <v>0.0456</v>
      </c>
      <c r="K1579" s="6">
        <v>-0.2638</v>
      </c>
    </row>
    <row r="1580" ht="14.5" spans="1:11">
      <c r="A1580" s="3" t="str">
        <f t="shared" si="96"/>
        <v>2026年</v>
      </c>
      <c r="B1580" s="3" t="str">
        <f t="shared" si="97"/>
        <v>2月</v>
      </c>
      <c r="C1580" s="4" t="str">
        <f t="shared" si="98"/>
        <v>W7</v>
      </c>
      <c r="D1580" s="2" t="s">
        <v>779</v>
      </c>
      <c r="E1580" s="2" t="s">
        <v>824</v>
      </c>
      <c r="F1580" s="2" t="str" cm="1">
        <f t="array" ref="F1580">INDEX(_xlfn.TEXTSPLIT(E1580,"-"),2)</f>
        <v>男装</v>
      </c>
      <c r="G1580" s="2" t="str" cm="1">
        <f t="array" ref="G1580">INDEX(_xlfn.TEXTSPLIT(E1580,"-"),3)</f>
        <v>皮裤</v>
      </c>
      <c r="H1580" s="5">
        <v>379</v>
      </c>
      <c r="I1580" s="5">
        <v>110832.81</v>
      </c>
      <c r="J1580" s="6">
        <v>0.0003</v>
      </c>
      <c r="K1580" s="6">
        <v>-0.2559</v>
      </c>
    </row>
    <row r="1581" ht="14.5" spans="1:11">
      <c r="A1581" s="3" t="str">
        <f t="shared" si="96"/>
        <v>2026年</v>
      </c>
      <c r="B1581" s="3" t="str">
        <f t="shared" si="97"/>
        <v>2月</v>
      </c>
      <c r="C1581" s="4" t="str">
        <f t="shared" si="98"/>
        <v>W7</v>
      </c>
      <c r="D1581" s="2" t="s">
        <v>779</v>
      </c>
      <c r="E1581" s="2" t="s">
        <v>825</v>
      </c>
      <c r="F1581" s="2" t="str" cm="1">
        <f t="array" ref="F1581">INDEX(_xlfn.TEXTSPLIT(E1581,"-"),2)</f>
        <v>男装</v>
      </c>
      <c r="G1581" s="2" t="str" cm="1">
        <f t="array" ref="G1581">INDEX(_xlfn.TEXTSPLIT(E1581,"-"),3)</f>
        <v>短外套</v>
      </c>
      <c r="H1581" s="5">
        <v>23252</v>
      </c>
      <c r="I1581" s="5">
        <v>2222128.07</v>
      </c>
      <c r="J1581" s="6">
        <v>0.0052</v>
      </c>
      <c r="K1581" s="6">
        <v>-0.2072</v>
      </c>
    </row>
    <row r="1582" ht="14.5" spans="1:11">
      <c r="A1582" s="3" t="str">
        <f t="shared" si="96"/>
        <v>2026年</v>
      </c>
      <c r="B1582" s="3" t="str">
        <f t="shared" si="97"/>
        <v>2月</v>
      </c>
      <c r="C1582" s="4" t="str">
        <f t="shared" si="98"/>
        <v>W7</v>
      </c>
      <c r="D1582" s="2" t="s">
        <v>779</v>
      </c>
      <c r="E1582" s="2" t="s">
        <v>826</v>
      </c>
      <c r="F1582" s="2" t="str" cm="1">
        <f t="array" ref="F1582">INDEX(_xlfn.TEXTSPLIT(E1582,"-"),2)</f>
        <v>男装</v>
      </c>
      <c r="G1582" s="2" t="str" cm="1">
        <f t="array" ref="G1582">INDEX(_xlfn.TEXTSPLIT(E1582,"-"),3)</f>
        <v>短裤</v>
      </c>
      <c r="H1582" s="5">
        <v>24451</v>
      </c>
      <c r="I1582" s="5">
        <v>870643.07</v>
      </c>
      <c r="J1582" s="6">
        <v>0.002</v>
      </c>
      <c r="K1582" s="6">
        <v>-0.292</v>
      </c>
    </row>
    <row r="1583" ht="14.5" spans="1:11">
      <c r="A1583" s="3" t="str">
        <f t="shared" si="96"/>
        <v>2026年</v>
      </c>
      <c r="B1583" s="3" t="str">
        <f t="shared" si="97"/>
        <v>2月</v>
      </c>
      <c r="C1583" s="4" t="str">
        <f t="shared" si="98"/>
        <v>W7</v>
      </c>
      <c r="D1583" s="2" t="s">
        <v>779</v>
      </c>
      <c r="E1583" s="2" t="s">
        <v>827</v>
      </c>
      <c r="F1583" s="2" t="str" cm="1">
        <f t="array" ref="F1583">INDEX(_xlfn.TEXTSPLIT(E1583,"-"),2)</f>
        <v>男装</v>
      </c>
      <c r="G1583" s="2" t="str" cm="1">
        <f t="array" ref="G1583">INDEX(_xlfn.TEXTSPLIT(E1583,"-"),3)</f>
        <v>紧身衣</v>
      </c>
      <c r="H1583" s="5">
        <v>140</v>
      </c>
      <c r="I1583" s="5">
        <v>4034.51</v>
      </c>
      <c r="J1583" s="2" t="s">
        <v>713</v>
      </c>
      <c r="K1583" s="6">
        <v>-0.3948</v>
      </c>
    </row>
    <row r="1584" ht="14.5" spans="1:11">
      <c r="A1584" s="3" t="str">
        <f t="shared" si="96"/>
        <v>2026年</v>
      </c>
      <c r="B1584" s="3" t="str">
        <f t="shared" si="97"/>
        <v>2月</v>
      </c>
      <c r="C1584" s="4" t="str">
        <f t="shared" si="98"/>
        <v>W7</v>
      </c>
      <c r="D1584" s="2" t="s">
        <v>779</v>
      </c>
      <c r="E1584" s="2" t="s">
        <v>828</v>
      </c>
      <c r="F1584" s="2" t="str" cm="1">
        <f t="array" ref="F1584">INDEX(_xlfn.TEXTSPLIT(E1584,"-"),2)</f>
        <v>男装</v>
      </c>
      <c r="G1584" s="2" t="str" cm="1">
        <f t="array" ref="G1584">INDEX(_xlfn.TEXTSPLIT(E1584,"-"),3)</f>
        <v>羊毛衫</v>
      </c>
      <c r="H1584" s="5">
        <v>45714</v>
      </c>
      <c r="I1584" s="5">
        <v>7504038.24</v>
      </c>
      <c r="J1584" s="6">
        <v>0.0175</v>
      </c>
      <c r="K1584" s="6">
        <v>-0.3018</v>
      </c>
    </row>
    <row r="1585" ht="14.5" spans="1:11">
      <c r="A1585" s="3" t="str">
        <f t="shared" si="96"/>
        <v>2026年</v>
      </c>
      <c r="B1585" s="3" t="str">
        <f t="shared" si="97"/>
        <v>2月</v>
      </c>
      <c r="C1585" s="4" t="str">
        <f t="shared" si="98"/>
        <v>W7</v>
      </c>
      <c r="D1585" s="2" t="s">
        <v>779</v>
      </c>
      <c r="E1585" s="2" t="s">
        <v>829</v>
      </c>
      <c r="F1585" s="2" t="str" cm="1">
        <f t="array" ref="F1585">INDEX(_xlfn.TEXTSPLIT(E1585,"-"),2)</f>
        <v>男装</v>
      </c>
      <c r="G1585" s="2" t="str" cm="1">
        <f t="array" ref="G1585">INDEX(_xlfn.TEXTSPLIT(E1585,"-"),3)</f>
        <v>羊绒衫</v>
      </c>
      <c r="H1585" s="5">
        <v>7120</v>
      </c>
      <c r="I1585" s="5">
        <v>2672595.55</v>
      </c>
      <c r="J1585" s="6">
        <v>0.0062</v>
      </c>
      <c r="K1585" s="6">
        <v>-0.2772</v>
      </c>
    </row>
    <row r="1586" ht="14.5" spans="1:11">
      <c r="A1586" s="3" t="str">
        <f t="shared" si="96"/>
        <v>2026年</v>
      </c>
      <c r="B1586" s="3" t="str">
        <f t="shared" si="97"/>
        <v>2月</v>
      </c>
      <c r="C1586" s="4" t="str">
        <f t="shared" si="98"/>
        <v>W7</v>
      </c>
      <c r="D1586" s="2" t="s">
        <v>779</v>
      </c>
      <c r="E1586" s="2" t="s">
        <v>830</v>
      </c>
      <c r="F1586" s="2" t="str" cm="1">
        <f t="array" ref="F1586">INDEX(_xlfn.TEXTSPLIT(E1586,"-"),2)</f>
        <v>男装</v>
      </c>
      <c r="G1586" s="2" t="str" cm="1">
        <f t="array" ref="G1586">INDEX(_xlfn.TEXTSPLIT(E1586,"-"),3)</f>
        <v>羽绒服</v>
      </c>
      <c r="H1586" s="5">
        <v>258912</v>
      </c>
      <c r="I1586" s="5">
        <v>86403699.34</v>
      </c>
      <c r="J1586" s="6">
        <v>0.2019</v>
      </c>
      <c r="K1586" s="6">
        <v>-0.286</v>
      </c>
    </row>
    <row r="1587" ht="14.5" spans="1:11">
      <c r="A1587" s="3" t="str">
        <f t="shared" si="96"/>
        <v>2026年</v>
      </c>
      <c r="B1587" s="3" t="str">
        <f t="shared" si="97"/>
        <v>2月</v>
      </c>
      <c r="C1587" s="4" t="str">
        <f t="shared" si="98"/>
        <v>W7</v>
      </c>
      <c r="D1587" s="2" t="s">
        <v>779</v>
      </c>
      <c r="E1587" s="2" t="s">
        <v>831</v>
      </c>
      <c r="F1587" s="2" t="str" cm="1">
        <f t="array" ref="F1587">INDEX(_xlfn.TEXTSPLIT(E1587,"-"),2)</f>
        <v>男装</v>
      </c>
      <c r="G1587" s="2" t="str" cm="1">
        <f t="array" ref="G1587">INDEX(_xlfn.TEXTSPLIT(E1587,"-"),3)</f>
        <v>羽绒裤</v>
      </c>
      <c r="H1587" s="5">
        <v>3749</v>
      </c>
      <c r="I1587" s="5">
        <v>581359.6</v>
      </c>
      <c r="J1587" s="6">
        <v>0.0014</v>
      </c>
      <c r="K1587" s="6">
        <v>-0.279</v>
      </c>
    </row>
    <row r="1588" ht="14.5" spans="1:11">
      <c r="A1588" s="3" t="str">
        <f t="shared" si="96"/>
        <v>2026年</v>
      </c>
      <c r="B1588" s="3" t="str">
        <f t="shared" si="97"/>
        <v>2月</v>
      </c>
      <c r="C1588" s="4" t="str">
        <f t="shared" si="98"/>
        <v>W7</v>
      </c>
      <c r="D1588" s="2" t="s">
        <v>779</v>
      </c>
      <c r="E1588" s="2" t="s">
        <v>832</v>
      </c>
      <c r="F1588" s="2" t="str" cm="1">
        <f t="array" ref="F1588">INDEX(_xlfn.TEXTSPLIT(E1588,"-"),2)</f>
        <v>男装</v>
      </c>
      <c r="G1588" s="2" t="str" cm="1">
        <f t="array" ref="G1588">INDEX(_xlfn.TEXTSPLIT(E1588,"-"),3)</f>
        <v>羽绒马甲</v>
      </c>
      <c r="H1588" s="5">
        <v>5109</v>
      </c>
      <c r="I1588" s="5">
        <v>1253631.52</v>
      </c>
      <c r="J1588" s="6">
        <v>0.0029</v>
      </c>
      <c r="K1588" s="6">
        <v>-0.0892</v>
      </c>
    </row>
    <row r="1589" ht="14.5" spans="1:11">
      <c r="A1589" s="3" t="str">
        <f t="shared" si="96"/>
        <v>2026年</v>
      </c>
      <c r="B1589" s="3" t="str">
        <f t="shared" si="97"/>
        <v>2月</v>
      </c>
      <c r="C1589" s="4" t="str">
        <f t="shared" si="98"/>
        <v>W7</v>
      </c>
      <c r="D1589" s="2" t="s">
        <v>779</v>
      </c>
      <c r="E1589" s="2" t="s">
        <v>833</v>
      </c>
      <c r="F1589" s="2" t="str" cm="1">
        <f t="array" ref="F1589">INDEX(_xlfn.TEXTSPLIT(E1589,"-"),2)</f>
        <v>男装</v>
      </c>
      <c r="G1589" s="2" t="str" cm="1">
        <f t="array" ref="G1589">INDEX(_xlfn.TEXTSPLIT(E1589,"-"),3)</f>
        <v>背心</v>
      </c>
      <c r="H1589" s="5">
        <v>16160</v>
      </c>
      <c r="I1589" s="5">
        <v>1038314.64</v>
      </c>
      <c r="J1589" s="6">
        <v>0.0024</v>
      </c>
      <c r="K1589" s="6">
        <v>-0.3507</v>
      </c>
    </row>
    <row r="1590" ht="14.5" spans="1:11">
      <c r="A1590" s="3" t="str">
        <f t="shared" si="96"/>
        <v>2026年</v>
      </c>
      <c r="B1590" s="3" t="str">
        <f t="shared" si="97"/>
        <v>2月</v>
      </c>
      <c r="C1590" s="4" t="str">
        <f t="shared" si="98"/>
        <v>W7</v>
      </c>
      <c r="D1590" s="2" t="s">
        <v>779</v>
      </c>
      <c r="E1590" s="2" t="s">
        <v>834</v>
      </c>
      <c r="F1590" s="2" t="str" cm="1">
        <f t="array" ref="F1590">INDEX(_xlfn.TEXTSPLIT(E1590,"-"),2)</f>
        <v>男装</v>
      </c>
      <c r="G1590" s="2" t="str" cm="1">
        <f t="array" ref="G1590">INDEX(_xlfn.TEXTSPLIT(E1590,"-"),3)</f>
        <v>衬衫</v>
      </c>
      <c r="H1590" s="5">
        <v>53018</v>
      </c>
      <c r="I1590" s="5">
        <v>7332987.56</v>
      </c>
      <c r="J1590" s="6">
        <v>0.0171</v>
      </c>
      <c r="K1590" s="6">
        <v>-0.2268</v>
      </c>
    </row>
    <row r="1591" ht="14.5" spans="1:11">
      <c r="A1591" s="3" t="str">
        <f t="shared" si="96"/>
        <v>2026年</v>
      </c>
      <c r="B1591" s="3" t="str">
        <f t="shared" si="97"/>
        <v>2月</v>
      </c>
      <c r="C1591" s="4" t="str">
        <f t="shared" si="98"/>
        <v>W7</v>
      </c>
      <c r="D1591" s="2" t="s">
        <v>779</v>
      </c>
      <c r="E1591" s="2" t="s">
        <v>835</v>
      </c>
      <c r="F1591" s="2" t="str" cm="1">
        <f t="array" ref="F1591">INDEX(_xlfn.TEXTSPLIT(E1591,"-"),2)</f>
        <v>男装</v>
      </c>
      <c r="G1591" s="2" t="str" cm="1">
        <f t="array" ref="G1591">INDEX(_xlfn.TEXTSPLIT(E1591,"-"),3)</f>
        <v>西服</v>
      </c>
      <c r="H1591" s="5">
        <v>57343</v>
      </c>
      <c r="I1591" s="5">
        <v>11667724.25</v>
      </c>
      <c r="J1591" s="6">
        <v>0.0273</v>
      </c>
      <c r="K1591" s="6">
        <v>-0.1232</v>
      </c>
    </row>
    <row r="1592" ht="14.5" spans="1:11">
      <c r="A1592" s="3" t="str">
        <f t="shared" si="96"/>
        <v>2026年</v>
      </c>
      <c r="B1592" s="3" t="str">
        <f t="shared" si="97"/>
        <v>2月</v>
      </c>
      <c r="C1592" s="4" t="str">
        <f t="shared" si="98"/>
        <v>W7</v>
      </c>
      <c r="D1592" s="2" t="s">
        <v>779</v>
      </c>
      <c r="E1592" s="2" t="s">
        <v>836</v>
      </c>
      <c r="F1592" s="2" t="str" cm="1">
        <f t="array" ref="F1592">INDEX(_xlfn.TEXTSPLIT(E1592,"-"),2)</f>
        <v>男装</v>
      </c>
      <c r="G1592" s="2" t="str" cm="1">
        <f t="array" ref="G1592">INDEX(_xlfn.TEXTSPLIT(E1592,"-"),3)</f>
        <v>连体衣/裤</v>
      </c>
      <c r="H1592" s="5">
        <v>1085</v>
      </c>
      <c r="I1592" s="5">
        <v>37460.71</v>
      </c>
      <c r="J1592" s="6">
        <v>0.0001</v>
      </c>
      <c r="K1592" s="6">
        <v>0.0392</v>
      </c>
    </row>
    <row r="1593" ht="14.5" spans="1:11">
      <c r="A1593" s="3" t="str">
        <f t="shared" si="96"/>
        <v>2026年</v>
      </c>
      <c r="B1593" s="3" t="str">
        <f t="shared" si="97"/>
        <v>2月</v>
      </c>
      <c r="C1593" s="4" t="str">
        <f t="shared" si="98"/>
        <v>W7</v>
      </c>
      <c r="D1593" s="2" t="s">
        <v>779</v>
      </c>
      <c r="E1593" s="2" t="s">
        <v>837</v>
      </c>
      <c r="F1593" s="2" t="str" cm="1">
        <f t="array" ref="F1593">INDEX(_xlfn.TEXTSPLIT(E1593,"-"),2)</f>
        <v>男装</v>
      </c>
      <c r="G1593" s="2" t="str" cm="1">
        <f t="array" ref="G1593">INDEX(_xlfn.TEXTSPLIT(E1593,"-"),3)</f>
        <v>速干/三防T恤</v>
      </c>
      <c r="H1593" s="5">
        <v>407</v>
      </c>
      <c r="I1593" s="5">
        <v>52330.93</v>
      </c>
      <c r="J1593" s="6">
        <v>0.0001</v>
      </c>
      <c r="K1593" s="6">
        <v>-0.2779</v>
      </c>
    </row>
    <row r="1594" ht="14.5" spans="1:11">
      <c r="A1594" s="3" t="str">
        <f t="shared" si="96"/>
        <v>2026年</v>
      </c>
      <c r="B1594" s="3" t="str">
        <f t="shared" si="97"/>
        <v>2月</v>
      </c>
      <c r="C1594" s="4" t="str">
        <f t="shared" si="98"/>
        <v>W7</v>
      </c>
      <c r="D1594" s="2" t="s">
        <v>779</v>
      </c>
      <c r="E1594" s="2" t="s">
        <v>838</v>
      </c>
      <c r="F1594" s="2" t="str" cm="1">
        <f t="array" ref="F1594">INDEX(_xlfn.TEXTSPLIT(E1594,"-"),2)</f>
        <v>男装</v>
      </c>
      <c r="G1594" s="2" t="str" cm="1">
        <f t="array" ref="G1594">INDEX(_xlfn.TEXTSPLIT(E1594,"-"),3)</f>
        <v>针织衫/毛衣</v>
      </c>
      <c r="H1594" s="5">
        <v>169255</v>
      </c>
      <c r="I1594" s="5">
        <v>22413496.72</v>
      </c>
      <c r="J1594" s="6">
        <v>0.0524</v>
      </c>
      <c r="K1594" s="6">
        <v>-0.3197</v>
      </c>
    </row>
    <row r="1595" ht="14.5" spans="1:11">
      <c r="A1595" s="3" t="str">
        <f t="shared" si="96"/>
        <v>2026年</v>
      </c>
      <c r="B1595" s="3" t="str">
        <f t="shared" si="97"/>
        <v>2月</v>
      </c>
      <c r="C1595" s="4" t="str">
        <f t="shared" si="98"/>
        <v>W7</v>
      </c>
      <c r="D1595" s="2" t="s">
        <v>779</v>
      </c>
      <c r="E1595" s="2" t="s">
        <v>839</v>
      </c>
      <c r="F1595" s="2" t="str" cm="1">
        <f t="array" ref="F1595">INDEX(_xlfn.TEXTSPLIT(E1595,"-"),2)</f>
        <v>男装</v>
      </c>
      <c r="G1595" s="2" t="str" cm="1">
        <f t="array" ref="G1595">INDEX(_xlfn.TEXTSPLIT(E1595,"-"),3)</f>
        <v>防晒服</v>
      </c>
      <c r="H1595" s="5">
        <v>202</v>
      </c>
      <c r="I1595" s="5">
        <v>23767.76</v>
      </c>
      <c r="J1595" s="6">
        <v>0.0001</v>
      </c>
      <c r="K1595" s="6">
        <v>-0.278</v>
      </c>
    </row>
    <row r="1596" ht="14.5" spans="1:11">
      <c r="A1596" s="3" t="str">
        <f t="shared" si="96"/>
        <v>2026年</v>
      </c>
      <c r="B1596" s="3" t="str">
        <f t="shared" si="97"/>
        <v>2月</v>
      </c>
      <c r="C1596" s="4" t="str">
        <f t="shared" si="98"/>
        <v>W7</v>
      </c>
      <c r="D1596" s="2" t="s">
        <v>779</v>
      </c>
      <c r="E1596" s="2" t="s">
        <v>840</v>
      </c>
      <c r="F1596" s="2" t="str" cm="1">
        <f t="array" ref="F1596">INDEX(_xlfn.TEXTSPLIT(E1596,"-"),2)</f>
        <v>男装</v>
      </c>
      <c r="G1596" s="2" t="str" cm="1">
        <f t="array" ref="G1596">INDEX(_xlfn.TEXTSPLIT(E1596,"-"),3)</f>
        <v>风衣</v>
      </c>
      <c r="H1596" s="5">
        <v>4821</v>
      </c>
      <c r="I1596" s="5">
        <v>1718996.86</v>
      </c>
      <c r="J1596" s="6">
        <v>0.004</v>
      </c>
      <c r="K1596" s="6">
        <v>-0.2356</v>
      </c>
    </row>
    <row r="1597" ht="14.5" spans="1:11">
      <c r="A1597" s="3" t="str">
        <f t="shared" si="96"/>
        <v>2026年</v>
      </c>
      <c r="B1597" s="3" t="str">
        <f t="shared" si="97"/>
        <v>2月</v>
      </c>
      <c r="C1597" s="4" t="str">
        <f t="shared" si="98"/>
        <v>W7</v>
      </c>
      <c r="D1597" s="2" t="s">
        <v>779</v>
      </c>
      <c r="E1597" s="2" t="s">
        <v>841</v>
      </c>
      <c r="F1597" s="2" t="str" cm="1">
        <f t="array" ref="F1597">INDEX(_xlfn.TEXTSPLIT(E1597,"-"),2)</f>
        <v>男装</v>
      </c>
      <c r="G1597" s="2" t="str" cm="1">
        <f t="array" ref="G1597">INDEX(_xlfn.TEXTSPLIT(E1597,"-"),3)</f>
        <v>马甲</v>
      </c>
      <c r="H1597" s="5">
        <v>24657</v>
      </c>
      <c r="I1597" s="5">
        <v>2536229.36</v>
      </c>
      <c r="J1597" s="6">
        <v>0.0059</v>
      </c>
      <c r="K1597" s="6">
        <v>-0.1252</v>
      </c>
    </row>
    <row r="1598" ht="14.5" spans="1:11">
      <c r="A1598" s="3" t="str">
        <f t="shared" si="96"/>
        <v>2026年</v>
      </c>
      <c r="B1598" s="3" t="str">
        <f t="shared" si="97"/>
        <v>2月</v>
      </c>
      <c r="C1598" s="4" t="str">
        <f t="shared" si="98"/>
        <v>W7</v>
      </c>
      <c r="D1598" s="2" t="s">
        <v>780</v>
      </c>
      <c r="E1598" s="2" t="s">
        <v>804</v>
      </c>
      <c r="F1598" s="2" t="str" cm="1">
        <f t="array" ref="F1598">INDEX(_xlfn.TEXTSPLIT(E1598,"-"),2)</f>
        <v>男装</v>
      </c>
      <c r="G1598" s="2" t="str" cm="1">
        <f t="array" ref="G1598">INDEX(_xlfn.TEXTSPLIT(E1598,"-"),3)</f>
        <v>Polo衫</v>
      </c>
      <c r="H1598" s="5">
        <v>18391</v>
      </c>
      <c r="I1598" s="5">
        <v>2082434.88</v>
      </c>
      <c r="J1598" s="6">
        <v>0.0062</v>
      </c>
      <c r="K1598" s="6">
        <v>-0.2376</v>
      </c>
    </row>
    <row r="1599" ht="14.5" spans="1:11">
      <c r="A1599" s="3" t="str">
        <f t="shared" si="96"/>
        <v>2026年</v>
      </c>
      <c r="B1599" s="3" t="str">
        <f t="shared" si="97"/>
        <v>2月</v>
      </c>
      <c r="C1599" s="4" t="str">
        <f t="shared" si="98"/>
        <v>W7</v>
      </c>
      <c r="D1599" s="2" t="s">
        <v>780</v>
      </c>
      <c r="E1599" s="2" t="s">
        <v>805</v>
      </c>
      <c r="F1599" s="2" t="str" cm="1">
        <f t="array" ref="F1599">INDEX(_xlfn.TEXTSPLIT(E1599,"-"),2)</f>
        <v>男装</v>
      </c>
      <c r="G1599" s="2" t="str" cm="1">
        <f t="array" ref="G1599">INDEX(_xlfn.TEXTSPLIT(E1599,"-"),3)</f>
        <v>T恤</v>
      </c>
      <c r="H1599" s="5">
        <v>274308</v>
      </c>
      <c r="I1599" s="5">
        <v>21086780.11</v>
      </c>
      <c r="J1599" s="6">
        <v>0.0632</v>
      </c>
      <c r="K1599" s="6">
        <v>-0.1333</v>
      </c>
    </row>
    <row r="1600" ht="14.5" spans="1:11">
      <c r="A1600" s="3" t="str">
        <f t="shared" si="96"/>
        <v>2026年</v>
      </c>
      <c r="B1600" s="3" t="str">
        <f t="shared" si="97"/>
        <v>2月</v>
      </c>
      <c r="C1600" s="4" t="str">
        <f t="shared" si="98"/>
        <v>W7</v>
      </c>
      <c r="D1600" s="2" t="s">
        <v>780</v>
      </c>
      <c r="E1600" s="2" t="s">
        <v>806</v>
      </c>
      <c r="F1600" s="2" t="str" cm="1">
        <f t="array" ref="F1600">INDEX(_xlfn.TEXTSPLIT(E1600,"-"),2)</f>
        <v>男装</v>
      </c>
      <c r="G1600" s="2" t="str" cm="1">
        <f t="array" ref="G1600">INDEX(_xlfn.TEXTSPLIT(E1600,"-"),3)</f>
        <v>中老年男装</v>
      </c>
      <c r="H1600" s="5">
        <v>32717</v>
      </c>
      <c r="I1600" s="5">
        <v>4327461.6</v>
      </c>
      <c r="J1600" s="6">
        <v>0.013</v>
      </c>
      <c r="K1600" s="6">
        <v>-0.2925</v>
      </c>
    </row>
    <row r="1601" ht="14.5" spans="1:11">
      <c r="A1601" s="3" t="str">
        <f t="shared" si="96"/>
        <v>2026年</v>
      </c>
      <c r="B1601" s="3" t="str">
        <f t="shared" si="97"/>
        <v>2月</v>
      </c>
      <c r="C1601" s="4" t="str">
        <f t="shared" si="98"/>
        <v>W7</v>
      </c>
      <c r="D1601" s="2" t="s">
        <v>780</v>
      </c>
      <c r="E1601" s="2" t="s">
        <v>807</v>
      </c>
      <c r="F1601" s="2" t="str" cm="1">
        <f t="array" ref="F1601">INDEX(_xlfn.TEXTSPLIT(E1601,"-"),2)</f>
        <v>男装</v>
      </c>
      <c r="G1601" s="2" t="str" cm="1">
        <f t="array" ref="G1601">INDEX(_xlfn.TEXTSPLIT(E1601,"-"),3)</f>
        <v>休闲裤</v>
      </c>
      <c r="H1601" s="5">
        <v>287277</v>
      </c>
      <c r="I1601" s="5">
        <v>33326752.14</v>
      </c>
      <c r="J1601" s="6">
        <v>0.0999</v>
      </c>
      <c r="K1601" s="6">
        <v>-0.2928</v>
      </c>
    </row>
    <row r="1602" ht="14.5" spans="1:11">
      <c r="A1602" s="3" t="str">
        <f t="shared" si="96"/>
        <v>2026年</v>
      </c>
      <c r="B1602" s="3" t="str">
        <f t="shared" si="97"/>
        <v>2月</v>
      </c>
      <c r="C1602" s="4" t="str">
        <f t="shared" si="98"/>
        <v>W7</v>
      </c>
      <c r="D1602" s="2" t="s">
        <v>780</v>
      </c>
      <c r="E1602" s="2" t="s">
        <v>808</v>
      </c>
      <c r="F1602" s="2" t="str" cm="1">
        <f t="array" ref="F1602">INDEX(_xlfn.TEXTSPLIT(E1602,"-"),2)</f>
        <v>男装</v>
      </c>
      <c r="G1602" s="2" t="str" cm="1">
        <f t="array" ref="G1602">INDEX(_xlfn.TEXTSPLIT(E1602,"-"),3)</f>
        <v>卫衣</v>
      </c>
      <c r="H1602" s="5">
        <v>204905</v>
      </c>
      <c r="I1602" s="5">
        <v>21598417.94</v>
      </c>
      <c r="J1602" s="6">
        <v>0.0648</v>
      </c>
      <c r="K1602" s="6">
        <v>-0.2174</v>
      </c>
    </row>
    <row r="1603" ht="14.5" spans="1:11">
      <c r="A1603" s="3" t="str">
        <f t="shared" si="96"/>
        <v>2026年</v>
      </c>
      <c r="B1603" s="3" t="str">
        <f t="shared" si="97"/>
        <v>2月</v>
      </c>
      <c r="C1603" s="4" t="str">
        <f t="shared" si="98"/>
        <v>W7</v>
      </c>
      <c r="D1603" s="2" t="s">
        <v>780</v>
      </c>
      <c r="E1603" s="2" t="s">
        <v>809</v>
      </c>
      <c r="F1603" s="2" t="str" cm="1">
        <f t="array" ref="F1603">INDEX(_xlfn.TEXTSPLIT(E1603,"-"),2)</f>
        <v>男装</v>
      </c>
      <c r="G1603" s="2" t="str" cm="1">
        <f t="array" ref="G1603">INDEX(_xlfn.TEXTSPLIT(E1603,"-"),3)</f>
        <v>卫裤</v>
      </c>
      <c r="H1603" s="5">
        <v>64184</v>
      </c>
      <c r="I1603" s="5">
        <v>6779699.73</v>
      </c>
      <c r="J1603" s="6">
        <v>0.0203</v>
      </c>
      <c r="K1603" s="6">
        <v>-0.2377</v>
      </c>
    </row>
    <row r="1604" ht="14.5" spans="1:11">
      <c r="A1604" s="3" t="str">
        <f t="shared" si="96"/>
        <v>2026年</v>
      </c>
      <c r="B1604" s="3" t="str">
        <f t="shared" si="97"/>
        <v>2月</v>
      </c>
      <c r="C1604" s="4" t="str">
        <f t="shared" si="98"/>
        <v>W7</v>
      </c>
      <c r="D1604" s="2" t="s">
        <v>780</v>
      </c>
      <c r="E1604" s="2" t="s">
        <v>810</v>
      </c>
      <c r="F1604" s="2" t="str" cm="1">
        <f t="array" ref="F1604">INDEX(_xlfn.TEXTSPLIT(E1604,"-"),2)</f>
        <v>男装</v>
      </c>
      <c r="G1604" s="2" t="str" cm="1">
        <f t="array" ref="G1604">INDEX(_xlfn.TEXTSPLIT(E1604,"-"),3)</f>
        <v>大码男装</v>
      </c>
      <c r="H1604" s="5">
        <v>15779</v>
      </c>
      <c r="I1604" s="5">
        <v>1451197.34</v>
      </c>
      <c r="J1604" s="6">
        <v>0.0044</v>
      </c>
      <c r="K1604" s="6">
        <v>-0.1005</v>
      </c>
    </row>
    <row r="1605" ht="14.5" spans="1:11">
      <c r="A1605" s="3" t="str">
        <f t="shared" si="96"/>
        <v>2026年</v>
      </c>
      <c r="B1605" s="3" t="str">
        <f t="shared" si="97"/>
        <v>2月</v>
      </c>
      <c r="C1605" s="4" t="str">
        <f t="shared" si="98"/>
        <v>W7</v>
      </c>
      <c r="D1605" s="2" t="s">
        <v>780</v>
      </c>
      <c r="E1605" s="2" t="s">
        <v>811</v>
      </c>
      <c r="F1605" s="2" t="str" cm="1">
        <f t="array" ref="F1605">INDEX(_xlfn.TEXTSPLIT(E1605,"-"),2)</f>
        <v>男装</v>
      </c>
      <c r="G1605" s="2" t="str" cm="1">
        <f t="array" ref="G1605">INDEX(_xlfn.TEXTSPLIT(E1605,"-"),3)</f>
        <v>夹克</v>
      </c>
      <c r="H1605" s="5">
        <v>243936</v>
      </c>
      <c r="I1605" s="5">
        <v>50766530.08</v>
      </c>
      <c r="J1605" s="6">
        <v>0.1522</v>
      </c>
      <c r="K1605" s="6">
        <v>-0.1308</v>
      </c>
    </row>
    <row r="1606" ht="14.5" spans="1:11">
      <c r="A1606" s="3" t="str">
        <f t="shared" si="96"/>
        <v>2026年</v>
      </c>
      <c r="B1606" s="3" t="str">
        <f t="shared" si="97"/>
        <v>2月</v>
      </c>
      <c r="C1606" s="4" t="str">
        <f t="shared" si="98"/>
        <v>W7</v>
      </c>
      <c r="D1606" s="2" t="s">
        <v>780</v>
      </c>
      <c r="E1606" s="2" t="s">
        <v>812</v>
      </c>
      <c r="F1606" s="2" t="str" cm="1">
        <f t="array" ref="F1606">INDEX(_xlfn.TEXTSPLIT(E1606,"-"),2)</f>
        <v>男装</v>
      </c>
      <c r="G1606" s="2" t="str" cm="1">
        <f t="array" ref="G1606">INDEX(_xlfn.TEXTSPLIT(E1606,"-"),3)</f>
        <v>套装</v>
      </c>
      <c r="H1606" s="5">
        <v>22781</v>
      </c>
      <c r="I1606" s="5">
        <v>3998107.14</v>
      </c>
      <c r="J1606" s="6">
        <v>0.012</v>
      </c>
      <c r="K1606" s="6">
        <v>-0.0467</v>
      </c>
    </row>
    <row r="1607" ht="14.5" spans="1:11">
      <c r="A1607" s="3" t="str">
        <f t="shared" si="96"/>
        <v>2026年</v>
      </c>
      <c r="B1607" s="3" t="str">
        <f t="shared" si="97"/>
        <v>2月</v>
      </c>
      <c r="C1607" s="4" t="str">
        <f t="shared" si="98"/>
        <v>W7</v>
      </c>
      <c r="D1607" s="2" t="s">
        <v>780</v>
      </c>
      <c r="E1607" s="2" t="s">
        <v>813</v>
      </c>
      <c r="F1607" s="2" t="str" cm="1">
        <f t="array" ref="F1607">INDEX(_xlfn.TEXTSPLIT(E1607,"-"),2)</f>
        <v>男装</v>
      </c>
      <c r="G1607" s="2" t="str" cm="1">
        <f t="array" ref="G1607">INDEX(_xlfn.TEXTSPLIT(E1607,"-"),3)</f>
        <v>学生校服</v>
      </c>
      <c r="H1607" s="5">
        <v>1</v>
      </c>
      <c r="I1607" s="5">
        <v>139</v>
      </c>
      <c r="J1607" s="2" t="s">
        <v>713</v>
      </c>
      <c r="K1607" s="6">
        <v>-0.3691</v>
      </c>
    </row>
    <row r="1608" ht="14.5" spans="1:11">
      <c r="A1608" s="3" t="str">
        <f t="shared" si="96"/>
        <v>2026年</v>
      </c>
      <c r="B1608" s="3" t="str">
        <f t="shared" si="97"/>
        <v>2月</v>
      </c>
      <c r="C1608" s="4" t="str">
        <f t="shared" si="98"/>
        <v>W7</v>
      </c>
      <c r="D1608" s="2" t="s">
        <v>780</v>
      </c>
      <c r="E1608" s="2" t="s">
        <v>814</v>
      </c>
      <c r="F1608" s="2" t="str" cm="1">
        <f t="array" ref="F1608">INDEX(_xlfn.TEXTSPLIT(E1608,"-"),2)</f>
        <v>男装</v>
      </c>
      <c r="G1608" s="2" t="str" cm="1">
        <f t="array" ref="G1608">INDEX(_xlfn.TEXTSPLIT(E1608,"-"),3)</f>
        <v>打底衫</v>
      </c>
      <c r="H1608" s="5">
        <v>3963</v>
      </c>
      <c r="I1608" s="5">
        <v>318105.7</v>
      </c>
      <c r="J1608" s="6">
        <v>0.001</v>
      </c>
      <c r="K1608" s="6">
        <v>-0.5191</v>
      </c>
    </row>
    <row r="1609" ht="14.5" spans="1:11">
      <c r="A1609" s="3" t="str">
        <f t="shared" si="96"/>
        <v>2026年</v>
      </c>
      <c r="B1609" s="3" t="str">
        <f t="shared" si="97"/>
        <v>2月</v>
      </c>
      <c r="C1609" s="4" t="str">
        <f t="shared" si="98"/>
        <v>W7</v>
      </c>
      <c r="D1609" s="2" t="s">
        <v>780</v>
      </c>
      <c r="E1609" s="2" t="s">
        <v>815</v>
      </c>
      <c r="F1609" s="2" t="str" cm="1">
        <f t="array" ref="F1609">INDEX(_xlfn.TEXTSPLIT(E1609,"-"),2)</f>
        <v>男装</v>
      </c>
      <c r="G1609" s="2" t="str" cm="1">
        <f t="array" ref="G1609">INDEX(_xlfn.TEXTSPLIT(E1609,"-"),3)</f>
        <v>新中式男装</v>
      </c>
      <c r="H1609" s="5">
        <v>148</v>
      </c>
      <c r="I1609" s="5">
        <v>54576.4</v>
      </c>
      <c r="J1609" s="6">
        <v>0.0002</v>
      </c>
      <c r="K1609" s="6">
        <v>-0.2272</v>
      </c>
    </row>
    <row r="1610" ht="14.5" spans="1:11">
      <c r="A1610" s="3" t="str">
        <f t="shared" si="96"/>
        <v>2026年</v>
      </c>
      <c r="B1610" s="3" t="str">
        <f t="shared" si="97"/>
        <v>2月</v>
      </c>
      <c r="C1610" s="4" t="str">
        <f t="shared" si="98"/>
        <v>W7</v>
      </c>
      <c r="D1610" s="2" t="s">
        <v>780</v>
      </c>
      <c r="E1610" s="2" t="s">
        <v>816</v>
      </c>
      <c r="F1610" s="2" t="str" cm="1">
        <f t="array" ref="F1610">INDEX(_xlfn.TEXTSPLIT(E1610,"-"),2)</f>
        <v>男装</v>
      </c>
      <c r="G1610" s="2" t="str" cm="1">
        <f t="array" ref="G1610">INDEX(_xlfn.TEXTSPLIT(E1610,"-"),3)</f>
        <v>棉衣</v>
      </c>
      <c r="H1610" s="5">
        <v>114944</v>
      </c>
      <c r="I1610" s="5">
        <v>16152159.27</v>
      </c>
      <c r="J1610" s="6">
        <v>0.0484</v>
      </c>
      <c r="K1610" s="6">
        <v>-0.2551</v>
      </c>
    </row>
    <row r="1611" ht="14.5" spans="1:11">
      <c r="A1611" s="3" t="str">
        <f t="shared" si="96"/>
        <v>2026年</v>
      </c>
      <c r="B1611" s="3" t="str">
        <f t="shared" si="97"/>
        <v>2月</v>
      </c>
      <c r="C1611" s="4" t="str">
        <f t="shared" si="98"/>
        <v>W7</v>
      </c>
      <c r="D1611" s="2" t="s">
        <v>780</v>
      </c>
      <c r="E1611" s="2" t="s">
        <v>817</v>
      </c>
      <c r="F1611" s="2" t="str" cm="1">
        <f t="array" ref="F1611">INDEX(_xlfn.TEXTSPLIT(E1611,"-"),2)</f>
        <v>男装</v>
      </c>
      <c r="G1611" s="2" t="str" cm="1">
        <f t="array" ref="G1611">INDEX(_xlfn.TEXTSPLIT(E1611,"-"),3)</f>
        <v>棉裤</v>
      </c>
      <c r="H1611" s="5">
        <v>2084</v>
      </c>
      <c r="I1611" s="5">
        <v>141961.86</v>
      </c>
      <c r="J1611" s="6">
        <v>0.0004</v>
      </c>
      <c r="K1611" s="6">
        <v>-0.4251</v>
      </c>
    </row>
    <row r="1612" ht="14.5" spans="1:11">
      <c r="A1612" s="3" t="str">
        <f t="shared" si="96"/>
        <v>2026年</v>
      </c>
      <c r="B1612" s="3" t="str">
        <f t="shared" si="97"/>
        <v>2月</v>
      </c>
      <c r="C1612" s="4" t="str">
        <f t="shared" si="98"/>
        <v>W7</v>
      </c>
      <c r="D1612" s="2" t="s">
        <v>780</v>
      </c>
      <c r="E1612" s="2" t="s">
        <v>818</v>
      </c>
      <c r="F1612" s="2" t="str" cm="1">
        <f t="array" ref="F1612">INDEX(_xlfn.TEXTSPLIT(E1612,"-"),2)</f>
        <v>男装</v>
      </c>
      <c r="G1612" s="2" t="str" cm="1">
        <f t="array" ref="G1612">INDEX(_xlfn.TEXTSPLIT(E1612,"-"),3)</f>
        <v>毛呢大衣</v>
      </c>
      <c r="H1612" s="5">
        <v>24163</v>
      </c>
      <c r="I1612" s="5">
        <v>9844713.08</v>
      </c>
      <c r="J1612" s="6">
        <v>0.0295</v>
      </c>
      <c r="K1612" s="6">
        <v>-0.1791</v>
      </c>
    </row>
    <row r="1613" ht="14.5" spans="1:11">
      <c r="A1613" s="3" t="str">
        <f t="shared" si="96"/>
        <v>2026年</v>
      </c>
      <c r="B1613" s="3" t="str">
        <f t="shared" si="97"/>
        <v>2月</v>
      </c>
      <c r="C1613" s="4" t="str">
        <f t="shared" si="98"/>
        <v>W7</v>
      </c>
      <c r="D1613" s="2" t="s">
        <v>780</v>
      </c>
      <c r="E1613" s="2" t="s">
        <v>819</v>
      </c>
      <c r="F1613" s="2" t="str" cm="1">
        <f t="array" ref="F1613">INDEX(_xlfn.TEXTSPLIT(E1613,"-"),2)</f>
        <v>男装</v>
      </c>
      <c r="G1613" s="2" t="str" cm="1">
        <f t="array" ref="G1613">INDEX(_xlfn.TEXTSPLIT(E1613,"-"),3)</f>
        <v>民族服装</v>
      </c>
      <c r="H1613" s="5">
        <v>3190</v>
      </c>
      <c r="I1613" s="5">
        <v>707537.58</v>
      </c>
      <c r="J1613" s="6">
        <v>0.0021</v>
      </c>
      <c r="K1613" s="6">
        <v>-0.2444</v>
      </c>
    </row>
    <row r="1614" ht="14.5" spans="1:11">
      <c r="A1614" s="3" t="str">
        <f t="shared" si="96"/>
        <v>2026年</v>
      </c>
      <c r="B1614" s="3" t="str">
        <f t="shared" si="97"/>
        <v>2月</v>
      </c>
      <c r="C1614" s="4" t="str">
        <f t="shared" si="98"/>
        <v>W7</v>
      </c>
      <c r="D1614" s="2" t="s">
        <v>780</v>
      </c>
      <c r="E1614" s="2" t="s">
        <v>820</v>
      </c>
      <c r="F1614" s="2" t="str" cm="1">
        <f t="array" ref="F1614">INDEX(_xlfn.TEXTSPLIT(E1614,"-"),2)</f>
        <v>男装</v>
      </c>
      <c r="G1614" s="2" t="str" cm="1">
        <f t="array" ref="G1614">INDEX(_xlfn.TEXTSPLIT(E1614,"-"),3)</f>
        <v>派克服</v>
      </c>
      <c r="H1614" s="5">
        <v>2424</v>
      </c>
      <c r="I1614" s="5">
        <v>536435.85</v>
      </c>
      <c r="J1614" s="6">
        <v>0.0016</v>
      </c>
      <c r="K1614" s="6">
        <v>-0.2235</v>
      </c>
    </row>
    <row r="1615" ht="14.5" spans="1:11">
      <c r="A1615" s="3" t="str">
        <f t="shared" si="96"/>
        <v>2026年</v>
      </c>
      <c r="B1615" s="3" t="str">
        <f t="shared" si="97"/>
        <v>2月</v>
      </c>
      <c r="C1615" s="4" t="str">
        <f t="shared" si="98"/>
        <v>W7</v>
      </c>
      <c r="D1615" s="2" t="s">
        <v>780</v>
      </c>
      <c r="E1615" s="2" t="s">
        <v>821</v>
      </c>
      <c r="F1615" s="2" t="str" cm="1">
        <f t="array" ref="F1615">INDEX(_xlfn.TEXTSPLIT(E1615,"-"),2)</f>
        <v>男装</v>
      </c>
      <c r="G1615" s="2" t="str" cm="1">
        <f t="array" ref="G1615">INDEX(_xlfn.TEXTSPLIT(E1615,"-"),3)</f>
        <v>牛仔裤</v>
      </c>
      <c r="H1615" s="5">
        <v>245190</v>
      </c>
      <c r="I1615" s="5">
        <v>30330290.01</v>
      </c>
      <c r="J1615" s="6">
        <v>0.0909</v>
      </c>
      <c r="K1615" s="6">
        <v>-0.2522</v>
      </c>
    </row>
    <row r="1616" ht="14.5" spans="1:11">
      <c r="A1616" s="3" t="str">
        <f t="shared" si="96"/>
        <v>2026年</v>
      </c>
      <c r="B1616" s="3" t="str">
        <f t="shared" si="97"/>
        <v>2月</v>
      </c>
      <c r="C1616" s="4" t="str">
        <f t="shared" si="98"/>
        <v>W7</v>
      </c>
      <c r="D1616" s="2" t="s">
        <v>780</v>
      </c>
      <c r="E1616" s="2" t="s">
        <v>822</v>
      </c>
      <c r="F1616" s="2" t="str" cm="1">
        <f t="array" ref="F1616">INDEX(_xlfn.TEXTSPLIT(E1616,"-"),2)</f>
        <v>男装</v>
      </c>
      <c r="G1616" s="2" t="str" cm="1">
        <f t="array" ref="G1616">INDEX(_xlfn.TEXTSPLIT(E1616,"-"),3)</f>
        <v>皮草</v>
      </c>
      <c r="H1616" s="5">
        <v>1646</v>
      </c>
      <c r="I1616" s="5">
        <v>1239589.89</v>
      </c>
      <c r="J1616" s="6">
        <v>0.0037</v>
      </c>
      <c r="K1616" s="6">
        <v>-0.4067</v>
      </c>
    </row>
    <row r="1617" ht="14.5" spans="1:11">
      <c r="A1617" s="3" t="str">
        <f t="shared" si="96"/>
        <v>2026年</v>
      </c>
      <c r="B1617" s="3" t="str">
        <f t="shared" si="97"/>
        <v>2月</v>
      </c>
      <c r="C1617" s="4" t="str">
        <f t="shared" si="98"/>
        <v>W7</v>
      </c>
      <c r="D1617" s="2" t="s">
        <v>780</v>
      </c>
      <c r="E1617" s="2" t="s">
        <v>823</v>
      </c>
      <c r="F1617" s="2" t="str" cm="1">
        <f t="array" ref="F1617">INDEX(_xlfn.TEXTSPLIT(E1617,"-"),2)</f>
        <v>男装</v>
      </c>
      <c r="G1617" s="2" t="str" cm="1">
        <f t="array" ref="G1617">INDEX(_xlfn.TEXTSPLIT(E1617,"-"),3)</f>
        <v>皮衣</v>
      </c>
      <c r="H1617" s="5">
        <v>36063</v>
      </c>
      <c r="I1617" s="5">
        <v>16312083.04</v>
      </c>
      <c r="J1617" s="6">
        <v>0.0489</v>
      </c>
      <c r="K1617" s="6">
        <v>-0.1642</v>
      </c>
    </row>
    <row r="1618" ht="14.5" spans="1:11">
      <c r="A1618" s="3" t="str">
        <f t="shared" si="96"/>
        <v>2026年</v>
      </c>
      <c r="B1618" s="3" t="str">
        <f t="shared" si="97"/>
        <v>2月</v>
      </c>
      <c r="C1618" s="4" t="str">
        <f t="shared" si="98"/>
        <v>W7</v>
      </c>
      <c r="D1618" s="2" t="s">
        <v>780</v>
      </c>
      <c r="E1618" s="2" t="s">
        <v>824</v>
      </c>
      <c r="F1618" s="2" t="str" cm="1">
        <f t="array" ref="F1618">INDEX(_xlfn.TEXTSPLIT(E1618,"-"),2)</f>
        <v>男装</v>
      </c>
      <c r="G1618" s="2" t="str" cm="1">
        <f t="array" ref="G1618">INDEX(_xlfn.TEXTSPLIT(E1618,"-"),3)</f>
        <v>皮裤</v>
      </c>
      <c r="H1618" s="5">
        <v>305</v>
      </c>
      <c r="I1618" s="5">
        <v>89946.59</v>
      </c>
      <c r="J1618" s="6">
        <v>0.0003</v>
      </c>
      <c r="K1618" s="6">
        <v>-0.1884</v>
      </c>
    </row>
    <row r="1619" ht="14.5" spans="1:11">
      <c r="A1619" s="3" t="str">
        <f t="shared" si="96"/>
        <v>2026年</v>
      </c>
      <c r="B1619" s="3" t="str">
        <f t="shared" si="97"/>
        <v>2月</v>
      </c>
      <c r="C1619" s="4" t="str">
        <f t="shared" si="98"/>
        <v>W7</v>
      </c>
      <c r="D1619" s="2" t="s">
        <v>780</v>
      </c>
      <c r="E1619" s="2" t="s">
        <v>825</v>
      </c>
      <c r="F1619" s="2" t="str" cm="1">
        <f t="array" ref="F1619">INDEX(_xlfn.TEXTSPLIT(E1619,"-"),2)</f>
        <v>男装</v>
      </c>
      <c r="G1619" s="2" t="str" cm="1">
        <f t="array" ref="G1619">INDEX(_xlfn.TEXTSPLIT(E1619,"-"),3)</f>
        <v>短外套</v>
      </c>
      <c r="H1619" s="5">
        <v>18716</v>
      </c>
      <c r="I1619" s="5">
        <v>1978652.15</v>
      </c>
      <c r="J1619" s="6">
        <v>0.0059</v>
      </c>
      <c r="K1619" s="6">
        <v>-0.1096</v>
      </c>
    </row>
    <row r="1620" ht="14.5" spans="1:11">
      <c r="A1620" s="3" t="str">
        <f t="shared" si="96"/>
        <v>2026年</v>
      </c>
      <c r="B1620" s="3" t="str">
        <f t="shared" si="97"/>
        <v>2月</v>
      </c>
      <c r="C1620" s="4" t="str">
        <f t="shared" si="98"/>
        <v>W7</v>
      </c>
      <c r="D1620" s="2" t="s">
        <v>780</v>
      </c>
      <c r="E1620" s="2" t="s">
        <v>826</v>
      </c>
      <c r="F1620" s="2" t="str" cm="1">
        <f t="array" ref="F1620">INDEX(_xlfn.TEXTSPLIT(E1620,"-"),2)</f>
        <v>男装</v>
      </c>
      <c r="G1620" s="2" t="str" cm="1">
        <f t="array" ref="G1620">INDEX(_xlfn.TEXTSPLIT(E1620,"-"),3)</f>
        <v>短裤</v>
      </c>
      <c r="H1620" s="5">
        <v>26020</v>
      </c>
      <c r="I1620" s="5">
        <v>834999.43</v>
      </c>
      <c r="J1620" s="6">
        <v>0.0025</v>
      </c>
      <c r="K1620" s="6">
        <v>-0.0409</v>
      </c>
    </row>
    <row r="1621" ht="14.5" spans="1:11">
      <c r="A1621" s="3" t="str">
        <f t="shared" si="96"/>
        <v>2026年</v>
      </c>
      <c r="B1621" s="3" t="str">
        <f t="shared" si="97"/>
        <v>2月</v>
      </c>
      <c r="C1621" s="4" t="str">
        <f t="shared" si="98"/>
        <v>W7</v>
      </c>
      <c r="D1621" s="2" t="s">
        <v>780</v>
      </c>
      <c r="E1621" s="2" t="s">
        <v>827</v>
      </c>
      <c r="F1621" s="2" t="str" cm="1">
        <f t="array" ref="F1621">INDEX(_xlfn.TEXTSPLIT(E1621,"-"),2)</f>
        <v>男装</v>
      </c>
      <c r="G1621" s="2" t="str" cm="1">
        <f t="array" ref="G1621">INDEX(_xlfn.TEXTSPLIT(E1621,"-"),3)</f>
        <v>紧身衣</v>
      </c>
      <c r="H1621" s="5">
        <v>179</v>
      </c>
      <c r="I1621" s="5">
        <v>5838.83</v>
      </c>
      <c r="J1621" s="2" t="s">
        <v>713</v>
      </c>
      <c r="K1621" s="6">
        <v>0.4472</v>
      </c>
    </row>
    <row r="1622" ht="14.5" spans="1:11">
      <c r="A1622" s="3" t="str">
        <f t="shared" si="96"/>
        <v>2026年</v>
      </c>
      <c r="B1622" s="3" t="str">
        <f t="shared" si="97"/>
        <v>2月</v>
      </c>
      <c r="C1622" s="4" t="str">
        <f t="shared" si="98"/>
        <v>W7</v>
      </c>
      <c r="D1622" s="2" t="s">
        <v>780</v>
      </c>
      <c r="E1622" s="2" t="s">
        <v>828</v>
      </c>
      <c r="F1622" s="2" t="str" cm="1">
        <f t="array" ref="F1622">INDEX(_xlfn.TEXTSPLIT(E1622,"-"),2)</f>
        <v>男装</v>
      </c>
      <c r="G1622" s="2" t="str" cm="1">
        <f t="array" ref="G1622">INDEX(_xlfn.TEXTSPLIT(E1622,"-"),3)</f>
        <v>羊毛衫</v>
      </c>
      <c r="H1622" s="5">
        <v>32577</v>
      </c>
      <c r="I1622" s="5">
        <v>5519590.66</v>
      </c>
      <c r="J1622" s="6">
        <v>0.0165</v>
      </c>
      <c r="K1622" s="6">
        <v>-0.2645</v>
      </c>
    </row>
    <row r="1623" ht="14.5" spans="1:11">
      <c r="A1623" s="3" t="str">
        <f t="shared" si="96"/>
        <v>2026年</v>
      </c>
      <c r="B1623" s="3" t="str">
        <f t="shared" si="97"/>
        <v>2月</v>
      </c>
      <c r="C1623" s="4" t="str">
        <f t="shared" si="98"/>
        <v>W7</v>
      </c>
      <c r="D1623" s="2" t="s">
        <v>780</v>
      </c>
      <c r="E1623" s="2" t="s">
        <v>829</v>
      </c>
      <c r="F1623" s="2" t="str" cm="1">
        <f t="array" ref="F1623">INDEX(_xlfn.TEXTSPLIT(E1623,"-"),2)</f>
        <v>男装</v>
      </c>
      <c r="G1623" s="2" t="str" cm="1">
        <f t="array" ref="G1623">INDEX(_xlfn.TEXTSPLIT(E1623,"-"),3)</f>
        <v>羊绒衫</v>
      </c>
      <c r="H1623" s="5">
        <v>5341</v>
      </c>
      <c r="I1623" s="5">
        <v>1997934.61</v>
      </c>
      <c r="J1623" s="6">
        <v>0.006</v>
      </c>
      <c r="K1623" s="6">
        <v>-0.2524</v>
      </c>
    </row>
    <row r="1624" ht="14.5" spans="1:11">
      <c r="A1624" s="3" t="str">
        <f t="shared" si="96"/>
        <v>2026年</v>
      </c>
      <c r="B1624" s="3" t="str">
        <f t="shared" si="97"/>
        <v>2月</v>
      </c>
      <c r="C1624" s="4" t="str">
        <f t="shared" si="98"/>
        <v>W7</v>
      </c>
      <c r="D1624" s="2" t="s">
        <v>780</v>
      </c>
      <c r="E1624" s="2" t="s">
        <v>830</v>
      </c>
      <c r="F1624" s="2" t="str" cm="1">
        <f t="array" ref="F1624">INDEX(_xlfn.TEXTSPLIT(E1624,"-"),2)</f>
        <v>男装</v>
      </c>
      <c r="G1624" s="2" t="str" cm="1">
        <f t="array" ref="G1624">INDEX(_xlfn.TEXTSPLIT(E1624,"-"),3)</f>
        <v>羽绒服</v>
      </c>
      <c r="H1624" s="5">
        <v>187839</v>
      </c>
      <c r="I1624" s="5">
        <v>61579752.33</v>
      </c>
      <c r="J1624" s="6">
        <v>0.1846</v>
      </c>
      <c r="K1624" s="6">
        <v>-0.2873</v>
      </c>
    </row>
    <row r="1625" ht="14.5" spans="1:11">
      <c r="A1625" s="3" t="str">
        <f t="shared" si="96"/>
        <v>2026年</v>
      </c>
      <c r="B1625" s="3" t="str">
        <f t="shared" si="97"/>
        <v>2月</v>
      </c>
      <c r="C1625" s="4" t="str">
        <f t="shared" si="98"/>
        <v>W7</v>
      </c>
      <c r="D1625" s="2" t="s">
        <v>780</v>
      </c>
      <c r="E1625" s="2" t="s">
        <v>831</v>
      </c>
      <c r="F1625" s="2" t="str" cm="1">
        <f t="array" ref="F1625">INDEX(_xlfn.TEXTSPLIT(E1625,"-"),2)</f>
        <v>男装</v>
      </c>
      <c r="G1625" s="2" t="str" cm="1">
        <f t="array" ref="G1625">INDEX(_xlfn.TEXTSPLIT(E1625,"-"),3)</f>
        <v>羽绒裤</v>
      </c>
      <c r="H1625" s="5">
        <v>2029</v>
      </c>
      <c r="I1625" s="5">
        <v>317209.56</v>
      </c>
      <c r="J1625" s="6">
        <v>0.001</v>
      </c>
      <c r="K1625" s="6">
        <v>-0.4544</v>
      </c>
    </row>
    <row r="1626" ht="14.5" spans="1:11">
      <c r="A1626" s="3" t="str">
        <f t="shared" si="96"/>
        <v>2026年</v>
      </c>
      <c r="B1626" s="3" t="str">
        <f t="shared" si="97"/>
        <v>2月</v>
      </c>
      <c r="C1626" s="4" t="str">
        <f t="shared" si="98"/>
        <v>W7</v>
      </c>
      <c r="D1626" s="2" t="s">
        <v>780</v>
      </c>
      <c r="E1626" s="2" t="s">
        <v>832</v>
      </c>
      <c r="F1626" s="2" t="str" cm="1">
        <f t="array" ref="F1626">INDEX(_xlfn.TEXTSPLIT(E1626,"-"),2)</f>
        <v>男装</v>
      </c>
      <c r="G1626" s="2" t="str" cm="1">
        <f t="array" ref="G1626">INDEX(_xlfn.TEXTSPLIT(E1626,"-"),3)</f>
        <v>羽绒马甲</v>
      </c>
      <c r="H1626" s="5">
        <v>4309</v>
      </c>
      <c r="I1626" s="5">
        <v>1031094.2</v>
      </c>
      <c r="J1626" s="6">
        <v>0.0031</v>
      </c>
      <c r="K1626" s="6">
        <v>-0.1775</v>
      </c>
    </row>
    <row r="1627" ht="14.5" spans="1:11">
      <c r="A1627" s="3" t="str">
        <f t="shared" si="96"/>
        <v>2026年</v>
      </c>
      <c r="B1627" s="3" t="str">
        <f t="shared" si="97"/>
        <v>2月</v>
      </c>
      <c r="C1627" s="4" t="str">
        <f t="shared" si="98"/>
        <v>W7</v>
      </c>
      <c r="D1627" s="2" t="s">
        <v>780</v>
      </c>
      <c r="E1627" s="2" t="s">
        <v>833</v>
      </c>
      <c r="F1627" s="2" t="str" cm="1">
        <f t="array" ref="F1627">INDEX(_xlfn.TEXTSPLIT(E1627,"-"),2)</f>
        <v>男装</v>
      </c>
      <c r="G1627" s="2" t="str" cm="1">
        <f t="array" ref="G1627">INDEX(_xlfn.TEXTSPLIT(E1627,"-"),3)</f>
        <v>背心</v>
      </c>
      <c r="H1627" s="5">
        <v>12235</v>
      </c>
      <c r="I1627" s="5">
        <v>822529.43</v>
      </c>
      <c r="J1627" s="6">
        <v>0.0025</v>
      </c>
      <c r="K1627" s="6">
        <v>-0.2078</v>
      </c>
    </row>
    <row r="1628" ht="14.5" spans="1:11">
      <c r="A1628" s="3" t="str">
        <f t="shared" ref="A1628:A1691" si="99">TEXT(YEAR(D1628),"0")&amp;"年"</f>
        <v>2026年</v>
      </c>
      <c r="B1628" s="3" t="str">
        <f t="shared" ref="B1628:B1691" si="100">TEXT(MONTH(D1628),"0")&amp;"月"</f>
        <v>2月</v>
      </c>
      <c r="C1628" s="4" t="str">
        <f t="shared" ref="C1628:C1691" si="101">"W"&amp;TEXT(WEEKNUM(D1628,2),"0")</f>
        <v>W7</v>
      </c>
      <c r="D1628" s="2" t="s">
        <v>780</v>
      </c>
      <c r="E1628" s="2" t="s">
        <v>834</v>
      </c>
      <c r="F1628" s="2" t="str" cm="1">
        <f t="array" ref="F1628">INDEX(_xlfn.TEXTSPLIT(E1628,"-"),2)</f>
        <v>男装</v>
      </c>
      <c r="G1628" s="2" t="str" cm="1">
        <f t="array" ref="G1628">INDEX(_xlfn.TEXTSPLIT(E1628,"-"),3)</f>
        <v>衬衫</v>
      </c>
      <c r="H1628" s="5">
        <v>44147</v>
      </c>
      <c r="I1628" s="5">
        <v>6506489.13</v>
      </c>
      <c r="J1628" s="6">
        <v>0.0195</v>
      </c>
      <c r="K1628" s="6">
        <v>-0.1127</v>
      </c>
    </row>
    <row r="1629" ht="14.5" spans="1:11">
      <c r="A1629" s="3" t="str">
        <f t="shared" si="99"/>
        <v>2026年</v>
      </c>
      <c r="B1629" s="3" t="str">
        <f t="shared" si="100"/>
        <v>2月</v>
      </c>
      <c r="C1629" s="4" t="str">
        <f t="shared" si="101"/>
        <v>W7</v>
      </c>
      <c r="D1629" s="2" t="s">
        <v>780</v>
      </c>
      <c r="E1629" s="2" t="s">
        <v>835</v>
      </c>
      <c r="F1629" s="2" t="str" cm="1">
        <f t="array" ref="F1629">INDEX(_xlfn.TEXTSPLIT(E1629,"-"),2)</f>
        <v>男装</v>
      </c>
      <c r="G1629" s="2" t="str" cm="1">
        <f t="array" ref="G1629">INDEX(_xlfn.TEXTSPLIT(E1629,"-"),3)</f>
        <v>西服</v>
      </c>
      <c r="H1629" s="5">
        <v>45809</v>
      </c>
      <c r="I1629" s="5">
        <v>10032462.6</v>
      </c>
      <c r="J1629" s="6">
        <v>0.0301</v>
      </c>
      <c r="K1629" s="6">
        <v>-0.1402</v>
      </c>
    </row>
    <row r="1630" ht="14.5" spans="1:11">
      <c r="A1630" s="3" t="str">
        <f t="shared" si="99"/>
        <v>2026年</v>
      </c>
      <c r="B1630" s="3" t="str">
        <f t="shared" si="100"/>
        <v>2月</v>
      </c>
      <c r="C1630" s="4" t="str">
        <f t="shared" si="101"/>
        <v>W7</v>
      </c>
      <c r="D1630" s="2" t="s">
        <v>780</v>
      </c>
      <c r="E1630" s="2" t="s">
        <v>836</v>
      </c>
      <c r="F1630" s="2" t="str" cm="1">
        <f t="array" ref="F1630">INDEX(_xlfn.TEXTSPLIT(E1630,"-"),2)</f>
        <v>男装</v>
      </c>
      <c r="G1630" s="2" t="str" cm="1">
        <f t="array" ref="G1630">INDEX(_xlfn.TEXTSPLIT(E1630,"-"),3)</f>
        <v>连体衣/裤</v>
      </c>
      <c r="H1630" s="5">
        <v>958</v>
      </c>
      <c r="I1630" s="5">
        <v>33738.61</v>
      </c>
      <c r="J1630" s="6">
        <v>0.0001</v>
      </c>
      <c r="K1630" s="6">
        <v>-0.0994</v>
      </c>
    </row>
    <row r="1631" ht="14.5" spans="1:11">
      <c r="A1631" s="3" t="str">
        <f t="shared" si="99"/>
        <v>2026年</v>
      </c>
      <c r="B1631" s="3" t="str">
        <f t="shared" si="100"/>
        <v>2月</v>
      </c>
      <c r="C1631" s="4" t="str">
        <f t="shared" si="101"/>
        <v>W7</v>
      </c>
      <c r="D1631" s="2" t="s">
        <v>780</v>
      </c>
      <c r="E1631" s="2" t="s">
        <v>837</v>
      </c>
      <c r="F1631" s="2" t="str" cm="1">
        <f t="array" ref="F1631">INDEX(_xlfn.TEXTSPLIT(E1631,"-"),2)</f>
        <v>男装</v>
      </c>
      <c r="G1631" s="2" t="str" cm="1">
        <f t="array" ref="G1631">INDEX(_xlfn.TEXTSPLIT(E1631,"-"),3)</f>
        <v>速干/三防T恤</v>
      </c>
      <c r="H1631" s="5">
        <v>602</v>
      </c>
      <c r="I1631" s="5">
        <v>82785.14</v>
      </c>
      <c r="J1631" s="6">
        <v>0.0002</v>
      </c>
      <c r="K1631" s="6">
        <v>0.582</v>
      </c>
    </row>
    <row r="1632" ht="14.5" spans="1:11">
      <c r="A1632" s="3" t="str">
        <f t="shared" si="99"/>
        <v>2026年</v>
      </c>
      <c r="B1632" s="3" t="str">
        <f t="shared" si="100"/>
        <v>2月</v>
      </c>
      <c r="C1632" s="4" t="str">
        <f t="shared" si="101"/>
        <v>W7</v>
      </c>
      <c r="D1632" s="2" t="s">
        <v>780</v>
      </c>
      <c r="E1632" s="2" t="s">
        <v>838</v>
      </c>
      <c r="F1632" s="2" t="str" cm="1">
        <f t="array" ref="F1632">INDEX(_xlfn.TEXTSPLIT(E1632,"-"),2)</f>
        <v>男装</v>
      </c>
      <c r="G1632" s="2" t="str" cm="1">
        <f t="array" ref="G1632">INDEX(_xlfn.TEXTSPLIT(E1632,"-"),3)</f>
        <v>针织衫/毛衣</v>
      </c>
      <c r="H1632" s="5">
        <v>123289</v>
      </c>
      <c r="I1632" s="5">
        <v>17626458.27</v>
      </c>
      <c r="J1632" s="6">
        <v>0.0528</v>
      </c>
      <c r="K1632" s="6">
        <v>-0.2136</v>
      </c>
    </row>
    <row r="1633" ht="14.5" spans="1:11">
      <c r="A1633" s="3" t="str">
        <f t="shared" si="99"/>
        <v>2026年</v>
      </c>
      <c r="B1633" s="3" t="str">
        <f t="shared" si="100"/>
        <v>2月</v>
      </c>
      <c r="C1633" s="4" t="str">
        <f t="shared" si="101"/>
        <v>W7</v>
      </c>
      <c r="D1633" s="2" t="s">
        <v>780</v>
      </c>
      <c r="E1633" s="2" t="s">
        <v>839</v>
      </c>
      <c r="F1633" s="2" t="str" cm="1">
        <f t="array" ref="F1633">INDEX(_xlfn.TEXTSPLIT(E1633,"-"),2)</f>
        <v>男装</v>
      </c>
      <c r="G1633" s="2" t="str" cm="1">
        <f t="array" ref="G1633">INDEX(_xlfn.TEXTSPLIT(E1633,"-"),3)</f>
        <v>防晒服</v>
      </c>
      <c r="H1633" s="5">
        <v>174</v>
      </c>
      <c r="I1633" s="5">
        <v>16715.08</v>
      </c>
      <c r="J1633" s="6">
        <v>0.0001</v>
      </c>
      <c r="K1633" s="6">
        <v>-0.2967</v>
      </c>
    </row>
    <row r="1634" ht="14.5" spans="1:11">
      <c r="A1634" s="3" t="str">
        <f t="shared" si="99"/>
        <v>2026年</v>
      </c>
      <c r="B1634" s="3" t="str">
        <f t="shared" si="100"/>
        <v>2月</v>
      </c>
      <c r="C1634" s="4" t="str">
        <f t="shared" si="101"/>
        <v>W7</v>
      </c>
      <c r="D1634" s="2" t="s">
        <v>780</v>
      </c>
      <c r="E1634" s="2" t="s">
        <v>840</v>
      </c>
      <c r="F1634" s="2" t="str" cm="1">
        <f t="array" ref="F1634">INDEX(_xlfn.TEXTSPLIT(E1634,"-"),2)</f>
        <v>男装</v>
      </c>
      <c r="G1634" s="2" t="str" cm="1">
        <f t="array" ref="G1634">INDEX(_xlfn.TEXTSPLIT(E1634,"-"),3)</f>
        <v>风衣</v>
      </c>
      <c r="H1634" s="5">
        <v>4606</v>
      </c>
      <c r="I1634" s="5">
        <v>1778687.26</v>
      </c>
      <c r="J1634" s="6">
        <v>0.0053</v>
      </c>
      <c r="K1634" s="6">
        <v>0.0347</v>
      </c>
    </row>
    <row r="1635" ht="14.5" spans="1:11">
      <c r="A1635" s="3" t="str">
        <f t="shared" si="99"/>
        <v>2026年</v>
      </c>
      <c r="B1635" s="3" t="str">
        <f t="shared" si="100"/>
        <v>2月</v>
      </c>
      <c r="C1635" s="4" t="str">
        <f t="shared" si="101"/>
        <v>W7</v>
      </c>
      <c r="D1635" s="2" t="s">
        <v>780</v>
      </c>
      <c r="E1635" s="2" t="s">
        <v>841</v>
      </c>
      <c r="F1635" s="2" t="str" cm="1">
        <f t="array" ref="F1635">INDEX(_xlfn.TEXTSPLIT(E1635,"-"),2)</f>
        <v>男装</v>
      </c>
      <c r="G1635" s="2" t="str" cm="1">
        <f t="array" ref="G1635">INDEX(_xlfn.TEXTSPLIT(E1635,"-"),3)</f>
        <v>马甲</v>
      </c>
      <c r="H1635" s="5">
        <v>18507</v>
      </c>
      <c r="I1635" s="5">
        <v>2211002.46</v>
      </c>
      <c r="J1635" s="6">
        <v>0.0066</v>
      </c>
      <c r="K1635" s="6">
        <v>-0.1282</v>
      </c>
    </row>
    <row r="1636" ht="14.5" spans="1:11">
      <c r="A1636" s="3" t="str">
        <f t="shared" si="99"/>
        <v>2026年</v>
      </c>
      <c r="B1636" s="3" t="str">
        <f t="shared" si="100"/>
        <v>2月</v>
      </c>
      <c r="C1636" s="4" t="str">
        <f t="shared" si="101"/>
        <v>W7</v>
      </c>
      <c r="D1636" s="2" t="s">
        <v>781</v>
      </c>
      <c r="E1636" s="2" t="s">
        <v>804</v>
      </c>
      <c r="F1636" s="2" t="str" cm="1">
        <f t="array" ref="F1636">INDEX(_xlfn.TEXTSPLIT(E1636,"-"),2)</f>
        <v>男装</v>
      </c>
      <c r="G1636" s="2" t="str" cm="1">
        <f t="array" ref="G1636">INDEX(_xlfn.TEXTSPLIT(E1636,"-"),3)</f>
        <v>Polo衫</v>
      </c>
      <c r="H1636" s="5">
        <v>15858</v>
      </c>
      <c r="I1636" s="5">
        <v>1846209.62</v>
      </c>
      <c r="J1636" s="6">
        <v>0.0077</v>
      </c>
      <c r="K1636" s="6">
        <v>-0.1134</v>
      </c>
    </row>
    <row r="1637" ht="14.5" spans="1:11">
      <c r="A1637" s="3" t="str">
        <f t="shared" si="99"/>
        <v>2026年</v>
      </c>
      <c r="B1637" s="3" t="str">
        <f t="shared" si="100"/>
        <v>2月</v>
      </c>
      <c r="C1637" s="4" t="str">
        <f t="shared" si="101"/>
        <v>W7</v>
      </c>
      <c r="D1637" s="2" t="s">
        <v>781</v>
      </c>
      <c r="E1637" s="2" t="s">
        <v>805</v>
      </c>
      <c r="F1637" s="2" t="str" cm="1">
        <f t="array" ref="F1637">INDEX(_xlfn.TEXTSPLIT(E1637,"-"),2)</f>
        <v>男装</v>
      </c>
      <c r="G1637" s="2" t="str" cm="1">
        <f t="array" ref="G1637">INDEX(_xlfn.TEXTSPLIT(E1637,"-"),3)</f>
        <v>T恤</v>
      </c>
      <c r="H1637" s="5">
        <v>261034</v>
      </c>
      <c r="I1637" s="5">
        <v>19698577.6</v>
      </c>
      <c r="J1637" s="6">
        <v>0.0818</v>
      </c>
      <c r="K1637" s="6">
        <v>-0.0658</v>
      </c>
    </row>
    <row r="1638" ht="14.5" spans="1:11">
      <c r="A1638" s="3" t="str">
        <f t="shared" si="99"/>
        <v>2026年</v>
      </c>
      <c r="B1638" s="3" t="str">
        <f t="shared" si="100"/>
        <v>2月</v>
      </c>
      <c r="C1638" s="4" t="str">
        <f t="shared" si="101"/>
        <v>W7</v>
      </c>
      <c r="D1638" s="2" t="s">
        <v>781</v>
      </c>
      <c r="E1638" s="2" t="s">
        <v>806</v>
      </c>
      <c r="F1638" s="2" t="str" cm="1">
        <f t="array" ref="F1638">INDEX(_xlfn.TEXTSPLIT(E1638,"-"),2)</f>
        <v>男装</v>
      </c>
      <c r="G1638" s="2" t="str" cm="1">
        <f t="array" ref="G1638">INDEX(_xlfn.TEXTSPLIT(E1638,"-"),3)</f>
        <v>中老年男装</v>
      </c>
      <c r="H1638" s="5">
        <v>16527</v>
      </c>
      <c r="I1638" s="5">
        <v>2048332.53</v>
      </c>
      <c r="J1638" s="6">
        <v>0.0085</v>
      </c>
      <c r="K1638" s="6">
        <v>-0.5267</v>
      </c>
    </row>
    <row r="1639" ht="14.5" spans="1:11">
      <c r="A1639" s="3" t="str">
        <f t="shared" si="99"/>
        <v>2026年</v>
      </c>
      <c r="B1639" s="3" t="str">
        <f t="shared" si="100"/>
        <v>2月</v>
      </c>
      <c r="C1639" s="4" t="str">
        <f t="shared" si="101"/>
        <v>W7</v>
      </c>
      <c r="D1639" s="2" t="s">
        <v>781</v>
      </c>
      <c r="E1639" s="2" t="s">
        <v>807</v>
      </c>
      <c r="F1639" s="2" t="str" cm="1">
        <f t="array" ref="F1639">INDEX(_xlfn.TEXTSPLIT(E1639,"-"),2)</f>
        <v>男装</v>
      </c>
      <c r="G1639" s="2" t="str" cm="1">
        <f t="array" ref="G1639">INDEX(_xlfn.TEXTSPLIT(E1639,"-"),3)</f>
        <v>休闲裤</v>
      </c>
      <c r="H1639" s="5">
        <v>193651</v>
      </c>
      <c r="I1639" s="5">
        <v>23391613.34</v>
      </c>
      <c r="J1639" s="6">
        <v>0.0971</v>
      </c>
      <c r="K1639" s="6">
        <v>-0.2981</v>
      </c>
    </row>
    <row r="1640" ht="14.5" spans="1:11">
      <c r="A1640" s="3" t="str">
        <f t="shared" si="99"/>
        <v>2026年</v>
      </c>
      <c r="B1640" s="3" t="str">
        <f t="shared" si="100"/>
        <v>2月</v>
      </c>
      <c r="C1640" s="4" t="str">
        <f t="shared" si="101"/>
        <v>W7</v>
      </c>
      <c r="D1640" s="2" t="s">
        <v>781</v>
      </c>
      <c r="E1640" s="2" t="s">
        <v>808</v>
      </c>
      <c r="F1640" s="2" t="str" cm="1">
        <f t="array" ref="F1640">INDEX(_xlfn.TEXTSPLIT(E1640,"-"),2)</f>
        <v>男装</v>
      </c>
      <c r="G1640" s="2" t="str" cm="1">
        <f t="array" ref="G1640">INDEX(_xlfn.TEXTSPLIT(E1640,"-"),3)</f>
        <v>卫衣</v>
      </c>
      <c r="H1640" s="5">
        <v>135152</v>
      </c>
      <c r="I1640" s="5">
        <v>16007708.49</v>
      </c>
      <c r="J1640" s="6">
        <v>0.0665</v>
      </c>
      <c r="K1640" s="6">
        <v>-0.2588</v>
      </c>
    </row>
    <row r="1641" ht="14.5" spans="1:11">
      <c r="A1641" s="3" t="str">
        <f t="shared" si="99"/>
        <v>2026年</v>
      </c>
      <c r="B1641" s="3" t="str">
        <f t="shared" si="100"/>
        <v>2月</v>
      </c>
      <c r="C1641" s="4" t="str">
        <f t="shared" si="101"/>
        <v>W7</v>
      </c>
      <c r="D1641" s="2" t="s">
        <v>781</v>
      </c>
      <c r="E1641" s="2" t="s">
        <v>809</v>
      </c>
      <c r="F1641" s="2" t="str" cm="1">
        <f t="array" ref="F1641">INDEX(_xlfn.TEXTSPLIT(E1641,"-"),2)</f>
        <v>男装</v>
      </c>
      <c r="G1641" s="2" t="str" cm="1">
        <f t="array" ref="G1641">INDEX(_xlfn.TEXTSPLIT(E1641,"-"),3)</f>
        <v>卫裤</v>
      </c>
      <c r="H1641" s="5">
        <v>41175</v>
      </c>
      <c r="I1641" s="5">
        <v>4370011.21</v>
      </c>
      <c r="J1641" s="6">
        <v>0.0181</v>
      </c>
      <c r="K1641" s="6">
        <v>-0.3554</v>
      </c>
    </row>
    <row r="1642" ht="14.5" spans="1:11">
      <c r="A1642" s="3" t="str">
        <f t="shared" si="99"/>
        <v>2026年</v>
      </c>
      <c r="B1642" s="3" t="str">
        <f t="shared" si="100"/>
        <v>2月</v>
      </c>
      <c r="C1642" s="4" t="str">
        <f t="shared" si="101"/>
        <v>W7</v>
      </c>
      <c r="D1642" s="2" t="s">
        <v>781</v>
      </c>
      <c r="E1642" s="2" t="s">
        <v>810</v>
      </c>
      <c r="F1642" s="2" t="str" cm="1">
        <f t="array" ref="F1642">INDEX(_xlfn.TEXTSPLIT(E1642,"-"),2)</f>
        <v>男装</v>
      </c>
      <c r="G1642" s="2" t="str" cm="1">
        <f t="array" ref="G1642">INDEX(_xlfn.TEXTSPLIT(E1642,"-"),3)</f>
        <v>大码男装</v>
      </c>
      <c r="H1642" s="5">
        <v>13989</v>
      </c>
      <c r="I1642" s="5">
        <v>1113550.81</v>
      </c>
      <c r="J1642" s="6">
        <v>0.0046</v>
      </c>
      <c r="K1642" s="6">
        <v>-0.2327</v>
      </c>
    </row>
    <row r="1643" ht="14.5" spans="1:11">
      <c r="A1643" s="3" t="str">
        <f t="shared" si="99"/>
        <v>2026年</v>
      </c>
      <c r="B1643" s="3" t="str">
        <f t="shared" si="100"/>
        <v>2月</v>
      </c>
      <c r="C1643" s="4" t="str">
        <f t="shared" si="101"/>
        <v>W7</v>
      </c>
      <c r="D1643" s="2" t="s">
        <v>781</v>
      </c>
      <c r="E1643" s="2" t="s">
        <v>811</v>
      </c>
      <c r="F1643" s="2" t="str" cm="1">
        <f t="array" ref="F1643">INDEX(_xlfn.TEXTSPLIT(E1643,"-"),2)</f>
        <v>男装</v>
      </c>
      <c r="G1643" s="2" t="str" cm="1">
        <f t="array" ref="G1643">INDEX(_xlfn.TEXTSPLIT(E1643,"-"),3)</f>
        <v>夹克</v>
      </c>
      <c r="H1643" s="5">
        <v>186630</v>
      </c>
      <c r="I1643" s="5">
        <v>39828564.33</v>
      </c>
      <c r="J1643" s="6">
        <v>0.1654</v>
      </c>
      <c r="K1643" s="6">
        <v>-0.2155</v>
      </c>
    </row>
    <row r="1644" ht="14.5" spans="1:11">
      <c r="A1644" s="3" t="str">
        <f t="shared" si="99"/>
        <v>2026年</v>
      </c>
      <c r="B1644" s="3" t="str">
        <f t="shared" si="100"/>
        <v>2月</v>
      </c>
      <c r="C1644" s="4" t="str">
        <f t="shared" si="101"/>
        <v>W7</v>
      </c>
      <c r="D1644" s="2" t="s">
        <v>781</v>
      </c>
      <c r="E1644" s="2" t="s">
        <v>812</v>
      </c>
      <c r="F1644" s="2" t="str" cm="1">
        <f t="array" ref="F1644">INDEX(_xlfn.TEXTSPLIT(E1644,"-"),2)</f>
        <v>男装</v>
      </c>
      <c r="G1644" s="2" t="str" cm="1">
        <f t="array" ref="G1644">INDEX(_xlfn.TEXTSPLIT(E1644,"-"),3)</f>
        <v>套装</v>
      </c>
      <c r="H1644" s="5">
        <v>16043</v>
      </c>
      <c r="I1644" s="5">
        <v>3015610.64</v>
      </c>
      <c r="J1644" s="6">
        <v>0.0125</v>
      </c>
      <c r="K1644" s="6">
        <v>-0.2457</v>
      </c>
    </row>
    <row r="1645" ht="14.5" spans="1:11">
      <c r="A1645" s="3" t="str">
        <f t="shared" si="99"/>
        <v>2026年</v>
      </c>
      <c r="B1645" s="3" t="str">
        <f t="shared" si="100"/>
        <v>2月</v>
      </c>
      <c r="C1645" s="4" t="str">
        <f t="shared" si="101"/>
        <v>W7</v>
      </c>
      <c r="D1645" s="2" t="s">
        <v>781</v>
      </c>
      <c r="E1645" s="2" t="s">
        <v>813</v>
      </c>
      <c r="F1645" s="2" t="str" cm="1">
        <f t="array" ref="F1645">INDEX(_xlfn.TEXTSPLIT(E1645,"-"),2)</f>
        <v>男装</v>
      </c>
      <c r="G1645" s="2" t="str" cm="1">
        <f t="array" ref="G1645">INDEX(_xlfn.TEXTSPLIT(E1645,"-"),3)</f>
        <v>学生校服</v>
      </c>
      <c r="H1645" s="5">
        <v>0</v>
      </c>
      <c r="I1645" s="5">
        <v>0</v>
      </c>
      <c r="J1645" s="7">
        <v>0</v>
      </c>
      <c r="K1645" s="7">
        <v>-1</v>
      </c>
    </row>
    <row r="1646" ht="14.5" spans="1:11">
      <c r="A1646" s="3" t="str">
        <f t="shared" si="99"/>
        <v>2026年</v>
      </c>
      <c r="B1646" s="3" t="str">
        <f t="shared" si="100"/>
        <v>2月</v>
      </c>
      <c r="C1646" s="4" t="str">
        <f t="shared" si="101"/>
        <v>W7</v>
      </c>
      <c r="D1646" s="2" t="s">
        <v>781</v>
      </c>
      <c r="E1646" s="2" t="s">
        <v>814</v>
      </c>
      <c r="F1646" s="2" t="str" cm="1">
        <f t="array" ref="F1646">INDEX(_xlfn.TEXTSPLIT(E1646,"-"),2)</f>
        <v>男装</v>
      </c>
      <c r="G1646" s="2" t="str" cm="1">
        <f t="array" ref="G1646">INDEX(_xlfn.TEXTSPLIT(E1646,"-"),3)</f>
        <v>打底衫</v>
      </c>
      <c r="H1646" s="5">
        <v>2814</v>
      </c>
      <c r="I1646" s="5">
        <v>237516.25</v>
      </c>
      <c r="J1646" s="6">
        <v>0.001</v>
      </c>
      <c r="K1646" s="6">
        <v>-0.2533</v>
      </c>
    </row>
    <row r="1647" ht="14.5" spans="1:11">
      <c r="A1647" s="3" t="str">
        <f t="shared" si="99"/>
        <v>2026年</v>
      </c>
      <c r="B1647" s="3" t="str">
        <f t="shared" si="100"/>
        <v>2月</v>
      </c>
      <c r="C1647" s="4" t="str">
        <f t="shared" si="101"/>
        <v>W7</v>
      </c>
      <c r="D1647" s="2" t="s">
        <v>781</v>
      </c>
      <c r="E1647" s="2" t="s">
        <v>815</v>
      </c>
      <c r="F1647" s="2" t="str" cm="1">
        <f t="array" ref="F1647">INDEX(_xlfn.TEXTSPLIT(E1647,"-"),2)</f>
        <v>男装</v>
      </c>
      <c r="G1647" s="2" t="str" cm="1">
        <f t="array" ref="G1647">INDEX(_xlfn.TEXTSPLIT(E1647,"-"),3)</f>
        <v>新中式男装</v>
      </c>
      <c r="H1647" s="5">
        <v>155</v>
      </c>
      <c r="I1647" s="5">
        <v>44477.59</v>
      </c>
      <c r="J1647" s="6">
        <v>0.0002</v>
      </c>
      <c r="K1647" s="6">
        <v>-0.185</v>
      </c>
    </row>
    <row r="1648" ht="14.5" spans="1:11">
      <c r="A1648" s="3" t="str">
        <f t="shared" si="99"/>
        <v>2026年</v>
      </c>
      <c r="B1648" s="3" t="str">
        <f t="shared" si="100"/>
        <v>2月</v>
      </c>
      <c r="C1648" s="4" t="str">
        <f t="shared" si="101"/>
        <v>W7</v>
      </c>
      <c r="D1648" s="2" t="s">
        <v>781</v>
      </c>
      <c r="E1648" s="2" t="s">
        <v>816</v>
      </c>
      <c r="F1648" s="2" t="str" cm="1">
        <f t="array" ref="F1648">INDEX(_xlfn.TEXTSPLIT(E1648,"-"),2)</f>
        <v>男装</v>
      </c>
      <c r="G1648" s="2" t="str" cm="1">
        <f t="array" ref="G1648">INDEX(_xlfn.TEXTSPLIT(E1648,"-"),3)</f>
        <v>棉衣</v>
      </c>
      <c r="H1648" s="5">
        <v>65573</v>
      </c>
      <c r="I1648" s="5">
        <v>10588004.77</v>
      </c>
      <c r="J1648" s="6">
        <v>0.044</v>
      </c>
      <c r="K1648" s="6">
        <v>-0.3445</v>
      </c>
    </row>
    <row r="1649" ht="14.5" spans="1:11">
      <c r="A1649" s="3" t="str">
        <f t="shared" si="99"/>
        <v>2026年</v>
      </c>
      <c r="B1649" s="3" t="str">
        <f t="shared" si="100"/>
        <v>2月</v>
      </c>
      <c r="C1649" s="4" t="str">
        <f t="shared" si="101"/>
        <v>W7</v>
      </c>
      <c r="D1649" s="2" t="s">
        <v>781</v>
      </c>
      <c r="E1649" s="2" t="s">
        <v>817</v>
      </c>
      <c r="F1649" s="2" t="str" cm="1">
        <f t="array" ref="F1649">INDEX(_xlfn.TEXTSPLIT(E1649,"-"),2)</f>
        <v>男装</v>
      </c>
      <c r="G1649" s="2" t="str" cm="1">
        <f t="array" ref="G1649">INDEX(_xlfn.TEXTSPLIT(E1649,"-"),3)</f>
        <v>棉裤</v>
      </c>
      <c r="H1649" s="5">
        <v>1039</v>
      </c>
      <c r="I1649" s="5">
        <v>68465.06</v>
      </c>
      <c r="J1649" s="6">
        <v>0.0003</v>
      </c>
      <c r="K1649" s="6">
        <v>-0.5177</v>
      </c>
    </row>
    <row r="1650" ht="14.5" spans="1:11">
      <c r="A1650" s="3" t="str">
        <f t="shared" si="99"/>
        <v>2026年</v>
      </c>
      <c r="B1650" s="3" t="str">
        <f t="shared" si="100"/>
        <v>2月</v>
      </c>
      <c r="C1650" s="4" t="str">
        <f t="shared" si="101"/>
        <v>W7</v>
      </c>
      <c r="D1650" s="2" t="s">
        <v>781</v>
      </c>
      <c r="E1650" s="2" t="s">
        <v>818</v>
      </c>
      <c r="F1650" s="2" t="str" cm="1">
        <f t="array" ref="F1650">INDEX(_xlfn.TEXTSPLIT(E1650,"-"),2)</f>
        <v>男装</v>
      </c>
      <c r="G1650" s="2" t="str" cm="1">
        <f t="array" ref="G1650">INDEX(_xlfn.TEXTSPLIT(E1650,"-"),3)</f>
        <v>毛呢大衣</v>
      </c>
      <c r="H1650" s="5">
        <v>17943</v>
      </c>
      <c r="I1650" s="5">
        <v>7319329.1</v>
      </c>
      <c r="J1650" s="6">
        <v>0.0304</v>
      </c>
      <c r="K1650" s="6">
        <v>-0.2565</v>
      </c>
    </row>
    <row r="1651" ht="14.5" spans="1:11">
      <c r="A1651" s="3" t="str">
        <f t="shared" si="99"/>
        <v>2026年</v>
      </c>
      <c r="B1651" s="3" t="str">
        <f t="shared" si="100"/>
        <v>2月</v>
      </c>
      <c r="C1651" s="4" t="str">
        <f t="shared" si="101"/>
        <v>W7</v>
      </c>
      <c r="D1651" s="2" t="s">
        <v>781</v>
      </c>
      <c r="E1651" s="2" t="s">
        <v>819</v>
      </c>
      <c r="F1651" s="2" t="str" cm="1">
        <f t="array" ref="F1651">INDEX(_xlfn.TEXTSPLIT(E1651,"-"),2)</f>
        <v>男装</v>
      </c>
      <c r="G1651" s="2" t="str" cm="1">
        <f t="array" ref="G1651">INDEX(_xlfn.TEXTSPLIT(E1651,"-"),3)</f>
        <v>民族服装</v>
      </c>
      <c r="H1651" s="5">
        <v>3429</v>
      </c>
      <c r="I1651" s="5">
        <v>699895.06</v>
      </c>
      <c r="J1651" s="6">
        <v>0.0029</v>
      </c>
      <c r="K1651" s="6">
        <v>-0.0108</v>
      </c>
    </row>
    <row r="1652" ht="14.5" spans="1:11">
      <c r="A1652" s="3" t="str">
        <f t="shared" si="99"/>
        <v>2026年</v>
      </c>
      <c r="B1652" s="3" t="str">
        <f t="shared" si="100"/>
        <v>2月</v>
      </c>
      <c r="C1652" s="4" t="str">
        <f t="shared" si="101"/>
        <v>W7</v>
      </c>
      <c r="D1652" s="2" t="s">
        <v>781</v>
      </c>
      <c r="E1652" s="2" t="s">
        <v>820</v>
      </c>
      <c r="F1652" s="2" t="str" cm="1">
        <f t="array" ref="F1652">INDEX(_xlfn.TEXTSPLIT(E1652,"-"),2)</f>
        <v>男装</v>
      </c>
      <c r="G1652" s="2" t="str" cm="1">
        <f t="array" ref="G1652">INDEX(_xlfn.TEXTSPLIT(E1652,"-"),3)</f>
        <v>派克服</v>
      </c>
      <c r="H1652" s="5">
        <v>1318</v>
      </c>
      <c r="I1652" s="5">
        <v>338889.77</v>
      </c>
      <c r="J1652" s="6">
        <v>0.0014</v>
      </c>
      <c r="K1652" s="6">
        <v>-0.3683</v>
      </c>
    </row>
    <row r="1653" ht="14.5" spans="1:11">
      <c r="A1653" s="3" t="str">
        <f t="shared" si="99"/>
        <v>2026年</v>
      </c>
      <c r="B1653" s="3" t="str">
        <f t="shared" si="100"/>
        <v>2月</v>
      </c>
      <c r="C1653" s="4" t="str">
        <f t="shared" si="101"/>
        <v>W7</v>
      </c>
      <c r="D1653" s="2" t="s">
        <v>781</v>
      </c>
      <c r="E1653" s="2" t="s">
        <v>821</v>
      </c>
      <c r="F1653" s="2" t="str" cm="1">
        <f t="array" ref="F1653">INDEX(_xlfn.TEXTSPLIT(E1653,"-"),2)</f>
        <v>男装</v>
      </c>
      <c r="G1653" s="2" t="str" cm="1">
        <f t="array" ref="G1653">INDEX(_xlfn.TEXTSPLIT(E1653,"-"),3)</f>
        <v>牛仔裤</v>
      </c>
      <c r="H1653" s="5">
        <v>163101</v>
      </c>
      <c r="I1653" s="5">
        <v>21331146.38</v>
      </c>
      <c r="J1653" s="6">
        <v>0.0886</v>
      </c>
      <c r="K1653" s="6">
        <v>-0.2967</v>
      </c>
    </row>
    <row r="1654" ht="14.5" spans="1:11">
      <c r="A1654" s="3" t="str">
        <f t="shared" si="99"/>
        <v>2026年</v>
      </c>
      <c r="B1654" s="3" t="str">
        <f t="shared" si="100"/>
        <v>2月</v>
      </c>
      <c r="C1654" s="4" t="str">
        <f t="shared" si="101"/>
        <v>W7</v>
      </c>
      <c r="D1654" s="2" t="s">
        <v>781</v>
      </c>
      <c r="E1654" s="2" t="s">
        <v>822</v>
      </c>
      <c r="F1654" s="2" t="str" cm="1">
        <f t="array" ref="F1654">INDEX(_xlfn.TEXTSPLIT(E1654,"-"),2)</f>
        <v>男装</v>
      </c>
      <c r="G1654" s="2" t="str" cm="1">
        <f t="array" ref="G1654">INDEX(_xlfn.TEXTSPLIT(E1654,"-"),3)</f>
        <v>皮草</v>
      </c>
      <c r="H1654" s="5">
        <v>944</v>
      </c>
      <c r="I1654" s="5">
        <v>1057029.06</v>
      </c>
      <c r="J1654" s="6">
        <v>0.0044</v>
      </c>
      <c r="K1654" s="6">
        <v>-0.1473</v>
      </c>
    </row>
    <row r="1655" ht="14.5" spans="1:11">
      <c r="A1655" s="3" t="str">
        <f t="shared" si="99"/>
        <v>2026年</v>
      </c>
      <c r="B1655" s="3" t="str">
        <f t="shared" si="100"/>
        <v>2月</v>
      </c>
      <c r="C1655" s="4" t="str">
        <f t="shared" si="101"/>
        <v>W7</v>
      </c>
      <c r="D1655" s="2" t="s">
        <v>781</v>
      </c>
      <c r="E1655" s="2" t="s">
        <v>823</v>
      </c>
      <c r="F1655" s="2" t="str" cm="1">
        <f t="array" ref="F1655">INDEX(_xlfn.TEXTSPLIT(E1655,"-"),2)</f>
        <v>男装</v>
      </c>
      <c r="G1655" s="2" t="str" cm="1">
        <f t="array" ref="G1655">INDEX(_xlfn.TEXTSPLIT(E1655,"-"),3)</f>
        <v>皮衣</v>
      </c>
      <c r="H1655" s="5">
        <v>26540</v>
      </c>
      <c r="I1655" s="5">
        <v>12698886.2</v>
      </c>
      <c r="J1655" s="6">
        <v>0.0527</v>
      </c>
      <c r="K1655" s="6">
        <v>-0.2215</v>
      </c>
    </row>
    <row r="1656" ht="14.5" spans="1:11">
      <c r="A1656" s="3" t="str">
        <f t="shared" si="99"/>
        <v>2026年</v>
      </c>
      <c r="B1656" s="3" t="str">
        <f t="shared" si="100"/>
        <v>2月</v>
      </c>
      <c r="C1656" s="4" t="str">
        <f t="shared" si="101"/>
        <v>W7</v>
      </c>
      <c r="D1656" s="2" t="s">
        <v>781</v>
      </c>
      <c r="E1656" s="2" t="s">
        <v>824</v>
      </c>
      <c r="F1656" s="2" t="str" cm="1">
        <f t="array" ref="F1656">INDEX(_xlfn.TEXTSPLIT(E1656,"-"),2)</f>
        <v>男装</v>
      </c>
      <c r="G1656" s="2" t="str" cm="1">
        <f t="array" ref="G1656">INDEX(_xlfn.TEXTSPLIT(E1656,"-"),3)</f>
        <v>皮裤</v>
      </c>
      <c r="H1656" s="5">
        <v>203</v>
      </c>
      <c r="I1656" s="5">
        <v>71768.1</v>
      </c>
      <c r="J1656" s="6">
        <v>0.0003</v>
      </c>
      <c r="K1656" s="6">
        <v>-0.2021</v>
      </c>
    </row>
    <row r="1657" ht="14.5" spans="1:11">
      <c r="A1657" s="3" t="str">
        <f t="shared" si="99"/>
        <v>2026年</v>
      </c>
      <c r="B1657" s="3" t="str">
        <f t="shared" si="100"/>
        <v>2月</v>
      </c>
      <c r="C1657" s="4" t="str">
        <f t="shared" si="101"/>
        <v>W7</v>
      </c>
      <c r="D1657" s="2" t="s">
        <v>781</v>
      </c>
      <c r="E1657" s="2" t="s">
        <v>825</v>
      </c>
      <c r="F1657" s="2" t="str" cm="1">
        <f t="array" ref="F1657">INDEX(_xlfn.TEXTSPLIT(E1657,"-"),2)</f>
        <v>男装</v>
      </c>
      <c r="G1657" s="2" t="str" cm="1">
        <f t="array" ref="G1657">INDEX(_xlfn.TEXTSPLIT(E1657,"-"),3)</f>
        <v>短外套</v>
      </c>
      <c r="H1657" s="5">
        <v>9595</v>
      </c>
      <c r="I1657" s="5">
        <v>1635424</v>
      </c>
      <c r="J1657" s="6">
        <v>0.0068</v>
      </c>
      <c r="K1657" s="6">
        <v>-0.1735</v>
      </c>
    </row>
    <row r="1658" ht="14.5" spans="1:11">
      <c r="A1658" s="3" t="str">
        <f t="shared" si="99"/>
        <v>2026年</v>
      </c>
      <c r="B1658" s="3" t="str">
        <f t="shared" si="100"/>
        <v>2月</v>
      </c>
      <c r="C1658" s="4" t="str">
        <f t="shared" si="101"/>
        <v>W7</v>
      </c>
      <c r="D1658" s="2" t="s">
        <v>781</v>
      </c>
      <c r="E1658" s="2" t="s">
        <v>826</v>
      </c>
      <c r="F1658" s="2" t="str" cm="1">
        <f t="array" ref="F1658">INDEX(_xlfn.TEXTSPLIT(E1658,"-"),2)</f>
        <v>男装</v>
      </c>
      <c r="G1658" s="2" t="str" cm="1">
        <f t="array" ref="G1658">INDEX(_xlfn.TEXTSPLIT(E1658,"-"),3)</f>
        <v>短裤</v>
      </c>
      <c r="H1658" s="5">
        <v>19919</v>
      </c>
      <c r="I1658" s="5">
        <v>614021.27</v>
      </c>
      <c r="J1658" s="6">
        <v>0.0025</v>
      </c>
      <c r="K1658" s="6">
        <v>-0.2646</v>
      </c>
    </row>
    <row r="1659" ht="14.5" spans="1:11">
      <c r="A1659" s="3" t="str">
        <f t="shared" si="99"/>
        <v>2026年</v>
      </c>
      <c r="B1659" s="3" t="str">
        <f t="shared" si="100"/>
        <v>2月</v>
      </c>
      <c r="C1659" s="4" t="str">
        <f t="shared" si="101"/>
        <v>W7</v>
      </c>
      <c r="D1659" s="2" t="s">
        <v>781</v>
      </c>
      <c r="E1659" s="2" t="s">
        <v>827</v>
      </c>
      <c r="F1659" s="2" t="str" cm="1">
        <f t="array" ref="F1659">INDEX(_xlfn.TEXTSPLIT(E1659,"-"),2)</f>
        <v>男装</v>
      </c>
      <c r="G1659" s="2" t="str" cm="1">
        <f t="array" ref="G1659">INDEX(_xlfn.TEXTSPLIT(E1659,"-"),3)</f>
        <v>紧身衣</v>
      </c>
      <c r="H1659" s="5">
        <v>125</v>
      </c>
      <c r="I1659" s="5">
        <v>4235.5</v>
      </c>
      <c r="J1659" s="2" t="s">
        <v>713</v>
      </c>
      <c r="K1659" s="6">
        <v>-0.2746</v>
      </c>
    </row>
    <row r="1660" ht="14.5" spans="1:11">
      <c r="A1660" s="3" t="str">
        <f t="shared" si="99"/>
        <v>2026年</v>
      </c>
      <c r="B1660" s="3" t="str">
        <f t="shared" si="100"/>
        <v>2月</v>
      </c>
      <c r="C1660" s="4" t="str">
        <f t="shared" si="101"/>
        <v>W7</v>
      </c>
      <c r="D1660" s="2" t="s">
        <v>781</v>
      </c>
      <c r="E1660" s="2" t="s">
        <v>828</v>
      </c>
      <c r="F1660" s="2" t="str" cm="1">
        <f t="array" ref="F1660">INDEX(_xlfn.TEXTSPLIT(E1660,"-"),2)</f>
        <v>男装</v>
      </c>
      <c r="G1660" s="2" t="str" cm="1">
        <f t="array" ref="G1660">INDEX(_xlfn.TEXTSPLIT(E1660,"-"),3)</f>
        <v>羊毛衫</v>
      </c>
      <c r="H1660" s="5">
        <v>16308</v>
      </c>
      <c r="I1660" s="5">
        <v>3169281.03</v>
      </c>
      <c r="J1660" s="6">
        <v>0.0132</v>
      </c>
      <c r="K1660" s="6">
        <v>-0.4258</v>
      </c>
    </row>
    <row r="1661" ht="14.5" spans="1:11">
      <c r="A1661" s="3" t="str">
        <f t="shared" si="99"/>
        <v>2026年</v>
      </c>
      <c r="B1661" s="3" t="str">
        <f t="shared" si="100"/>
        <v>2月</v>
      </c>
      <c r="C1661" s="4" t="str">
        <f t="shared" si="101"/>
        <v>W7</v>
      </c>
      <c r="D1661" s="2" t="s">
        <v>781</v>
      </c>
      <c r="E1661" s="2" t="s">
        <v>829</v>
      </c>
      <c r="F1661" s="2" t="str" cm="1">
        <f t="array" ref="F1661">INDEX(_xlfn.TEXTSPLIT(E1661,"-"),2)</f>
        <v>男装</v>
      </c>
      <c r="G1661" s="2" t="str" cm="1">
        <f t="array" ref="G1661">INDEX(_xlfn.TEXTSPLIT(E1661,"-"),3)</f>
        <v>羊绒衫</v>
      </c>
      <c r="H1661" s="5">
        <v>2936</v>
      </c>
      <c r="I1661" s="5">
        <v>1191069.47</v>
      </c>
      <c r="J1661" s="6">
        <v>0.0049</v>
      </c>
      <c r="K1661" s="6">
        <v>-0.4038</v>
      </c>
    </row>
    <row r="1662" ht="14.5" spans="1:11">
      <c r="A1662" s="3" t="str">
        <f t="shared" si="99"/>
        <v>2026年</v>
      </c>
      <c r="B1662" s="3" t="str">
        <f t="shared" si="100"/>
        <v>2月</v>
      </c>
      <c r="C1662" s="4" t="str">
        <f t="shared" si="101"/>
        <v>W7</v>
      </c>
      <c r="D1662" s="2" t="s">
        <v>781</v>
      </c>
      <c r="E1662" s="2" t="s">
        <v>830</v>
      </c>
      <c r="F1662" s="2" t="str" cm="1">
        <f t="array" ref="F1662">INDEX(_xlfn.TEXTSPLIT(E1662,"-"),2)</f>
        <v>男装</v>
      </c>
      <c r="G1662" s="2" t="str" cm="1">
        <f t="array" ref="G1662">INDEX(_xlfn.TEXTSPLIT(E1662,"-"),3)</f>
        <v>羽绒服</v>
      </c>
      <c r="H1662" s="5">
        <v>109150</v>
      </c>
      <c r="I1662" s="5">
        <v>36607959.69</v>
      </c>
      <c r="J1662" s="6">
        <v>0.152</v>
      </c>
      <c r="K1662" s="6">
        <v>-0.4055</v>
      </c>
    </row>
    <row r="1663" ht="14.5" spans="1:11">
      <c r="A1663" s="3" t="str">
        <f t="shared" si="99"/>
        <v>2026年</v>
      </c>
      <c r="B1663" s="3" t="str">
        <f t="shared" si="100"/>
        <v>2月</v>
      </c>
      <c r="C1663" s="4" t="str">
        <f t="shared" si="101"/>
        <v>W7</v>
      </c>
      <c r="D1663" s="2" t="s">
        <v>781</v>
      </c>
      <c r="E1663" s="2" t="s">
        <v>831</v>
      </c>
      <c r="F1663" s="2" t="str" cm="1">
        <f t="array" ref="F1663">INDEX(_xlfn.TEXTSPLIT(E1663,"-"),2)</f>
        <v>男装</v>
      </c>
      <c r="G1663" s="2" t="str" cm="1">
        <f t="array" ref="G1663">INDEX(_xlfn.TEXTSPLIT(E1663,"-"),3)</f>
        <v>羽绒裤</v>
      </c>
      <c r="H1663" s="5">
        <v>1412</v>
      </c>
      <c r="I1663" s="5">
        <v>331673.42</v>
      </c>
      <c r="J1663" s="6">
        <v>0.0014</v>
      </c>
      <c r="K1663" s="6">
        <v>0.0456</v>
      </c>
    </row>
    <row r="1664" ht="14.5" spans="1:11">
      <c r="A1664" s="3" t="str">
        <f t="shared" si="99"/>
        <v>2026年</v>
      </c>
      <c r="B1664" s="3" t="str">
        <f t="shared" si="100"/>
        <v>2月</v>
      </c>
      <c r="C1664" s="4" t="str">
        <f t="shared" si="101"/>
        <v>W7</v>
      </c>
      <c r="D1664" s="2" t="s">
        <v>781</v>
      </c>
      <c r="E1664" s="2" t="s">
        <v>832</v>
      </c>
      <c r="F1664" s="2" t="str" cm="1">
        <f t="array" ref="F1664">INDEX(_xlfn.TEXTSPLIT(E1664,"-"),2)</f>
        <v>男装</v>
      </c>
      <c r="G1664" s="2" t="str" cm="1">
        <f t="array" ref="G1664">INDEX(_xlfn.TEXTSPLIT(E1664,"-"),3)</f>
        <v>羽绒马甲</v>
      </c>
      <c r="H1664" s="5">
        <v>2582</v>
      </c>
      <c r="I1664" s="5">
        <v>626517.7</v>
      </c>
      <c r="J1664" s="6">
        <v>0.0026</v>
      </c>
      <c r="K1664" s="6">
        <v>-0.3924</v>
      </c>
    </row>
    <row r="1665" ht="14.5" spans="1:11">
      <c r="A1665" s="3" t="str">
        <f t="shared" si="99"/>
        <v>2026年</v>
      </c>
      <c r="B1665" s="3" t="str">
        <f t="shared" si="100"/>
        <v>2月</v>
      </c>
      <c r="C1665" s="4" t="str">
        <f t="shared" si="101"/>
        <v>W7</v>
      </c>
      <c r="D1665" s="2" t="s">
        <v>781</v>
      </c>
      <c r="E1665" s="2" t="s">
        <v>833</v>
      </c>
      <c r="F1665" s="2" t="str" cm="1">
        <f t="array" ref="F1665">INDEX(_xlfn.TEXTSPLIT(E1665,"-"),2)</f>
        <v>男装</v>
      </c>
      <c r="G1665" s="2" t="str" cm="1">
        <f t="array" ref="G1665">INDEX(_xlfn.TEXTSPLIT(E1665,"-"),3)</f>
        <v>背心</v>
      </c>
      <c r="H1665" s="5">
        <v>11092</v>
      </c>
      <c r="I1665" s="5">
        <v>673644.87</v>
      </c>
      <c r="J1665" s="6">
        <v>0.0028</v>
      </c>
      <c r="K1665" s="6">
        <v>-0.181</v>
      </c>
    </row>
    <row r="1666" ht="14.5" spans="1:11">
      <c r="A1666" s="3" t="str">
        <f t="shared" si="99"/>
        <v>2026年</v>
      </c>
      <c r="B1666" s="3" t="str">
        <f t="shared" si="100"/>
        <v>2月</v>
      </c>
      <c r="C1666" s="4" t="str">
        <f t="shared" si="101"/>
        <v>W7</v>
      </c>
      <c r="D1666" s="2" t="s">
        <v>781</v>
      </c>
      <c r="E1666" s="2" t="s">
        <v>834</v>
      </c>
      <c r="F1666" s="2" t="str" cm="1">
        <f t="array" ref="F1666">INDEX(_xlfn.TEXTSPLIT(E1666,"-"),2)</f>
        <v>男装</v>
      </c>
      <c r="G1666" s="2" t="str" cm="1">
        <f t="array" ref="G1666">INDEX(_xlfn.TEXTSPLIT(E1666,"-"),3)</f>
        <v>衬衫</v>
      </c>
      <c r="H1666" s="5">
        <v>38491</v>
      </c>
      <c r="I1666" s="5">
        <v>6276497.18</v>
      </c>
      <c r="J1666" s="6">
        <v>0.0261</v>
      </c>
      <c r="K1666" s="6">
        <v>-0.0353</v>
      </c>
    </row>
    <row r="1667" ht="14.5" spans="1:11">
      <c r="A1667" s="3" t="str">
        <f t="shared" si="99"/>
        <v>2026年</v>
      </c>
      <c r="B1667" s="3" t="str">
        <f t="shared" si="100"/>
        <v>2月</v>
      </c>
      <c r="C1667" s="4" t="str">
        <f t="shared" si="101"/>
        <v>W7</v>
      </c>
      <c r="D1667" s="2" t="s">
        <v>781</v>
      </c>
      <c r="E1667" s="2" t="s">
        <v>835</v>
      </c>
      <c r="F1667" s="2" t="str" cm="1">
        <f t="array" ref="F1667">INDEX(_xlfn.TEXTSPLIT(E1667,"-"),2)</f>
        <v>男装</v>
      </c>
      <c r="G1667" s="2" t="str" cm="1">
        <f t="array" ref="G1667">INDEX(_xlfn.TEXTSPLIT(E1667,"-"),3)</f>
        <v>西服</v>
      </c>
      <c r="H1667" s="5">
        <v>30321</v>
      </c>
      <c r="I1667" s="5">
        <v>7194524.45</v>
      </c>
      <c r="J1667" s="6">
        <v>0.0299</v>
      </c>
      <c r="K1667" s="6">
        <v>-0.2829</v>
      </c>
    </row>
    <row r="1668" ht="14.5" spans="1:11">
      <c r="A1668" s="3" t="str">
        <f t="shared" si="99"/>
        <v>2026年</v>
      </c>
      <c r="B1668" s="3" t="str">
        <f t="shared" si="100"/>
        <v>2月</v>
      </c>
      <c r="C1668" s="4" t="str">
        <f t="shared" si="101"/>
        <v>W7</v>
      </c>
      <c r="D1668" s="2" t="s">
        <v>781</v>
      </c>
      <c r="E1668" s="2" t="s">
        <v>836</v>
      </c>
      <c r="F1668" s="2" t="str" cm="1">
        <f t="array" ref="F1668">INDEX(_xlfn.TEXTSPLIT(E1668,"-"),2)</f>
        <v>男装</v>
      </c>
      <c r="G1668" s="2" t="str" cm="1">
        <f t="array" ref="G1668">INDEX(_xlfn.TEXTSPLIT(E1668,"-"),3)</f>
        <v>连体衣/裤</v>
      </c>
      <c r="H1668" s="5">
        <v>851</v>
      </c>
      <c r="I1668" s="5">
        <v>26131.55</v>
      </c>
      <c r="J1668" s="6">
        <v>0.0001</v>
      </c>
      <c r="K1668" s="6">
        <v>-0.2255</v>
      </c>
    </row>
    <row r="1669" ht="14.5" spans="1:11">
      <c r="A1669" s="3" t="str">
        <f t="shared" si="99"/>
        <v>2026年</v>
      </c>
      <c r="B1669" s="3" t="str">
        <f t="shared" si="100"/>
        <v>2月</v>
      </c>
      <c r="C1669" s="4" t="str">
        <f t="shared" si="101"/>
        <v>W7</v>
      </c>
      <c r="D1669" s="2" t="s">
        <v>781</v>
      </c>
      <c r="E1669" s="2" t="s">
        <v>837</v>
      </c>
      <c r="F1669" s="2" t="str" cm="1">
        <f t="array" ref="F1669">INDEX(_xlfn.TEXTSPLIT(E1669,"-"),2)</f>
        <v>男装</v>
      </c>
      <c r="G1669" s="2" t="str" cm="1">
        <f t="array" ref="G1669">INDEX(_xlfn.TEXTSPLIT(E1669,"-"),3)</f>
        <v>速干/三防T恤</v>
      </c>
      <c r="H1669" s="5">
        <v>499</v>
      </c>
      <c r="I1669" s="5">
        <v>68660.37</v>
      </c>
      <c r="J1669" s="6">
        <v>0.0003</v>
      </c>
      <c r="K1669" s="6">
        <v>-0.1706</v>
      </c>
    </row>
    <row r="1670" ht="14.5" spans="1:11">
      <c r="A1670" s="3" t="str">
        <f t="shared" si="99"/>
        <v>2026年</v>
      </c>
      <c r="B1670" s="3" t="str">
        <f t="shared" si="100"/>
        <v>2月</v>
      </c>
      <c r="C1670" s="4" t="str">
        <f t="shared" si="101"/>
        <v>W7</v>
      </c>
      <c r="D1670" s="2" t="s">
        <v>781</v>
      </c>
      <c r="E1670" s="2" t="s">
        <v>838</v>
      </c>
      <c r="F1670" s="2" t="str" cm="1">
        <f t="array" ref="F1670">INDEX(_xlfn.TEXTSPLIT(E1670,"-"),2)</f>
        <v>男装</v>
      </c>
      <c r="G1670" s="2" t="str" cm="1">
        <f t="array" ref="G1670">INDEX(_xlfn.TEXTSPLIT(E1670,"-"),3)</f>
        <v>针织衫/毛衣</v>
      </c>
      <c r="H1670" s="5">
        <v>79248</v>
      </c>
      <c r="I1670" s="5">
        <v>11832098.67</v>
      </c>
      <c r="J1670" s="6">
        <v>0.0491</v>
      </c>
      <c r="K1670" s="6">
        <v>-0.3287</v>
      </c>
    </row>
    <row r="1671" ht="14.5" spans="1:11">
      <c r="A1671" s="3" t="str">
        <f t="shared" si="99"/>
        <v>2026年</v>
      </c>
      <c r="B1671" s="3" t="str">
        <f t="shared" si="100"/>
        <v>2月</v>
      </c>
      <c r="C1671" s="4" t="str">
        <f t="shared" si="101"/>
        <v>W7</v>
      </c>
      <c r="D1671" s="2" t="s">
        <v>781</v>
      </c>
      <c r="E1671" s="2" t="s">
        <v>839</v>
      </c>
      <c r="F1671" s="2" t="str" cm="1">
        <f t="array" ref="F1671">INDEX(_xlfn.TEXTSPLIT(E1671,"-"),2)</f>
        <v>男装</v>
      </c>
      <c r="G1671" s="2" t="str" cm="1">
        <f t="array" ref="G1671">INDEX(_xlfn.TEXTSPLIT(E1671,"-"),3)</f>
        <v>防晒服</v>
      </c>
      <c r="H1671" s="5">
        <v>340</v>
      </c>
      <c r="I1671" s="5">
        <v>25794.58</v>
      </c>
      <c r="J1671" s="6">
        <v>0.0001</v>
      </c>
      <c r="K1671" s="6">
        <v>0.5432</v>
      </c>
    </row>
    <row r="1672" ht="14.5" spans="1:11">
      <c r="A1672" s="3" t="str">
        <f t="shared" si="99"/>
        <v>2026年</v>
      </c>
      <c r="B1672" s="3" t="str">
        <f t="shared" si="100"/>
        <v>2月</v>
      </c>
      <c r="C1672" s="4" t="str">
        <f t="shared" si="101"/>
        <v>W7</v>
      </c>
      <c r="D1672" s="2" t="s">
        <v>781</v>
      </c>
      <c r="E1672" s="2" t="s">
        <v>840</v>
      </c>
      <c r="F1672" s="2" t="str" cm="1">
        <f t="array" ref="F1672">INDEX(_xlfn.TEXTSPLIT(E1672,"-"),2)</f>
        <v>男装</v>
      </c>
      <c r="G1672" s="2" t="str" cm="1">
        <f t="array" ref="G1672">INDEX(_xlfn.TEXTSPLIT(E1672,"-"),3)</f>
        <v>风衣</v>
      </c>
      <c r="H1672" s="5">
        <v>4641</v>
      </c>
      <c r="I1672" s="5">
        <v>1783060.32</v>
      </c>
      <c r="J1672" s="6">
        <v>0.0074</v>
      </c>
      <c r="K1672" s="6">
        <v>0.0025</v>
      </c>
    </row>
    <row r="1673" ht="14.5" spans="1:11">
      <c r="A1673" s="3" t="str">
        <f t="shared" si="99"/>
        <v>2026年</v>
      </c>
      <c r="B1673" s="3" t="str">
        <f t="shared" si="100"/>
        <v>2月</v>
      </c>
      <c r="C1673" s="4" t="str">
        <f t="shared" si="101"/>
        <v>W7</v>
      </c>
      <c r="D1673" s="2" t="s">
        <v>781</v>
      </c>
      <c r="E1673" s="2" t="s">
        <v>841</v>
      </c>
      <c r="F1673" s="2" t="str" cm="1">
        <f t="array" ref="F1673">INDEX(_xlfn.TEXTSPLIT(E1673,"-"),2)</f>
        <v>男装</v>
      </c>
      <c r="G1673" s="2" t="str" cm="1">
        <f t="array" ref="G1673">INDEX(_xlfn.TEXTSPLIT(E1673,"-"),3)</f>
        <v>马甲</v>
      </c>
      <c r="H1673" s="5">
        <v>21947</v>
      </c>
      <c r="I1673" s="5">
        <v>3001051.14</v>
      </c>
      <c r="J1673" s="6">
        <v>0.0125</v>
      </c>
      <c r="K1673" s="6">
        <v>0.3573</v>
      </c>
    </row>
    <row r="1674" ht="14.5" spans="1:11">
      <c r="A1674" s="3" t="str">
        <f t="shared" si="99"/>
        <v>2026年</v>
      </c>
      <c r="B1674" s="3" t="str">
        <f t="shared" si="100"/>
        <v>2月</v>
      </c>
      <c r="C1674" s="4" t="str">
        <f t="shared" si="101"/>
        <v>W7</v>
      </c>
      <c r="D1674" s="2" t="s">
        <v>782</v>
      </c>
      <c r="E1674" s="2" t="s">
        <v>804</v>
      </c>
      <c r="F1674" s="2" t="str" cm="1">
        <f t="array" ref="F1674">INDEX(_xlfn.TEXTSPLIT(E1674,"-"),2)</f>
        <v>男装</v>
      </c>
      <c r="G1674" s="2" t="str" cm="1">
        <f t="array" ref="G1674">INDEX(_xlfn.TEXTSPLIT(E1674,"-"),3)</f>
        <v>Polo衫</v>
      </c>
      <c r="H1674" s="5">
        <v>16056</v>
      </c>
      <c r="I1674" s="5">
        <v>1820713.22</v>
      </c>
      <c r="J1674" s="6">
        <v>0.0107</v>
      </c>
      <c r="K1674" s="6">
        <v>-0.0138</v>
      </c>
    </row>
    <row r="1675" ht="14.5" spans="1:11">
      <c r="A1675" s="3" t="str">
        <f t="shared" si="99"/>
        <v>2026年</v>
      </c>
      <c r="B1675" s="3" t="str">
        <f t="shared" si="100"/>
        <v>2月</v>
      </c>
      <c r="C1675" s="4" t="str">
        <f t="shared" si="101"/>
        <v>W7</v>
      </c>
      <c r="D1675" s="2" t="s">
        <v>782</v>
      </c>
      <c r="E1675" s="2" t="s">
        <v>805</v>
      </c>
      <c r="F1675" s="2" t="str" cm="1">
        <f t="array" ref="F1675">INDEX(_xlfn.TEXTSPLIT(E1675,"-"),2)</f>
        <v>男装</v>
      </c>
      <c r="G1675" s="2" t="str" cm="1">
        <f t="array" ref="G1675">INDEX(_xlfn.TEXTSPLIT(E1675,"-"),3)</f>
        <v>T恤</v>
      </c>
      <c r="H1675" s="5">
        <v>284668</v>
      </c>
      <c r="I1675" s="5">
        <v>22090151.26</v>
      </c>
      <c r="J1675" s="6">
        <v>0.1296</v>
      </c>
      <c r="K1675" s="6">
        <v>0.1214</v>
      </c>
    </row>
    <row r="1676" ht="14.5" spans="1:11">
      <c r="A1676" s="3" t="str">
        <f t="shared" si="99"/>
        <v>2026年</v>
      </c>
      <c r="B1676" s="3" t="str">
        <f t="shared" si="100"/>
        <v>2月</v>
      </c>
      <c r="C1676" s="4" t="str">
        <f t="shared" si="101"/>
        <v>W7</v>
      </c>
      <c r="D1676" s="2" t="s">
        <v>782</v>
      </c>
      <c r="E1676" s="2" t="s">
        <v>806</v>
      </c>
      <c r="F1676" s="2" t="str" cm="1">
        <f t="array" ref="F1676">INDEX(_xlfn.TEXTSPLIT(E1676,"-"),2)</f>
        <v>男装</v>
      </c>
      <c r="G1676" s="2" t="str" cm="1">
        <f t="array" ref="G1676">INDEX(_xlfn.TEXTSPLIT(E1676,"-"),3)</f>
        <v>中老年男装</v>
      </c>
      <c r="H1676" s="5">
        <v>12321</v>
      </c>
      <c r="I1676" s="5">
        <v>1279851.15</v>
      </c>
      <c r="J1676" s="6">
        <v>0.0075</v>
      </c>
      <c r="K1676" s="6">
        <v>-0.3752</v>
      </c>
    </row>
    <row r="1677" ht="14.5" spans="1:11">
      <c r="A1677" s="3" t="str">
        <f t="shared" si="99"/>
        <v>2026年</v>
      </c>
      <c r="B1677" s="3" t="str">
        <f t="shared" si="100"/>
        <v>2月</v>
      </c>
      <c r="C1677" s="4" t="str">
        <f t="shared" si="101"/>
        <v>W7</v>
      </c>
      <c r="D1677" s="2" t="s">
        <v>782</v>
      </c>
      <c r="E1677" s="2" t="s">
        <v>807</v>
      </c>
      <c r="F1677" s="2" t="str" cm="1">
        <f t="array" ref="F1677">INDEX(_xlfn.TEXTSPLIT(E1677,"-"),2)</f>
        <v>男装</v>
      </c>
      <c r="G1677" s="2" t="str" cm="1">
        <f t="array" ref="G1677">INDEX(_xlfn.TEXTSPLIT(E1677,"-"),3)</f>
        <v>休闲裤</v>
      </c>
      <c r="H1677" s="5">
        <v>133568</v>
      </c>
      <c r="I1677" s="5">
        <v>15887071.73</v>
      </c>
      <c r="J1677" s="6">
        <v>0.0932</v>
      </c>
      <c r="K1677" s="6">
        <v>-0.3208</v>
      </c>
    </row>
    <row r="1678" ht="14.5" spans="1:11">
      <c r="A1678" s="3" t="str">
        <f t="shared" si="99"/>
        <v>2026年</v>
      </c>
      <c r="B1678" s="3" t="str">
        <f t="shared" si="100"/>
        <v>2月</v>
      </c>
      <c r="C1678" s="4" t="str">
        <f t="shared" si="101"/>
        <v>W7</v>
      </c>
      <c r="D1678" s="2" t="s">
        <v>782</v>
      </c>
      <c r="E1678" s="2" t="s">
        <v>808</v>
      </c>
      <c r="F1678" s="2" t="str" cm="1">
        <f t="array" ref="F1678">INDEX(_xlfn.TEXTSPLIT(E1678,"-"),2)</f>
        <v>男装</v>
      </c>
      <c r="G1678" s="2" t="str" cm="1">
        <f t="array" ref="G1678">INDEX(_xlfn.TEXTSPLIT(E1678,"-"),3)</f>
        <v>卫衣</v>
      </c>
      <c r="H1678" s="5">
        <v>93062</v>
      </c>
      <c r="I1678" s="5">
        <v>10662873.64</v>
      </c>
      <c r="J1678" s="6">
        <v>0.0626</v>
      </c>
      <c r="K1678" s="6">
        <v>-0.3339</v>
      </c>
    </row>
    <row r="1679" ht="14.5" spans="1:11">
      <c r="A1679" s="3" t="str">
        <f t="shared" si="99"/>
        <v>2026年</v>
      </c>
      <c r="B1679" s="3" t="str">
        <f t="shared" si="100"/>
        <v>2月</v>
      </c>
      <c r="C1679" s="4" t="str">
        <f t="shared" si="101"/>
        <v>W7</v>
      </c>
      <c r="D1679" s="2" t="s">
        <v>782</v>
      </c>
      <c r="E1679" s="2" t="s">
        <v>809</v>
      </c>
      <c r="F1679" s="2" t="str" cm="1">
        <f t="array" ref="F1679">INDEX(_xlfn.TEXTSPLIT(E1679,"-"),2)</f>
        <v>男装</v>
      </c>
      <c r="G1679" s="2" t="str" cm="1">
        <f t="array" ref="G1679">INDEX(_xlfn.TEXTSPLIT(E1679,"-"),3)</f>
        <v>卫裤</v>
      </c>
      <c r="H1679" s="5">
        <v>26754</v>
      </c>
      <c r="I1679" s="5">
        <v>2717560.42</v>
      </c>
      <c r="J1679" s="6">
        <v>0.0159</v>
      </c>
      <c r="K1679" s="6">
        <v>-0.3781</v>
      </c>
    </row>
    <row r="1680" ht="14.5" spans="1:11">
      <c r="A1680" s="3" t="str">
        <f t="shared" si="99"/>
        <v>2026年</v>
      </c>
      <c r="B1680" s="3" t="str">
        <f t="shared" si="100"/>
        <v>2月</v>
      </c>
      <c r="C1680" s="4" t="str">
        <f t="shared" si="101"/>
        <v>W7</v>
      </c>
      <c r="D1680" s="2" t="s">
        <v>782</v>
      </c>
      <c r="E1680" s="2" t="s">
        <v>810</v>
      </c>
      <c r="F1680" s="2" t="str" cm="1">
        <f t="array" ref="F1680">INDEX(_xlfn.TEXTSPLIT(E1680,"-"),2)</f>
        <v>男装</v>
      </c>
      <c r="G1680" s="2" t="str" cm="1">
        <f t="array" ref="G1680">INDEX(_xlfn.TEXTSPLIT(E1680,"-"),3)</f>
        <v>大码男装</v>
      </c>
      <c r="H1680" s="5">
        <v>15022</v>
      </c>
      <c r="I1680" s="5">
        <v>1086369.86</v>
      </c>
      <c r="J1680" s="6">
        <v>0.0064</v>
      </c>
      <c r="K1680" s="6">
        <v>-0.0244</v>
      </c>
    </row>
    <row r="1681" ht="14.5" spans="1:11">
      <c r="A1681" s="3" t="str">
        <f t="shared" si="99"/>
        <v>2026年</v>
      </c>
      <c r="B1681" s="3" t="str">
        <f t="shared" si="100"/>
        <v>2月</v>
      </c>
      <c r="C1681" s="4" t="str">
        <f t="shared" si="101"/>
        <v>W7</v>
      </c>
      <c r="D1681" s="2" t="s">
        <v>782</v>
      </c>
      <c r="E1681" s="2" t="s">
        <v>811</v>
      </c>
      <c r="F1681" s="2" t="str" cm="1">
        <f t="array" ref="F1681">INDEX(_xlfn.TEXTSPLIT(E1681,"-"),2)</f>
        <v>男装</v>
      </c>
      <c r="G1681" s="2" t="str" cm="1">
        <f t="array" ref="G1681">INDEX(_xlfn.TEXTSPLIT(E1681,"-"),3)</f>
        <v>夹克</v>
      </c>
      <c r="H1681" s="5">
        <v>143549</v>
      </c>
      <c r="I1681" s="5">
        <v>32156066.37</v>
      </c>
      <c r="J1681" s="6">
        <v>0.1886</v>
      </c>
      <c r="K1681" s="6">
        <v>-0.1926</v>
      </c>
    </row>
    <row r="1682" ht="14.5" spans="1:11">
      <c r="A1682" s="3" t="str">
        <f t="shared" si="99"/>
        <v>2026年</v>
      </c>
      <c r="B1682" s="3" t="str">
        <f t="shared" si="100"/>
        <v>2月</v>
      </c>
      <c r="C1682" s="4" t="str">
        <f t="shared" si="101"/>
        <v>W7</v>
      </c>
      <c r="D1682" s="2" t="s">
        <v>782</v>
      </c>
      <c r="E1682" s="2" t="s">
        <v>812</v>
      </c>
      <c r="F1682" s="2" t="str" cm="1">
        <f t="array" ref="F1682">INDEX(_xlfn.TEXTSPLIT(E1682,"-"),2)</f>
        <v>男装</v>
      </c>
      <c r="G1682" s="2" t="str" cm="1">
        <f t="array" ref="G1682">INDEX(_xlfn.TEXTSPLIT(E1682,"-"),3)</f>
        <v>套装</v>
      </c>
      <c r="H1682" s="5">
        <v>13750</v>
      </c>
      <c r="I1682" s="5">
        <v>2428220.42</v>
      </c>
      <c r="J1682" s="6">
        <v>0.0142</v>
      </c>
      <c r="K1682" s="6">
        <v>-0.1948</v>
      </c>
    </row>
    <row r="1683" ht="14.5" spans="1:11">
      <c r="A1683" s="3" t="str">
        <f t="shared" si="99"/>
        <v>2026年</v>
      </c>
      <c r="B1683" s="3" t="str">
        <f t="shared" si="100"/>
        <v>2月</v>
      </c>
      <c r="C1683" s="4" t="str">
        <f t="shared" si="101"/>
        <v>W7</v>
      </c>
      <c r="D1683" s="2" t="s">
        <v>782</v>
      </c>
      <c r="E1683" s="2" t="s">
        <v>813</v>
      </c>
      <c r="F1683" s="2" t="str" cm="1">
        <f t="array" ref="F1683">INDEX(_xlfn.TEXTSPLIT(E1683,"-"),2)</f>
        <v>男装</v>
      </c>
      <c r="G1683" s="2" t="str" cm="1">
        <f t="array" ref="G1683">INDEX(_xlfn.TEXTSPLIT(E1683,"-"),3)</f>
        <v>学生校服</v>
      </c>
      <c r="H1683" s="5">
        <v>0</v>
      </c>
      <c r="I1683" s="5">
        <v>0</v>
      </c>
      <c r="J1683" s="7">
        <v>0</v>
      </c>
      <c r="K1683" s="2" t="s">
        <v>360</v>
      </c>
    </row>
    <row r="1684" ht="14.5" spans="1:11">
      <c r="A1684" s="3" t="str">
        <f t="shared" si="99"/>
        <v>2026年</v>
      </c>
      <c r="B1684" s="3" t="str">
        <f t="shared" si="100"/>
        <v>2月</v>
      </c>
      <c r="C1684" s="4" t="str">
        <f t="shared" si="101"/>
        <v>W7</v>
      </c>
      <c r="D1684" s="2" t="s">
        <v>782</v>
      </c>
      <c r="E1684" s="2" t="s">
        <v>814</v>
      </c>
      <c r="F1684" s="2" t="str" cm="1">
        <f t="array" ref="F1684">INDEX(_xlfn.TEXTSPLIT(E1684,"-"),2)</f>
        <v>男装</v>
      </c>
      <c r="G1684" s="2" t="str" cm="1">
        <f t="array" ref="G1684">INDEX(_xlfn.TEXTSPLIT(E1684,"-"),3)</f>
        <v>打底衫</v>
      </c>
      <c r="H1684" s="5">
        <v>2701</v>
      </c>
      <c r="I1684" s="5">
        <v>211012.14</v>
      </c>
      <c r="J1684" s="6">
        <v>0.0012</v>
      </c>
      <c r="K1684" s="6">
        <v>-0.1116</v>
      </c>
    </row>
    <row r="1685" ht="14.5" spans="1:11">
      <c r="A1685" s="3" t="str">
        <f t="shared" si="99"/>
        <v>2026年</v>
      </c>
      <c r="B1685" s="3" t="str">
        <f t="shared" si="100"/>
        <v>2月</v>
      </c>
      <c r="C1685" s="4" t="str">
        <f t="shared" si="101"/>
        <v>W7</v>
      </c>
      <c r="D1685" s="2" t="s">
        <v>782</v>
      </c>
      <c r="E1685" s="2" t="s">
        <v>815</v>
      </c>
      <c r="F1685" s="2" t="str" cm="1">
        <f t="array" ref="F1685">INDEX(_xlfn.TEXTSPLIT(E1685,"-"),2)</f>
        <v>男装</v>
      </c>
      <c r="G1685" s="2" t="str" cm="1">
        <f t="array" ref="G1685">INDEX(_xlfn.TEXTSPLIT(E1685,"-"),3)</f>
        <v>新中式男装</v>
      </c>
      <c r="H1685" s="5">
        <v>116</v>
      </c>
      <c r="I1685" s="5">
        <v>45636.93</v>
      </c>
      <c r="J1685" s="6">
        <v>0.0003</v>
      </c>
      <c r="K1685" s="6">
        <v>0.0261</v>
      </c>
    </row>
    <row r="1686" ht="14.5" spans="1:11">
      <c r="A1686" s="3" t="str">
        <f t="shared" si="99"/>
        <v>2026年</v>
      </c>
      <c r="B1686" s="3" t="str">
        <f t="shared" si="100"/>
        <v>2月</v>
      </c>
      <c r="C1686" s="4" t="str">
        <f t="shared" si="101"/>
        <v>W7</v>
      </c>
      <c r="D1686" s="2" t="s">
        <v>782</v>
      </c>
      <c r="E1686" s="2" t="s">
        <v>816</v>
      </c>
      <c r="F1686" s="2" t="str" cm="1">
        <f t="array" ref="F1686">INDEX(_xlfn.TEXTSPLIT(E1686,"-"),2)</f>
        <v>男装</v>
      </c>
      <c r="G1686" s="2" t="str" cm="1">
        <f t="array" ref="G1686">INDEX(_xlfn.TEXTSPLIT(E1686,"-"),3)</f>
        <v>棉衣</v>
      </c>
      <c r="H1686" s="5">
        <v>35700</v>
      </c>
      <c r="I1686" s="5">
        <v>5307770.94</v>
      </c>
      <c r="J1686" s="6">
        <v>0.0311</v>
      </c>
      <c r="K1686" s="6">
        <v>-0.4987</v>
      </c>
    </row>
    <row r="1687" ht="14.5" spans="1:11">
      <c r="A1687" s="3" t="str">
        <f t="shared" si="99"/>
        <v>2026年</v>
      </c>
      <c r="B1687" s="3" t="str">
        <f t="shared" si="100"/>
        <v>2月</v>
      </c>
      <c r="C1687" s="4" t="str">
        <f t="shared" si="101"/>
        <v>W7</v>
      </c>
      <c r="D1687" s="2" t="s">
        <v>782</v>
      </c>
      <c r="E1687" s="2" t="s">
        <v>817</v>
      </c>
      <c r="F1687" s="2" t="str" cm="1">
        <f t="array" ref="F1687">INDEX(_xlfn.TEXTSPLIT(E1687,"-"),2)</f>
        <v>男装</v>
      </c>
      <c r="G1687" s="2" t="str" cm="1">
        <f t="array" ref="G1687">INDEX(_xlfn.TEXTSPLIT(E1687,"-"),3)</f>
        <v>棉裤</v>
      </c>
      <c r="H1687" s="5">
        <v>709</v>
      </c>
      <c r="I1687" s="5">
        <v>42635.83</v>
      </c>
      <c r="J1687" s="6">
        <v>0.0003</v>
      </c>
      <c r="K1687" s="6">
        <v>-0.3773</v>
      </c>
    </row>
    <row r="1688" ht="14.5" spans="1:11">
      <c r="A1688" s="3" t="str">
        <f t="shared" si="99"/>
        <v>2026年</v>
      </c>
      <c r="B1688" s="3" t="str">
        <f t="shared" si="100"/>
        <v>2月</v>
      </c>
      <c r="C1688" s="4" t="str">
        <f t="shared" si="101"/>
        <v>W7</v>
      </c>
      <c r="D1688" s="2" t="s">
        <v>782</v>
      </c>
      <c r="E1688" s="2" t="s">
        <v>818</v>
      </c>
      <c r="F1688" s="2" t="str" cm="1">
        <f t="array" ref="F1688">INDEX(_xlfn.TEXTSPLIT(E1688,"-"),2)</f>
        <v>男装</v>
      </c>
      <c r="G1688" s="2" t="str" cm="1">
        <f t="array" ref="G1688">INDEX(_xlfn.TEXTSPLIT(E1688,"-"),3)</f>
        <v>毛呢大衣</v>
      </c>
      <c r="H1688" s="5">
        <v>9689</v>
      </c>
      <c r="I1688" s="5">
        <v>4189782.52</v>
      </c>
      <c r="J1688" s="6">
        <v>0.0246</v>
      </c>
      <c r="K1688" s="6">
        <v>-0.4276</v>
      </c>
    </row>
    <row r="1689" ht="14.5" spans="1:11">
      <c r="A1689" s="3" t="str">
        <f t="shared" si="99"/>
        <v>2026年</v>
      </c>
      <c r="B1689" s="3" t="str">
        <f t="shared" si="100"/>
        <v>2月</v>
      </c>
      <c r="C1689" s="4" t="str">
        <f t="shared" si="101"/>
        <v>W7</v>
      </c>
      <c r="D1689" s="2" t="s">
        <v>782</v>
      </c>
      <c r="E1689" s="2" t="s">
        <v>819</v>
      </c>
      <c r="F1689" s="2" t="str" cm="1">
        <f t="array" ref="F1689">INDEX(_xlfn.TEXTSPLIT(E1689,"-"),2)</f>
        <v>男装</v>
      </c>
      <c r="G1689" s="2" t="str" cm="1">
        <f t="array" ref="G1689">INDEX(_xlfn.TEXTSPLIT(E1689,"-"),3)</f>
        <v>民族服装</v>
      </c>
      <c r="H1689" s="5">
        <v>2384</v>
      </c>
      <c r="I1689" s="5">
        <v>489421.55</v>
      </c>
      <c r="J1689" s="6">
        <v>0.0029</v>
      </c>
      <c r="K1689" s="6">
        <v>-0.3007</v>
      </c>
    </row>
    <row r="1690" ht="14.5" spans="1:11">
      <c r="A1690" s="3" t="str">
        <f t="shared" si="99"/>
        <v>2026年</v>
      </c>
      <c r="B1690" s="3" t="str">
        <f t="shared" si="100"/>
        <v>2月</v>
      </c>
      <c r="C1690" s="4" t="str">
        <f t="shared" si="101"/>
        <v>W7</v>
      </c>
      <c r="D1690" s="2" t="s">
        <v>782</v>
      </c>
      <c r="E1690" s="2" t="s">
        <v>820</v>
      </c>
      <c r="F1690" s="2" t="str" cm="1">
        <f t="array" ref="F1690">INDEX(_xlfn.TEXTSPLIT(E1690,"-"),2)</f>
        <v>男装</v>
      </c>
      <c r="G1690" s="2" t="str" cm="1">
        <f t="array" ref="G1690">INDEX(_xlfn.TEXTSPLIT(E1690,"-"),3)</f>
        <v>派克服</v>
      </c>
      <c r="H1690" s="5">
        <v>798</v>
      </c>
      <c r="I1690" s="5">
        <v>198383.82</v>
      </c>
      <c r="J1690" s="6">
        <v>0.0012</v>
      </c>
      <c r="K1690" s="6">
        <v>-0.4146</v>
      </c>
    </row>
    <row r="1691" ht="14.5" spans="1:11">
      <c r="A1691" s="3" t="str">
        <f t="shared" si="99"/>
        <v>2026年</v>
      </c>
      <c r="B1691" s="3" t="str">
        <f t="shared" si="100"/>
        <v>2月</v>
      </c>
      <c r="C1691" s="4" t="str">
        <f t="shared" si="101"/>
        <v>W7</v>
      </c>
      <c r="D1691" s="2" t="s">
        <v>782</v>
      </c>
      <c r="E1691" s="2" t="s">
        <v>821</v>
      </c>
      <c r="F1691" s="2" t="str" cm="1">
        <f t="array" ref="F1691">INDEX(_xlfn.TEXTSPLIT(E1691,"-"),2)</f>
        <v>男装</v>
      </c>
      <c r="G1691" s="2" t="str" cm="1">
        <f t="array" ref="G1691">INDEX(_xlfn.TEXTSPLIT(E1691,"-"),3)</f>
        <v>牛仔裤</v>
      </c>
      <c r="H1691" s="5">
        <v>110435</v>
      </c>
      <c r="I1691" s="5">
        <v>14856504.97</v>
      </c>
      <c r="J1691" s="6">
        <v>0.0872</v>
      </c>
      <c r="K1691" s="6">
        <v>-0.3035</v>
      </c>
    </row>
    <row r="1692" ht="14.5" spans="1:11">
      <c r="A1692" s="3" t="str">
        <f t="shared" ref="A1692:A1755" si="102">TEXT(YEAR(D1692),"0")&amp;"年"</f>
        <v>2026年</v>
      </c>
      <c r="B1692" s="3" t="str">
        <f t="shared" ref="B1692:B1755" si="103">TEXT(MONTH(D1692),"0")&amp;"月"</f>
        <v>2月</v>
      </c>
      <c r="C1692" s="4" t="str">
        <f t="shared" ref="C1692:C1755" si="104">"W"&amp;TEXT(WEEKNUM(D1692,2),"0")</f>
        <v>W7</v>
      </c>
      <c r="D1692" s="2" t="s">
        <v>782</v>
      </c>
      <c r="E1692" s="2" t="s">
        <v>822</v>
      </c>
      <c r="F1692" s="2" t="str" cm="1">
        <f t="array" ref="F1692">INDEX(_xlfn.TEXTSPLIT(E1692,"-"),2)</f>
        <v>男装</v>
      </c>
      <c r="G1692" s="2" t="str" cm="1">
        <f t="array" ref="G1692">INDEX(_xlfn.TEXTSPLIT(E1692,"-"),3)</f>
        <v>皮草</v>
      </c>
      <c r="H1692" s="5">
        <v>493</v>
      </c>
      <c r="I1692" s="5">
        <v>621141.42</v>
      </c>
      <c r="J1692" s="6">
        <v>0.0036</v>
      </c>
      <c r="K1692" s="6">
        <v>-0.4124</v>
      </c>
    </row>
    <row r="1693" ht="14.5" spans="1:11">
      <c r="A1693" s="3" t="str">
        <f t="shared" si="102"/>
        <v>2026年</v>
      </c>
      <c r="B1693" s="3" t="str">
        <f t="shared" si="103"/>
        <v>2月</v>
      </c>
      <c r="C1693" s="4" t="str">
        <f t="shared" si="104"/>
        <v>W7</v>
      </c>
      <c r="D1693" s="2" t="s">
        <v>782</v>
      </c>
      <c r="E1693" s="2" t="s">
        <v>823</v>
      </c>
      <c r="F1693" s="2" t="str" cm="1">
        <f t="array" ref="F1693">INDEX(_xlfn.TEXTSPLIT(E1693,"-"),2)</f>
        <v>男装</v>
      </c>
      <c r="G1693" s="2" t="str" cm="1">
        <f t="array" ref="G1693">INDEX(_xlfn.TEXTSPLIT(E1693,"-"),3)</f>
        <v>皮衣</v>
      </c>
      <c r="H1693" s="5">
        <v>18321</v>
      </c>
      <c r="I1693" s="5">
        <v>8785847.1</v>
      </c>
      <c r="J1693" s="6">
        <v>0.0515</v>
      </c>
      <c r="K1693" s="6">
        <v>-0.3081</v>
      </c>
    </row>
    <row r="1694" ht="14.5" spans="1:11">
      <c r="A1694" s="3" t="str">
        <f t="shared" si="102"/>
        <v>2026年</v>
      </c>
      <c r="B1694" s="3" t="str">
        <f t="shared" si="103"/>
        <v>2月</v>
      </c>
      <c r="C1694" s="4" t="str">
        <f t="shared" si="104"/>
        <v>W7</v>
      </c>
      <c r="D1694" s="2" t="s">
        <v>782</v>
      </c>
      <c r="E1694" s="2" t="s">
        <v>824</v>
      </c>
      <c r="F1694" s="2" t="str" cm="1">
        <f t="array" ref="F1694">INDEX(_xlfn.TEXTSPLIT(E1694,"-"),2)</f>
        <v>男装</v>
      </c>
      <c r="G1694" s="2" t="str" cm="1">
        <f t="array" ref="G1694">INDEX(_xlfn.TEXTSPLIT(E1694,"-"),3)</f>
        <v>皮裤</v>
      </c>
      <c r="H1694" s="5">
        <v>123</v>
      </c>
      <c r="I1694" s="5">
        <v>25465.99</v>
      </c>
      <c r="J1694" s="6">
        <v>0.0001</v>
      </c>
      <c r="K1694" s="6">
        <v>-0.6452</v>
      </c>
    </row>
    <row r="1695" ht="14.5" spans="1:11">
      <c r="A1695" s="3" t="str">
        <f t="shared" si="102"/>
        <v>2026年</v>
      </c>
      <c r="B1695" s="3" t="str">
        <f t="shared" si="103"/>
        <v>2月</v>
      </c>
      <c r="C1695" s="4" t="str">
        <f t="shared" si="104"/>
        <v>W7</v>
      </c>
      <c r="D1695" s="2" t="s">
        <v>782</v>
      </c>
      <c r="E1695" s="2" t="s">
        <v>825</v>
      </c>
      <c r="F1695" s="2" t="str" cm="1">
        <f t="array" ref="F1695">INDEX(_xlfn.TEXTSPLIT(E1695,"-"),2)</f>
        <v>男装</v>
      </c>
      <c r="G1695" s="2" t="str" cm="1">
        <f t="array" ref="G1695">INDEX(_xlfn.TEXTSPLIT(E1695,"-"),3)</f>
        <v>短外套</v>
      </c>
      <c r="H1695" s="5">
        <v>4059</v>
      </c>
      <c r="I1695" s="5">
        <v>940837.88</v>
      </c>
      <c r="J1695" s="6">
        <v>0.0055</v>
      </c>
      <c r="K1695" s="6">
        <v>-0.4247</v>
      </c>
    </row>
    <row r="1696" ht="14.5" spans="1:11">
      <c r="A1696" s="3" t="str">
        <f t="shared" si="102"/>
        <v>2026年</v>
      </c>
      <c r="B1696" s="3" t="str">
        <f t="shared" si="103"/>
        <v>2月</v>
      </c>
      <c r="C1696" s="4" t="str">
        <f t="shared" si="104"/>
        <v>W7</v>
      </c>
      <c r="D1696" s="2" t="s">
        <v>782</v>
      </c>
      <c r="E1696" s="2" t="s">
        <v>826</v>
      </c>
      <c r="F1696" s="2" t="str" cm="1">
        <f t="array" ref="F1696">INDEX(_xlfn.TEXTSPLIT(E1696,"-"),2)</f>
        <v>男装</v>
      </c>
      <c r="G1696" s="2" t="str" cm="1">
        <f t="array" ref="G1696">INDEX(_xlfn.TEXTSPLIT(E1696,"-"),3)</f>
        <v>短裤</v>
      </c>
      <c r="H1696" s="5">
        <v>15472</v>
      </c>
      <c r="I1696" s="5">
        <v>564382.8</v>
      </c>
      <c r="J1696" s="6">
        <v>0.0033</v>
      </c>
      <c r="K1696" s="6">
        <v>-0.0808</v>
      </c>
    </row>
    <row r="1697" ht="14.5" spans="1:11">
      <c r="A1697" s="3" t="str">
        <f t="shared" si="102"/>
        <v>2026年</v>
      </c>
      <c r="B1697" s="3" t="str">
        <f t="shared" si="103"/>
        <v>2月</v>
      </c>
      <c r="C1697" s="4" t="str">
        <f t="shared" si="104"/>
        <v>W7</v>
      </c>
      <c r="D1697" s="2" t="s">
        <v>782</v>
      </c>
      <c r="E1697" s="2" t="s">
        <v>827</v>
      </c>
      <c r="F1697" s="2" t="str" cm="1">
        <f t="array" ref="F1697">INDEX(_xlfn.TEXTSPLIT(E1697,"-"),2)</f>
        <v>男装</v>
      </c>
      <c r="G1697" s="2" t="str" cm="1">
        <f t="array" ref="G1697">INDEX(_xlfn.TEXTSPLIT(E1697,"-"),3)</f>
        <v>紧身衣</v>
      </c>
      <c r="H1697" s="5">
        <v>150</v>
      </c>
      <c r="I1697" s="5">
        <v>4464.8</v>
      </c>
      <c r="J1697" s="2" t="s">
        <v>713</v>
      </c>
      <c r="K1697" s="6">
        <v>0.0541</v>
      </c>
    </row>
    <row r="1698" ht="14.5" spans="1:11">
      <c r="A1698" s="3" t="str">
        <f t="shared" si="102"/>
        <v>2026年</v>
      </c>
      <c r="B1698" s="3" t="str">
        <f t="shared" si="103"/>
        <v>2月</v>
      </c>
      <c r="C1698" s="4" t="str">
        <f t="shared" si="104"/>
        <v>W7</v>
      </c>
      <c r="D1698" s="2" t="s">
        <v>782</v>
      </c>
      <c r="E1698" s="2" t="s">
        <v>828</v>
      </c>
      <c r="F1698" s="2" t="str" cm="1">
        <f t="array" ref="F1698">INDEX(_xlfn.TEXTSPLIT(E1698,"-"),2)</f>
        <v>男装</v>
      </c>
      <c r="G1698" s="2" t="str" cm="1">
        <f t="array" ref="G1698">INDEX(_xlfn.TEXTSPLIT(E1698,"-"),3)</f>
        <v>羊毛衫</v>
      </c>
      <c r="H1698" s="5">
        <v>8358</v>
      </c>
      <c r="I1698" s="5">
        <v>1737987.53</v>
      </c>
      <c r="J1698" s="6">
        <v>0.0102</v>
      </c>
      <c r="K1698" s="6">
        <v>-0.4516</v>
      </c>
    </row>
    <row r="1699" ht="14.5" spans="1:11">
      <c r="A1699" s="3" t="str">
        <f t="shared" si="102"/>
        <v>2026年</v>
      </c>
      <c r="B1699" s="3" t="str">
        <f t="shared" si="103"/>
        <v>2月</v>
      </c>
      <c r="C1699" s="4" t="str">
        <f t="shared" si="104"/>
        <v>W7</v>
      </c>
      <c r="D1699" s="2" t="s">
        <v>782</v>
      </c>
      <c r="E1699" s="2" t="s">
        <v>829</v>
      </c>
      <c r="F1699" s="2" t="str" cm="1">
        <f t="array" ref="F1699">INDEX(_xlfn.TEXTSPLIT(E1699,"-"),2)</f>
        <v>男装</v>
      </c>
      <c r="G1699" s="2" t="str" cm="1">
        <f t="array" ref="G1699">INDEX(_xlfn.TEXTSPLIT(E1699,"-"),3)</f>
        <v>羊绒衫</v>
      </c>
      <c r="H1699" s="5">
        <v>1959</v>
      </c>
      <c r="I1699" s="5">
        <v>760668.45</v>
      </c>
      <c r="J1699" s="6">
        <v>0.0045</v>
      </c>
      <c r="K1699" s="6">
        <v>-0.3614</v>
      </c>
    </row>
    <row r="1700" ht="14.5" spans="1:11">
      <c r="A1700" s="3" t="str">
        <f t="shared" si="102"/>
        <v>2026年</v>
      </c>
      <c r="B1700" s="3" t="str">
        <f t="shared" si="103"/>
        <v>2月</v>
      </c>
      <c r="C1700" s="4" t="str">
        <f t="shared" si="104"/>
        <v>W7</v>
      </c>
      <c r="D1700" s="2" t="s">
        <v>782</v>
      </c>
      <c r="E1700" s="2" t="s">
        <v>830</v>
      </c>
      <c r="F1700" s="2" t="str" cm="1">
        <f t="array" ref="F1700">INDEX(_xlfn.TEXTSPLIT(E1700,"-"),2)</f>
        <v>男装</v>
      </c>
      <c r="G1700" s="2" t="str" cm="1">
        <f t="array" ref="G1700">INDEX(_xlfn.TEXTSPLIT(E1700,"-"),3)</f>
        <v>羽绒服</v>
      </c>
      <c r="H1700" s="5">
        <v>50451</v>
      </c>
      <c r="I1700" s="5">
        <v>17275132.23</v>
      </c>
      <c r="J1700" s="6">
        <v>0.1013</v>
      </c>
      <c r="K1700" s="6">
        <v>-0.5281</v>
      </c>
    </row>
    <row r="1701" ht="14.5" spans="1:11">
      <c r="A1701" s="3" t="str">
        <f t="shared" si="102"/>
        <v>2026年</v>
      </c>
      <c r="B1701" s="3" t="str">
        <f t="shared" si="103"/>
        <v>2月</v>
      </c>
      <c r="C1701" s="4" t="str">
        <f t="shared" si="104"/>
        <v>W7</v>
      </c>
      <c r="D1701" s="2" t="s">
        <v>782</v>
      </c>
      <c r="E1701" s="2" t="s">
        <v>831</v>
      </c>
      <c r="F1701" s="2" t="str" cm="1">
        <f t="array" ref="F1701">INDEX(_xlfn.TEXTSPLIT(E1701,"-"),2)</f>
        <v>男装</v>
      </c>
      <c r="G1701" s="2" t="str" cm="1">
        <f t="array" ref="G1701">INDEX(_xlfn.TEXTSPLIT(E1701,"-"),3)</f>
        <v>羽绒裤</v>
      </c>
      <c r="H1701" s="5">
        <v>607</v>
      </c>
      <c r="I1701" s="5">
        <v>73067.96</v>
      </c>
      <c r="J1701" s="6">
        <v>0.0004</v>
      </c>
      <c r="K1701" s="6">
        <v>-0.7797</v>
      </c>
    </row>
    <row r="1702" ht="14.5" spans="1:11">
      <c r="A1702" s="3" t="str">
        <f t="shared" si="102"/>
        <v>2026年</v>
      </c>
      <c r="B1702" s="3" t="str">
        <f t="shared" si="103"/>
        <v>2月</v>
      </c>
      <c r="C1702" s="4" t="str">
        <f t="shared" si="104"/>
        <v>W7</v>
      </c>
      <c r="D1702" s="2" t="s">
        <v>782</v>
      </c>
      <c r="E1702" s="2" t="s">
        <v>832</v>
      </c>
      <c r="F1702" s="2" t="str" cm="1">
        <f t="array" ref="F1702">INDEX(_xlfn.TEXTSPLIT(E1702,"-"),2)</f>
        <v>男装</v>
      </c>
      <c r="G1702" s="2" t="str" cm="1">
        <f t="array" ref="G1702">INDEX(_xlfn.TEXTSPLIT(E1702,"-"),3)</f>
        <v>羽绒马甲</v>
      </c>
      <c r="H1702" s="5">
        <v>2187</v>
      </c>
      <c r="I1702" s="5">
        <v>518159.72</v>
      </c>
      <c r="J1702" s="6">
        <v>0.003</v>
      </c>
      <c r="K1702" s="6">
        <v>-0.173</v>
      </c>
    </row>
    <row r="1703" ht="14.5" spans="1:11">
      <c r="A1703" s="3" t="str">
        <f t="shared" si="102"/>
        <v>2026年</v>
      </c>
      <c r="B1703" s="3" t="str">
        <f t="shared" si="103"/>
        <v>2月</v>
      </c>
      <c r="C1703" s="4" t="str">
        <f t="shared" si="104"/>
        <v>W7</v>
      </c>
      <c r="D1703" s="2" t="s">
        <v>782</v>
      </c>
      <c r="E1703" s="2" t="s">
        <v>833</v>
      </c>
      <c r="F1703" s="2" t="str" cm="1">
        <f t="array" ref="F1703">INDEX(_xlfn.TEXTSPLIT(E1703,"-"),2)</f>
        <v>男装</v>
      </c>
      <c r="G1703" s="2" t="str" cm="1">
        <f t="array" ref="G1703">INDEX(_xlfn.TEXTSPLIT(E1703,"-"),3)</f>
        <v>背心</v>
      </c>
      <c r="H1703" s="5">
        <v>10018</v>
      </c>
      <c r="I1703" s="5">
        <v>595401.97</v>
      </c>
      <c r="J1703" s="6">
        <v>0.0035</v>
      </c>
      <c r="K1703" s="6">
        <v>-0.1161</v>
      </c>
    </row>
    <row r="1704" ht="14.5" spans="1:11">
      <c r="A1704" s="3" t="str">
        <f t="shared" si="102"/>
        <v>2026年</v>
      </c>
      <c r="B1704" s="3" t="str">
        <f t="shared" si="103"/>
        <v>2月</v>
      </c>
      <c r="C1704" s="4" t="str">
        <f t="shared" si="104"/>
        <v>W7</v>
      </c>
      <c r="D1704" s="2" t="s">
        <v>782</v>
      </c>
      <c r="E1704" s="2" t="s">
        <v>834</v>
      </c>
      <c r="F1704" s="2" t="str" cm="1">
        <f t="array" ref="F1704">INDEX(_xlfn.TEXTSPLIT(E1704,"-"),2)</f>
        <v>男装</v>
      </c>
      <c r="G1704" s="2" t="str" cm="1">
        <f t="array" ref="G1704">INDEX(_xlfn.TEXTSPLIT(E1704,"-"),3)</f>
        <v>衬衫</v>
      </c>
      <c r="H1704" s="5">
        <v>35086</v>
      </c>
      <c r="I1704" s="5">
        <v>5898495.26</v>
      </c>
      <c r="J1704" s="6">
        <v>0.0346</v>
      </c>
      <c r="K1704" s="6">
        <v>-0.0602</v>
      </c>
    </row>
    <row r="1705" ht="14.5" spans="1:11">
      <c r="A1705" s="3" t="str">
        <f t="shared" si="102"/>
        <v>2026年</v>
      </c>
      <c r="B1705" s="3" t="str">
        <f t="shared" si="103"/>
        <v>2月</v>
      </c>
      <c r="C1705" s="4" t="str">
        <f t="shared" si="104"/>
        <v>W7</v>
      </c>
      <c r="D1705" s="2" t="s">
        <v>782</v>
      </c>
      <c r="E1705" s="2" t="s">
        <v>835</v>
      </c>
      <c r="F1705" s="2" t="str" cm="1">
        <f t="array" ref="F1705">INDEX(_xlfn.TEXTSPLIT(E1705,"-"),2)</f>
        <v>男装</v>
      </c>
      <c r="G1705" s="2" t="str" cm="1">
        <f t="array" ref="G1705">INDEX(_xlfn.TEXTSPLIT(E1705,"-"),3)</f>
        <v>西服</v>
      </c>
      <c r="H1705" s="5">
        <v>24757</v>
      </c>
      <c r="I1705" s="5">
        <v>5885786.52</v>
      </c>
      <c r="J1705" s="6">
        <v>0.0345</v>
      </c>
      <c r="K1705" s="6">
        <v>-0.1819</v>
      </c>
    </row>
    <row r="1706" ht="14.5" spans="1:11">
      <c r="A1706" s="3" t="str">
        <f t="shared" si="102"/>
        <v>2026年</v>
      </c>
      <c r="B1706" s="3" t="str">
        <f t="shared" si="103"/>
        <v>2月</v>
      </c>
      <c r="C1706" s="4" t="str">
        <f t="shared" si="104"/>
        <v>W7</v>
      </c>
      <c r="D1706" s="2" t="s">
        <v>782</v>
      </c>
      <c r="E1706" s="2" t="s">
        <v>836</v>
      </c>
      <c r="F1706" s="2" t="str" cm="1">
        <f t="array" ref="F1706">INDEX(_xlfn.TEXTSPLIT(E1706,"-"),2)</f>
        <v>男装</v>
      </c>
      <c r="G1706" s="2" t="str" cm="1">
        <f t="array" ref="G1706">INDEX(_xlfn.TEXTSPLIT(E1706,"-"),3)</f>
        <v>连体衣/裤</v>
      </c>
      <c r="H1706" s="5">
        <v>732</v>
      </c>
      <c r="I1706" s="5">
        <v>23766.86</v>
      </c>
      <c r="J1706" s="6">
        <v>0.0001</v>
      </c>
      <c r="K1706" s="6">
        <v>-0.0905</v>
      </c>
    </row>
    <row r="1707" ht="14.5" spans="1:11">
      <c r="A1707" s="3" t="str">
        <f t="shared" si="102"/>
        <v>2026年</v>
      </c>
      <c r="B1707" s="3" t="str">
        <f t="shared" si="103"/>
        <v>2月</v>
      </c>
      <c r="C1707" s="4" t="str">
        <f t="shared" si="104"/>
        <v>W7</v>
      </c>
      <c r="D1707" s="2" t="s">
        <v>782</v>
      </c>
      <c r="E1707" s="2" t="s">
        <v>837</v>
      </c>
      <c r="F1707" s="2" t="str" cm="1">
        <f t="array" ref="F1707">INDEX(_xlfn.TEXTSPLIT(E1707,"-"),2)</f>
        <v>男装</v>
      </c>
      <c r="G1707" s="2" t="str" cm="1">
        <f t="array" ref="G1707">INDEX(_xlfn.TEXTSPLIT(E1707,"-"),3)</f>
        <v>速干/三防T恤</v>
      </c>
      <c r="H1707" s="5">
        <v>616</v>
      </c>
      <c r="I1707" s="5">
        <v>81998.75</v>
      </c>
      <c r="J1707" s="6">
        <v>0.0005</v>
      </c>
      <c r="K1707" s="6">
        <v>0.1943</v>
      </c>
    </row>
    <row r="1708" ht="14.5" spans="1:11">
      <c r="A1708" s="3" t="str">
        <f t="shared" si="102"/>
        <v>2026年</v>
      </c>
      <c r="B1708" s="3" t="str">
        <f t="shared" si="103"/>
        <v>2月</v>
      </c>
      <c r="C1708" s="4" t="str">
        <f t="shared" si="104"/>
        <v>W7</v>
      </c>
      <c r="D1708" s="2" t="s">
        <v>782</v>
      </c>
      <c r="E1708" s="2" t="s">
        <v>838</v>
      </c>
      <c r="F1708" s="2" t="str" cm="1">
        <f t="array" ref="F1708">INDEX(_xlfn.TEXTSPLIT(E1708,"-"),2)</f>
        <v>男装</v>
      </c>
      <c r="G1708" s="2" t="str" cm="1">
        <f t="array" ref="G1708">INDEX(_xlfn.TEXTSPLIT(E1708,"-"),3)</f>
        <v>针织衫/毛衣</v>
      </c>
      <c r="H1708" s="5">
        <v>50581</v>
      </c>
      <c r="I1708" s="5">
        <v>8032232.64</v>
      </c>
      <c r="J1708" s="6">
        <v>0.0471</v>
      </c>
      <c r="K1708" s="6">
        <v>-0.3211</v>
      </c>
    </row>
    <row r="1709" ht="14.5" spans="1:11">
      <c r="A1709" s="3" t="str">
        <f t="shared" si="102"/>
        <v>2026年</v>
      </c>
      <c r="B1709" s="3" t="str">
        <f t="shared" si="103"/>
        <v>2月</v>
      </c>
      <c r="C1709" s="4" t="str">
        <f t="shared" si="104"/>
        <v>W7</v>
      </c>
      <c r="D1709" s="2" t="s">
        <v>782</v>
      </c>
      <c r="E1709" s="2" t="s">
        <v>839</v>
      </c>
      <c r="F1709" s="2" t="str" cm="1">
        <f t="array" ref="F1709">INDEX(_xlfn.TEXTSPLIT(E1709,"-"),2)</f>
        <v>男装</v>
      </c>
      <c r="G1709" s="2" t="str" cm="1">
        <f t="array" ref="G1709">INDEX(_xlfn.TEXTSPLIT(E1709,"-"),3)</f>
        <v>防晒服</v>
      </c>
      <c r="H1709" s="5">
        <v>369</v>
      </c>
      <c r="I1709" s="5">
        <v>26843.12</v>
      </c>
      <c r="J1709" s="6">
        <v>0.0002</v>
      </c>
      <c r="K1709" s="6">
        <v>0.0406</v>
      </c>
    </row>
    <row r="1710" ht="14.5" spans="1:11">
      <c r="A1710" s="3" t="str">
        <f t="shared" si="102"/>
        <v>2026年</v>
      </c>
      <c r="B1710" s="3" t="str">
        <f t="shared" si="103"/>
        <v>2月</v>
      </c>
      <c r="C1710" s="4" t="str">
        <f t="shared" si="104"/>
        <v>W7</v>
      </c>
      <c r="D1710" s="2" t="s">
        <v>782</v>
      </c>
      <c r="E1710" s="2" t="s">
        <v>840</v>
      </c>
      <c r="F1710" s="2" t="str" cm="1">
        <f t="array" ref="F1710">INDEX(_xlfn.TEXTSPLIT(E1710,"-"),2)</f>
        <v>男装</v>
      </c>
      <c r="G1710" s="2" t="str" cm="1">
        <f t="array" ref="G1710">INDEX(_xlfn.TEXTSPLIT(E1710,"-"),3)</f>
        <v>风衣</v>
      </c>
      <c r="H1710" s="5">
        <v>3709</v>
      </c>
      <c r="I1710" s="5">
        <v>1402752.63</v>
      </c>
      <c r="J1710" s="6">
        <v>0.0082</v>
      </c>
      <c r="K1710" s="6">
        <v>-0.2133</v>
      </c>
    </row>
    <row r="1711" ht="14.5" spans="1:11">
      <c r="A1711" s="3" t="str">
        <f t="shared" si="102"/>
        <v>2026年</v>
      </c>
      <c r="B1711" s="3" t="str">
        <f t="shared" si="103"/>
        <v>2月</v>
      </c>
      <c r="C1711" s="4" t="str">
        <f t="shared" si="104"/>
        <v>W7</v>
      </c>
      <c r="D1711" s="2" t="s">
        <v>782</v>
      </c>
      <c r="E1711" s="2" t="s">
        <v>841</v>
      </c>
      <c r="F1711" s="2" t="str" cm="1">
        <f t="array" ref="F1711">INDEX(_xlfn.TEXTSPLIT(E1711,"-"),2)</f>
        <v>男装</v>
      </c>
      <c r="G1711" s="2" t="str" cm="1">
        <f t="array" ref="G1711">INDEX(_xlfn.TEXTSPLIT(E1711,"-"),3)</f>
        <v>马甲</v>
      </c>
      <c r="H1711" s="5">
        <v>10906</v>
      </c>
      <c r="I1711" s="5">
        <v>1734797.41</v>
      </c>
      <c r="J1711" s="6">
        <v>0.0102</v>
      </c>
      <c r="K1711" s="6">
        <v>-0.4219</v>
      </c>
    </row>
    <row r="1712" ht="14.5" spans="1:11">
      <c r="A1712" s="3" t="str">
        <f t="shared" si="102"/>
        <v>2026年</v>
      </c>
      <c r="B1712" s="3" t="str">
        <f t="shared" si="103"/>
        <v>2月</v>
      </c>
      <c r="C1712" s="4" t="str">
        <f t="shared" si="104"/>
        <v>W7</v>
      </c>
      <c r="D1712" s="2" t="s">
        <v>783</v>
      </c>
      <c r="E1712" s="2" t="s">
        <v>804</v>
      </c>
      <c r="F1712" s="2" t="str" cm="1">
        <f t="array" ref="F1712">INDEX(_xlfn.TEXTSPLIT(E1712,"-"),2)</f>
        <v>男装</v>
      </c>
      <c r="G1712" s="2" t="str" cm="1">
        <f t="array" ref="G1712">INDEX(_xlfn.TEXTSPLIT(E1712,"-"),3)</f>
        <v>Polo衫</v>
      </c>
      <c r="H1712" s="5">
        <v>17082</v>
      </c>
      <c r="I1712" s="5">
        <v>1830851.47</v>
      </c>
      <c r="J1712" s="6">
        <v>0.0131</v>
      </c>
      <c r="K1712" s="6">
        <v>0.0056</v>
      </c>
    </row>
    <row r="1713" ht="14.5" spans="1:11">
      <c r="A1713" s="3" t="str">
        <f t="shared" si="102"/>
        <v>2026年</v>
      </c>
      <c r="B1713" s="3" t="str">
        <f t="shared" si="103"/>
        <v>2月</v>
      </c>
      <c r="C1713" s="4" t="str">
        <f t="shared" si="104"/>
        <v>W7</v>
      </c>
      <c r="D1713" s="2" t="s">
        <v>783</v>
      </c>
      <c r="E1713" s="2" t="s">
        <v>805</v>
      </c>
      <c r="F1713" s="2" t="str" cm="1">
        <f t="array" ref="F1713">INDEX(_xlfn.TEXTSPLIT(E1713,"-"),2)</f>
        <v>男装</v>
      </c>
      <c r="G1713" s="2" t="str" cm="1">
        <f t="array" ref="G1713">INDEX(_xlfn.TEXTSPLIT(E1713,"-"),3)</f>
        <v>T恤</v>
      </c>
      <c r="H1713" s="5">
        <v>337201</v>
      </c>
      <c r="I1713" s="5">
        <v>24350186.44</v>
      </c>
      <c r="J1713" s="6">
        <v>0.1742</v>
      </c>
      <c r="K1713" s="6">
        <v>0.1023</v>
      </c>
    </row>
    <row r="1714" ht="14.5" spans="1:11">
      <c r="A1714" s="3" t="str">
        <f t="shared" si="102"/>
        <v>2026年</v>
      </c>
      <c r="B1714" s="3" t="str">
        <f t="shared" si="103"/>
        <v>2月</v>
      </c>
      <c r="C1714" s="4" t="str">
        <f t="shared" si="104"/>
        <v>W7</v>
      </c>
      <c r="D1714" s="2" t="s">
        <v>783</v>
      </c>
      <c r="E1714" s="2" t="s">
        <v>806</v>
      </c>
      <c r="F1714" s="2" t="str" cm="1">
        <f t="array" ref="F1714">INDEX(_xlfn.TEXTSPLIT(E1714,"-"),2)</f>
        <v>男装</v>
      </c>
      <c r="G1714" s="2" t="str" cm="1">
        <f t="array" ref="G1714">INDEX(_xlfn.TEXTSPLIT(E1714,"-"),3)</f>
        <v>中老年男装</v>
      </c>
      <c r="H1714" s="5">
        <v>8397</v>
      </c>
      <c r="I1714" s="5">
        <v>892305.51</v>
      </c>
      <c r="J1714" s="6">
        <v>0.0064</v>
      </c>
      <c r="K1714" s="6">
        <v>-0.3028</v>
      </c>
    </row>
    <row r="1715" ht="14.5" spans="1:11">
      <c r="A1715" s="3" t="str">
        <f t="shared" si="102"/>
        <v>2026年</v>
      </c>
      <c r="B1715" s="3" t="str">
        <f t="shared" si="103"/>
        <v>2月</v>
      </c>
      <c r="C1715" s="4" t="str">
        <f t="shared" si="104"/>
        <v>W7</v>
      </c>
      <c r="D1715" s="2" t="s">
        <v>783</v>
      </c>
      <c r="E1715" s="2" t="s">
        <v>807</v>
      </c>
      <c r="F1715" s="2" t="str" cm="1">
        <f t="array" ref="F1715">INDEX(_xlfn.TEXTSPLIT(E1715,"-"),2)</f>
        <v>男装</v>
      </c>
      <c r="G1715" s="2" t="str" cm="1">
        <f t="array" ref="G1715">INDEX(_xlfn.TEXTSPLIT(E1715,"-"),3)</f>
        <v>休闲裤</v>
      </c>
      <c r="H1715" s="5">
        <v>111050</v>
      </c>
      <c r="I1715" s="5">
        <v>12954993.11</v>
      </c>
      <c r="J1715" s="6">
        <v>0.0927</v>
      </c>
      <c r="K1715" s="6">
        <v>-0.1846</v>
      </c>
    </row>
    <row r="1716" ht="14.5" spans="1:11">
      <c r="A1716" s="3" t="str">
        <f t="shared" si="102"/>
        <v>2026年</v>
      </c>
      <c r="B1716" s="3" t="str">
        <f t="shared" si="103"/>
        <v>2月</v>
      </c>
      <c r="C1716" s="4" t="str">
        <f t="shared" si="104"/>
        <v>W7</v>
      </c>
      <c r="D1716" s="2" t="s">
        <v>783</v>
      </c>
      <c r="E1716" s="2" t="s">
        <v>808</v>
      </c>
      <c r="F1716" s="2" t="str" cm="1">
        <f t="array" ref="F1716">INDEX(_xlfn.TEXTSPLIT(E1716,"-"),2)</f>
        <v>男装</v>
      </c>
      <c r="G1716" s="2" t="str" cm="1">
        <f t="array" ref="G1716">INDEX(_xlfn.TEXTSPLIT(E1716,"-"),3)</f>
        <v>卫衣</v>
      </c>
      <c r="H1716" s="5">
        <v>77749</v>
      </c>
      <c r="I1716" s="5">
        <v>9067357.54</v>
      </c>
      <c r="J1716" s="6">
        <v>0.0649</v>
      </c>
      <c r="K1716" s="6">
        <v>-0.1496</v>
      </c>
    </row>
    <row r="1717" ht="14.5" spans="1:11">
      <c r="A1717" s="3" t="str">
        <f t="shared" si="102"/>
        <v>2026年</v>
      </c>
      <c r="B1717" s="3" t="str">
        <f t="shared" si="103"/>
        <v>2月</v>
      </c>
      <c r="C1717" s="4" t="str">
        <f t="shared" si="104"/>
        <v>W7</v>
      </c>
      <c r="D1717" s="2" t="s">
        <v>783</v>
      </c>
      <c r="E1717" s="2" t="s">
        <v>809</v>
      </c>
      <c r="F1717" s="2" t="str" cm="1">
        <f t="array" ref="F1717">INDEX(_xlfn.TEXTSPLIT(E1717,"-"),2)</f>
        <v>男装</v>
      </c>
      <c r="G1717" s="2" t="str" cm="1">
        <f t="array" ref="G1717">INDEX(_xlfn.TEXTSPLIT(E1717,"-"),3)</f>
        <v>卫裤</v>
      </c>
      <c r="H1717" s="5">
        <v>22510</v>
      </c>
      <c r="I1717" s="5">
        <v>2111340.14</v>
      </c>
      <c r="J1717" s="6">
        <v>0.0151</v>
      </c>
      <c r="K1717" s="6">
        <v>-0.2231</v>
      </c>
    </row>
    <row r="1718" ht="14.5" spans="1:11">
      <c r="A1718" s="3" t="str">
        <f t="shared" si="102"/>
        <v>2026年</v>
      </c>
      <c r="B1718" s="3" t="str">
        <f t="shared" si="103"/>
        <v>2月</v>
      </c>
      <c r="C1718" s="4" t="str">
        <f t="shared" si="104"/>
        <v>W7</v>
      </c>
      <c r="D1718" s="2" t="s">
        <v>783</v>
      </c>
      <c r="E1718" s="2" t="s">
        <v>810</v>
      </c>
      <c r="F1718" s="2" t="str" cm="1">
        <f t="array" ref="F1718">INDEX(_xlfn.TEXTSPLIT(E1718,"-"),2)</f>
        <v>男装</v>
      </c>
      <c r="G1718" s="2" t="str" cm="1">
        <f t="array" ref="G1718">INDEX(_xlfn.TEXTSPLIT(E1718,"-"),3)</f>
        <v>大码男装</v>
      </c>
      <c r="H1718" s="5">
        <v>12333</v>
      </c>
      <c r="I1718" s="5">
        <v>945843.5</v>
      </c>
      <c r="J1718" s="6">
        <v>0.0068</v>
      </c>
      <c r="K1718" s="6">
        <v>-0.1294</v>
      </c>
    </row>
    <row r="1719" ht="14.5" spans="1:11">
      <c r="A1719" s="3" t="str">
        <f t="shared" si="102"/>
        <v>2026年</v>
      </c>
      <c r="B1719" s="3" t="str">
        <f t="shared" si="103"/>
        <v>2月</v>
      </c>
      <c r="C1719" s="4" t="str">
        <f t="shared" si="104"/>
        <v>W7</v>
      </c>
      <c r="D1719" s="2" t="s">
        <v>783</v>
      </c>
      <c r="E1719" s="2" t="s">
        <v>811</v>
      </c>
      <c r="F1719" s="2" t="str" cm="1">
        <f t="array" ref="F1719">INDEX(_xlfn.TEXTSPLIT(E1719,"-"),2)</f>
        <v>男装</v>
      </c>
      <c r="G1719" s="2" t="str" cm="1">
        <f t="array" ref="G1719">INDEX(_xlfn.TEXTSPLIT(E1719,"-"),3)</f>
        <v>夹克</v>
      </c>
      <c r="H1719" s="5">
        <v>120573</v>
      </c>
      <c r="I1719" s="5">
        <v>26694149.73</v>
      </c>
      <c r="J1719" s="6">
        <v>0.191</v>
      </c>
      <c r="K1719" s="6">
        <v>-0.1699</v>
      </c>
    </row>
    <row r="1720" ht="14.5" spans="1:11">
      <c r="A1720" s="3" t="str">
        <f t="shared" si="102"/>
        <v>2026年</v>
      </c>
      <c r="B1720" s="3" t="str">
        <f t="shared" si="103"/>
        <v>2月</v>
      </c>
      <c r="C1720" s="4" t="str">
        <f t="shared" si="104"/>
        <v>W7</v>
      </c>
      <c r="D1720" s="2" t="s">
        <v>783</v>
      </c>
      <c r="E1720" s="2" t="s">
        <v>812</v>
      </c>
      <c r="F1720" s="2" t="str" cm="1">
        <f t="array" ref="F1720">INDEX(_xlfn.TEXTSPLIT(E1720,"-"),2)</f>
        <v>男装</v>
      </c>
      <c r="G1720" s="2" t="str" cm="1">
        <f t="array" ref="G1720">INDEX(_xlfn.TEXTSPLIT(E1720,"-"),3)</f>
        <v>套装</v>
      </c>
      <c r="H1720" s="5">
        <v>12011</v>
      </c>
      <c r="I1720" s="5">
        <v>1841143.48</v>
      </c>
      <c r="J1720" s="6">
        <v>0.0132</v>
      </c>
      <c r="K1720" s="6">
        <v>-0.2418</v>
      </c>
    </row>
    <row r="1721" ht="14.5" spans="1:11">
      <c r="A1721" s="3" t="str">
        <f t="shared" si="102"/>
        <v>2026年</v>
      </c>
      <c r="B1721" s="3" t="str">
        <f t="shared" si="103"/>
        <v>2月</v>
      </c>
      <c r="C1721" s="4" t="str">
        <f t="shared" si="104"/>
        <v>W7</v>
      </c>
      <c r="D1721" s="2" t="s">
        <v>783</v>
      </c>
      <c r="E1721" s="2" t="s">
        <v>813</v>
      </c>
      <c r="F1721" s="2" t="str" cm="1">
        <f t="array" ref="F1721">INDEX(_xlfn.TEXTSPLIT(E1721,"-"),2)</f>
        <v>男装</v>
      </c>
      <c r="G1721" s="2" t="str" cm="1">
        <f t="array" ref="G1721">INDEX(_xlfn.TEXTSPLIT(E1721,"-"),3)</f>
        <v>学生校服</v>
      </c>
      <c r="H1721" s="5">
        <v>0</v>
      </c>
      <c r="I1721" s="5">
        <v>0</v>
      </c>
      <c r="J1721" s="7">
        <v>0</v>
      </c>
      <c r="K1721" s="2" t="s">
        <v>360</v>
      </c>
    </row>
    <row r="1722" ht="14.5" spans="1:11">
      <c r="A1722" s="3" t="str">
        <f t="shared" si="102"/>
        <v>2026年</v>
      </c>
      <c r="B1722" s="3" t="str">
        <f t="shared" si="103"/>
        <v>2月</v>
      </c>
      <c r="C1722" s="4" t="str">
        <f t="shared" si="104"/>
        <v>W7</v>
      </c>
      <c r="D1722" s="2" t="s">
        <v>783</v>
      </c>
      <c r="E1722" s="2" t="s">
        <v>814</v>
      </c>
      <c r="F1722" s="2" t="str" cm="1">
        <f t="array" ref="F1722">INDEX(_xlfn.TEXTSPLIT(E1722,"-"),2)</f>
        <v>男装</v>
      </c>
      <c r="G1722" s="2" t="str" cm="1">
        <f t="array" ref="G1722">INDEX(_xlfn.TEXTSPLIT(E1722,"-"),3)</f>
        <v>打底衫</v>
      </c>
      <c r="H1722" s="5">
        <v>2839</v>
      </c>
      <c r="I1722" s="5">
        <v>169407.19</v>
      </c>
      <c r="J1722" s="6">
        <v>0.0012</v>
      </c>
      <c r="K1722" s="6">
        <v>-0.1972</v>
      </c>
    </row>
    <row r="1723" ht="14.5" spans="1:11">
      <c r="A1723" s="3" t="str">
        <f t="shared" si="102"/>
        <v>2026年</v>
      </c>
      <c r="B1723" s="3" t="str">
        <f t="shared" si="103"/>
        <v>2月</v>
      </c>
      <c r="C1723" s="4" t="str">
        <f t="shared" si="104"/>
        <v>W7</v>
      </c>
      <c r="D1723" s="2" t="s">
        <v>783</v>
      </c>
      <c r="E1723" s="2" t="s">
        <v>815</v>
      </c>
      <c r="F1723" s="2" t="str" cm="1">
        <f t="array" ref="F1723">INDEX(_xlfn.TEXTSPLIT(E1723,"-"),2)</f>
        <v>男装</v>
      </c>
      <c r="G1723" s="2" t="str" cm="1">
        <f t="array" ref="G1723">INDEX(_xlfn.TEXTSPLIT(E1723,"-"),3)</f>
        <v>新中式男装</v>
      </c>
      <c r="H1723" s="5">
        <v>101</v>
      </c>
      <c r="I1723" s="5">
        <v>21797.64</v>
      </c>
      <c r="J1723" s="6">
        <v>0.0002</v>
      </c>
      <c r="K1723" s="6">
        <v>-0.5224</v>
      </c>
    </row>
    <row r="1724" ht="14.5" spans="1:11">
      <c r="A1724" s="3" t="str">
        <f t="shared" si="102"/>
        <v>2026年</v>
      </c>
      <c r="B1724" s="3" t="str">
        <f t="shared" si="103"/>
        <v>2月</v>
      </c>
      <c r="C1724" s="4" t="str">
        <f t="shared" si="104"/>
        <v>W7</v>
      </c>
      <c r="D1724" s="2" t="s">
        <v>783</v>
      </c>
      <c r="E1724" s="2" t="s">
        <v>816</v>
      </c>
      <c r="F1724" s="2" t="str" cm="1">
        <f t="array" ref="F1724">INDEX(_xlfn.TEXTSPLIT(E1724,"-"),2)</f>
        <v>男装</v>
      </c>
      <c r="G1724" s="2" t="str" cm="1">
        <f t="array" ref="G1724">INDEX(_xlfn.TEXTSPLIT(E1724,"-"),3)</f>
        <v>棉衣</v>
      </c>
      <c r="H1724" s="5">
        <v>21793</v>
      </c>
      <c r="I1724" s="5">
        <v>3287215.24</v>
      </c>
      <c r="J1724" s="6">
        <v>0.0235</v>
      </c>
      <c r="K1724" s="6">
        <v>-0.3807</v>
      </c>
    </row>
    <row r="1725" ht="14.5" spans="1:11">
      <c r="A1725" s="3" t="str">
        <f t="shared" si="102"/>
        <v>2026年</v>
      </c>
      <c r="B1725" s="3" t="str">
        <f t="shared" si="103"/>
        <v>2月</v>
      </c>
      <c r="C1725" s="4" t="str">
        <f t="shared" si="104"/>
        <v>W7</v>
      </c>
      <c r="D1725" s="2" t="s">
        <v>783</v>
      </c>
      <c r="E1725" s="2" t="s">
        <v>817</v>
      </c>
      <c r="F1725" s="2" t="str" cm="1">
        <f t="array" ref="F1725">INDEX(_xlfn.TEXTSPLIT(E1725,"-"),2)</f>
        <v>男装</v>
      </c>
      <c r="G1725" s="2" t="str" cm="1">
        <f t="array" ref="G1725">INDEX(_xlfn.TEXTSPLIT(E1725,"-"),3)</f>
        <v>棉裤</v>
      </c>
      <c r="H1725" s="5">
        <v>430</v>
      </c>
      <c r="I1725" s="5">
        <v>25820.75</v>
      </c>
      <c r="J1725" s="6">
        <v>0.0002</v>
      </c>
      <c r="K1725" s="6">
        <v>-0.3944</v>
      </c>
    </row>
    <row r="1726" ht="14.5" spans="1:11">
      <c r="A1726" s="3" t="str">
        <f t="shared" si="102"/>
        <v>2026年</v>
      </c>
      <c r="B1726" s="3" t="str">
        <f t="shared" si="103"/>
        <v>2月</v>
      </c>
      <c r="C1726" s="4" t="str">
        <f t="shared" si="104"/>
        <v>W7</v>
      </c>
      <c r="D1726" s="2" t="s">
        <v>783</v>
      </c>
      <c r="E1726" s="2" t="s">
        <v>818</v>
      </c>
      <c r="F1726" s="2" t="str" cm="1">
        <f t="array" ref="F1726">INDEX(_xlfn.TEXTSPLIT(E1726,"-"),2)</f>
        <v>男装</v>
      </c>
      <c r="G1726" s="2" t="str" cm="1">
        <f t="array" ref="G1726">INDEX(_xlfn.TEXTSPLIT(E1726,"-"),3)</f>
        <v>毛呢大衣</v>
      </c>
      <c r="H1726" s="5">
        <v>5245</v>
      </c>
      <c r="I1726" s="5">
        <v>2332943.86</v>
      </c>
      <c r="J1726" s="6">
        <v>0.0167</v>
      </c>
      <c r="K1726" s="6">
        <v>-0.4432</v>
      </c>
    </row>
    <row r="1727" ht="14.5" spans="1:11">
      <c r="A1727" s="3" t="str">
        <f t="shared" si="102"/>
        <v>2026年</v>
      </c>
      <c r="B1727" s="3" t="str">
        <f t="shared" si="103"/>
        <v>2月</v>
      </c>
      <c r="C1727" s="4" t="str">
        <f t="shared" si="104"/>
        <v>W7</v>
      </c>
      <c r="D1727" s="2" t="s">
        <v>783</v>
      </c>
      <c r="E1727" s="2" t="s">
        <v>819</v>
      </c>
      <c r="F1727" s="2" t="str" cm="1">
        <f t="array" ref="F1727">INDEX(_xlfn.TEXTSPLIT(E1727,"-"),2)</f>
        <v>男装</v>
      </c>
      <c r="G1727" s="2" t="str" cm="1">
        <f t="array" ref="G1727">INDEX(_xlfn.TEXTSPLIT(E1727,"-"),3)</f>
        <v>民族服装</v>
      </c>
      <c r="H1727" s="5">
        <v>1422</v>
      </c>
      <c r="I1727" s="5">
        <v>280313.4</v>
      </c>
      <c r="J1727" s="6">
        <v>0.002</v>
      </c>
      <c r="K1727" s="6">
        <v>-0.4273</v>
      </c>
    </row>
    <row r="1728" ht="14.5" spans="1:11">
      <c r="A1728" s="3" t="str">
        <f t="shared" si="102"/>
        <v>2026年</v>
      </c>
      <c r="B1728" s="3" t="str">
        <f t="shared" si="103"/>
        <v>2月</v>
      </c>
      <c r="C1728" s="4" t="str">
        <f t="shared" si="104"/>
        <v>W7</v>
      </c>
      <c r="D1728" s="2" t="s">
        <v>783</v>
      </c>
      <c r="E1728" s="2" t="s">
        <v>820</v>
      </c>
      <c r="F1728" s="2" t="str" cm="1">
        <f t="array" ref="F1728">INDEX(_xlfn.TEXTSPLIT(E1728,"-"),2)</f>
        <v>男装</v>
      </c>
      <c r="G1728" s="2" t="str" cm="1">
        <f t="array" ref="G1728">INDEX(_xlfn.TEXTSPLIT(E1728,"-"),3)</f>
        <v>派克服</v>
      </c>
      <c r="H1728" s="5">
        <v>572</v>
      </c>
      <c r="I1728" s="5">
        <v>153611.83</v>
      </c>
      <c r="J1728" s="6">
        <v>0.0011</v>
      </c>
      <c r="K1728" s="6">
        <v>-0.2257</v>
      </c>
    </row>
    <row r="1729" ht="14.5" spans="1:11">
      <c r="A1729" s="3" t="str">
        <f t="shared" si="102"/>
        <v>2026年</v>
      </c>
      <c r="B1729" s="3" t="str">
        <f t="shared" si="103"/>
        <v>2月</v>
      </c>
      <c r="C1729" s="4" t="str">
        <f t="shared" si="104"/>
        <v>W7</v>
      </c>
      <c r="D1729" s="2" t="s">
        <v>783</v>
      </c>
      <c r="E1729" s="2" t="s">
        <v>821</v>
      </c>
      <c r="F1729" s="2" t="str" cm="1">
        <f t="array" ref="F1729">INDEX(_xlfn.TEXTSPLIT(E1729,"-"),2)</f>
        <v>男装</v>
      </c>
      <c r="G1729" s="2" t="str" cm="1">
        <f t="array" ref="G1729">INDEX(_xlfn.TEXTSPLIT(E1729,"-"),3)</f>
        <v>牛仔裤</v>
      </c>
      <c r="H1729" s="5">
        <v>84830</v>
      </c>
      <c r="I1729" s="5">
        <v>11347702.75</v>
      </c>
      <c r="J1729" s="6">
        <v>0.0812</v>
      </c>
      <c r="K1729" s="6">
        <v>-0.2362</v>
      </c>
    </row>
    <row r="1730" ht="14.5" spans="1:11">
      <c r="A1730" s="3" t="str">
        <f t="shared" si="102"/>
        <v>2026年</v>
      </c>
      <c r="B1730" s="3" t="str">
        <f t="shared" si="103"/>
        <v>2月</v>
      </c>
      <c r="C1730" s="4" t="str">
        <f t="shared" si="104"/>
        <v>W7</v>
      </c>
      <c r="D1730" s="2" t="s">
        <v>783</v>
      </c>
      <c r="E1730" s="2" t="s">
        <v>822</v>
      </c>
      <c r="F1730" s="2" t="str" cm="1">
        <f t="array" ref="F1730">INDEX(_xlfn.TEXTSPLIT(E1730,"-"),2)</f>
        <v>男装</v>
      </c>
      <c r="G1730" s="2" t="str" cm="1">
        <f t="array" ref="G1730">INDEX(_xlfn.TEXTSPLIT(E1730,"-"),3)</f>
        <v>皮草</v>
      </c>
      <c r="H1730" s="5">
        <v>277</v>
      </c>
      <c r="I1730" s="5">
        <v>151332.12</v>
      </c>
      <c r="J1730" s="6">
        <v>0.0011</v>
      </c>
      <c r="K1730" s="6">
        <v>-0.7564</v>
      </c>
    </row>
    <row r="1731" ht="14.5" spans="1:11">
      <c r="A1731" s="3" t="str">
        <f t="shared" si="102"/>
        <v>2026年</v>
      </c>
      <c r="B1731" s="3" t="str">
        <f t="shared" si="103"/>
        <v>2月</v>
      </c>
      <c r="C1731" s="4" t="str">
        <f t="shared" si="104"/>
        <v>W7</v>
      </c>
      <c r="D1731" s="2" t="s">
        <v>783</v>
      </c>
      <c r="E1731" s="2" t="s">
        <v>823</v>
      </c>
      <c r="F1731" s="2" t="str" cm="1">
        <f t="array" ref="F1731">INDEX(_xlfn.TEXTSPLIT(E1731,"-"),2)</f>
        <v>男装</v>
      </c>
      <c r="G1731" s="2" t="str" cm="1">
        <f t="array" ref="G1731">INDEX(_xlfn.TEXTSPLIT(E1731,"-"),3)</f>
        <v>皮衣</v>
      </c>
      <c r="H1731" s="5">
        <v>12795</v>
      </c>
      <c r="I1731" s="5">
        <v>5920387.65</v>
      </c>
      <c r="J1731" s="6">
        <v>0.0424</v>
      </c>
      <c r="K1731" s="6">
        <v>-0.3261</v>
      </c>
    </row>
    <row r="1732" ht="14.5" spans="1:11">
      <c r="A1732" s="3" t="str">
        <f t="shared" si="102"/>
        <v>2026年</v>
      </c>
      <c r="B1732" s="3" t="str">
        <f t="shared" si="103"/>
        <v>2月</v>
      </c>
      <c r="C1732" s="4" t="str">
        <f t="shared" si="104"/>
        <v>W7</v>
      </c>
      <c r="D1732" s="2" t="s">
        <v>783</v>
      </c>
      <c r="E1732" s="2" t="s">
        <v>824</v>
      </c>
      <c r="F1732" s="2" t="str" cm="1">
        <f t="array" ref="F1732">INDEX(_xlfn.TEXTSPLIT(E1732,"-"),2)</f>
        <v>男装</v>
      </c>
      <c r="G1732" s="2" t="str" cm="1">
        <f t="array" ref="G1732">INDEX(_xlfn.TEXTSPLIT(E1732,"-"),3)</f>
        <v>皮裤</v>
      </c>
      <c r="H1732" s="5">
        <v>559</v>
      </c>
      <c r="I1732" s="5">
        <v>156254.32</v>
      </c>
      <c r="J1732" s="6">
        <v>0.0011</v>
      </c>
      <c r="K1732" s="6">
        <v>5.1358</v>
      </c>
    </row>
    <row r="1733" ht="14.5" spans="1:11">
      <c r="A1733" s="3" t="str">
        <f t="shared" si="102"/>
        <v>2026年</v>
      </c>
      <c r="B1733" s="3" t="str">
        <f t="shared" si="103"/>
        <v>2月</v>
      </c>
      <c r="C1733" s="4" t="str">
        <f t="shared" si="104"/>
        <v>W7</v>
      </c>
      <c r="D1733" s="2" t="s">
        <v>783</v>
      </c>
      <c r="E1733" s="2" t="s">
        <v>825</v>
      </c>
      <c r="F1733" s="2" t="str" cm="1">
        <f t="array" ref="F1733">INDEX(_xlfn.TEXTSPLIT(E1733,"-"),2)</f>
        <v>男装</v>
      </c>
      <c r="G1733" s="2" t="str" cm="1">
        <f t="array" ref="G1733">INDEX(_xlfn.TEXTSPLIT(E1733,"-"),3)</f>
        <v>短外套</v>
      </c>
      <c r="H1733" s="5">
        <v>2569</v>
      </c>
      <c r="I1733" s="5">
        <v>611969.82</v>
      </c>
      <c r="J1733" s="6">
        <v>0.0044</v>
      </c>
      <c r="K1733" s="6">
        <v>-0.3495</v>
      </c>
    </row>
    <row r="1734" ht="14.5" spans="1:11">
      <c r="A1734" s="3" t="str">
        <f t="shared" si="102"/>
        <v>2026年</v>
      </c>
      <c r="B1734" s="3" t="str">
        <f t="shared" si="103"/>
        <v>2月</v>
      </c>
      <c r="C1734" s="4" t="str">
        <f t="shared" si="104"/>
        <v>W7</v>
      </c>
      <c r="D1734" s="2" t="s">
        <v>783</v>
      </c>
      <c r="E1734" s="2" t="s">
        <v>826</v>
      </c>
      <c r="F1734" s="2" t="str" cm="1">
        <f t="array" ref="F1734">INDEX(_xlfn.TEXTSPLIT(E1734,"-"),2)</f>
        <v>男装</v>
      </c>
      <c r="G1734" s="2" t="str" cm="1">
        <f t="array" ref="G1734">INDEX(_xlfn.TEXTSPLIT(E1734,"-"),3)</f>
        <v>短裤</v>
      </c>
      <c r="H1734" s="5">
        <v>16902</v>
      </c>
      <c r="I1734" s="5">
        <v>1159259.96</v>
      </c>
      <c r="J1734" s="6">
        <v>0.0083</v>
      </c>
      <c r="K1734" s="6">
        <v>1.054</v>
      </c>
    </row>
    <row r="1735" ht="14.5" spans="1:11">
      <c r="A1735" s="3" t="str">
        <f t="shared" si="102"/>
        <v>2026年</v>
      </c>
      <c r="B1735" s="3" t="str">
        <f t="shared" si="103"/>
        <v>2月</v>
      </c>
      <c r="C1735" s="4" t="str">
        <f t="shared" si="104"/>
        <v>W7</v>
      </c>
      <c r="D1735" s="2" t="s">
        <v>783</v>
      </c>
      <c r="E1735" s="2" t="s">
        <v>827</v>
      </c>
      <c r="F1735" s="2" t="str" cm="1">
        <f t="array" ref="F1735">INDEX(_xlfn.TEXTSPLIT(E1735,"-"),2)</f>
        <v>男装</v>
      </c>
      <c r="G1735" s="2" t="str" cm="1">
        <f t="array" ref="G1735">INDEX(_xlfn.TEXTSPLIT(E1735,"-"),3)</f>
        <v>紧身衣</v>
      </c>
      <c r="H1735" s="5">
        <v>99</v>
      </c>
      <c r="I1735" s="5">
        <v>3227.68</v>
      </c>
      <c r="J1735" s="2" t="s">
        <v>713</v>
      </c>
      <c r="K1735" s="6">
        <v>-0.2771</v>
      </c>
    </row>
    <row r="1736" ht="14.5" spans="1:11">
      <c r="A1736" s="3" t="str">
        <f t="shared" si="102"/>
        <v>2026年</v>
      </c>
      <c r="B1736" s="3" t="str">
        <f t="shared" si="103"/>
        <v>2月</v>
      </c>
      <c r="C1736" s="4" t="str">
        <f t="shared" si="104"/>
        <v>W7</v>
      </c>
      <c r="D1736" s="2" t="s">
        <v>783</v>
      </c>
      <c r="E1736" s="2" t="s">
        <v>828</v>
      </c>
      <c r="F1736" s="2" t="str" cm="1">
        <f t="array" ref="F1736">INDEX(_xlfn.TEXTSPLIT(E1736,"-"),2)</f>
        <v>男装</v>
      </c>
      <c r="G1736" s="2" t="str" cm="1">
        <f t="array" ref="G1736">INDEX(_xlfn.TEXTSPLIT(E1736,"-"),3)</f>
        <v>羊毛衫</v>
      </c>
      <c r="H1736" s="5">
        <v>5447</v>
      </c>
      <c r="I1736" s="5">
        <v>1263488.07</v>
      </c>
      <c r="J1736" s="6">
        <v>0.009</v>
      </c>
      <c r="K1736" s="6">
        <v>-0.273</v>
      </c>
    </row>
    <row r="1737" ht="14.5" spans="1:11">
      <c r="A1737" s="3" t="str">
        <f t="shared" si="102"/>
        <v>2026年</v>
      </c>
      <c r="B1737" s="3" t="str">
        <f t="shared" si="103"/>
        <v>2月</v>
      </c>
      <c r="C1737" s="4" t="str">
        <f t="shared" si="104"/>
        <v>W7</v>
      </c>
      <c r="D1737" s="2" t="s">
        <v>783</v>
      </c>
      <c r="E1737" s="2" t="s">
        <v>829</v>
      </c>
      <c r="F1737" s="2" t="str" cm="1">
        <f t="array" ref="F1737">INDEX(_xlfn.TEXTSPLIT(E1737,"-"),2)</f>
        <v>男装</v>
      </c>
      <c r="G1737" s="2" t="str" cm="1">
        <f t="array" ref="G1737">INDEX(_xlfn.TEXTSPLIT(E1737,"-"),3)</f>
        <v>羊绒衫</v>
      </c>
      <c r="H1737" s="5">
        <v>1661</v>
      </c>
      <c r="I1737" s="5">
        <v>638052.25</v>
      </c>
      <c r="J1737" s="6">
        <v>0.0046</v>
      </c>
      <c r="K1737" s="6">
        <v>-0.1612</v>
      </c>
    </row>
    <row r="1738" ht="14.5" spans="1:11">
      <c r="A1738" s="3" t="str">
        <f t="shared" si="102"/>
        <v>2026年</v>
      </c>
      <c r="B1738" s="3" t="str">
        <f t="shared" si="103"/>
        <v>2月</v>
      </c>
      <c r="C1738" s="4" t="str">
        <f t="shared" si="104"/>
        <v>W7</v>
      </c>
      <c r="D1738" s="2" t="s">
        <v>783</v>
      </c>
      <c r="E1738" s="2" t="s">
        <v>830</v>
      </c>
      <c r="F1738" s="2" t="str" cm="1">
        <f t="array" ref="F1738">INDEX(_xlfn.TEXTSPLIT(E1738,"-"),2)</f>
        <v>男装</v>
      </c>
      <c r="G1738" s="2" t="str" cm="1">
        <f t="array" ref="G1738">INDEX(_xlfn.TEXTSPLIT(E1738,"-"),3)</f>
        <v>羽绒服</v>
      </c>
      <c r="H1738" s="5">
        <v>32399</v>
      </c>
      <c r="I1738" s="5">
        <v>10919789.44</v>
      </c>
      <c r="J1738" s="6">
        <v>0.0781</v>
      </c>
      <c r="K1738" s="6">
        <v>-0.3679</v>
      </c>
    </row>
    <row r="1739" ht="14.5" spans="1:11">
      <c r="A1739" s="3" t="str">
        <f t="shared" si="102"/>
        <v>2026年</v>
      </c>
      <c r="B1739" s="3" t="str">
        <f t="shared" si="103"/>
        <v>2月</v>
      </c>
      <c r="C1739" s="4" t="str">
        <f t="shared" si="104"/>
        <v>W7</v>
      </c>
      <c r="D1739" s="2" t="s">
        <v>783</v>
      </c>
      <c r="E1739" s="2" t="s">
        <v>831</v>
      </c>
      <c r="F1739" s="2" t="str" cm="1">
        <f t="array" ref="F1739">INDEX(_xlfn.TEXTSPLIT(E1739,"-"),2)</f>
        <v>男装</v>
      </c>
      <c r="G1739" s="2" t="str" cm="1">
        <f t="array" ref="G1739">INDEX(_xlfn.TEXTSPLIT(E1739,"-"),3)</f>
        <v>羽绒裤</v>
      </c>
      <c r="H1739" s="5">
        <v>296</v>
      </c>
      <c r="I1739" s="5">
        <v>38105.94</v>
      </c>
      <c r="J1739" s="6">
        <v>0.0003</v>
      </c>
      <c r="K1739" s="6">
        <v>-0.4785</v>
      </c>
    </row>
    <row r="1740" ht="14.5" spans="1:11">
      <c r="A1740" s="3" t="str">
        <f t="shared" si="102"/>
        <v>2026年</v>
      </c>
      <c r="B1740" s="3" t="str">
        <f t="shared" si="103"/>
        <v>2月</v>
      </c>
      <c r="C1740" s="4" t="str">
        <f t="shared" si="104"/>
        <v>W7</v>
      </c>
      <c r="D1740" s="2" t="s">
        <v>783</v>
      </c>
      <c r="E1740" s="2" t="s">
        <v>832</v>
      </c>
      <c r="F1740" s="2" t="str" cm="1">
        <f t="array" ref="F1740">INDEX(_xlfn.TEXTSPLIT(E1740,"-"),2)</f>
        <v>男装</v>
      </c>
      <c r="G1740" s="2" t="str" cm="1">
        <f t="array" ref="G1740">INDEX(_xlfn.TEXTSPLIT(E1740,"-"),3)</f>
        <v>羽绒马甲</v>
      </c>
      <c r="H1740" s="5">
        <v>1554</v>
      </c>
      <c r="I1740" s="5">
        <v>326659.68</v>
      </c>
      <c r="J1740" s="6">
        <v>0.0023</v>
      </c>
      <c r="K1740" s="6">
        <v>-0.3696</v>
      </c>
    </row>
    <row r="1741" ht="14.5" spans="1:11">
      <c r="A1741" s="3" t="str">
        <f t="shared" si="102"/>
        <v>2026年</v>
      </c>
      <c r="B1741" s="3" t="str">
        <f t="shared" si="103"/>
        <v>2月</v>
      </c>
      <c r="C1741" s="4" t="str">
        <f t="shared" si="104"/>
        <v>W7</v>
      </c>
      <c r="D1741" s="2" t="s">
        <v>783</v>
      </c>
      <c r="E1741" s="2" t="s">
        <v>833</v>
      </c>
      <c r="F1741" s="2" t="str" cm="1">
        <f t="array" ref="F1741">INDEX(_xlfn.TEXTSPLIT(E1741,"-"),2)</f>
        <v>男装</v>
      </c>
      <c r="G1741" s="2" t="str" cm="1">
        <f t="array" ref="G1741">INDEX(_xlfn.TEXTSPLIT(E1741,"-"),3)</f>
        <v>背心</v>
      </c>
      <c r="H1741" s="5">
        <v>9949</v>
      </c>
      <c r="I1741" s="5">
        <v>565445.57</v>
      </c>
      <c r="J1741" s="6">
        <v>0.004</v>
      </c>
      <c r="K1741" s="6">
        <v>-0.0503</v>
      </c>
    </row>
    <row r="1742" ht="14.5" spans="1:11">
      <c r="A1742" s="3" t="str">
        <f t="shared" si="102"/>
        <v>2026年</v>
      </c>
      <c r="B1742" s="3" t="str">
        <f t="shared" si="103"/>
        <v>2月</v>
      </c>
      <c r="C1742" s="4" t="str">
        <f t="shared" si="104"/>
        <v>W7</v>
      </c>
      <c r="D1742" s="2" t="s">
        <v>783</v>
      </c>
      <c r="E1742" s="2" t="s">
        <v>834</v>
      </c>
      <c r="F1742" s="2" t="str" cm="1">
        <f t="array" ref="F1742">INDEX(_xlfn.TEXTSPLIT(E1742,"-"),2)</f>
        <v>男装</v>
      </c>
      <c r="G1742" s="2" t="str" cm="1">
        <f t="array" ref="G1742">INDEX(_xlfn.TEXTSPLIT(E1742,"-"),3)</f>
        <v>衬衫</v>
      </c>
      <c r="H1742" s="5">
        <v>30961</v>
      </c>
      <c r="I1742" s="5">
        <v>4554069.03</v>
      </c>
      <c r="J1742" s="6">
        <v>0.0326</v>
      </c>
      <c r="K1742" s="6">
        <v>-0.2279</v>
      </c>
    </row>
    <row r="1743" ht="14.5" spans="1:11">
      <c r="A1743" s="3" t="str">
        <f t="shared" si="102"/>
        <v>2026年</v>
      </c>
      <c r="B1743" s="3" t="str">
        <f t="shared" si="103"/>
        <v>2月</v>
      </c>
      <c r="C1743" s="4" t="str">
        <f t="shared" si="104"/>
        <v>W7</v>
      </c>
      <c r="D1743" s="2" t="s">
        <v>783</v>
      </c>
      <c r="E1743" s="2" t="s">
        <v>835</v>
      </c>
      <c r="F1743" s="2" t="str" cm="1">
        <f t="array" ref="F1743">INDEX(_xlfn.TEXTSPLIT(E1743,"-"),2)</f>
        <v>男装</v>
      </c>
      <c r="G1743" s="2" t="str" cm="1">
        <f t="array" ref="G1743">INDEX(_xlfn.TEXTSPLIT(E1743,"-"),3)</f>
        <v>西服</v>
      </c>
      <c r="H1743" s="5">
        <v>20945</v>
      </c>
      <c r="I1743" s="5">
        <v>4871881.97</v>
      </c>
      <c r="J1743" s="6">
        <v>0.0349</v>
      </c>
      <c r="K1743" s="6">
        <v>-0.1723</v>
      </c>
    </row>
    <row r="1744" ht="14.5" spans="1:11">
      <c r="A1744" s="3" t="str">
        <f t="shared" si="102"/>
        <v>2026年</v>
      </c>
      <c r="B1744" s="3" t="str">
        <f t="shared" si="103"/>
        <v>2月</v>
      </c>
      <c r="C1744" s="4" t="str">
        <f t="shared" si="104"/>
        <v>W7</v>
      </c>
      <c r="D1744" s="2" t="s">
        <v>783</v>
      </c>
      <c r="E1744" s="2" t="s">
        <v>836</v>
      </c>
      <c r="F1744" s="2" t="str" cm="1">
        <f t="array" ref="F1744">INDEX(_xlfn.TEXTSPLIT(E1744,"-"),2)</f>
        <v>男装</v>
      </c>
      <c r="G1744" s="2" t="str" cm="1">
        <f t="array" ref="G1744">INDEX(_xlfn.TEXTSPLIT(E1744,"-"),3)</f>
        <v>连体衣/裤</v>
      </c>
      <c r="H1744" s="5">
        <v>559</v>
      </c>
      <c r="I1744" s="5">
        <v>18025.68</v>
      </c>
      <c r="J1744" s="6">
        <v>0.0001</v>
      </c>
      <c r="K1744" s="6">
        <v>-0.2416</v>
      </c>
    </row>
    <row r="1745" ht="14.5" spans="1:11">
      <c r="A1745" s="3" t="str">
        <f t="shared" si="102"/>
        <v>2026年</v>
      </c>
      <c r="B1745" s="3" t="str">
        <f t="shared" si="103"/>
        <v>2月</v>
      </c>
      <c r="C1745" s="4" t="str">
        <f t="shared" si="104"/>
        <v>W7</v>
      </c>
      <c r="D1745" s="2" t="s">
        <v>783</v>
      </c>
      <c r="E1745" s="2" t="s">
        <v>837</v>
      </c>
      <c r="F1745" s="2" t="str" cm="1">
        <f t="array" ref="F1745">INDEX(_xlfn.TEXTSPLIT(E1745,"-"),2)</f>
        <v>男装</v>
      </c>
      <c r="G1745" s="2" t="str" cm="1">
        <f t="array" ref="G1745">INDEX(_xlfn.TEXTSPLIT(E1745,"-"),3)</f>
        <v>速干/三防T恤</v>
      </c>
      <c r="H1745" s="5">
        <v>627</v>
      </c>
      <c r="I1745" s="5">
        <v>96373.99</v>
      </c>
      <c r="J1745" s="6">
        <v>0.0007</v>
      </c>
      <c r="K1745" s="6">
        <v>0.1753</v>
      </c>
    </row>
    <row r="1746" ht="14.5" spans="1:11">
      <c r="A1746" s="3" t="str">
        <f t="shared" si="102"/>
        <v>2026年</v>
      </c>
      <c r="B1746" s="3" t="str">
        <f t="shared" si="103"/>
        <v>2月</v>
      </c>
      <c r="C1746" s="4" t="str">
        <f t="shared" si="104"/>
        <v>W7</v>
      </c>
      <c r="D1746" s="2" t="s">
        <v>783</v>
      </c>
      <c r="E1746" s="2" t="s">
        <v>838</v>
      </c>
      <c r="F1746" s="2" t="str" cm="1">
        <f t="array" ref="F1746">INDEX(_xlfn.TEXTSPLIT(E1746,"-"),2)</f>
        <v>男装</v>
      </c>
      <c r="G1746" s="2" t="str" cm="1">
        <f t="array" ref="G1746">INDEX(_xlfn.TEXTSPLIT(E1746,"-"),3)</f>
        <v>针织衫/毛衣</v>
      </c>
      <c r="H1746" s="5">
        <v>47886</v>
      </c>
      <c r="I1746" s="5">
        <v>8240983.97</v>
      </c>
      <c r="J1746" s="6">
        <v>0.059</v>
      </c>
      <c r="K1746" s="6">
        <v>0.026</v>
      </c>
    </row>
    <row r="1747" ht="14.5" spans="1:11">
      <c r="A1747" s="3" t="str">
        <f t="shared" si="102"/>
        <v>2026年</v>
      </c>
      <c r="B1747" s="3" t="str">
        <f t="shared" si="103"/>
        <v>2月</v>
      </c>
      <c r="C1747" s="4" t="str">
        <f t="shared" si="104"/>
        <v>W7</v>
      </c>
      <c r="D1747" s="2" t="s">
        <v>783</v>
      </c>
      <c r="E1747" s="2" t="s">
        <v>839</v>
      </c>
      <c r="F1747" s="2" t="str" cm="1">
        <f t="array" ref="F1747">INDEX(_xlfn.TEXTSPLIT(E1747,"-"),2)</f>
        <v>男装</v>
      </c>
      <c r="G1747" s="2" t="str" cm="1">
        <f t="array" ref="G1747">INDEX(_xlfn.TEXTSPLIT(E1747,"-"),3)</f>
        <v>防晒服</v>
      </c>
      <c r="H1747" s="5">
        <v>221</v>
      </c>
      <c r="I1747" s="5">
        <v>19153.27</v>
      </c>
      <c r="J1747" s="6">
        <v>0.0001</v>
      </c>
      <c r="K1747" s="6">
        <v>-0.2865</v>
      </c>
    </row>
    <row r="1748" ht="14.5" spans="1:11">
      <c r="A1748" s="3" t="str">
        <f t="shared" si="102"/>
        <v>2026年</v>
      </c>
      <c r="B1748" s="3" t="str">
        <f t="shared" si="103"/>
        <v>2月</v>
      </c>
      <c r="C1748" s="4" t="str">
        <f t="shared" si="104"/>
        <v>W7</v>
      </c>
      <c r="D1748" s="2" t="s">
        <v>783</v>
      </c>
      <c r="E1748" s="2" t="s">
        <v>840</v>
      </c>
      <c r="F1748" s="2" t="str" cm="1">
        <f t="array" ref="F1748">INDEX(_xlfn.TEXTSPLIT(E1748,"-"),2)</f>
        <v>男装</v>
      </c>
      <c r="G1748" s="2" t="str" cm="1">
        <f t="array" ref="G1748">INDEX(_xlfn.TEXTSPLIT(E1748,"-"),3)</f>
        <v>风衣</v>
      </c>
      <c r="H1748" s="5">
        <v>2983</v>
      </c>
      <c r="I1748" s="5">
        <v>1038161.7</v>
      </c>
      <c r="J1748" s="6">
        <v>0.0074</v>
      </c>
      <c r="K1748" s="6">
        <v>-0.2599</v>
      </c>
    </row>
    <row r="1749" ht="14.5" spans="1:11">
      <c r="A1749" s="3" t="str">
        <f t="shared" si="102"/>
        <v>2026年</v>
      </c>
      <c r="B1749" s="3" t="str">
        <f t="shared" si="103"/>
        <v>2月</v>
      </c>
      <c r="C1749" s="4" t="str">
        <f t="shared" si="104"/>
        <v>W7</v>
      </c>
      <c r="D1749" s="2" t="s">
        <v>783</v>
      </c>
      <c r="E1749" s="2" t="s">
        <v>841</v>
      </c>
      <c r="F1749" s="2" t="str" cm="1">
        <f t="array" ref="F1749">INDEX(_xlfn.TEXTSPLIT(E1749,"-"),2)</f>
        <v>男装</v>
      </c>
      <c r="G1749" s="2" t="str" cm="1">
        <f t="array" ref="G1749">INDEX(_xlfn.TEXTSPLIT(E1749,"-"),3)</f>
        <v>马甲</v>
      </c>
      <c r="H1749" s="5">
        <v>6823</v>
      </c>
      <c r="I1749" s="5">
        <v>849011.28</v>
      </c>
      <c r="J1749" s="6">
        <v>0.0061</v>
      </c>
      <c r="K1749" s="6">
        <v>-0.5106</v>
      </c>
    </row>
    <row r="1750" ht="14.5" spans="1:11">
      <c r="A1750" s="3" t="str">
        <f t="shared" si="102"/>
        <v>2026年</v>
      </c>
      <c r="B1750" s="3" t="str">
        <f t="shared" si="103"/>
        <v>2月</v>
      </c>
      <c r="C1750" s="4" t="str">
        <f t="shared" si="104"/>
        <v>W8</v>
      </c>
      <c r="D1750" s="2" t="s">
        <v>784</v>
      </c>
      <c r="E1750" s="2" t="s">
        <v>804</v>
      </c>
      <c r="F1750" s="2" t="str" cm="1">
        <f t="array" ref="F1750">INDEX(_xlfn.TEXTSPLIT(E1750,"-"),2)</f>
        <v>男装</v>
      </c>
      <c r="G1750" s="2" t="str" cm="1">
        <f t="array" ref="G1750">INDEX(_xlfn.TEXTSPLIT(E1750,"-"),3)</f>
        <v>Polo衫</v>
      </c>
      <c r="H1750" s="5">
        <v>15046</v>
      </c>
      <c r="I1750" s="5">
        <v>2283526.36</v>
      </c>
      <c r="J1750" s="6">
        <v>0.0226</v>
      </c>
      <c r="K1750" s="6">
        <v>0.2472</v>
      </c>
    </row>
    <row r="1751" ht="14.5" spans="1:11">
      <c r="A1751" s="3" t="str">
        <f t="shared" si="102"/>
        <v>2026年</v>
      </c>
      <c r="B1751" s="3" t="str">
        <f t="shared" si="103"/>
        <v>2月</v>
      </c>
      <c r="C1751" s="4" t="str">
        <f t="shared" si="104"/>
        <v>W8</v>
      </c>
      <c r="D1751" s="2" t="s">
        <v>784</v>
      </c>
      <c r="E1751" s="2" t="s">
        <v>805</v>
      </c>
      <c r="F1751" s="2" t="str" cm="1">
        <f t="array" ref="F1751">INDEX(_xlfn.TEXTSPLIT(E1751,"-"),2)</f>
        <v>男装</v>
      </c>
      <c r="G1751" s="2" t="str" cm="1">
        <f t="array" ref="G1751">INDEX(_xlfn.TEXTSPLIT(E1751,"-"),3)</f>
        <v>T恤</v>
      </c>
      <c r="H1751" s="5">
        <v>229479</v>
      </c>
      <c r="I1751" s="5">
        <v>17444166.25</v>
      </c>
      <c r="J1751" s="6">
        <v>0.1724</v>
      </c>
      <c r="K1751" s="6">
        <v>-0.2836</v>
      </c>
    </row>
    <row r="1752" ht="14.5" spans="1:11">
      <c r="A1752" s="3" t="str">
        <f t="shared" si="102"/>
        <v>2026年</v>
      </c>
      <c r="B1752" s="3" t="str">
        <f t="shared" si="103"/>
        <v>2月</v>
      </c>
      <c r="C1752" s="4" t="str">
        <f t="shared" si="104"/>
        <v>W8</v>
      </c>
      <c r="D1752" s="2" t="s">
        <v>784</v>
      </c>
      <c r="E1752" s="2" t="s">
        <v>806</v>
      </c>
      <c r="F1752" s="2" t="str" cm="1">
        <f t="array" ref="F1752">INDEX(_xlfn.TEXTSPLIT(E1752,"-"),2)</f>
        <v>男装</v>
      </c>
      <c r="G1752" s="2" t="str" cm="1">
        <f t="array" ref="G1752">INDEX(_xlfn.TEXTSPLIT(E1752,"-"),3)</f>
        <v>中老年男装</v>
      </c>
      <c r="H1752" s="5">
        <v>6929</v>
      </c>
      <c r="I1752" s="5">
        <v>777635.3</v>
      </c>
      <c r="J1752" s="6">
        <v>0.0077</v>
      </c>
      <c r="K1752" s="6">
        <v>-0.1285</v>
      </c>
    </row>
    <row r="1753" ht="14.5" spans="1:11">
      <c r="A1753" s="3" t="str">
        <f t="shared" si="102"/>
        <v>2026年</v>
      </c>
      <c r="B1753" s="3" t="str">
        <f t="shared" si="103"/>
        <v>2月</v>
      </c>
      <c r="C1753" s="4" t="str">
        <f t="shared" si="104"/>
        <v>W8</v>
      </c>
      <c r="D1753" s="2" t="s">
        <v>784</v>
      </c>
      <c r="E1753" s="2" t="s">
        <v>807</v>
      </c>
      <c r="F1753" s="2" t="str" cm="1">
        <f t="array" ref="F1753">INDEX(_xlfn.TEXTSPLIT(E1753,"-"),2)</f>
        <v>男装</v>
      </c>
      <c r="G1753" s="2" t="str" cm="1">
        <f t="array" ref="G1753">INDEX(_xlfn.TEXTSPLIT(E1753,"-"),3)</f>
        <v>休闲裤</v>
      </c>
      <c r="H1753" s="5">
        <v>82899</v>
      </c>
      <c r="I1753" s="5">
        <v>9640775.84</v>
      </c>
      <c r="J1753" s="6">
        <v>0.0953</v>
      </c>
      <c r="K1753" s="6">
        <v>-0.2558</v>
      </c>
    </row>
    <row r="1754" ht="14.5" spans="1:11">
      <c r="A1754" s="3" t="str">
        <f t="shared" si="102"/>
        <v>2026年</v>
      </c>
      <c r="B1754" s="3" t="str">
        <f t="shared" si="103"/>
        <v>2月</v>
      </c>
      <c r="C1754" s="4" t="str">
        <f t="shared" si="104"/>
        <v>W8</v>
      </c>
      <c r="D1754" s="2" t="s">
        <v>784</v>
      </c>
      <c r="E1754" s="2" t="s">
        <v>808</v>
      </c>
      <c r="F1754" s="2" t="str" cm="1">
        <f t="array" ref="F1754">INDEX(_xlfn.TEXTSPLIT(E1754,"-"),2)</f>
        <v>男装</v>
      </c>
      <c r="G1754" s="2" t="str" cm="1">
        <f t="array" ref="G1754">INDEX(_xlfn.TEXTSPLIT(E1754,"-"),3)</f>
        <v>卫衣</v>
      </c>
      <c r="H1754" s="5">
        <v>59139</v>
      </c>
      <c r="I1754" s="5">
        <v>7027316.05</v>
      </c>
      <c r="J1754" s="6">
        <v>0.0695</v>
      </c>
      <c r="K1754" s="6">
        <v>-0.225</v>
      </c>
    </row>
    <row r="1755" ht="14.5" spans="1:11">
      <c r="A1755" s="3" t="str">
        <f t="shared" si="102"/>
        <v>2026年</v>
      </c>
      <c r="B1755" s="3" t="str">
        <f t="shared" si="103"/>
        <v>2月</v>
      </c>
      <c r="C1755" s="4" t="str">
        <f t="shared" si="104"/>
        <v>W8</v>
      </c>
      <c r="D1755" s="2" t="s">
        <v>784</v>
      </c>
      <c r="E1755" s="2" t="s">
        <v>809</v>
      </c>
      <c r="F1755" s="2" t="str" cm="1">
        <f t="array" ref="F1755">INDEX(_xlfn.TEXTSPLIT(E1755,"-"),2)</f>
        <v>男装</v>
      </c>
      <c r="G1755" s="2" t="str" cm="1">
        <f t="array" ref="G1755">INDEX(_xlfn.TEXTSPLIT(E1755,"-"),3)</f>
        <v>卫裤</v>
      </c>
      <c r="H1755" s="5">
        <v>17865</v>
      </c>
      <c r="I1755" s="5">
        <v>1623564.17</v>
      </c>
      <c r="J1755" s="6">
        <v>0.016</v>
      </c>
      <c r="K1755" s="6">
        <v>-0.231</v>
      </c>
    </row>
    <row r="1756" ht="14.5" spans="1:11">
      <c r="A1756" s="3" t="str">
        <f t="shared" ref="A1756:A1819" si="105">TEXT(YEAR(D1756),"0")&amp;"年"</f>
        <v>2026年</v>
      </c>
      <c r="B1756" s="3" t="str">
        <f t="shared" ref="B1756:B1819" si="106">TEXT(MONTH(D1756),"0")&amp;"月"</f>
        <v>2月</v>
      </c>
      <c r="C1756" s="4" t="str">
        <f t="shared" ref="C1756:C1819" si="107">"W"&amp;TEXT(WEEKNUM(D1756,2),"0")</f>
        <v>W8</v>
      </c>
      <c r="D1756" s="2" t="s">
        <v>784</v>
      </c>
      <c r="E1756" s="2" t="s">
        <v>810</v>
      </c>
      <c r="F1756" s="2" t="str" cm="1">
        <f t="array" ref="F1756">INDEX(_xlfn.TEXTSPLIT(E1756,"-"),2)</f>
        <v>男装</v>
      </c>
      <c r="G1756" s="2" t="str" cm="1">
        <f t="array" ref="G1756">INDEX(_xlfn.TEXTSPLIT(E1756,"-"),3)</f>
        <v>大码男装</v>
      </c>
      <c r="H1756" s="5">
        <v>11157</v>
      </c>
      <c r="I1756" s="5">
        <v>748392.55</v>
      </c>
      <c r="J1756" s="6">
        <v>0.0074</v>
      </c>
      <c r="K1756" s="6">
        <v>-0.2088</v>
      </c>
    </row>
    <row r="1757" ht="14.5" spans="1:11">
      <c r="A1757" s="3" t="str">
        <f t="shared" si="105"/>
        <v>2026年</v>
      </c>
      <c r="B1757" s="3" t="str">
        <f t="shared" si="106"/>
        <v>2月</v>
      </c>
      <c r="C1757" s="4" t="str">
        <f t="shared" si="107"/>
        <v>W8</v>
      </c>
      <c r="D1757" s="2" t="s">
        <v>784</v>
      </c>
      <c r="E1757" s="2" t="s">
        <v>811</v>
      </c>
      <c r="F1757" s="2" t="str" cm="1">
        <f t="array" ref="F1757">INDEX(_xlfn.TEXTSPLIT(E1757,"-"),2)</f>
        <v>男装</v>
      </c>
      <c r="G1757" s="2" t="str" cm="1">
        <f t="array" ref="G1757">INDEX(_xlfn.TEXTSPLIT(E1757,"-"),3)</f>
        <v>夹克</v>
      </c>
      <c r="H1757" s="5">
        <v>92300</v>
      </c>
      <c r="I1757" s="5">
        <v>18408817.48</v>
      </c>
      <c r="J1757" s="6">
        <v>0.182</v>
      </c>
      <c r="K1757" s="6">
        <v>-0.3104</v>
      </c>
    </row>
    <row r="1758" ht="14.5" spans="1:11">
      <c r="A1758" s="3" t="str">
        <f t="shared" si="105"/>
        <v>2026年</v>
      </c>
      <c r="B1758" s="3" t="str">
        <f t="shared" si="106"/>
        <v>2月</v>
      </c>
      <c r="C1758" s="4" t="str">
        <f t="shared" si="107"/>
        <v>W8</v>
      </c>
      <c r="D1758" s="2" t="s">
        <v>784</v>
      </c>
      <c r="E1758" s="2" t="s">
        <v>812</v>
      </c>
      <c r="F1758" s="2" t="str" cm="1">
        <f t="array" ref="F1758">INDEX(_xlfn.TEXTSPLIT(E1758,"-"),2)</f>
        <v>男装</v>
      </c>
      <c r="G1758" s="2" t="str" cm="1">
        <f t="array" ref="G1758">INDEX(_xlfn.TEXTSPLIT(E1758,"-"),3)</f>
        <v>套装</v>
      </c>
      <c r="H1758" s="5">
        <v>11535</v>
      </c>
      <c r="I1758" s="5">
        <v>1532888.37</v>
      </c>
      <c r="J1758" s="6">
        <v>0.0152</v>
      </c>
      <c r="K1758" s="6">
        <v>-0.1674</v>
      </c>
    </row>
    <row r="1759" ht="14.5" spans="1:11">
      <c r="A1759" s="3" t="str">
        <f t="shared" si="105"/>
        <v>2026年</v>
      </c>
      <c r="B1759" s="3" t="str">
        <f t="shared" si="106"/>
        <v>2月</v>
      </c>
      <c r="C1759" s="4" t="str">
        <f t="shared" si="107"/>
        <v>W8</v>
      </c>
      <c r="D1759" s="2" t="s">
        <v>784</v>
      </c>
      <c r="E1759" s="2" t="s">
        <v>813</v>
      </c>
      <c r="F1759" s="2" t="str" cm="1">
        <f t="array" ref="F1759">INDEX(_xlfn.TEXTSPLIT(E1759,"-"),2)</f>
        <v>男装</v>
      </c>
      <c r="G1759" s="2" t="str" cm="1">
        <f t="array" ref="G1759">INDEX(_xlfn.TEXTSPLIT(E1759,"-"),3)</f>
        <v>学生校服</v>
      </c>
      <c r="H1759" s="5">
        <v>0</v>
      </c>
      <c r="I1759" s="5">
        <v>0</v>
      </c>
      <c r="J1759" s="7">
        <v>0</v>
      </c>
      <c r="K1759" s="2" t="s">
        <v>360</v>
      </c>
    </row>
    <row r="1760" ht="14.5" spans="1:11">
      <c r="A1760" s="3" t="str">
        <f t="shared" si="105"/>
        <v>2026年</v>
      </c>
      <c r="B1760" s="3" t="str">
        <f t="shared" si="106"/>
        <v>2月</v>
      </c>
      <c r="C1760" s="4" t="str">
        <f t="shared" si="107"/>
        <v>W8</v>
      </c>
      <c r="D1760" s="2" t="s">
        <v>784</v>
      </c>
      <c r="E1760" s="2" t="s">
        <v>814</v>
      </c>
      <c r="F1760" s="2" t="str" cm="1">
        <f t="array" ref="F1760">INDEX(_xlfn.TEXTSPLIT(E1760,"-"),2)</f>
        <v>男装</v>
      </c>
      <c r="G1760" s="2" t="str" cm="1">
        <f t="array" ref="G1760">INDEX(_xlfn.TEXTSPLIT(E1760,"-"),3)</f>
        <v>打底衫</v>
      </c>
      <c r="H1760" s="5">
        <v>2502</v>
      </c>
      <c r="I1760" s="5">
        <v>149971.91</v>
      </c>
      <c r="J1760" s="6">
        <v>0.0015</v>
      </c>
      <c r="K1760" s="6">
        <v>-0.1147</v>
      </c>
    </row>
    <row r="1761" ht="14.5" spans="1:11">
      <c r="A1761" s="3" t="str">
        <f t="shared" si="105"/>
        <v>2026年</v>
      </c>
      <c r="B1761" s="3" t="str">
        <f t="shared" si="106"/>
        <v>2月</v>
      </c>
      <c r="C1761" s="4" t="str">
        <f t="shared" si="107"/>
        <v>W8</v>
      </c>
      <c r="D1761" s="2" t="s">
        <v>784</v>
      </c>
      <c r="E1761" s="2" t="s">
        <v>815</v>
      </c>
      <c r="F1761" s="2" t="str" cm="1">
        <f t="array" ref="F1761">INDEX(_xlfn.TEXTSPLIT(E1761,"-"),2)</f>
        <v>男装</v>
      </c>
      <c r="G1761" s="2" t="str" cm="1">
        <f t="array" ref="G1761">INDEX(_xlfn.TEXTSPLIT(E1761,"-"),3)</f>
        <v>新中式男装</v>
      </c>
      <c r="H1761" s="5">
        <v>97</v>
      </c>
      <c r="I1761" s="5">
        <v>20637.7</v>
      </c>
      <c r="J1761" s="6">
        <v>0.0002</v>
      </c>
      <c r="K1761" s="6">
        <v>-0.0532</v>
      </c>
    </row>
    <row r="1762" ht="14.5" spans="1:11">
      <c r="A1762" s="3" t="str">
        <f t="shared" si="105"/>
        <v>2026年</v>
      </c>
      <c r="B1762" s="3" t="str">
        <f t="shared" si="106"/>
        <v>2月</v>
      </c>
      <c r="C1762" s="4" t="str">
        <f t="shared" si="107"/>
        <v>W8</v>
      </c>
      <c r="D1762" s="2" t="s">
        <v>784</v>
      </c>
      <c r="E1762" s="2" t="s">
        <v>816</v>
      </c>
      <c r="F1762" s="2" t="str" cm="1">
        <f t="array" ref="F1762">INDEX(_xlfn.TEXTSPLIT(E1762,"-"),2)</f>
        <v>男装</v>
      </c>
      <c r="G1762" s="2" t="str" cm="1">
        <f t="array" ref="G1762">INDEX(_xlfn.TEXTSPLIT(E1762,"-"),3)</f>
        <v>棉衣</v>
      </c>
      <c r="H1762" s="5">
        <v>14596</v>
      </c>
      <c r="I1762" s="5">
        <v>2309349.95</v>
      </c>
      <c r="J1762" s="6">
        <v>0.0228</v>
      </c>
      <c r="K1762" s="6">
        <v>-0.2975</v>
      </c>
    </row>
    <row r="1763" ht="14.5" spans="1:11">
      <c r="A1763" s="3" t="str">
        <f t="shared" si="105"/>
        <v>2026年</v>
      </c>
      <c r="B1763" s="3" t="str">
        <f t="shared" si="106"/>
        <v>2月</v>
      </c>
      <c r="C1763" s="4" t="str">
        <f t="shared" si="107"/>
        <v>W8</v>
      </c>
      <c r="D1763" s="2" t="s">
        <v>784</v>
      </c>
      <c r="E1763" s="2" t="s">
        <v>817</v>
      </c>
      <c r="F1763" s="2" t="str" cm="1">
        <f t="array" ref="F1763">INDEX(_xlfn.TEXTSPLIT(E1763,"-"),2)</f>
        <v>男装</v>
      </c>
      <c r="G1763" s="2" t="str" cm="1">
        <f t="array" ref="G1763">INDEX(_xlfn.TEXTSPLIT(E1763,"-"),3)</f>
        <v>棉裤</v>
      </c>
      <c r="H1763" s="5">
        <v>413</v>
      </c>
      <c r="I1763" s="5">
        <v>23048.58</v>
      </c>
      <c r="J1763" s="6">
        <v>0.0002</v>
      </c>
      <c r="K1763" s="6">
        <v>-0.1074</v>
      </c>
    </row>
    <row r="1764" ht="14.5" spans="1:11">
      <c r="A1764" s="3" t="str">
        <f t="shared" si="105"/>
        <v>2026年</v>
      </c>
      <c r="B1764" s="3" t="str">
        <f t="shared" si="106"/>
        <v>2月</v>
      </c>
      <c r="C1764" s="4" t="str">
        <f t="shared" si="107"/>
        <v>W8</v>
      </c>
      <c r="D1764" s="2" t="s">
        <v>784</v>
      </c>
      <c r="E1764" s="2" t="s">
        <v>818</v>
      </c>
      <c r="F1764" s="2" t="str" cm="1">
        <f t="array" ref="F1764">INDEX(_xlfn.TEXTSPLIT(E1764,"-"),2)</f>
        <v>男装</v>
      </c>
      <c r="G1764" s="2" t="str" cm="1">
        <f t="array" ref="G1764">INDEX(_xlfn.TEXTSPLIT(E1764,"-"),3)</f>
        <v>毛呢大衣</v>
      </c>
      <c r="H1764" s="5">
        <v>2757</v>
      </c>
      <c r="I1764" s="5">
        <v>1124349.7</v>
      </c>
      <c r="J1764" s="6">
        <v>0.0111</v>
      </c>
      <c r="K1764" s="6">
        <v>-0.5181</v>
      </c>
    </row>
    <row r="1765" ht="14.5" spans="1:11">
      <c r="A1765" s="3" t="str">
        <f t="shared" si="105"/>
        <v>2026年</v>
      </c>
      <c r="B1765" s="3" t="str">
        <f t="shared" si="106"/>
        <v>2月</v>
      </c>
      <c r="C1765" s="4" t="str">
        <f t="shared" si="107"/>
        <v>W8</v>
      </c>
      <c r="D1765" s="2" t="s">
        <v>784</v>
      </c>
      <c r="E1765" s="2" t="s">
        <v>819</v>
      </c>
      <c r="F1765" s="2" t="str" cm="1">
        <f t="array" ref="F1765">INDEX(_xlfn.TEXTSPLIT(E1765,"-"),2)</f>
        <v>男装</v>
      </c>
      <c r="G1765" s="2" t="str" cm="1">
        <f t="array" ref="G1765">INDEX(_xlfn.TEXTSPLIT(E1765,"-"),3)</f>
        <v>民族服装</v>
      </c>
      <c r="H1765" s="5">
        <v>1025</v>
      </c>
      <c r="I1765" s="5">
        <v>218663.1</v>
      </c>
      <c r="J1765" s="6">
        <v>0.0022</v>
      </c>
      <c r="K1765" s="6">
        <v>-0.2199</v>
      </c>
    </row>
    <row r="1766" ht="14.5" spans="1:11">
      <c r="A1766" s="3" t="str">
        <f t="shared" si="105"/>
        <v>2026年</v>
      </c>
      <c r="B1766" s="3" t="str">
        <f t="shared" si="106"/>
        <v>2月</v>
      </c>
      <c r="C1766" s="4" t="str">
        <f t="shared" si="107"/>
        <v>W8</v>
      </c>
      <c r="D1766" s="2" t="s">
        <v>784</v>
      </c>
      <c r="E1766" s="2" t="s">
        <v>820</v>
      </c>
      <c r="F1766" s="2" t="str" cm="1">
        <f t="array" ref="F1766">INDEX(_xlfn.TEXTSPLIT(E1766,"-"),2)</f>
        <v>男装</v>
      </c>
      <c r="G1766" s="2" t="str" cm="1">
        <f t="array" ref="G1766">INDEX(_xlfn.TEXTSPLIT(E1766,"-"),3)</f>
        <v>派克服</v>
      </c>
      <c r="H1766" s="5">
        <v>339</v>
      </c>
      <c r="I1766" s="5">
        <v>68271</v>
      </c>
      <c r="J1766" s="6">
        <v>0.0007</v>
      </c>
      <c r="K1766" s="6">
        <v>-0.5556</v>
      </c>
    </row>
    <row r="1767" ht="14.5" spans="1:11">
      <c r="A1767" s="3" t="str">
        <f t="shared" si="105"/>
        <v>2026年</v>
      </c>
      <c r="B1767" s="3" t="str">
        <f t="shared" si="106"/>
        <v>2月</v>
      </c>
      <c r="C1767" s="4" t="str">
        <f t="shared" si="107"/>
        <v>W8</v>
      </c>
      <c r="D1767" s="2" t="s">
        <v>784</v>
      </c>
      <c r="E1767" s="2" t="s">
        <v>821</v>
      </c>
      <c r="F1767" s="2" t="str" cm="1">
        <f t="array" ref="F1767">INDEX(_xlfn.TEXTSPLIT(E1767,"-"),2)</f>
        <v>男装</v>
      </c>
      <c r="G1767" s="2" t="str" cm="1">
        <f t="array" ref="G1767">INDEX(_xlfn.TEXTSPLIT(E1767,"-"),3)</f>
        <v>牛仔裤</v>
      </c>
      <c r="H1767" s="5">
        <v>66777</v>
      </c>
      <c r="I1767" s="5">
        <v>8375524.1</v>
      </c>
      <c r="J1767" s="6">
        <v>0.0828</v>
      </c>
      <c r="K1767" s="6">
        <v>-0.2619</v>
      </c>
    </row>
    <row r="1768" ht="14.5" spans="1:11">
      <c r="A1768" s="3" t="str">
        <f t="shared" si="105"/>
        <v>2026年</v>
      </c>
      <c r="B1768" s="3" t="str">
        <f t="shared" si="106"/>
        <v>2月</v>
      </c>
      <c r="C1768" s="4" t="str">
        <f t="shared" si="107"/>
        <v>W8</v>
      </c>
      <c r="D1768" s="2" t="s">
        <v>784</v>
      </c>
      <c r="E1768" s="2" t="s">
        <v>822</v>
      </c>
      <c r="F1768" s="2" t="str" cm="1">
        <f t="array" ref="F1768">INDEX(_xlfn.TEXTSPLIT(E1768,"-"),2)</f>
        <v>男装</v>
      </c>
      <c r="G1768" s="2" t="str" cm="1">
        <f t="array" ref="G1768">INDEX(_xlfn.TEXTSPLIT(E1768,"-"),3)</f>
        <v>皮草</v>
      </c>
      <c r="H1768" s="5">
        <v>301</v>
      </c>
      <c r="I1768" s="5">
        <v>142664.24</v>
      </c>
      <c r="J1768" s="6">
        <v>0.0014</v>
      </c>
      <c r="K1768" s="6">
        <v>-0.0573</v>
      </c>
    </row>
    <row r="1769" ht="14.5" spans="1:11">
      <c r="A1769" s="3" t="str">
        <f t="shared" si="105"/>
        <v>2026年</v>
      </c>
      <c r="B1769" s="3" t="str">
        <f t="shared" si="106"/>
        <v>2月</v>
      </c>
      <c r="C1769" s="4" t="str">
        <f t="shared" si="107"/>
        <v>W8</v>
      </c>
      <c r="D1769" s="2" t="s">
        <v>784</v>
      </c>
      <c r="E1769" s="2" t="s">
        <v>823</v>
      </c>
      <c r="F1769" s="2" t="str" cm="1">
        <f t="array" ref="F1769">INDEX(_xlfn.TEXTSPLIT(E1769,"-"),2)</f>
        <v>男装</v>
      </c>
      <c r="G1769" s="2" t="str" cm="1">
        <f t="array" ref="G1769">INDEX(_xlfn.TEXTSPLIT(E1769,"-"),3)</f>
        <v>皮衣</v>
      </c>
      <c r="H1769" s="5">
        <v>8423</v>
      </c>
      <c r="I1769" s="5">
        <v>3849870.59</v>
      </c>
      <c r="J1769" s="6">
        <v>0.0381</v>
      </c>
      <c r="K1769" s="6">
        <v>-0.3497</v>
      </c>
    </row>
    <row r="1770" ht="14.5" spans="1:11">
      <c r="A1770" s="3" t="str">
        <f t="shared" si="105"/>
        <v>2026年</v>
      </c>
      <c r="B1770" s="3" t="str">
        <f t="shared" si="106"/>
        <v>2月</v>
      </c>
      <c r="C1770" s="4" t="str">
        <f t="shared" si="107"/>
        <v>W8</v>
      </c>
      <c r="D1770" s="2" t="s">
        <v>784</v>
      </c>
      <c r="E1770" s="2" t="s">
        <v>824</v>
      </c>
      <c r="F1770" s="2" t="str" cm="1">
        <f t="array" ref="F1770">INDEX(_xlfn.TEXTSPLIT(E1770,"-"),2)</f>
        <v>男装</v>
      </c>
      <c r="G1770" s="2" t="str" cm="1">
        <f t="array" ref="G1770">INDEX(_xlfn.TEXTSPLIT(E1770,"-"),3)</f>
        <v>皮裤</v>
      </c>
      <c r="H1770" s="5">
        <v>172</v>
      </c>
      <c r="I1770" s="5">
        <v>39306.66</v>
      </c>
      <c r="J1770" s="6">
        <v>0.0004</v>
      </c>
      <c r="K1770" s="6">
        <v>-0.7484</v>
      </c>
    </row>
    <row r="1771" ht="14.5" spans="1:11">
      <c r="A1771" s="3" t="str">
        <f t="shared" si="105"/>
        <v>2026年</v>
      </c>
      <c r="B1771" s="3" t="str">
        <f t="shared" si="106"/>
        <v>2月</v>
      </c>
      <c r="C1771" s="4" t="str">
        <f t="shared" si="107"/>
        <v>W8</v>
      </c>
      <c r="D1771" s="2" t="s">
        <v>784</v>
      </c>
      <c r="E1771" s="2" t="s">
        <v>825</v>
      </c>
      <c r="F1771" s="2" t="str" cm="1">
        <f t="array" ref="F1771">INDEX(_xlfn.TEXTSPLIT(E1771,"-"),2)</f>
        <v>男装</v>
      </c>
      <c r="G1771" s="2" t="str" cm="1">
        <f t="array" ref="G1771">INDEX(_xlfn.TEXTSPLIT(E1771,"-"),3)</f>
        <v>短外套</v>
      </c>
      <c r="H1771" s="5">
        <v>4545</v>
      </c>
      <c r="I1771" s="5">
        <v>1418844.19</v>
      </c>
      <c r="J1771" s="6">
        <v>0.014</v>
      </c>
      <c r="K1771" s="6">
        <v>1.3185</v>
      </c>
    </row>
    <row r="1772" ht="14.5" spans="1:11">
      <c r="A1772" s="3" t="str">
        <f t="shared" si="105"/>
        <v>2026年</v>
      </c>
      <c r="B1772" s="3" t="str">
        <f t="shared" si="106"/>
        <v>2月</v>
      </c>
      <c r="C1772" s="4" t="str">
        <f t="shared" si="107"/>
        <v>W8</v>
      </c>
      <c r="D1772" s="2" t="s">
        <v>784</v>
      </c>
      <c r="E1772" s="2" t="s">
        <v>826</v>
      </c>
      <c r="F1772" s="2" t="str" cm="1">
        <f t="array" ref="F1772">INDEX(_xlfn.TEXTSPLIT(E1772,"-"),2)</f>
        <v>男装</v>
      </c>
      <c r="G1772" s="2" t="str" cm="1">
        <f t="array" ref="G1772">INDEX(_xlfn.TEXTSPLIT(E1772,"-"),3)</f>
        <v>短裤</v>
      </c>
      <c r="H1772" s="5">
        <v>15095</v>
      </c>
      <c r="I1772" s="5">
        <v>989246.69</v>
      </c>
      <c r="J1772" s="6">
        <v>0.0098</v>
      </c>
      <c r="K1772" s="6">
        <v>-0.1467</v>
      </c>
    </row>
    <row r="1773" ht="14.5" spans="1:11">
      <c r="A1773" s="3" t="str">
        <f t="shared" si="105"/>
        <v>2026年</v>
      </c>
      <c r="B1773" s="3" t="str">
        <f t="shared" si="106"/>
        <v>2月</v>
      </c>
      <c r="C1773" s="4" t="str">
        <f t="shared" si="107"/>
        <v>W8</v>
      </c>
      <c r="D1773" s="2" t="s">
        <v>784</v>
      </c>
      <c r="E1773" s="2" t="s">
        <v>827</v>
      </c>
      <c r="F1773" s="2" t="str" cm="1">
        <f t="array" ref="F1773">INDEX(_xlfn.TEXTSPLIT(E1773,"-"),2)</f>
        <v>男装</v>
      </c>
      <c r="G1773" s="2" t="str" cm="1">
        <f t="array" ref="G1773">INDEX(_xlfn.TEXTSPLIT(E1773,"-"),3)</f>
        <v>紧身衣</v>
      </c>
      <c r="H1773" s="5">
        <v>88</v>
      </c>
      <c r="I1773" s="5">
        <v>3030.88</v>
      </c>
      <c r="J1773" s="2" t="s">
        <v>713</v>
      </c>
      <c r="K1773" s="6">
        <v>-0.061</v>
      </c>
    </row>
    <row r="1774" ht="14.5" spans="1:11">
      <c r="A1774" s="3" t="str">
        <f t="shared" si="105"/>
        <v>2026年</v>
      </c>
      <c r="B1774" s="3" t="str">
        <f t="shared" si="106"/>
        <v>2月</v>
      </c>
      <c r="C1774" s="4" t="str">
        <f t="shared" si="107"/>
        <v>W8</v>
      </c>
      <c r="D1774" s="2" t="s">
        <v>784</v>
      </c>
      <c r="E1774" s="2" t="s">
        <v>828</v>
      </c>
      <c r="F1774" s="2" t="str" cm="1">
        <f t="array" ref="F1774">INDEX(_xlfn.TEXTSPLIT(E1774,"-"),2)</f>
        <v>男装</v>
      </c>
      <c r="G1774" s="2" t="str" cm="1">
        <f t="array" ref="G1774">INDEX(_xlfn.TEXTSPLIT(E1774,"-"),3)</f>
        <v>羊毛衫</v>
      </c>
      <c r="H1774" s="5">
        <v>4144</v>
      </c>
      <c r="I1774" s="5">
        <v>847243.46</v>
      </c>
      <c r="J1774" s="6">
        <v>0.0084</v>
      </c>
      <c r="K1774" s="6">
        <v>-0.3294</v>
      </c>
    </row>
    <row r="1775" ht="14.5" spans="1:11">
      <c r="A1775" s="3" t="str">
        <f t="shared" si="105"/>
        <v>2026年</v>
      </c>
      <c r="B1775" s="3" t="str">
        <f t="shared" si="106"/>
        <v>2月</v>
      </c>
      <c r="C1775" s="4" t="str">
        <f t="shared" si="107"/>
        <v>W8</v>
      </c>
      <c r="D1775" s="2" t="s">
        <v>784</v>
      </c>
      <c r="E1775" s="2" t="s">
        <v>829</v>
      </c>
      <c r="F1775" s="2" t="str" cm="1">
        <f t="array" ref="F1775">INDEX(_xlfn.TEXTSPLIT(E1775,"-"),2)</f>
        <v>男装</v>
      </c>
      <c r="G1775" s="2" t="str" cm="1">
        <f t="array" ref="G1775">INDEX(_xlfn.TEXTSPLIT(E1775,"-"),3)</f>
        <v>羊绒衫</v>
      </c>
      <c r="H1775" s="5">
        <v>834</v>
      </c>
      <c r="I1775" s="5">
        <v>344868.78</v>
      </c>
      <c r="J1775" s="6">
        <v>0.0034</v>
      </c>
      <c r="K1775" s="6">
        <v>-0.4595</v>
      </c>
    </row>
    <row r="1776" ht="14.5" spans="1:11">
      <c r="A1776" s="3" t="str">
        <f t="shared" si="105"/>
        <v>2026年</v>
      </c>
      <c r="B1776" s="3" t="str">
        <f t="shared" si="106"/>
        <v>2月</v>
      </c>
      <c r="C1776" s="4" t="str">
        <f t="shared" si="107"/>
        <v>W8</v>
      </c>
      <c r="D1776" s="2" t="s">
        <v>784</v>
      </c>
      <c r="E1776" s="2" t="s">
        <v>830</v>
      </c>
      <c r="F1776" s="2" t="str" cm="1">
        <f t="array" ref="F1776">INDEX(_xlfn.TEXTSPLIT(E1776,"-"),2)</f>
        <v>男装</v>
      </c>
      <c r="G1776" s="2" t="str" cm="1">
        <f t="array" ref="G1776">INDEX(_xlfn.TEXTSPLIT(E1776,"-"),3)</f>
        <v>羽绒服</v>
      </c>
      <c r="H1776" s="5">
        <v>23073</v>
      </c>
      <c r="I1776" s="5">
        <v>6637456.76</v>
      </c>
      <c r="J1776" s="6">
        <v>0.0656</v>
      </c>
      <c r="K1776" s="6">
        <v>-0.3922</v>
      </c>
    </row>
    <row r="1777" ht="14.5" spans="1:11">
      <c r="A1777" s="3" t="str">
        <f t="shared" si="105"/>
        <v>2026年</v>
      </c>
      <c r="B1777" s="3" t="str">
        <f t="shared" si="106"/>
        <v>2月</v>
      </c>
      <c r="C1777" s="4" t="str">
        <f t="shared" si="107"/>
        <v>W8</v>
      </c>
      <c r="D1777" s="2" t="s">
        <v>784</v>
      </c>
      <c r="E1777" s="2" t="s">
        <v>831</v>
      </c>
      <c r="F1777" s="2" t="str" cm="1">
        <f t="array" ref="F1777">INDEX(_xlfn.TEXTSPLIT(E1777,"-"),2)</f>
        <v>男装</v>
      </c>
      <c r="G1777" s="2" t="str" cm="1">
        <f t="array" ref="G1777">INDEX(_xlfn.TEXTSPLIT(E1777,"-"),3)</f>
        <v>羽绒裤</v>
      </c>
      <c r="H1777" s="5">
        <v>191</v>
      </c>
      <c r="I1777" s="5">
        <v>26201.78</v>
      </c>
      <c r="J1777" s="6">
        <v>0.0003</v>
      </c>
      <c r="K1777" s="6">
        <v>-0.3124</v>
      </c>
    </row>
    <row r="1778" ht="14.5" spans="1:11">
      <c r="A1778" s="3" t="str">
        <f t="shared" si="105"/>
        <v>2026年</v>
      </c>
      <c r="B1778" s="3" t="str">
        <f t="shared" si="106"/>
        <v>2月</v>
      </c>
      <c r="C1778" s="4" t="str">
        <f t="shared" si="107"/>
        <v>W8</v>
      </c>
      <c r="D1778" s="2" t="s">
        <v>784</v>
      </c>
      <c r="E1778" s="2" t="s">
        <v>832</v>
      </c>
      <c r="F1778" s="2" t="str" cm="1">
        <f t="array" ref="F1778">INDEX(_xlfn.TEXTSPLIT(E1778,"-"),2)</f>
        <v>男装</v>
      </c>
      <c r="G1778" s="2" t="str" cm="1">
        <f t="array" ref="G1778">INDEX(_xlfn.TEXTSPLIT(E1778,"-"),3)</f>
        <v>羽绒马甲</v>
      </c>
      <c r="H1778" s="5">
        <v>1341</v>
      </c>
      <c r="I1778" s="5">
        <v>262184.69</v>
      </c>
      <c r="J1778" s="6">
        <v>0.0026</v>
      </c>
      <c r="K1778" s="6">
        <v>-0.1974</v>
      </c>
    </row>
    <row r="1779" ht="14.5" spans="1:11">
      <c r="A1779" s="3" t="str">
        <f t="shared" si="105"/>
        <v>2026年</v>
      </c>
      <c r="B1779" s="3" t="str">
        <f t="shared" si="106"/>
        <v>2月</v>
      </c>
      <c r="C1779" s="4" t="str">
        <f t="shared" si="107"/>
        <v>W8</v>
      </c>
      <c r="D1779" s="2" t="s">
        <v>784</v>
      </c>
      <c r="E1779" s="2" t="s">
        <v>833</v>
      </c>
      <c r="F1779" s="2" t="str" cm="1">
        <f t="array" ref="F1779">INDEX(_xlfn.TEXTSPLIT(E1779,"-"),2)</f>
        <v>男装</v>
      </c>
      <c r="G1779" s="2" t="str" cm="1">
        <f t="array" ref="G1779">INDEX(_xlfn.TEXTSPLIT(E1779,"-"),3)</f>
        <v>背心</v>
      </c>
      <c r="H1779" s="5">
        <v>8989</v>
      </c>
      <c r="I1779" s="5">
        <v>511386.09</v>
      </c>
      <c r="J1779" s="6">
        <v>0.0051</v>
      </c>
      <c r="K1779" s="6">
        <v>-0.0956</v>
      </c>
    </row>
    <row r="1780" ht="14.5" spans="1:11">
      <c r="A1780" s="3" t="str">
        <f t="shared" si="105"/>
        <v>2026年</v>
      </c>
      <c r="B1780" s="3" t="str">
        <f t="shared" si="106"/>
        <v>2月</v>
      </c>
      <c r="C1780" s="4" t="str">
        <f t="shared" si="107"/>
        <v>W8</v>
      </c>
      <c r="D1780" s="2" t="s">
        <v>784</v>
      </c>
      <c r="E1780" s="2" t="s">
        <v>834</v>
      </c>
      <c r="F1780" s="2" t="str" cm="1">
        <f t="array" ref="F1780">INDEX(_xlfn.TEXTSPLIT(E1780,"-"),2)</f>
        <v>男装</v>
      </c>
      <c r="G1780" s="2" t="str" cm="1">
        <f t="array" ref="G1780">INDEX(_xlfn.TEXTSPLIT(E1780,"-"),3)</f>
        <v>衬衫</v>
      </c>
      <c r="H1780" s="5">
        <v>25778</v>
      </c>
      <c r="I1780" s="5">
        <v>3650336.33</v>
      </c>
      <c r="J1780" s="6">
        <v>0.0361</v>
      </c>
      <c r="K1780" s="6">
        <v>-0.1984</v>
      </c>
    </row>
    <row r="1781" ht="14.5" spans="1:11">
      <c r="A1781" s="3" t="str">
        <f t="shared" si="105"/>
        <v>2026年</v>
      </c>
      <c r="B1781" s="3" t="str">
        <f t="shared" si="106"/>
        <v>2月</v>
      </c>
      <c r="C1781" s="4" t="str">
        <f t="shared" si="107"/>
        <v>W8</v>
      </c>
      <c r="D1781" s="2" t="s">
        <v>784</v>
      </c>
      <c r="E1781" s="2" t="s">
        <v>835</v>
      </c>
      <c r="F1781" s="2" t="str" cm="1">
        <f t="array" ref="F1781">INDEX(_xlfn.TEXTSPLIT(E1781,"-"),2)</f>
        <v>男装</v>
      </c>
      <c r="G1781" s="2" t="str" cm="1">
        <f t="array" ref="G1781">INDEX(_xlfn.TEXTSPLIT(E1781,"-"),3)</f>
        <v>西服</v>
      </c>
      <c r="H1781" s="5">
        <v>15834</v>
      </c>
      <c r="I1781" s="5">
        <v>3128267.22</v>
      </c>
      <c r="J1781" s="6">
        <v>0.0309</v>
      </c>
      <c r="K1781" s="6">
        <v>-0.3579</v>
      </c>
    </row>
    <row r="1782" ht="14.5" spans="1:11">
      <c r="A1782" s="3" t="str">
        <f t="shared" si="105"/>
        <v>2026年</v>
      </c>
      <c r="B1782" s="3" t="str">
        <f t="shared" si="106"/>
        <v>2月</v>
      </c>
      <c r="C1782" s="4" t="str">
        <f t="shared" si="107"/>
        <v>W8</v>
      </c>
      <c r="D1782" s="2" t="s">
        <v>784</v>
      </c>
      <c r="E1782" s="2" t="s">
        <v>836</v>
      </c>
      <c r="F1782" s="2" t="str" cm="1">
        <f t="array" ref="F1782">INDEX(_xlfn.TEXTSPLIT(E1782,"-"),2)</f>
        <v>男装</v>
      </c>
      <c r="G1782" s="2" t="str" cm="1">
        <f t="array" ref="G1782">INDEX(_xlfn.TEXTSPLIT(E1782,"-"),3)</f>
        <v>连体衣/裤</v>
      </c>
      <c r="H1782" s="5">
        <v>646</v>
      </c>
      <c r="I1782" s="5">
        <v>19033.96</v>
      </c>
      <c r="J1782" s="6">
        <v>0.0002</v>
      </c>
      <c r="K1782" s="6">
        <v>0.0559</v>
      </c>
    </row>
    <row r="1783" ht="14.5" spans="1:11">
      <c r="A1783" s="3" t="str">
        <f t="shared" si="105"/>
        <v>2026年</v>
      </c>
      <c r="B1783" s="3" t="str">
        <f t="shared" si="106"/>
        <v>2月</v>
      </c>
      <c r="C1783" s="4" t="str">
        <f t="shared" si="107"/>
        <v>W8</v>
      </c>
      <c r="D1783" s="2" t="s">
        <v>784</v>
      </c>
      <c r="E1783" s="2" t="s">
        <v>837</v>
      </c>
      <c r="F1783" s="2" t="str" cm="1">
        <f t="array" ref="F1783">INDEX(_xlfn.TEXTSPLIT(E1783,"-"),2)</f>
        <v>男装</v>
      </c>
      <c r="G1783" s="2" t="str" cm="1">
        <f t="array" ref="G1783">INDEX(_xlfn.TEXTSPLIT(E1783,"-"),3)</f>
        <v>速干/三防T恤</v>
      </c>
      <c r="H1783" s="5">
        <v>609</v>
      </c>
      <c r="I1783" s="5">
        <v>70657.76</v>
      </c>
      <c r="J1783" s="6">
        <v>0.0007</v>
      </c>
      <c r="K1783" s="6">
        <v>-0.2668</v>
      </c>
    </row>
    <row r="1784" ht="14.5" spans="1:11">
      <c r="A1784" s="3" t="str">
        <f t="shared" si="105"/>
        <v>2026年</v>
      </c>
      <c r="B1784" s="3" t="str">
        <f t="shared" si="106"/>
        <v>2月</v>
      </c>
      <c r="C1784" s="4" t="str">
        <f t="shared" si="107"/>
        <v>W8</v>
      </c>
      <c r="D1784" s="2" t="s">
        <v>784</v>
      </c>
      <c r="E1784" s="2" t="s">
        <v>838</v>
      </c>
      <c r="F1784" s="2" t="str" cm="1">
        <f t="array" ref="F1784">INDEX(_xlfn.TEXTSPLIT(E1784,"-"),2)</f>
        <v>男装</v>
      </c>
      <c r="G1784" s="2" t="str" cm="1">
        <f t="array" ref="G1784">INDEX(_xlfn.TEXTSPLIT(E1784,"-"),3)</f>
        <v>针织衫/毛衣</v>
      </c>
      <c r="H1784" s="5">
        <v>36703</v>
      </c>
      <c r="I1784" s="5">
        <v>5889590.76</v>
      </c>
      <c r="J1784" s="6">
        <v>0.0582</v>
      </c>
      <c r="K1784" s="6">
        <v>-0.2853</v>
      </c>
    </row>
    <row r="1785" ht="14.5" spans="1:11">
      <c r="A1785" s="3" t="str">
        <f t="shared" si="105"/>
        <v>2026年</v>
      </c>
      <c r="B1785" s="3" t="str">
        <f t="shared" si="106"/>
        <v>2月</v>
      </c>
      <c r="C1785" s="4" t="str">
        <f t="shared" si="107"/>
        <v>W8</v>
      </c>
      <c r="D1785" s="2" t="s">
        <v>784</v>
      </c>
      <c r="E1785" s="2" t="s">
        <v>839</v>
      </c>
      <c r="F1785" s="2" t="str" cm="1">
        <f t="array" ref="F1785">INDEX(_xlfn.TEXTSPLIT(E1785,"-"),2)</f>
        <v>男装</v>
      </c>
      <c r="G1785" s="2" t="str" cm="1">
        <f t="array" ref="G1785">INDEX(_xlfn.TEXTSPLIT(E1785,"-"),3)</f>
        <v>防晒服</v>
      </c>
      <c r="H1785" s="5">
        <v>188</v>
      </c>
      <c r="I1785" s="5">
        <v>12488.07</v>
      </c>
      <c r="J1785" s="6">
        <v>0.0001</v>
      </c>
      <c r="K1785" s="6">
        <v>-0.348</v>
      </c>
    </row>
    <row r="1786" ht="14.5" spans="1:11">
      <c r="A1786" s="3" t="str">
        <f t="shared" si="105"/>
        <v>2026年</v>
      </c>
      <c r="B1786" s="3" t="str">
        <f t="shared" si="106"/>
        <v>2月</v>
      </c>
      <c r="C1786" s="4" t="str">
        <f t="shared" si="107"/>
        <v>W8</v>
      </c>
      <c r="D1786" s="2" t="s">
        <v>784</v>
      </c>
      <c r="E1786" s="2" t="s">
        <v>840</v>
      </c>
      <c r="F1786" s="2" t="str" cm="1">
        <f t="array" ref="F1786">INDEX(_xlfn.TEXTSPLIT(E1786,"-"),2)</f>
        <v>男装</v>
      </c>
      <c r="G1786" s="2" t="str" cm="1">
        <f t="array" ref="G1786">INDEX(_xlfn.TEXTSPLIT(E1786,"-"),3)</f>
        <v>风衣</v>
      </c>
      <c r="H1786" s="5">
        <v>2487</v>
      </c>
      <c r="I1786" s="5">
        <v>851345.62</v>
      </c>
      <c r="J1786" s="6">
        <v>0.0084</v>
      </c>
      <c r="K1786" s="6">
        <v>-0.1799</v>
      </c>
    </row>
    <row r="1787" ht="14.5" spans="1:11">
      <c r="A1787" s="3" t="str">
        <f t="shared" si="105"/>
        <v>2026年</v>
      </c>
      <c r="B1787" s="3" t="str">
        <f t="shared" si="106"/>
        <v>2月</v>
      </c>
      <c r="C1787" s="4" t="str">
        <f t="shared" si="107"/>
        <v>W8</v>
      </c>
      <c r="D1787" s="2" t="s">
        <v>784</v>
      </c>
      <c r="E1787" s="2" t="s">
        <v>841</v>
      </c>
      <c r="F1787" s="2" t="str" cm="1">
        <f t="array" ref="F1787">INDEX(_xlfn.TEXTSPLIT(E1787,"-"),2)</f>
        <v>男装</v>
      </c>
      <c r="G1787" s="2" t="str" cm="1">
        <f t="array" ref="G1787">INDEX(_xlfn.TEXTSPLIT(E1787,"-"),3)</f>
        <v>马甲</v>
      </c>
      <c r="H1787" s="5">
        <v>6720</v>
      </c>
      <c r="I1787" s="5">
        <v>697270.85</v>
      </c>
      <c r="J1787" s="6">
        <v>0.0069</v>
      </c>
      <c r="K1787" s="6">
        <v>-0.1787</v>
      </c>
    </row>
    <row r="1788" ht="14.5" spans="1:11">
      <c r="A1788" s="3" t="str">
        <f t="shared" si="105"/>
        <v>2026年</v>
      </c>
      <c r="B1788" s="3" t="str">
        <f t="shared" si="106"/>
        <v>2月</v>
      </c>
      <c r="C1788" s="4" t="str">
        <f t="shared" si="107"/>
        <v>W8</v>
      </c>
      <c r="D1788" s="2" t="s">
        <v>785</v>
      </c>
      <c r="E1788" s="2" t="s">
        <v>804</v>
      </c>
      <c r="F1788" s="2" t="str" cm="1">
        <f t="array" ref="F1788">INDEX(_xlfn.TEXTSPLIT(E1788,"-"),2)</f>
        <v>男装</v>
      </c>
      <c r="G1788" s="2" t="str" cm="1">
        <f t="array" ref="G1788">INDEX(_xlfn.TEXTSPLIT(E1788,"-"),3)</f>
        <v>Polo衫</v>
      </c>
      <c r="H1788" s="5">
        <v>13653</v>
      </c>
      <c r="I1788" s="5">
        <v>3933189.25</v>
      </c>
      <c r="J1788" s="6">
        <v>0.0336</v>
      </c>
      <c r="K1788" s="6">
        <v>0.7224</v>
      </c>
    </row>
    <row r="1789" ht="14.5" spans="1:11">
      <c r="A1789" s="3" t="str">
        <f t="shared" si="105"/>
        <v>2026年</v>
      </c>
      <c r="B1789" s="3" t="str">
        <f t="shared" si="106"/>
        <v>2月</v>
      </c>
      <c r="C1789" s="4" t="str">
        <f t="shared" si="107"/>
        <v>W8</v>
      </c>
      <c r="D1789" s="2" t="s">
        <v>785</v>
      </c>
      <c r="E1789" s="2" t="s">
        <v>805</v>
      </c>
      <c r="F1789" s="2" t="str" cm="1">
        <f t="array" ref="F1789">INDEX(_xlfn.TEXTSPLIT(E1789,"-"),2)</f>
        <v>男装</v>
      </c>
      <c r="G1789" s="2" t="str" cm="1">
        <f t="array" ref="G1789">INDEX(_xlfn.TEXTSPLIT(E1789,"-"),3)</f>
        <v>T恤</v>
      </c>
      <c r="H1789" s="5">
        <v>242449</v>
      </c>
      <c r="I1789" s="5">
        <v>16167860.78</v>
      </c>
      <c r="J1789" s="6">
        <v>0.1379</v>
      </c>
      <c r="K1789" s="6">
        <v>-0.0732</v>
      </c>
    </row>
    <row r="1790" ht="14.5" spans="1:11">
      <c r="A1790" s="3" t="str">
        <f t="shared" si="105"/>
        <v>2026年</v>
      </c>
      <c r="B1790" s="3" t="str">
        <f t="shared" si="106"/>
        <v>2月</v>
      </c>
      <c r="C1790" s="4" t="str">
        <f t="shared" si="107"/>
        <v>W8</v>
      </c>
      <c r="D1790" s="2" t="s">
        <v>785</v>
      </c>
      <c r="E1790" s="2" t="s">
        <v>806</v>
      </c>
      <c r="F1790" s="2" t="str" cm="1">
        <f t="array" ref="F1790">INDEX(_xlfn.TEXTSPLIT(E1790,"-"),2)</f>
        <v>男装</v>
      </c>
      <c r="G1790" s="2" t="str" cm="1">
        <f t="array" ref="G1790">INDEX(_xlfn.TEXTSPLIT(E1790,"-"),3)</f>
        <v>中老年男装</v>
      </c>
      <c r="H1790" s="5">
        <v>8898</v>
      </c>
      <c r="I1790" s="5">
        <v>909241.95</v>
      </c>
      <c r="J1790" s="6">
        <v>0.0078</v>
      </c>
      <c r="K1790" s="6">
        <v>0.1692</v>
      </c>
    </row>
    <row r="1791" ht="14.5" spans="1:11">
      <c r="A1791" s="3" t="str">
        <f t="shared" si="105"/>
        <v>2026年</v>
      </c>
      <c r="B1791" s="3" t="str">
        <f t="shared" si="106"/>
        <v>2月</v>
      </c>
      <c r="C1791" s="4" t="str">
        <f t="shared" si="107"/>
        <v>W8</v>
      </c>
      <c r="D1791" s="2" t="s">
        <v>785</v>
      </c>
      <c r="E1791" s="2" t="s">
        <v>807</v>
      </c>
      <c r="F1791" s="2" t="str" cm="1">
        <f t="array" ref="F1791">INDEX(_xlfn.TEXTSPLIT(E1791,"-"),2)</f>
        <v>男装</v>
      </c>
      <c r="G1791" s="2" t="str" cm="1">
        <f t="array" ref="G1791">INDEX(_xlfn.TEXTSPLIT(E1791,"-"),3)</f>
        <v>休闲裤</v>
      </c>
      <c r="H1791" s="5">
        <v>112638</v>
      </c>
      <c r="I1791" s="5">
        <v>12013402.38</v>
      </c>
      <c r="J1791" s="6">
        <v>0.1025</v>
      </c>
      <c r="K1791" s="6">
        <v>0.2461</v>
      </c>
    </row>
    <row r="1792" ht="14.5" spans="1:11">
      <c r="A1792" s="3" t="str">
        <f t="shared" si="105"/>
        <v>2026年</v>
      </c>
      <c r="B1792" s="3" t="str">
        <f t="shared" si="106"/>
        <v>2月</v>
      </c>
      <c r="C1792" s="4" t="str">
        <f t="shared" si="107"/>
        <v>W8</v>
      </c>
      <c r="D1792" s="2" t="s">
        <v>785</v>
      </c>
      <c r="E1792" s="2" t="s">
        <v>808</v>
      </c>
      <c r="F1792" s="2" t="str" cm="1">
        <f t="array" ref="F1792">INDEX(_xlfn.TEXTSPLIT(E1792,"-"),2)</f>
        <v>男装</v>
      </c>
      <c r="G1792" s="2" t="str" cm="1">
        <f t="array" ref="G1792">INDEX(_xlfn.TEXTSPLIT(E1792,"-"),3)</f>
        <v>卫衣</v>
      </c>
      <c r="H1792" s="5">
        <v>76888</v>
      </c>
      <c r="I1792" s="5">
        <v>9170445.29</v>
      </c>
      <c r="J1792" s="6">
        <v>0.0782</v>
      </c>
      <c r="K1792" s="6">
        <v>0.305</v>
      </c>
    </row>
    <row r="1793" ht="14.5" spans="1:11">
      <c r="A1793" s="3" t="str">
        <f t="shared" si="105"/>
        <v>2026年</v>
      </c>
      <c r="B1793" s="3" t="str">
        <f t="shared" si="106"/>
        <v>2月</v>
      </c>
      <c r="C1793" s="4" t="str">
        <f t="shared" si="107"/>
        <v>W8</v>
      </c>
      <c r="D1793" s="2" t="s">
        <v>785</v>
      </c>
      <c r="E1793" s="2" t="s">
        <v>809</v>
      </c>
      <c r="F1793" s="2" t="str" cm="1">
        <f t="array" ref="F1793">INDEX(_xlfn.TEXTSPLIT(E1793,"-"),2)</f>
        <v>男装</v>
      </c>
      <c r="G1793" s="2" t="str" cm="1">
        <f t="array" ref="G1793">INDEX(_xlfn.TEXTSPLIT(E1793,"-"),3)</f>
        <v>卫裤</v>
      </c>
      <c r="H1793" s="5">
        <v>24259</v>
      </c>
      <c r="I1793" s="5">
        <v>2399375.37</v>
      </c>
      <c r="J1793" s="6">
        <v>0.0205</v>
      </c>
      <c r="K1793" s="6">
        <v>0.4778</v>
      </c>
    </row>
    <row r="1794" ht="14.5" spans="1:11">
      <c r="A1794" s="3" t="str">
        <f t="shared" si="105"/>
        <v>2026年</v>
      </c>
      <c r="B1794" s="3" t="str">
        <f t="shared" si="106"/>
        <v>2月</v>
      </c>
      <c r="C1794" s="4" t="str">
        <f t="shared" si="107"/>
        <v>W8</v>
      </c>
      <c r="D1794" s="2" t="s">
        <v>785</v>
      </c>
      <c r="E1794" s="2" t="s">
        <v>810</v>
      </c>
      <c r="F1794" s="2" t="str" cm="1">
        <f t="array" ref="F1794">INDEX(_xlfn.TEXTSPLIT(E1794,"-"),2)</f>
        <v>男装</v>
      </c>
      <c r="G1794" s="2" t="str" cm="1">
        <f t="array" ref="G1794">INDEX(_xlfn.TEXTSPLIT(E1794,"-"),3)</f>
        <v>大码男装</v>
      </c>
      <c r="H1794" s="5">
        <v>11472</v>
      </c>
      <c r="I1794" s="5">
        <v>786432.87</v>
      </c>
      <c r="J1794" s="6">
        <v>0.0067</v>
      </c>
      <c r="K1794" s="6">
        <v>0.0508</v>
      </c>
    </row>
    <row r="1795" ht="14.5" spans="1:11">
      <c r="A1795" s="3" t="str">
        <f t="shared" si="105"/>
        <v>2026年</v>
      </c>
      <c r="B1795" s="3" t="str">
        <f t="shared" si="106"/>
        <v>2月</v>
      </c>
      <c r="C1795" s="4" t="str">
        <f t="shared" si="107"/>
        <v>W8</v>
      </c>
      <c r="D1795" s="2" t="s">
        <v>785</v>
      </c>
      <c r="E1795" s="2" t="s">
        <v>811</v>
      </c>
      <c r="F1795" s="2" t="str" cm="1">
        <f t="array" ref="F1795">INDEX(_xlfn.TEXTSPLIT(E1795,"-"),2)</f>
        <v>男装</v>
      </c>
      <c r="G1795" s="2" t="str" cm="1">
        <f t="array" ref="G1795">INDEX(_xlfn.TEXTSPLIT(E1795,"-"),3)</f>
        <v>夹克</v>
      </c>
      <c r="H1795" s="5">
        <v>110058</v>
      </c>
      <c r="I1795" s="5">
        <v>21149403.62</v>
      </c>
      <c r="J1795" s="6">
        <v>0.1804</v>
      </c>
      <c r="K1795" s="6">
        <v>0.1489</v>
      </c>
    </row>
    <row r="1796" ht="14.5" spans="1:11">
      <c r="A1796" s="3" t="str">
        <f t="shared" si="105"/>
        <v>2026年</v>
      </c>
      <c r="B1796" s="3" t="str">
        <f t="shared" si="106"/>
        <v>2月</v>
      </c>
      <c r="C1796" s="4" t="str">
        <f t="shared" si="107"/>
        <v>W8</v>
      </c>
      <c r="D1796" s="2" t="s">
        <v>785</v>
      </c>
      <c r="E1796" s="2" t="s">
        <v>812</v>
      </c>
      <c r="F1796" s="2" t="str" cm="1">
        <f t="array" ref="F1796">INDEX(_xlfn.TEXTSPLIT(E1796,"-"),2)</f>
        <v>男装</v>
      </c>
      <c r="G1796" s="2" t="str" cm="1">
        <f t="array" ref="G1796">INDEX(_xlfn.TEXTSPLIT(E1796,"-"),3)</f>
        <v>套装</v>
      </c>
      <c r="H1796" s="5">
        <v>11462</v>
      </c>
      <c r="I1796" s="5">
        <v>1481853.93</v>
      </c>
      <c r="J1796" s="6">
        <v>0.0126</v>
      </c>
      <c r="K1796" s="6">
        <v>-0.0333</v>
      </c>
    </row>
    <row r="1797" ht="14.5" spans="1:11">
      <c r="A1797" s="3" t="str">
        <f t="shared" si="105"/>
        <v>2026年</v>
      </c>
      <c r="B1797" s="3" t="str">
        <f t="shared" si="106"/>
        <v>2月</v>
      </c>
      <c r="C1797" s="4" t="str">
        <f t="shared" si="107"/>
        <v>W8</v>
      </c>
      <c r="D1797" s="2" t="s">
        <v>785</v>
      </c>
      <c r="E1797" s="2" t="s">
        <v>813</v>
      </c>
      <c r="F1797" s="2" t="str" cm="1">
        <f t="array" ref="F1797">INDEX(_xlfn.TEXTSPLIT(E1797,"-"),2)</f>
        <v>男装</v>
      </c>
      <c r="G1797" s="2" t="str" cm="1">
        <f t="array" ref="G1797">INDEX(_xlfn.TEXTSPLIT(E1797,"-"),3)</f>
        <v>学生校服</v>
      </c>
      <c r="H1797" s="5">
        <v>0</v>
      </c>
      <c r="I1797" s="5">
        <v>0</v>
      </c>
      <c r="J1797" s="7">
        <v>0</v>
      </c>
      <c r="K1797" s="2" t="s">
        <v>360</v>
      </c>
    </row>
    <row r="1798" ht="14.5" spans="1:11">
      <c r="A1798" s="3" t="str">
        <f t="shared" si="105"/>
        <v>2026年</v>
      </c>
      <c r="B1798" s="3" t="str">
        <f t="shared" si="106"/>
        <v>2月</v>
      </c>
      <c r="C1798" s="4" t="str">
        <f t="shared" si="107"/>
        <v>W8</v>
      </c>
      <c r="D1798" s="2" t="s">
        <v>785</v>
      </c>
      <c r="E1798" s="2" t="s">
        <v>814</v>
      </c>
      <c r="F1798" s="2" t="str" cm="1">
        <f t="array" ref="F1798">INDEX(_xlfn.TEXTSPLIT(E1798,"-"),2)</f>
        <v>男装</v>
      </c>
      <c r="G1798" s="2" t="str" cm="1">
        <f t="array" ref="G1798">INDEX(_xlfn.TEXTSPLIT(E1798,"-"),3)</f>
        <v>打底衫</v>
      </c>
      <c r="H1798" s="5">
        <v>2566</v>
      </c>
      <c r="I1798" s="5">
        <v>145703.15</v>
      </c>
      <c r="J1798" s="6">
        <v>0.0012</v>
      </c>
      <c r="K1798" s="6">
        <v>-0.0285</v>
      </c>
    </row>
    <row r="1799" ht="14.5" spans="1:11">
      <c r="A1799" s="3" t="str">
        <f t="shared" si="105"/>
        <v>2026年</v>
      </c>
      <c r="B1799" s="3" t="str">
        <f t="shared" si="106"/>
        <v>2月</v>
      </c>
      <c r="C1799" s="4" t="str">
        <f t="shared" si="107"/>
        <v>W8</v>
      </c>
      <c r="D1799" s="2" t="s">
        <v>785</v>
      </c>
      <c r="E1799" s="2" t="s">
        <v>815</v>
      </c>
      <c r="F1799" s="2" t="str" cm="1">
        <f t="array" ref="F1799">INDEX(_xlfn.TEXTSPLIT(E1799,"-"),2)</f>
        <v>男装</v>
      </c>
      <c r="G1799" s="2" t="str" cm="1">
        <f t="array" ref="G1799">INDEX(_xlfn.TEXTSPLIT(E1799,"-"),3)</f>
        <v>新中式男装</v>
      </c>
      <c r="H1799" s="5">
        <v>147</v>
      </c>
      <c r="I1799" s="5">
        <v>55068.99</v>
      </c>
      <c r="J1799" s="6">
        <v>0.0005</v>
      </c>
      <c r="K1799" s="6">
        <v>1.6684</v>
      </c>
    </row>
    <row r="1800" ht="14.5" spans="1:11">
      <c r="A1800" s="3" t="str">
        <f t="shared" si="105"/>
        <v>2026年</v>
      </c>
      <c r="B1800" s="3" t="str">
        <f t="shared" si="106"/>
        <v>2月</v>
      </c>
      <c r="C1800" s="4" t="str">
        <f t="shared" si="107"/>
        <v>W8</v>
      </c>
      <c r="D1800" s="2" t="s">
        <v>785</v>
      </c>
      <c r="E1800" s="2" t="s">
        <v>816</v>
      </c>
      <c r="F1800" s="2" t="str" cm="1">
        <f t="array" ref="F1800">INDEX(_xlfn.TEXTSPLIT(E1800,"-"),2)</f>
        <v>男装</v>
      </c>
      <c r="G1800" s="2" t="str" cm="1">
        <f t="array" ref="G1800">INDEX(_xlfn.TEXTSPLIT(E1800,"-"),3)</f>
        <v>棉衣</v>
      </c>
      <c r="H1800" s="5">
        <v>16738</v>
      </c>
      <c r="I1800" s="5">
        <v>2517633.22</v>
      </c>
      <c r="J1800" s="6">
        <v>0.0215</v>
      </c>
      <c r="K1800" s="6">
        <v>0.0902</v>
      </c>
    </row>
    <row r="1801" ht="14.5" spans="1:11">
      <c r="A1801" s="3" t="str">
        <f t="shared" si="105"/>
        <v>2026年</v>
      </c>
      <c r="B1801" s="3" t="str">
        <f t="shared" si="106"/>
        <v>2月</v>
      </c>
      <c r="C1801" s="4" t="str">
        <f t="shared" si="107"/>
        <v>W8</v>
      </c>
      <c r="D1801" s="2" t="s">
        <v>785</v>
      </c>
      <c r="E1801" s="2" t="s">
        <v>817</v>
      </c>
      <c r="F1801" s="2" t="str" cm="1">
        <f t="array" ref="F1801">INDEX(_xlfn.TEXTSPLIT(E1801,"-"),2)</f>
        <v>男装</v>
      </c>
      <c r="G1801" s="2" t="str" cm="1">
        <f t="array" ref="G1801">INDEX(_xlfn.TEXTSPLIT(E1801,"-"),3)</f>
        <v>棉裤</v>
      </c>
      <c r="H1801" s="5">
        <v>562</v>
      </c>
      <c r="I1801" s="5">
        <v>32483.97</v>
      </c>
      <c r="J1801" s="6">
        <v>0.0003</v>
      </c>
      <c r="K1801" s="6">
        <v>0.4094</v>
      </c>
    </row>
    <row r="1802" ht="14.5" spans="1:11">
      <c r="A1802" s="3" t="str">
        <f t="shared" si="105"/>
        <v>2026年</v>
      </c>
      <c r="B1802" s="3" t="str">
        <f t="shared" si="106"/>
        <v>2月</v>
      </c>
      <c r="C1802" s="4" t="str">
        <f t="shared" si="107"/>
        <v>W8</v>
      </c>
      <c r="D1802" s="2" t="s">
        <v>785</v>
      </c>
      <c r="E1802" s="2" t="s">
        <v>818</v>
      </c>
      <c r="F1802" s="2" t="str" cm="1">
        <f t="array" ref="F1802">INDEX(_xlfn.TEXTSPLIT(E1802,"-"),2)</f>
        <v>男装</v>
      </c>
      <c r="G1802" s="2" t="str" cm="1">
        <f t="array" ref="G1802">INDEX(_xlfn.TEXTSPLIT(E1802,"-"),3)</f>
        <v>毛呢大衣</v>
      </c>
      <c r="H1802" s="5">
        <v>3901</v>
      </c>
      <c r="I1802" s="5">
        <v>1295034.3</v>
      </c>
      <c r="J1802" s="6">
        <v>0.011</v>
      </c>
      <c r="K1802" s="6">
        <v>0.1518</v>
      </c>
    </row>
    <row r="1803" ht="14.5" spans="1:11">
      <c r="A1803" s="3" t="str">
        <f t="shared" si="105"/>
        <v>2026年</v>
      </c>
      <c r="B1803" s="3" t="str">
        <f t="shared" si="106"/>
        <v>2月</v>
      </c>
      <c r="C1803" s="4" t="str">
        <f t="shared" si="107"/>
        <v>W8</v>
      </c>
      <c r="D1803" s="2" t="s">
        <v>785</v>
      </c>
      <c r="E1803" s="2" t="s">
        <v>819</v>
      </c>
      <c r="F1803" s="2" t="str" cm="1">
        <f t="array" ref="F1803">INDEX(_xlfn.TEXTSPLIT(E1803,"-"),2)</f>
        <v>男装</v>
      </c>
      <c r="G1803" s="2" t="str" cm="1">
        <f t="array" ref="G1803">INDEX(_xlfn.TEXTSPLIT(E1803,"-"),3)</f>
        <v>民族服装</v>
      </c>
      <c r="H1803" s="5">
        <v>760</v>
      </c>
      <c r="I1803" s="5">
        <v>174849.6</v>
      </c>
      <c r="J1803" s="6">
        <v>0.0015</v>
      </c>
      <c r="K1803" s="6">
        <v>-0.2004</v>
      </c>
    </row>
    <row r="1804" ht="14.5" spans="1:11">
      <c r="A1804" s="3" t="str">
        <f t="shared" si="105"/>
        <v>2026年</v>
      </c>
      <c r="B1804" s="3" t="str">
        <f t="shared" si="106"/>
        <v>2月</v>
      </c>
      <c r="C1804" s="4" t="str">
        <f t="shared" si="107"/>
        <v>W8</v>
      </c>
      <c r="D1804" s="2" t="s">
        <v>785</v>
      </c>
      <c r="E1804" s="2" t="s">
        <v>820</v>
      </c>
      <c r="F1804" s="2" t="str" cm="1">
        <f t="array" ref="F1804">INDEX(_xlfn.TEXTSPLIT(E1804,"-"),2)</f>
        <v>男装</v>
      </c>
      <c r="G1804" s="2" t="str" cm="1">
        <f t="array" ref="G1804">INDEX(_xlfn.TEXTSPLIT(E1804,"-"),3)</f>
        <v>派克服</v>
      </c>
      <c r="H1804" s="5">
        <v>130</v>
      </c>
      <c r="I1804" s="5">
        <v>31587.31</v>
      </c>
      <c r="J1804" s="6">
        <v>0.0003</v>
      </c>
      <c r="K1804" s="6">
        <v>-0.5373</v>
      </c>
    </row>
    <row r="1805" ht="14.5" spans="1:11">
      <c r="A1805" s="3" t="str">
        <f t="shared" si="105"/>
        <v>2026年</v>
      </c>
      <c r="B1805" s="3" t="str">
        <f t="shared" si="106"/>
        <v>2月</v>
      </c>
      <c r="C1805" s="4" t="str">
        <f t="shared" si="107"/>
        <v>W8</v>
      </c>
      <c r="D1805" s="2" t="s">
        <v>785</v>
      </c>
      <c r="E1805" s="2" t="s">
        <v>821</v>
      </c>
      <c r="F1805" s="2" t="str" cm="1">
        <f t="array" ref="F1805">INDEX(_xlfn.TEXTSPLIT(E1805,"-"),2)</f>
        <v>男装</v>
      </c>
      <c r="G1805" s="2" t="str" cm="1">
        <f t="array" ref="G1805">INDEX(_xlfn.TEXTSPLIT(E1805,"-"),3)</f>
        <v>牛仔裤</v>
      </c>
      <c r="H1805" s="5">
        <v>100008</v>
      </c>
      <c r="I1805" s="5">
        <v>11908735.7</v>
      </c>
      <c r="J1805" s="6">
        <v>0.1016</v>
      </c>
      <c r="K1805" s="6">
        <v>0.4218</v>
      </c>
    </row>
    <row r="1806" ht="14.5" spans="1:11">
      <c r="A1806" s="3" t="str">
        <f t="shared" si="105"/>
        <v>2026年</v>
      </c>
      <c r="B1806" s="3" t="str">
        <f t="shared" si="106"/>
        <v>2月</v>
      </c>
      <c r="C1806" s="4" t="str">
        <f t="shared" si="107"/>
        <v>W8</v>
      </c>
      <c r="D1806" s="2" t="s">
        <v>785</v>
      </c>
      <c r="E1806" s="2" t="s">
        <v>822</v>
      </c>
      <c r="F1806" s="2" t="str" cm="1">
        <f t="array" ref="F1806">INDEX(_xlfn.TEXTSPLIT(E1806,"-"),2)</f>
        <v>男装</v>
      </c>
      <c r="G1806" s="2" t="str" cm="1">
        <f t="array" ref="G1806">INDEX(_xlfn.TEXTSPLIT(E1806,"-"),3)</f>
        <v>皮草</v>
      </c>
      <c r="H1806" s="5">
        <v>231</v>
      </c>
      <c r="I1806" s="5">
        <v>127639.88</v>
      </c>
      <c r="J1806" s="6">
        <v>0.0011</v>
      </c>
      <c r="K1806" s="6">
        <v>-0.1053</v>
      </c>
    </row>
    <row r="1807" ht="14.5" spans="1:11">
      <c r="A1807" s="3" t="str">
        <f t="shared" si="105"/>
        <v>2026年</v>
      </c>
      <c r="B1807" s="3" t="str">
        <f t="shared" si="106"/>
        <v>2月</v>
      </c>
      <c r="C1807" s="4" t="str">
        <f t="shared" si="107"/>
        <v>W8</v>
      </c>
      <c r="D1807" s="2" t="s">
        <v>785</v>
      </c>
      <c r="E1807" s="2" t="s">
        <v>823</v>
      </c>
      <c r="F1807" s="2" t="str" cm="1">
        <f t="array" ref="F1807">INDEX(_xlfn.TEXTSPLIT(E1807,"-"),2)</f>
        <v>男装</v>
      </c>
      <c r="G1807" s="2" t="str" cm="1">
        <f t="array" ref="G1807">INDEX(_xlfn.TEXTSPLIT(E1807,"-"),3)</f>
        <v>皮衣</v>
      </c>
      <c r="H1807" s="5">
        <v>10498</v>
      </c>
      <c r="I1807" s="5">
        <v>3783607.29</v>
      </c>
      <c r="J1807" s="6">
        <v>0.0323</v>
      </c>
      <c r="K1807" s="6">
        <v>-0.0172</v>
      </c>
    </row>
    <row r="1808" ht="14.5" spans="1:11">
      <c r="A1808" s="3" t="str">
        <f t="shared" si="105"/>
        <v>2026年</v>
      </c>
      <c r="B1808" s="3" t="str">
        <f t="shared" si="106"/>
        <v>2月</v>
      </c>
      <c r="C1808" s="4" t="str">
        <f t="shared" si="107"/>
        <v>W8</v>
      </c>
      <c r="D1808" s="2" t="s">
        <v>785</v>
      </c>
      <c r="E1808" s="2" t="s">
        <v>824</v>
      </c>
      <c r="F1808" s="2" t="str" cm="1">
        <f t="array" ref="F1808">INDEX(_xlfn.TEXTSPLIT(E1808,"-"),2)</f>
        <v>男装</v>
      </c>
      <c r="G1808" s="2" t="str" cm="1">
        <f t="array" ref="G1808">INDEX(_xlfn.TEXTSPLIT(E1808,"-"),3)</f>
        <v>皮裤</v>
      </c>
      <c r="H1808" s="5">
        <v>103</v>
      </c>
      <c r="I1808" s="5">
        <v>16982.18</v>
      </c>
      <c r="J1808" s="6">
        <v>0.0001</v>
      </c>
      <c r="K1808" s="6">
        <v>-0.568</v>
      </c>
    </row>
    <row r="1809" ht="14.5" spans="1:11">
      <c r="A1809" s="3" t="str">
        <f t="shared" si="105"/>
        <v>2026年</v>
      </c>
      <c r="B1809" s="3" t="str">
        <f t="shared" si="106"/>
        <v>2月</v>
      </c>
      <c r="C1809" s="4" t="str">
        <f t="shared" si="107"/>
        <v>W8</v>
      </c>
      <c r="D1809" s="2" t="s">
        <v>785</v>
      </c>
      <c r="E1809" s="2" t="s">
        <v>825</v>
      </c>
      <c r="F1809" s="2" t="str" cm="1">
        <f t="array" ref="F1809">INDEX(_xlfn.TEXTSPLIT(E1809,"-"),2)</f>
        <v>男装</v>
      </c>
      <c r="G1809" s="2" t="str" cm="1">
        <f t="array" ref="G1809">INDEX(_xlfn.TEXTSPLIT(E1809,"-"),3)</f>
        <v>短外套</v>
      </c>
      <c r="H1809" s="5">
        <v>4092</v>
      </c>
      <c r="I1809" s="5">
        <v>1276933.77</v>
      </c>
      <c r="J1809" s="6">
        <v>0.0109</v>
      </c>
      <c r="K1809" s="7">
        <v>-0.1</v>
      </c>
    </row>
    <row r="1810" ht="14.5" spans="1:11">
      <c r="A1810" s="3" t="str">
        <f t="shared" si="105"/>
        <v>2026年</v>
      </c>
      <c r="B1810" s="3" t="str">
        <f t="shared" si="106"/>
        <v>2月</v>
      </c>
      <c r="C1810" s="4" t="str">
        <f t="shared" si="107"/>
        <v>W8</v>
      </c>
      <c r="D1810" s="2" t="s">
        <v>785</v>
      </c>
      <c r="E1810" s="2" t="s">
        <v>826</v>
      </c>
      <c r="F1810" s="2" t="str" cm="1">
        <f t="array" ref="F1810">INDEX(_xlfn.TEXTSPLIT(E1810,"-"),2)</f>
        <v>男装</v>
      </c>
      <c r="G1810" s="2" t="str" cm="1">
        <f t="array" ref="G1810">INDEX(_xlfn.TEXTSPLIT(E1810,"-"),3)</f>
        <v>短裤</v>
      </c>
      <c r="H1810" s="5">
        <v>18251</v>
      </c>
      <c r="I1810" s="5">
        <v>1425590</v>
      </c>
      <c r="J1810" s="6">
        <v>0.0122</v>
      </c>
      <c r="K1810" s="6">
        <v>0.4411</v>
      </c>
    </row>
    <row r="1811" ht="14.5" spans="1:11">
      <c r="A1811" s="3" t="str">
        <f t="shared" si="105"/>
        <v>2026年</v>
      </c>
      <c r="B1811" s="3" t="str">
        <f t="shared" si="106"/>
        <v>2月</v>
      </c>
      <c r="C1811" s="4" t="str">
        <f t="shared" si="107"/>
        <v>W8</v>
      </c>
      <c r="D1811" s="2" t="s">
        <v>785</v>
      </c>
      <c r="E1811" s="2" t="s">
        <v>827</v>
      </c>
      <c r="F1811" s="2" t="str" cm="1">
        <f t="array" ref="F1811">INDEX(_xlfn.TEXTSPLIT(E1811,"-"),2)</f>
        <v>男装</v>
      </c>
      <c r="G1811" s="2" t="str" cm="1">
        <f t="array" ref="G1811">INDEX(_xlfn.TEXTSPLIT(E1811,"-"),3)</f>
        <v>紧身衣</v>
      </c>
      <c r="H1811" s="5">
        <v>127</v>
      </c>
      <c r="I1811" s="5">
        <v>3926.74</v>
      </c>
      <c r="J1811" s="2" t="s">
        <v>713</v>
      </c>
      <c r="K1811" s="6">
        <v>0.2956</v>
      </c>
    </row>
    <row r="1812" ht="14.5" spans="1:11">
      <c r="A1812" s="3" t="str">
        <f t="shared" si="105"/>
        <v>2026年</v>
      </c>
      <c r="B1812" s="3" t="str">
        <f t="shared" si="106"/>
        <v>2月</v>
      </c>
      <c r="C1812" s="4" t="str">
        <f t="shared" si="107"/>
        <v>W8</v>
      </c>
      <c r="D1812" s="2" t="s">
        <v>785</v>
      </c>
      <c r="E1812" s="2" t="s">
        <v>828</v>
      </c>
      <c r="F1812" s="2" t="str" cm="1">
        <f t="array" ref="F1812">INDEX(_xlfn.TEXTSPLIT(E1812,"-"),2)</f>
        <v>男装</v>
      </c>
      <c r="G1812" s="2" t="str" cm="1">
        <f t="array" ref="G1812">INDEX(_xlfn.TEXTSPLIT(E1812,"-"),3)</f>
        <v>羊毛衫</v>
      </c>
      <c r="H1812" s="5">
        <v>5439</v>
      </c>
      <c r="I1812" s="5">
        <v>1061634.53</v>
      </c>
      <c r="J1812" s="6">
        <v>0.0091</v>
      </c>
      <c r="K1812" s="6">
        <v>0.253</v>
      </c>
    </row>
    <row r="1813" ht="14.5" spans="1:11">
      <c r="A1813" s="3" t="str">
        <f t="shared" si="105"/>
        <v>2026年</v>
      </c>
      <c r="B1813" s="3" t="str">
        <f t="shared" si="106"/>
        <v>2月</v>
      </c>
      <c r="C1813" s="4" t="str">
        <f t="shared" si="107"/>
        <v>W8</v>
      </c>
      <c r="D1813" s="2" t="s">
        <v>785</v>
      </c>
      <c r="E1813" s="2" t="s">
        <v>829</v>
      </c>
      <c r="F1813" s="2" t="str" cm="1">
        <f t="array" ref="F1813">INDEX(_xlfn.TEXTSPLIT(E1813,"-"),2)</f>
        <v>男装</v>
      </c>
      <c r="G1813" s="2" t="str" cm="1">
        <f t="array" ref="G1813">INDEX(_xlfn.TEXTSPLIT(E1813,"-"),3)</f>
        <v>羊绒衫</v>
      </c>
      <c r="H1813" s="5">
        <v>1304</v>
      </c>
      <c r="I1813" s="5">
        <v>597103.28</v>
      </c>
      <c r="J1813" s="6">
        <v>0.0051</v>
      </c>
      <c r="K1813" s="6">
        <v>0.7314</v>
      </c>
    </row>
    <row r="1814" ht="14.5" spans="1:11">
      <c r="A1814" s="3" t="str">
        <f t="shared" si="105"/>
        <v>2026年</v>
      </c>
      <c r="B1814" s="3" t="str">
        <f t="shared" si="106"/>
        <v>2月</v>
      </c>
      <c r="C1814" s="4" t="str">
        <f t="shared" si="107"/>
        <v>W8</v>
      </c>
      <c r="D1814" s="2" t="s">
        <v>785</v>
      </c>
      <c r="E1814" s="2" t="s">
        <v>830</v>
      </c>
      <c r="F1814" s="2" t="str" cm="1">
        <f t="array" ref="F1814">INDEX(_xlfn.TEXTSPLIT(E1814,"-"),2)</f>
        <v>男装</v>
      </c>
      <c r="G1814" s="2" t="str" cm="1">
        <f t="array" ref="G1814">INDEX(_xlfn.TEXTSPLIT(E1814,"-"),3)</f>
        <v>羽绒服</v>
      </c>
      <c r="H1814" s="5">
        <v>23410</v>
      </c>
      <c r="I1814" s="5">
        <v>6983937.95</v>
      </c>
      <c r="J1814" s="6">
        <v>0.0596</v>
      </c>
      <c r="K1814" s="6">
        <v>0.0522</v>
      </c>
    </row>
    <row r="1815" ht="14.5" spans="1:11">
      <c r="A1815" s="3" t="str">
        <f t="shared" si="105"/>
        <v>2026年</v>
      </c>
      <c r="B1815" s="3" t="str">
        <f t="shared" si="106"/>
        <v>2月</v>
      </c>
      <c r="C1815" s="4" t="str">
        <f t="shared" si="107"/>
        <v>W8</v>
      </c>
      <c r="D1815" s="2" t="s">
        <v>785</v>
      </c>
      <c r="E1815" s="2" t="s">
        <v>831</v>
      </c>
      <c r="F1815" s="2" t="str" cm="1">
        <f t="array" ref="F1815">INDEX(_xlfn.TEXTSPLIT(E1815,"-"),2)</f>
        <v>男装</v>
      </c>
      <c r="G1815" s="2" t="str" cm="1">
        <f t="array" ref="G1815">INDEX(_xlfn.TEXTSPLIT(E1815,"-"),3)</f>
        <v>羽绒裤</v>
      </c>
      <c r="H1815" s="5">
        <v>198</v>
      </c>
      <c r="I1815" s="5">
        <v>26271.25</v>
      </c>
      <c r="J1815" s="6">
        <v>0.0002</v>
      </c>
      <c r="K1815" s="6">
        <v>0.0027</v>
      </c>
    </row>
    <row r="1816" ht="14.5" spans="1:11">
      <c r="A1816" s="3" t="str">
        <f t="shared" si="105"/>
        <v>2026年</v>
      </c>
      <c r="B1816" s="3" t="str">
        <f t="shared" si="106"/>
        <v>2月</v>
      </c>
      <c r="C1816" s="4" t="str">
        <f t="shared" si="107"/>
        <v>W8</v>
      </c>
      <c r="D1816" s="2" t="s">
        <v>785</v>
      </c>
      <c r="E1816" s="2" t="s">
        <v>832</v>
      </c>
      <c r="F1816" s="2" t="str" cm="1">
        <f t="array" ref="F1816">INDEX(_xlfn.TEXTSPLIT(E1816,"-"),2)</f>
        <v>男装</v>
      </c>
      <c r="G1816" s="2" t="str" cm="1">
        <f t="array" ref="G1816">INDEX(_xlfn.TEXTSPLIT(E1816,"-"),3)</f>
        <v>羽绒马甲</v>
      </c>
      <c r="H1816" s="5">
        <v>1654</v>
      </c>
      <c r="I1816" s="5">
        <v>286288.47</v>
      </c>
      <c r="J1816" s="6">
        <v>0.0024</v>
      </c>
      <c r="K1816" s="6">
        <v>0.0919</v>
      </c>
    </row>
    <row r="1817" ht="14.5" spans="1:11">
      <c r="A1817" s="3" t="str">
        <f t="shared" si="105"/>
        <v>2026年</v>
      </c>
      <c r="B1817" s="3" t="str">
        <f t="shared" si="106"/>
        <v>2月</v>
      </c>
      <c r="C1817" s="4" t="str">
        <f t="shared" si="107"/>
        <v>W8</v>
      </c>
      <c r="D1817" s="2" t="s">
        <v>785</v>
      </c>
      <c r="E1817" s="2" t="s">
        <v>833</v>
      </c>
      <c r="F1817" s="2" t="str" cm="1">
        <f t="array" ref="F1817">INDEX(_xlfn.TEXTSPLIT(E1817,"-"),2)</f>
        <v>男装</v>
      </c>
      <c r="G1817" s="2" t="str" cm="1">
        <f t="array" ref="G1817">INDEX(_xlfn.TEXTSPLIT(E1817,"-"),3)</f>
        <v>背心</v>
      </c>
      <c r="H1817" s="5">
        <v>11123</v>
      </c>
      <c r="I1817" s="5">
        <v>592247.02</v>
      </c>
      <c r="J1817" s="6">
        <v>0.0051</v>
      </c>
      <c r="K1817" s="6">
        <v>0.1581</v>
      </c>
    </row>
    <row r="1818" ht="14.5" spans="1:11">
      <c r="A1818" s="3" t="str">
        <f t="shared" si="105"/>
        <v>2026年</v>
      </c>
      <c r="B1818" s="3" t="str">
        <f t="shared" si="106"/>
        <v>2月</v>
      </c>
      <c r="C1818" s="4" t="str">
        <f t="shared" si="107"/>
        <v>W8</v>
      </c>
      <c r="D1818" s="2" t="s">
        <v>785</v>
      </c>
      <c r="E1818" s="2" t="s">
        <v>834</v>
      </c>
      <c r="F1818" s="2" t="str" cm="1">
        <f t="array" ref="F1818">INDEX(_xlfn.TEXTSPLIT(E1818,"-"),2)</f>
        <v>男装</v>
      </c>
      <c r="G1818" s="2" t="str" cm="1">
        <f t="array" ref="G1818">INDEX(_xlfn.TEXTSPLIT(E1818,"-"),3)</f>
        <v>衬衫</v>
      </c>
      <c r="H1818" s="5">
        <v>29520</v>
      </c>
      <c r="I1818" s="5">
        <v>3856471.86</v>
      </c>
      <c r="J1818" s="6">
        <v>0.0329</v>
      </c>
      <c r="K1818" s="6">
        <v>0.0565</v>
      </c>
    </row>
    <row r="1819" ht="14.5" spans="1:11">
      <c r="A1819" s="3" t="str">
        <f t="shared" si="105"/>
        <v>2026年</v>
      </c>
      <c r="B1819" s="3" t="str">
        <f t="shared" si="106"/>
        <v>2月</v>
      </c>
      <c r="C1819" s="4" t="str">
        <f t="shared" si="107"/>
        <v>W8</v>
      </c>
      <c r="D1819" s="2" t="s">
        <v>785</v>
      </c>
      <c r="E1819" s="2" t="s">
        <v>835</v>
      </c>
      <c r="F1819" s="2" t="str" cm="1">
        <f t="array" ref="F1819">INDEX(_xlfn.TEXTSPLIT(E1819,"-"),2)</f>
        <v>男装</v>
      </c>
      <c r="G1819" s="2" t="str" cm="1">
        <f t="array" ref="G1819">INDEX(_xlfn.TEXTSPLIT(E1819,"-"),3)</f>
        <v>西服</v>
      </c>
      <c r="H1819" s="5">
        <v>21578</v>
      </c>
      <c r="I1819" s="5">
        <v>4525874.43</v>
      </c>
      <c r="J1819" s="6">
        <v>0.0386</v>
      </c>
      <c r="K1819" s="6">
        <v>0.4468</v>
      </c>
    </row>
    <row r="1820" ht="14.5" spans="1:11">
      <c r="A1820" s="3" t="str">
        <f t="shared" ref="A1820:A1883" si="108">TEXT(YEAR(D1820),"0")&amp;"年"</f>
        <v>2026年</v>
      </c>
      <c r="B1820" s="3" t="str">
        <f t="shared" ref="B1820:B1883" si="109">TEXT(MONTH(D1820),"0")&amp;"月"</f>
        <v>2月</v>
      </c>
      <c r="C1820" s="4" t="str">
        <f t="shared" ref="C1820:C1883" si="110">"W"&amp;TEXT(WEEKNUM(D1820,2),"0")</f>
        <v>W8</v>
      </c>
      <c r="D1820" s="2" t="s">
        <v>785</v>
      </c>
      <c r="E1820" s="2" t="s">
        <v>836</v>
      </c>
      <c r="F1820" s="2" t="str" cm="1">
        <f t="array" ref="F1820">INDEX(_xlfn.TEXTSPLIT(E1820,"-"),2)</f>
        <v>男装</v>
      </c>
      <c r="G1820" s="2" t="str" cm="1">
        <f t="array" ref="G1820">INDEX(_xlfn.TEXTSPLIT(E1820,"-"),3)</f>
        <v>连体衣/裤</v>
      </c>
      <c r="H1820" s="5">
        <v>911</v>
      </c>
      <c r="I1820" s="5">
        <v>29246.21</v>
      </c>
      <c r="J1820" s="6">
        <v>0.0002</v>
      </c>
      <c r="K1820" s="6">
        <v>0.5365</v>
      </c>
    </row>
    <row r="1821" ht="14.5" spans="1:11">
      <c r="A1821" s="3" t="str">
        <f t="shared" si="108"/>
        <v>2026年</v>
      </c>
      <c r="B1821" s="3" t="str">
        <f t="shared" si="109"/>
        <v>2月</v>
      </c>
      <c r="C1821" s="4" t="str">
        <f t="shared" si="110"/>
        <v>W8</v>
      </c>
      <c r="D1821" s="2" t="s">
        <v>785</v>
      </c>
      <c r="E1821" s="2" t="s">
        <v>837</v>
      </c>
      <c r="F1821" s="2" t="str" cm="1">
        <f t="array" ref="F1821">INDEX(_xlfn.TEXTSPLIT(E1821,"-"),2)</f>
        <v>男装</v>
      </c>
      <c r="G1821" s="2" t="str" cm="1">
        <f t="array" ref="G1821">INDEX(_xlfn.TEXTSPLIT(E1821,"-"),3)</f>
        <v>速干/三防T恤</v>
      </c>
      <c r="H1821" s="5">
        <v>817</v>
      </c>
      <c r="I1821" s="5">
        <v>100969.8</v>
      </c>
      <c r="J1821" s="6">
        <v>0.0009</v>
      </c>
      <c r="K1821" s="6">
        <v>0.429</v>
      </c>
    </row>
    <row r="1822" ht="14.5" spans="1:11">
      <c r="A1822" s="3" t="str">
        <f t="shared" si="108"/>
        <v>2026年</v>
      </c>
      <c r="B1822" s="3" t="str">
        <f t="shared" si="109"/>
        <v>2月</v>
      </c>
      <c r="C1822" s="4" t="str">
        <f t="shared" si="110"/>
        <v>W8</v>
      </c>
      <c r="D1822" s="2" t="s">
        <v>785</v>
      </c>
      <c r="E1822" s="2" t="s">
        <v>838</v>
      </c>
      <c r="F1822" s="2" t="str" cm="1">
        <f t="array" ref="F1822">INDEX(_xlfn.TEXTSPLIT(E1822,"-"),2)</f>
        <v>男装</v>
      </c>
      <c r="G1822" s="2" t="str" cm="1">
        <f t="array" ref="G1822">INDEX(_xlfn.TEXTSPLIT(E1822,"-"),3)</f>
        <v>针织衫/毛衣</v>
      </c>
      <c r="H1822" s="5">
        <v>46275</v>
      </c>
      <c r="I1822" s="5">
        <v>6812231.19</v>
      </c>
      <c r="J1822" s="6">
        <v>0.0581</v>
      </c>
      <c r="K1822" s="6">
        <v>0.1567</v>
      </c>
    </row>
    <row r="1823" ht="14.5" spans="1:11">
      <c r="A1823" s="3" t="str">
        <f t="shared" si="108"/>
        <v>2026年</v>
      </c>
      <c r="B1823" s="3" t="str">
        <f t="shared" si="109"/>
        <v>2月</v>
      </c>
      <c r="C1823" s="4" t="str">
        <f t="shared" si="110"/>
        <v>W8</v>
      </c>
      <c r="D1823" s="2" t="s">
        <v>785</v>
      </c>
      <c r="E1823" s="2" t="s">
        <v>839</v>
      </c>
      <c r="F1823" s="2" t="str" cm="1">
        <f t="array" ref="F1823">INDEX(_xlfn.TEXTSPLIT(E1823,"-"),2)</f>
        <v>男装</v>
      </c>
      <c r="G1823" s="2" t="str" cm="1">
        <f t="array" ref="G1823">INDEX(_xlfn.TEXTSPLIT(E1823,"-"),3)</f>
        <v>防晒服</v>
      </c>
      <c r="H1823" s="5">
        <v>228</v>
      </c>
      <c r="I1823" s="5">
        <v>16390.4</v>
      </c>
      <c r="J1823" s="6">
        <v>0.0001</v>
      </c>
      <c r="K1823" s="6">
        <v>0.3125</v>
      </c>
    </row>
    <row r="1824" ht="14.5" spans="1:11">
      <c r="A1824" s="3" t="str">
        <f t="shared" si="108"/>
        <v>2026年</v>
      </c>
      <c r="B1824" s="3" t="str">
        <f t="shared" si="109"/>
        <v>2月</v>
      </c>
      <c r="C1824" s="4" t="str">
        <f t="shared" si="110"/>
        <v>W8</v>
      </c>
      <c r="D1824" s="2" t="s">
        <v>785</v>
      </c>
      <c r="E1824" s="2" t="s">
        <v>840</v>
      </c>
      <c r="F1824" s="2" t="str" cm="1">
        <f t="array" ref="F1824">INDEX(_xlfn.TEXTSPLIT(E1824,"-"),2)</f>
        <v>男装</v>
      </c>
      <c r="G1824" s="2" t="str" cm="1">
        <f t="array" ref="G1824">INDEX(_xlfn.TEXTSPLIT(E1824,"-"),3)</f>
        <v>风衣</v>
      </c>
      <c r="H1824" s="5">
        <v>2608</v>
      </c>
      <c r="I1824" s="5">
        <v>794289.53</v>
      </c>
      <c r="J1824" s="6">
        <v>0.0068</v>
      </c>
      <c r="K1824" s="6">
        <v>-0.067</v>
      </c>
    </row>
    <row r="1825" ht="14.5" spans="1:11">
      <c r="A1825" s="3" t="str">
        <f t="shared" si="108"/>
        <v>2026年</v>
      </c>
      <c r="B1825" s="3" t="str">
        <f t="shared" si="109"/>
        <v>2月</v>
      </c>
      <c r="C1825" s="4" t="str">
        <f t="shared" si="110"/>
        <v>W8</v>
      </c>
      <c r="D1825" s="2" t="s">
        <v>785</v>
      </c>
      <c r="E1825" s="2" t="s">
        <v>841</v>
      </c>
      <c r="F1825" s="2" t="str" cm="1">
        <f t="array" ref="F1825">INDEX(_xlfn.TEXTSPLIT(E1825,"-"),2)</f>
        <v>男装</v>
      </c>
      <c r="G1825" s="2" t="str" cm="1">
        <f t="array" ref="G1825">INDEX(_xlfn.TEXTSPLIT(E1825,"-"),3)</f>
        <v>马甲</v>
      </c>
      <c r="H1825" s="5">
        <v>7423</v>
      </c>
      <c r="I1825" s="5">
        <v>714506.81</v>
      </c>
      <c r="J1825" s="6">
        <v>0.0061</v>
      </c>
      <c r="K1825" s="6">
        <v>0.0247</v>
      </c>
    </row>
    <row r="1826" ht="14.5" spans="1:11">
      <c r="A1826" s="3" t="str">
        <f t="shared" si="108"/>
        <v>2026年</v>
      </c>
      <c r="B1826" s="3" t="str">
        <f t="shared" si="109"/>
        <v>2月</v>
      </c>
      <c r="C1826" s="4" t="str">
        <f t="shared" si="110"/>
        <v>W8</v>
      </c>
      <c r="D1826" s="2" t="s">
        <v>786</v>
      </c>
      <c r="E1826" s="2" t="s">
        <v>804</v>
      </c>
      <c r="F1826" s="2" t="str" cm="1">
        <f t="array" ref="F1826">INDEX(_xlfn.TEXTSPLIT(E1826,"-"),2)</f>
        <v>男装</v>
      </c>
      <c r="G1826" s="2" t="str" cm="1">
        <f t="array" ref="G1826">INDEX(_xlfn.TEXTSPLIT(E1826,"-"),3)</f>
        <v>Polo衫</v>
      </c>
      <c r="H1826" s="5">
        <v>20326</v>
      </c>
      <c r="I1826" s="5">
        <v>5515350.02</v>
      </c>
      <c r="J1826" s="6">
        <v>0.0366</v>
      </c>
      <c r="K1826" s="6">
        <v>0.4023</v>
      </c>
    </row>
    <row r="1827" ht="14.5" spans="1:11">
      <c r="A1827" s="3" t="str">
        <f t="shared" si="108"/>
        <v>2026年</v>
      </c>
      <c r="B1827" s="3" t="str">
        <f t="shared" si="109"/>
        <v>2月</v>
      </c>
      <c r="C1827" s="4" t="str">
        <f t="shared" si="110"/>
        <v>W8</v>
      </c>
      <c r="D1827" s="2" t="s">
        <v>786</v>
      </c>
      <c r="E1827" s="2" t="s">
        <v>805</v>
      </c>
      <c r="F1827" s="2" t="str" cm="1">
        <f t="array" ref="F1827">INDEX(_xlfn.TEXTSPLIT(E1827,"-"),2)</f>
        <v>男装</v>
      </c>
      <c r="G1827" s="2" t="str" cm="1">
        <f t="array" ref="G1827">INDEX(_xlfn.TEXTSPLIT(E1827,"-"),3)</f>
        <v>T恤</v>
      </c>
      <c r="H1827" s="5">
        <v>303737</v>
      </c>
      <c r="I1827" s="5">
        <v>20710990.98</v>
      </c>
      <c r="J1827" s="6">
        <v>0.1376</v>
      </c>
      <c r="K1827" s="6">
        <v>0.281</v>
      </c>
    </row>
    <row r="1828" ht="14.5" spans="1:11">
      <c r="A1828" s="3" t="str">
        <f t="shared" si="108"/>
        <v>2026年</v>
      </c>
      <c r="B1828" s="3" t="str">
        <f t="shared" si="109"/>
        <v>2月</v>
      </c>
      <c r="C1828" s="4" t="str">
        <f t="shared" si="110"/>
        <v>W8</v>
      </c>
      <c r="D1828" s="2" t="s">
        <v>786</v>
      </c>
      <c r="E1828" s="2" t="s">
        <v>806</v>
      </c>
      <c r="F1828" s="2" t="str" cm="1">
        <f t="array" ref="F1828">INDEX(_xlfn.TEXTSPLIT(E1828,"-"),2)</f>
        <v>男装</v>
      </c>
      <c r="G1828" s="2" t="str" cm="1">
        <f t="array" ref="G1828">INDEX(_xlfn.TEXTSPLIT(E1828,"-"),3)</f>
        <v>中老年男装</v>
      </c>
      <c r="H1828" s="5">
        <v>11422</v>
      </c>
      <c r="I1828" s="5">
        <v>1057094.2</v>
      </c>
      <c r="J1828" s="6">
        <v>0.007</v>
      </c>
      <c r="K1828" s="6">
        <v>0.1626</v>
      </c>
    </row>
    <row r="1829" ht="14.5" spans="1:11">
      <c r="A1829" s="3" t="str">
        <f t="shared" si="108"/>
        <v>2026年</v>
      </c>
      <c r="B1829" s="3" t="str">
        <f t="shared" si="109"/>
        <v>2月</v>
      </c>
      <c r="C1829" s="4" t="str">
        <f t="shared" si="110"/>
        <v>W8</v>
      </c>
      <c r="D1829" s="2" t="s">
        <v>786</v>
      </c>
      <c r="E1829" s="2" t="s">
        <v>807</v>
      </c>
      <c r="F1829" s="2" t="str" cm="1">
        <f t="array" ref="F1829">INDEX(_xlfn.TEXTSPLIT(E1829,"-"),2)</f>
        <v>男装</v>
      </c>
      <c r="G1829" s="2" t="str" cm="1">
        <f t="array" ref="G1829">INDEX(_xlfn.TEXTSPLIT(E1829,"-"),3)</f>
        <v>休闲裤</v>
      </c>
      <c r="H1829" s="5">
        <v>141840</v>
      </c>
      <c r="I1829" s="5">
        <v>16034530.3</v>
      </c>
      <c r="J1829" s="6">
        <v>0.1065</v>
      </c>
      <c r="K1829" s="6">
        <v>0.3347</v>
      </c>
    </row>
    <row r="1830" ht="14.5" spans="1:11">
      <c r="A1830" s="3" t="str">
        <f t="shared" si="108"/>
        <v>2026年</v>
      </c>
      <c r="B1830" s="3" t="str">
        <f t="shared" si="109"/>
        <v>2月</v>
      </c>
      <c r="C1830" s="4" t="str">
        <f t="shared" si="110"/>
        <v>W8</v>
      </c>
      <c r="D1830" s="2" t="s">
        <v>786</v>
      </c>
      <c r="E1830" s="2" t="s">
        <v>808</v>
      </c>
      <c r="F1830" s="2" t="str" cm="1">
        <f t="array" ref="F1830">INDEX(_xlfn.TEXTSPLIT(E1830,"-"),2)</f>
        <v>男装</v>
      </c>
      <c r="G1830" s="2" t="str" cm="1">
        <f t="array" ref="G1830">INDEX(_xlfn.TEXTSPLIT(E1830,"-"),3)</f>
        <v>卫衣</v>
      </c>
      <c r="H1830" s="5">
        <v>97962</v>
      </c>
      <c r="I1830" s="5">
        <v>10717881.57</v>
      </c>
      <c r="J1830" s="6">
        <v>0.0712</v>
      </c>
      <c r="K1830" s="6">
        <v>0.1687</v>
      </c>
    </row>
    <row r="1831" ht="14.5" spans="1:11">
      <c r="A1831" s="3" t="str">
        <f t="shared" si="108"/>
        <v>2026年</v>
      </c>
      <c r="B1831" s="3" t="str">
        <f t="shared" si="109"/>
        <v>2月</v>
      </c>
      <c r="C1831" s="4" t="str">
        <f t="shared" si="110"/>
        <v>W8</v>
      </c>
      <c r="D1831" s="2" t="s">
        <v>786</v>
      </c>
      <c r="E1831" s="2" t="s">
        <v>809</v>
      </c>
      <c r="F1831" s="2" t="str" cm="1">
        <f t="array" ref="F1831">INDEX(_xlfn.TEXTSPLIT(E1831,"-"),2)</f>
        <v>男装</v>
      </c>
      <c r="G1831" s="2" t="str" cm="1">
        <f t="array" ref="G1831">INDEX(_xlfn.TEXTSPLIT(E1831,"-"),3)</f>
        <v>卫裤</v>
      </c>
      <c r="H1831" s="5">
        <v>30121</v>
      </c>
      <c r="I1831" s="5">
        <v>2843289.39</v>
      </c>
      <c r="J1831" s="6">
        <v>0.0189</v>
      </c>
      <c r="K1831" s="6">
        <v>0.185</v>
      </c>
    </row>
    <row r="1832" ht="14.5" spans="1:11">
      <c r="A1832" s="3" t="str">
        <f t="shared" si="108"/>
        <v>2026年</v>
      </c>
      <c r="B1832" s="3" t="str">
        <f t="shared" si="109"/>
        <v>2月</v>
      </c>
      <c r="C1832" s="4" t="str">
        <f t="shared" si="110"/>
        <v>W8</v>
      </c>
      <c r="D1832" s="2" t="s">
        <v>786</v>
      </c>
      <c r="E1832" s="2" t="s">
        <v>810</v>
      </c>
      <c r="F1832" s="2" t="str" cm="1">
        <f t="array" ref="F1832">INDEX(_xlfn.TEXTSPLIT(E1832,"-"),2)</f>
        <v>男装</v>
      </c>
      <c r="G1832" s="2" t="str" cm="1">
        <f t="array" ref="G1832">INDEX(_xlfn.TEXTSPLIT(E1832,"-"),3)</f>
        <v>大码男装</v>
      </c>
      <c r="H1832" s="5">
        <v>15579</v>
      </c>
      <c r="I1832" s="5">
        <v>1089299.31</v>
      </c>
      <c r="J1832" s="6">
        <v>0.0072</v>
      </c>
      <c r="K1832" s="6">
        <v>0.3851</v>
      </c>
    </row>
    <row r="1833" ht="14.5" spans="1:11">
      <c r="A1833" s="3" t="str">
        <f t="shared" si="108"/>
        <v>2026年</v>
      </c>
      <c r="B1833" s="3" t="str">
        <f t="shared" si="109"/>
        <v>2月</v>
      </c>
      <c r="C1833" s="4" t="str">
        <f t="shared" si="110"/>
        <v>W8</v>
      </c>
      <c r="D1833" s="2" t="s">
        <v>786</v>
      </c>
      <c r="E1833" s="2" t="s">
        <v>811</v>
      </c>
      <c r="F1833" s="2" t="str" cm="1">
        <f t="array" ref="F1833">INDEX(_xlfn.TEXTSPLIT(E1833,"-"),2)</f>
        <v>男装</v>
      </c>
      <c r="G1833" s="2" t="str" cm="1">
        <f t="array" ref="G1833">INDEX(_xlfn.TEXTSPLIT(E1833,"-"),3)</f>
        <v>夹克</v>
      </c>
      <c r="H1833" s="5">
        <v>150498</v>
      </c>
      <c r="I1833" s="5">
        <v>28086660.13</v>
      </c>
      <c r="J1833" s="6">
        <v>0.1866</v>
      </c>
      <c r="K1833" s="6">
        <v>0.328</v>
      </c>
    </row>
    <row r="1834" ht="14.5" spans="1:11">
      <c r="A1834" s="3" t="str">
        <f t="shared" si="108"/>
        <v>2026年</v>
      </c>
      <c r="B1834" s="3" t="str">
        <f t="shared" si="109"/>
        <v>2月</v>
      </c>
      <c r="C1834" s="4" t="str">
        <f t="shared" si="110"/>
        <v>W8</v>
      </c>
      <c r="D1834" s="2" t="s">
        <v>786</v>
      </c>
      <c r="E1834" s="2" t="s">
        <v>812</v>
      </c>
      <c r="F1834" s="2" t="str" cm="1">
        <f t="array" ref="F1834">INDEX(_xlfn.TEXTSPLIT(E1834,"-"),2)</f>
        <v>男装</v>
      </c>
      <c r="G1834" s="2" t="str" cm="1">
        <f t="array" ref="G1834">INDEX(_xlfn.TEXTSPLIT(E1834,"-"),3)</f>
        <v>套装</v>
      </c>
      <c r="H1834" s="5">
        <v>18586</v>
      </c>
      <c r="I1834" s="5">
        <v>2515678.54</v>
      </c>
      <c r="J1834" s="6">
        <v>0.0167</v>
      </c>
      <c r="K1834" s="6">
        <v>0.6977</v>
      </c>
    </row>
    <row r="1835" ht="14.5" spans="1:11">
      <c r="A1835" s="3" t="str">
        <f t="shared" si="108"/>
        <v>2026年</v>
      </c>
      <c r="B1835" s="3" t="str">
        <f t="shared" si="109"/>
        <v>2月</v>
      </c>
      <c r="C1835" s="4" t="str">
        <f t="shared" si="110"/>
        <v>W8</v>
      </c>
      <c r="D1835" s="2" t="s">
        <v>786</v>
      </c>
      <c r="E1835" s="2" t="s">
        <v>813</v>
      </c>
      <c r="F1835" s="2" t="str" cm="1">
        <f t="array" ref="F1835">INDEX(_xlfn.TEXTSPLIT(E1835,"-"),2)</f>
        <v>男装</v>
      </c>
      <c r="G1835" s="2" t="str" cm="1">
        <f t="array" ref="G1835">INDEX(_xlfn.TEXTSPLIT(E1835,"-"),3)</f>
        <v>学生校服</v>
      </c>
      <c r="H1835" s="5">
        <v>0</v>
      </c>
      <c r="I1835" s="5">
        <v>0</v>
      </c>
      <c r="J1835" s="7">
        <v>0</v>
      </c>
      <c r="K1835" s="2" t="s">
        <v>360</v>
      </c>
    </row>
    <row r="1836" ht="14.5" spans="1:11">
      <c r="A1836" s="3" t="str">
        <f t="shared" si="108"/>
        <v>2026年</v>
      </c>
      <c r="B1836" s="3" t="str">
        <f t="shared" si="109"/>
        <v>2月</v>
      </c>
      <c r="C1836" s="4" t="str">
        <f t="shared" si="110"/>
        <v>W8</v>
      </c>
      <c r="D1836" s="2" t="s">
        <v>786</v>
      </c>
      <c r="E1836" s="2" t="s">
        <v>814</v>
      </c>
      <c r="F1836" s="2" t="str" cm="1">
        <f t="array" ref="F1836">INDEX(_xlfn.TEXTSPLIT(E1836,"-"),2)</f>
        <v>男装</v>
      </c>
      <c r="G1836" s="2" t="str" cm="1">
        <f t="array" ref="G1836">INDEX(_xlfn.TEXTSPLIT(E1836,"-"),3)</f>
        <v>打底衫</v>
      </c>
      <c r="H1836" s="5">
        <v>3488</v>
      </c>
      <c r="I1836" s="5">
        <v>248804.93</v>
      </c>
      <c r="J1836" s="6">
        <v>0.0017</v>
      </c>
      <c r="K1836" s="6">
        <v>0.7076</v>
      </c>
    </row>
    <row r="1837" ht="14.5" spans="1:11">
      <c r="A1837" s="3" t="str">
        <f t="shared" si="108"/>
        <v>2026年</v>
      </c>
      <c r="B1837" s="3" t="str">
        <f t="shared" si="109"/>
        <v>2月</v>
      </c>
      <c r="C1837" s="4" t="str">
        <f t="shared" si="110"/>
        <v>W8</v>
      </c>
      <c r="D1837" s="2" t="s">
        <v>786</v>
      </c>
      <c r="E1837" s="2" t="s">
        <v>815</v>
      </c>
      <c r="F1837" s="2" t="str" cm="1">
        <f t="array" ref="F1837">INDEX(_xlfn.TEXTSPLIT(E1837,"-"),2)</f>
        <v>男装</v>
      </c>
      <c r="G1837" s="2" t="str" cm="1">
        <f t="array" ref="G1837">INDEX(_xlfn.TEXTSPLIT(E1837,"-"),3)</f>
        <v>新中式男装</v>
      </c>
      <c r="H1837" s="5">
        <v>127</v>
      </c>
      <c r="I1837" s="5">
        <v>38630.72</v>
      </c>
      <c r="J1837" s="6">
        <v>0.0003</v>
      </c>
      <c r="K1837" s="6">
        <v>-0.2985</v>
      </c>
    </row>
    <row r="1838" ht="14.5" spans="1:11">
      <c r="A1838" s="3" t="str">
        <f t="shared" si="108"/>
        <v>2026年</v>
      </c>
      <c r="B1838" s="3" t="str">
        <f t="shared" si="109"/>
        <v>2月</v>
      </c>
      <c r="C1838" s="4" t="str">
        <f t="shared" si="110"/>
        <v>W8</v>
      </c>
      <c r="D1838" s="2" t="s">
        <v>786</v>
      </c>
      <c r="E1838" s="2" t="s">
        <v>816</v>
      </c>
      <c r="F1838" s="2" t="str" cm="1">
        <f t="array" ref="F1838">INDEX(_xlfn.TEXTSPLIT(E1838,"-"),2)</f>
        <v>男装</v>
      </c>
      <c r="G1838" s="2" t="str" cm="1">
        <f t="array" ref="G1838">INDEX(_xlfn.TEXTSPLIT(E1838,"-"),3)</f>
        <v>棉衣</v>
      </c>
      <c r="H1838" s="5">
        <v>22715</v>
      </c>
      <c r="I1838" s="5">
        <v>2965410.78</v>
      </c>
      <c r="J1838" s="6">
        <v>0.0197</v>
      </c>
      <c r="K1838" s="6">
        <v>0.1779</v>
      </c>
    </row>
    <row r="1839" ht="14.5" spans="1:11">
      <c r="A1839" s="3" t="str">
        <f t="shared" si="108"/>
        <v>2026年</v>
      </c>
      <c r="B1839" s="3" t="str">
        <f t="shared" si="109"/>
        <v>2月</v>
      </c>
      <c r="C1839" s="4" t="str">
        <f t="shared" si="110"/>
        <v>W8</v>
      </c>
      <c r="D1839" s="2" t="s">
        <v>786</v>
      </c>
      <c r="E1839" s="2" t="s">
        <v>817</v>
      </c>
      <c r="F1839" s="2" t="str" cm="1">
        <f t="array" ref="F1839">INDEX(_xlfn.TEXTSPLIT(E1839,"-"),2)</f>
        <v>男装</v>
      </c>
      <c r="G1839" s="2" t="str" cm="1">
        <f t="array" ref="G1839">INDEX(_xlfn.TEXTSPLIT(E1839,"-"),3)</f>
        <v>棉裤</v>
      </c>
      <c r="H1839" s="5">
        <v>829</v>
      </c>
      <c r="I1839" s="5">
        <v>46906.57</v>
      </c>
      <c r="J1839" s="6">
        <v>0.0003</v>
      </c>
      <c r="K1839" s="6">
        <v>0.444</v>
      </c>
    </row>
    <row r="1840" ht="14.5" spans="1:11">
      <c r="A1840" s="3" t="str">
        <f t="shared" si="108"/>
        <v>2026年</v>
      </c>
      <c r="B1840" s="3" t="str">
        <f t="shared" si="109"/>
        <v>2月</v>
      </c>
      <c r="C1840" s="4" t="str">
        <f t="shared" si="110"/>
        <v>W8</v>
      </c>
      <c r="D1840" s="2" t="s">
        <v>786</v>
      </c>
      <c r="E1840" s="2" t="s">
        <v>818</v>
      </c>
      <c r="F1840" s="2" t="str" cm="1">
        <f t="array" ref="F1840">INDEX(_xlfn.TEXTSPLIT(E1840,"-"),2)</f>
        <v>男装</v>
      </c>
      <c r="G1840" s="2" t="str" cm="1">
        <f t="array" ref="G1840">INDEX(_xlfn.TEXTSPLIT(E1840,"-"),3)</f>
        <v>毛呢大衣</v>
      </c>
      <c r="H1840" s="5">
        <v>5175</v>
      </c>
      <c r="I1840" s="5">
        <v>1711773.22</v>
      </c>
      <c r="J1840" s="6">
        <v>0.0114</v>
      </c>
      <c r="K1840" s="6">
        <v>0.3218</v>
      </c>
    </row>
    <row r="1841" ht="14.5" spans="1:11">
      <c r="A1841" s="3" t="str">
        <f t="shared" si="108"/>
        <v>2026年</v>
      </c>
      <c r="B1841" s="3" t="str">
        <f t="shared" si="109"/>
        <v>2月</v>
      </c>
      <c r="C1841" s="4" t="str">
        <f t="shared" si="110"/>
        <v>W8</v>
      </c>
      <c r="D1841" s="2" t="s">
        <v>786</v>
      </c>
      <c r="E1841" s="2" t="s">
        <v>819</v>
      </c>
      <c r="F1841" s="2" t="str" cm="1">
        <f t="array" ref="F1841">INDEX(_xlfn.TEXTSPLIT(E1841,"-"),2)</f>
        <v>男装</v>
      </c>
      <c r="G1841" s="2" t="str" cm="1">
        <f t="array" ref="G1841">INDEX(_xlfn.TEXTSPLIT(E1841,"-"),3)</f>
        <v>民族服装</v>
      </c>
      <c r="H1841" s="5">
        <v>1016</v>
      </c>
      <c r="I1841" s="5">
        <v>210783.53</v>
      </c>
      <c r="J1841" s="6">
        <v>0.0014</v>
      </c>
      <c r="K1841" s="6">
        <v>0.2055</v>
      </c>
    </row>
    <row r="1842" ht="14.5" spans="1:11">
      <c r="A1842" s="3" t="str">
        <f t="shared" si="108"/>
        <v>2026年</v>
      </c>
      <c r="B1842" s="3" t="str">
        <f t="shared" si="109"/>
        <v>2月</v>
      </c>
      <c r="C1842" s="4" t="str">
        <f t="shared" si="110"/>
        <v>W8</v>
      </c>
      <c r="D1842" s="2" t="s">
        <v>786</v>
      </c>
      <c r="E1842" s="2" t="s">
        <v>820</v>
      </c>
      <c r="F1842" s="2" t="str" cm="1">
        <f t="array" ref="F1842">INDEX(_xlfn.TEXTSPLIT(E1842,"-"),2)</f>
        <v>男装</v>
      </c>
      <c r="G1842" s="2" t="str" cm="1">
        <f t="array" ref="G1842">INDEX(_xlfn.TEXTSPLIT(E1842,"-"),3)</f>
        <v>派克服</v>
      </c>
      <c r="H1842" s="5">
        <v>839</v>
      </c>
      <c r="I1842" s="5">
        <v>202712.2</v>
      </c>
      <c r="J1842" s="6">
        <v>0.0013</v>
      </c>
      <c r="K1842" s="6">
        <v>5.4175</v>
      </c>
    </row>
    <row r="1843" ht="14.5" spans="1:11">
      <c r="A1843" s="3" t="str">
        <f t="shared" si="108"/>
        <v>2026年</v>
      </c>
      <c r="B1843" s="3" t="str">
        <f t="shared" si="109"/>
        <v>2月</v>
      </c>
      <c r="C1843" s="4" t="str">
        <f t="shared" si="110"/>
        <v>W8</v>
      </c>
      <c r="D1843" s="2" t="s">
        <v>786</v>
      </c>
      <c r="E1843" s="2" t="s">
        <v>821</v>
      </c>
      <c r="F1843" s="2" t="str" cm="1">
        <f t="array" ref="F1843">INDEX(_xlfn.TEXTSPLIT(E1843,"-"),2)</f>
        <v>男装</v>
      </c>
      <c r="G1843" s="2" t="str" cm="1">
        <f t="array" ref="G1843">INDEX(_xlfn.TEXTSPLIT(E1843,"-"),3)</f>
        <v>牛仔裤</v>
      </c>
      <c r="H1843" s="5">
        <v>130729</v>
      </c>
      <c r="I1843" s="5">
        <v>15674412.6</v>
      </c>
      <c r="J1843" s="6">
        <v>0.1041</v>
      </c>
      <c r="K1843" s="6">
        <v>0.3162</v>
      </c>
    </row>
    <row r="1844" ht="14.5" spans="1:11">
      <c r="A1844" s="3" t="str">
        <f t="shared" si="108"/>
        <v>2026年</v>
      </c>
      <c r="B1844" s="3" t="str">
        <f t="shared" si="109"/>
        <v>2月</v>
      </c>
      <c r="C1844" s="4" t="str">
        <f t="shared" si="110"/>
        <v>W8</v>
      </c>
      <c r="D1844" s="2" t="s">
        <v>786</v>
      </c>
      <c r="E1844" s="2" t="s">
        <v>822</v>
      </c>
      <c r="F1844" s="2" t="str" cm="1">
        <f t="array" ref="F1844">INDEX(_xlfn.TEXTSPLIT(E1844,"-"),2)</f>
        <v>男装</v>
      </c>
      <c r="G1844" s="2" t="str" cm="1">
        <f t="array" ref="G1844">INDEX(_xlfn.TEXTSPLIT(E1844,"-"),3)</f>
        <v>皮草</v>
      </c>
      <c r="H1844" s="5">
        <v>392</v>
      </c>
      <c r="I1844" s="5">
        <v>259982.76</v>
      </c>
      <c r="J1844" s="6">
        <v>0.0017</v>
      </c>
      <c r="K1844" s="6">
        <v>1.0368</v>
      </c>
    </row>
    <row r="1845" ht="14.5" spans="1:11">
      <c r="A1845" s="3" t="str">
        <f t="shared" si="108"/>
        <v>2026年</v>
      </c>
      <c r="B1845" s="3" t="str">
        <f t="shared" si="109"/>
        <v>2月</v>
      </c>
      <c r="C1845" s="4" t="str">
        <f t="shared" si="110"/>
        <v>W8</v>
      </c>
      <c r="D1845" s="2" t="s">
        <v>786</v>
      </c>
      <c r="E1845" s="2" t="s">
        <v>823</v>
      </c>
      <c r="F1845" s="2" t="str" cm="1">
        <f t="array" ref="F1845">INDEX(_xlfn.TEXTSPLIT(E1845,"-"),2)</f>
        <v>男装</v>
      </c>
      <c r="G1845" s="2" t="str" cm="1">
        <f t="array" ref="G1845">INDEX(_xlfn.TEXTSPLIT(E1845,"-"),3)</f>
        <v>皮衣</v>
      </c>
      <c r="H1845" s="5">
        <v>15713</v>
      </c>
      <c r="I1845" s="5">
        <v>5051380.94</v>
      </c>
      <c r="J1845" s="6">
        <v>0.0336</v>
      </c>
      <c r="K1845" s="6">
        <v>0.3351</v>
      </c>
    </row>
    <row r="1846" ht="14.5" spans="1:11">
      <c r="A1846" s="3" t="str">
        <f t="shared" si="108"/>
        <v>2026年</v>
      </c>
      <c r="B1846" s="3" t="str">
        <f t="shared" si="109"/>
        <v>2月</v>
      </c>
      <c r="C1846" s="4" t="str">
        <f t="shared" si="110"/>
        <v>W8</v>
      </c>
      <c r="D1846" s="2" t="s">
        <v>786</v>
      </c>
      <c r="E1846" s="2" t="s">
        <v>824</v>
      </c>
      <c r="F1846" s="2" t="str" cm="1">
        <f t="array" ref="F1846">INDEX(_xlfn.TEXTSPLIT(E1846,"-"),2)</f>
        <v>男装</v>
      </c>
      <c r="G1846" s="2" t="str" cm="1">
        <f t="array" ref="G1846">INDEX(_xlfn.TEXTSPLIT(E1846,"-"),3)</f>
        <v>皮裤</v>
      </c>
      <c r="H1846" s="5">
        <v>214</v>
      </c>
      <c r="I1846" s="5">
        <v>41622.84</v>
      </c>
      <c r="J1846" s="6">
        <v>0.0003</v>
      </c>
      <c r="K1846" s="6">
        <v>1.451</v>
      </c>
    </row>
    <row r="1847" ht="14.5" spans="1:11">
      <c r="A1847" s="3" t="str">
        <f t="shared" si="108"/>
        <v>2026年</v>
      </c>
      <c r="B1847" s="3" t="str">
        <f t="shared" si="109"/>
        <v>2月</v>
      </c>
      <c r="C1847" s="4" t="str">
        <f t="shared" si="110"/>
        <v>W8</v>
      </c>
      <c r="D1847" s="2" t="s">
        <v>786</v>
      </c>
      <c r="E1847" s="2" t="s">
        <v>825</v>
      </c>
      <c r="F1847" s="2" t="str" cm="1">
        <f t="array" ref="F1847">INDEX(_xlfn.TEXTSPLIT(E1847,"-"),2)</f>
        <v>男装</v>
      </c>
      <c r="G1847" s="2" t="str" cm="1">
        <f t="array" ref="G1847">INDEX(_xlfn.TEXTSPLIT(E1847,"-"),3)</f>
        <v>短外套</v>
      </c>
      <c r="H1847" s="5">
        <v>6731</v>
      </c>
      <c r="I1847" s="5">
        <v>1511212.94</v>
      </c>
      <c r="J1847" s="7">
        <v>0.01</v>
      </c>
      <c r="K1847" s="6">
        <v>0.1835</v>
      </c>
    </row>
    <row r="1848" ht="14.5" spans="1:11">
      <c r="A1848" s="3" t="str">
        <f t="shared" si="108"/>
        <v>2026年</v>
      </c>
      <c r="B1848" s="3" t="str">
        <f t="shared" si="109"/>
        <v>2月</v>
      </c>
      <c r="C1848" s="4" t="str">
        <f t="shared" si="110"/>
        <v>W8</v>
      </c>
      <c r="D1848" s="2" t="s">
        <v>786</v>
      </c>
      <c r="E1848" s="2" t="s">
        <v>826</v>
      </c>
      <c r="F1848" s="2" t="str" cm="1">
        <f t="array" ref="F1848">INDEX(_xlfn.TEXTSPLIT(E1848,"-"),2)</f>
        <v>男装</v>
      </c>
      <c r="G1848" s="2" t="str" cm="1">
        <f t="array" ref="G1848">INDEX(_xlfn.TEXTSPLIT(E1848,"-"),3)</f>
        <v>短裤</v>
      </c>
      <c r="H1848" s="5">
        <v>21152</v>
      </c>
      <c r="I1848" s="5">
        <v>838171.3</v>
      </c>
      <c r="J1848" s="6">
        <v>0.0056</v>
      </c>
      <c r="K1848" s="6">
        <v>-0.4121</v>
      </c>
    </row>
    <row r="1849" ht="14.5" spans="1:11">
      <c r="A1849" s="3" t="str">
        <f t="shared" si="108"/>
        <v>2026年</v>
      </c>
      <c r="B1849" s="3" t="str">
        <f t="shared" si="109"/>
        <v>2月</v>
      </c>
      <c r="C1849" s="4" t="str">
        <f t="shared" si="110"/>
        <v>W8</v>
      </c>
      <c r="D1849" s="2" t="s">
        <v>786</v>
      </c>
      <c r="E1849" s="2" t="s">
        <v>827</v>
      </c>
      <c r="F1849" s="2" t="str" cm="1">
        <f t="array" ref="F1849">INDEX(_xlfn.TEXTSPLIT(E1849,"-"),2)</f>
        <v>男装</v>
      </c>
      <c r="G1849" s="2" t="str" cm="1">
        <f t="array" ref="G1849">INDEX(_xlfn.TEXTSPLIT(E1849,"-"),3)</f>
        <v>紧身衣</v>
      </c>
      <c r="H1849" s="5">
        <v>269</v>
      </c>
      <c r="I1849" s="5">
        <v>8286.37</v>
      </c>
      <c r="J1849" s="6">
        <v>0.0001</v>
      </c>
      <c r="K1849" s="6">
        <v>1.1102</v>
      </c>
    </row>
    <row r="1850" ht="14.5" spans="1:11">
      <c r="A1850" s="3" t="str">
        <f t="shared" si="108"/>
        <v>2026年</v>
      </c>
      <c r="B1850" s="3" t="str">
        <f t="shared" si="109"/>
        <v>2月</v>
      </c>
      <c r="C1850" s="4" t="str">
        <f t="shared" si="110"/>
        <v>W8</v>
      </c>
      <c r="D1850" s="2" t="s">
        <v>786</v>
      </c>
      <c r="E1850" s="2" t="s">
        <v>828</v>
      </c>
      <c r="F1850" s="2" t="str" cm="1">
        <f t="array" ref="F1850">INDEX(_xlfn.TEXTSPLIT(E1850,"-"),2)</f>
        <v>男装</v>
      </c>
      <c r="G1850" s="2" t="str" cm="1">
        <f t="array" ref="G1850">INDEX(_xlfn.TEXTSPLIT(E1850,"-"),3)</f>
        <v>羊毛衫</v>
      </c>
      <c r="H1850" s="5">
        <v>7511</v>
      </c>
      <c r="I1850" s="5">
        <v>1361980.68</v>
      </c>
      <c r="J1850" s="6">
        <v>0.009</v>
      </c>
      <c r="K1850" s="6">
        <v>0.2829</v>
      </c>
    </row>
    <row r="1851" ht="14.5" spans="1:11">
      <c r="A1851" s="3" t="str">
        <f t="shared" si="108"/>
        <v>2026年</v>
      </c>
      <c r="B1851" s="3" t="str">
        <f t="shared" si="109"/>
        <v>2月</v>
      </c>
      <c r="C1851" s="4" t="str">
        <f t="shared" si="110"/>
        <v>W8</v>
      </c>
      <c r="D1851" s="2" t="s">
        <v>786</v>
      </c>
      <c r="E1851" s="2" t="s">
        <v>829</v>
      </c>
      <c r="F1851" s="2" t="str" cm="1">
        <f t="array" ref="F1851">INDEX(_xlfn.TEXTSPLIT(E1851,"-"),2)</f>
        <v>男装</v>
      </c>
      <c r="G1851" s="2" t="str" cm="1">
        <f t="array" ref="G1851">INDEX(_xlfn.TEXTSPLIT(E1851,"-"),3)</f>
        <v>羊绒衫</v>
      </c>
      <c r="H1851" s="5">
        <v>1357</v>
      </c>
      <c r="I1851" s="5">
        <v>487833.15</v>
      </c>
      <c r="J1851" s="6">
        <v>0.0032</v>
      </c>
      <c r="K1851" s="6">
        <v>-0.183</v>
      </c>
    </row>
    <row r="1852" ht="14.5" spans="1:11">
      <c r="A1852" s="3" t="str">
        <f t="shared" si="108"/>
        <v>2026年</v>
      </c>
      <c r="B1852" s="3" t="str">
        <f t="shared" si="109"/>
        <v>2月</v>
      </c>
      <c r="C1852" s="4" t="str">
        <f t="shared" si="110"/>
        <v>W8</v>
      </c>
      <c r="D1852" s="2" t="s">
        <v>786</v>
      </c>
      <c r="E1852" s="2" t="s">
        <v>830</v>
      </c>
      <c r="F1852" s="2" t="str" cm="1">
        <f t="array" ref="F1852">INDEX(_xlfn.TEXTSPLIT(E1852,"-"),2)</f>
        <v>男装</v>
      </c>
      <c r="G1852" s="2" t="str" cm="1">
        <f t="array" ref="G1852">INDEX(_xlfn.TEXTSPLIT(E1852,"-"),3)</f>
        <v>羽绒服</v>
      </c>
      <c r="H1852" s="5">
        <v>31277</v>
      </c>
      <c r="I1852" s="5">
        <v>8216302.38</v>
      </c>
      <c r="J1852" s="6">
        <v>0.0546</v>
      </c>
      <c r="K1852" s="6">
        <v>0.1765</v>
      </c>
    </row>
    <row r="1853" ht="14.5" spans="1:11">
      <c r="A1853" s="3" t="str">
        <f t="shared" si="108"/>
        <v>2026年</v>
      </c>
      <c r="B1853" s="3" t="str">
        <f t="shared" si="109"/>
        <v>2月</v>
      </c>
      <c r="C1853" s="4" t="str">
        <f t="shared" si="110"/>
        <v>W8</v>
      </c>
      <c r="D1853" s="2" t="s">
        <v>786</v>
      </c>
      <c r="E1853" s="2" t="s">
        <v>831</v>
      </c>
      <c r="F1853" s="2" t="str" cm="1">
        <f t="array" ref="F1853">INDEX(_xlfn.TEXTSPLIT(E1853,"-"),2)</f>
        <v>男装</v>
      </c>
      <c r="G1853" s="2" t="str" cm="1">
        <f t="array" ref="G1853">INDEX(_xlfn.TEXTSPLIT(E1853,"-"),3)</f>
        <v>羽绒裤</v>
      </c>
      <c r="H1853" s="5">
        <v>254</v>
      </c>
      <c r="I1853" s="5">
        <v>33270.88</v>
      </c>
      <c r="J1853" s="6">
        <v>0.0002</v>
      </c>
      <c r="K1853" s="6">
        <v>0.2664</v>
      </c>
    </row>
    <row r="1854" ht="14.5" spans="1:11">
      <c r="A1854" s="3" t="str">
        <f t="shared" si="108"/>
        <v>2026年</v>
      </c>
      <c r="B1854" s="3" t="str">
        <f t="shared" si="109"/>
        <v>2月</v>
      </c>
      <c r="C1854" s="4" t="str">
        <f t="shared" si="110"/>
        <v>W8</v>
      </c>
      <c r="D1854" s="2" t="s">
        <v>786</v>
      </c>
      <c r="E1854" s="2" t="s">
        <v>832</v>
      </c>
      <c r="F1854" s="2" t="str" cm="1">
        <f t="array" ref="F1854">INDEX(_xlfn.TEXTSPLIT(E1854,"-"),2)</f>
        <v>男装</v>
      </c>
      <c r="G1854" s="2" t="str" cm="1">
        <f t="array" ref="G1854">INDEX(_xlfn.TEXTSPLIT(E1854,"-"),3)</f>
        <v>羽绒马甲</v>
      </c>
      <c r="H1854" s="5">
        <v>2117</v>
      </c>
      <c r="I1854" s="5">
        <v>365108.33</v>
      </c>
      <c r="J1854" s="6">
        <v>0.0024</v>
      </c>
      <c r="K1854" s="6">
        <v>0.2753</v>
      </c>
    </row>
    <row r="1855" ht="14.5" spans="1:11">
      <c r="A1855" s="3" t="str">
        <f t="shared" si="108"/>
        <v>2026年</v>
      </c>
      <c r="B1855" s="3" t="str">
        <f t="shared" si="109"/>
        <v>2月</v>
      </c>
      <c r="C1855" s="4" t="str">
        <f t="shared" si="110"/>
        <v>W8</v>
      </c>
      <c r="D1855" s="2" t="s">
        <v>786</v>
      </c>
      <c r="E1855" s="2" t="s">
        <v>833</v>
      </c>
      <c r="F1855" s="2" t="str" cm="1">
        <f t="array" ref="F1855">INDEX(_xlfn.TEXTSPLIT(E1855,"-"),2)</f>
        <v>男装</v>
      </c>
      <c r="G1855" s="2" t="str" cm="1">
        <f t="array" ref="G1855">INDEX(_xlfn.TEXTSPLIT(E1855,"-"),3)</f>
        <v>背心</v>
      </c>
      <c r="H1855" s="5">
        <v>15065</v>
      </c>
      <c r="I1855" s="5">
        <v>815175.28</v>
      </c>
      <c r="J1855" s="6">
        <v>0.0054</v>
      </c>
      <c r="K1855" s="6">
        <v>0.3764</v>
      </c>
    </row>
    <row r="1856" ht="14.5" spans="1:11">
      <c r="A1856" s="3" t="str">
        <f t="shared" si="108"/>
        <v>2026年</v>
      </c>
      <c r="B1856" s="3" t="str">
        <f t="shared" si="109"/>
        <v>2月</v>
      </c>
      <c r="C1856" s="4" t="str">
        <f t="shared" si="110"/>
        <v>W8</v>
      </c>
      <c r="D1856" s="2" t="s">
        <v>786</v>
      </c>
      <c r="E1856" s="2" t="s">
        <v>834</v>
      </c>
      <c r="F1856" s="2" t="str" cm="1">
        <f t="array" ref="F1856">INDEX(_xlfn.TEXTSPLIT(E1856,"-"),2)</f>
        <v>男装</v>
      </c>
      <c r="G1856" s="2" t="str" cm="1">
        <f t="array" ref="G1856">INDEX(_xlfn.TEXTSPLIT(E1856,"-"),3)</f>
        <v>衬衫</v>
      </c>
      <c r="H1856" s="5">
        <v>38044</v>
      </c>
      <c r="I1856" s="5">
        <v>5004172.17</v>
      </c>
      <c r="J1856" s="6">
        <v>0.0332</v>
      </c>
      <c r="K1856" s="6">
        <v>0.2976</v>
      </c>
    </row>
    <row r="1857" ht="14.5" spans="1:11">
      <c r="A1857" s="3" t="str">
        <f t="shared" si="108"/>
        <v>2026年</v>
      </c>
      <c r="B1857" s="3" t="str">
        <f t="shared" si="109"/>
        <v>2月</v>
      </c>
      <c r="C1857" s="4" t="str">
        <f t="shared" si="110"/>
        <v>W8</v>
      </c>
      <c r="D1857" s="2" t="s">
        <v>786</v>
      </c>
      <c r="E1857" s="2" t="s">
        <v>835</v>
      </c>
      <c r="F1857" s="2" t="str" cm="1">
        <f t="array" ref="F1857">INDEX(_xlfn.TEXTSPLIT(E1857,"-"),2)</f>
        <v>男装</v>
      </c>
      <c r="G1857" s="2" t="str" cm="1">
        <f t="array" ref="G1857">INDEX(_xlfn.TEXTSPLIT(E1857,"-"),3)</f>
        <v>西服</v>
      </c>
      <c r="H1857" s="5">
        <v>27049</v>
      </c>
      <c r="I1857" s="5">
        <v>6298872.83</v>
      </c>
      <c r="J1857" s="6">
        <v>0.0418</v>
      </c>
      <c r="K1857" s="6">
        <v>0.3917</v>
      </c>
    </row>
    <row r="1858" ht="14.5" spans="1:11">
      <c r="A1858" s="3" t="str">
        <f t="shared" si="108"/>
        <v>2026年</v>
      </c>
      <c r="B1858" s="3" t="str">
        <f t="shared" si="109"/>
        <v>2月</v>
      </c>
      <c r="C1858" s="4" t="str">
        <f t="shared" si="110"/>
        <v>W8</v>
      </c>
      <c r="D1858" s="2" t="s">
        <v>786</v>
      </c>
      <c r="E1858" s="2" t="s">
        <v>836</v>
      </c>
      <c r="F1858" s="2" t="str" cm="1">
        <f t="array" ref="F1858">INDEX(_xlfn.TEXTSPLIT(E1858,"-"),2)</f>
        <v>男装</v>
      </c>
      <c r="G1858" s="2" t="str" cm="1">
        <f t="array" ref="G1858">INDEX(_xlfn.TEXTSPLIT(E1858,"-"),3)</f>
        <v>连体衣/裤</v>
      </c>
      <c r="H1858" s="5">
        <v>858</v>
      </c>
      <c r="I1858" s="5">
        <v>26650.75</v>
      </c>
      <c r="J1858" s="6">
        <v>0.0002</v>
      </c>
      <c r="K1858" s="6">
        <v>-0.0887</v>
      </c>
    </row>
    <row r="1859" ht="14.5" spans="1:11">
      <c r="A1859" s="3" t="str">
        <f t="shared" si="108"/>
        <v>2026年</v>
      </c>
      <c r="B1859" s="3" t="str">
        <f t="shared" si="109"/>
        <v>2月</v>
      </c>
      <c r="C1859" s="4" t="str">
        <f t="shared" si="110"/>
        <v>W8</v>
      </c>
      <c r="D1859" s="2" t="s">
        <v>786</v>
      </c>
      <c r="E1859" s="2" t="s">
        <v>837</v>
      </c>
      <c r="F1859" s="2" t="str" cm="1">
        <f t="array" ref="F1859">INDEX(_xlfn.TEXTSPLIT(E1859,"-"),2)</f>
        <v>男装</v>
      </c>
      <c r="G1859" s="2" t="str" cm="1">
        <f t="array" ref="G1859">INDEX(_xlfn.TEXTSPLIT(E1859,"-"),3)</f>
        <v>速干/三防T恤</v>
      </c>
      <c r="H1859" s="5">
        <v>344</v>
      </c>
      <c r="I1859" s="5">
        <v>68377.6</v>
      </c>
      <c r="J1859" s="6">
        <v>0.0005</v>
      </c>
      <c r="K1859" s="6">
        <v>-0.3228</v>
      </c>
    </row>
    <row r="1860" ht="14.5" spans="1:11">
      <c r="A1860" s="3" t="str">
        <f t="shared" si="108"/>
        <v>2026年</v>
      </c>
      <c r="B1860" s="3" t="str">
        <f t="shared" si="109"/>
        <v>2月</v>
      </c>
      <c r="C1860" s="4" t="str">
        <f t="shared" si="110"/>
        <v>W8</v>
      </c>
      <c r="D1860" s="2" t="s">
        <v>786</v>
      </c>
      <c r="E1860" s="2" t="s">
        <v>838</v>
      </c>
      <c r="F1860" s="2" t="str" cm="1">
        <f t="array" ref="F1860">INDEX(_xlfn.TEXTSPLIT(E1860,"-"),2)</f>
        <v>男装</v>
      </c>
      <c r="G1860" s="2" t="str" cm="1">
        <f t="array" ref="G1860">INDEX(_xlfn.TEXTSPLIT(E1860,"-"),3)</f>
        <v>针织衫/毛衣</v>
      </c>
      <c r="H1860" s="5">
        <v>56718</v>
      </c>
      <c r="I1860" s="5">
        <v>8487799.32</v>
      </c>
      <c r="J1860" s="6">
        <v>0.0564</v>
      </c>
      <c r="K1860" s="6">
        <v>0.246</v>
      </c>
    </row>
    <row r="1861" ht="14.5" spans="1:11">
      <c r="A1861" s="3" t="str">
        <f t="shared" si="108"/>
        <v>2026年</v>
      </c>
      <c r="B1861" s="3" t="str">
        <f t="shared" si="109"/>
        <v>2月</v>
      </c>
      <c r="C1861" s="4" t="str">
        <f t="shared" si="110"/>
        <v>W8</v>
      </c>
      <c r="D1861" s="2" t="s">
        <v>786</v>
      </c>
      <c r="E1861" s="2" t="s">
        <v>839</v>
      </c>
      <c r="F1861" s="2" t="str" cm="1">
        <f t="array" ref="F1861">INDEX(_xlfn.TEXTSPLIT(E1861,"-"),2)</f>
        <v>男装</v>
      </c>
      <c r="G1861" s="2" t="str" cm="1">
        <f t="array" ref="G1861">INDEX(_xlfn.TEXTSPLIT(E1861,"-"),3)</f>
        <v>防晒服</v>
      </c>
      <c r="H1861" s="5">
        <v>361</v>
      </c>
      <c r="I1861" s="5">
        <v>26169.47</v>
      </c>
      <c r="J1861" s="6">
        <v>0.0002</v>
      </c>
      <c r="K1861" s="6">
        <v>0.5966</v>
      </c>
    </row>
    <row r="1862" ht="14.5" spans="1:11">
      <c r="A1862" s="3" t="str">
        <f t="shared" si="108"/>
        <v>2026年</v>
      </c>
      <c r="B1862" s="3" t="str">
        <f t="shared" si="109"/>
        <v>2月</v>
      </c>
      <c r="C1862" s="4" t="str">
        <f t="shared" si="110"/>
        <v>W8</v>
      </c>
      <c r="D1862" s="2" t="s">
        <v>786</v>
      </c>
      <c r="E1862" s="2" t="s">
        <v>840</v>
      </c>
      <c r="F1862" s="2" t="str" cm="1">
        <f t="array" ref="F1862">INDEX(_xlfn.TEXTSPLIT(E1862,"-"),2)</f>
        <v>男装</v>
      </c>
      <c r="G1862" s="2" t="str" cm="1">
        <f t="array" ref="G1862">INDEX(_xlfn.TEXTSPLIT(E1862,"-"),3)</f>
        <v>风衣</v>
      </c>
      <c r="H1862" s="5">
        <v>3741</v>
      </c>
      <c r="I1862" s="5">
        <v>922158.64</v>
      </c>
      <c r="J1862" s="6">
        <v>0.0061</v>
      </c>
      <c r="K1862" s="6">
        <v>0.161</v>
      </c>
    </row>
    <row r="1863" ht="14.5" spans="1:11">
      <c r="A1863" s="3" t="str">
        <f t="shared" si="108"/>
        <v>2026年</v>
      </c>
      <c r="B1863" s="3" t="str">
        <f t="shared" si="109"/>
        <v>2月</v>
      </c>
      <c r="C1863" s="4" t="str">
        <f t="shared" si="110"/>
        <v>W8</v>
      </c>
      <c r="D1863" s="2" t="s">
        <v>786</v>
      </c>
      <c r="E1863" s="2" t="s">
        <v>841</v>
      </c>
      <c r="F1863" s="2" t="str" cm="1">
        <f t="array" ref="F1863">INDEX(_xlfn.TEXTSPLIT(E1863,"-"),2)</f>
        <v>男装</v>
      </c>
      <c r="G1863" s="2" t="str" cm="1">
        <f t="array" ref="G1863">INDEX(_xlfn.TEXTSPLIT(E1863,"-"),3)</f>
        <v>马甲</v>
      </c>
      <c r="H1863" s="5">
        <v>11461</v>
      </c>
      <c r="I1863" s="5">
        <v>1056279.9</v>
      </c>
      <c r="J1863" s="6">
        <v>0.007</v>
      </c>
      <c r="K1863" s="6">
        <v>0.4783</v>
      </c>
    </row>
    <row r="1864" ht="14.5" spans="1:11">
      <c r="A1864" s="3" t="str">
        <f t="shared" si="108"/>
        <v>2026年</v>
      </c>
      <c r="B1864" s="3" t="str">
        <f t="shared" si="109"/>
        <v>2月</v>
      </c>
      <c r="C1864" s="4" t="str">
        <f t="shared" si="110"/>
        <v>W8</v>
      </c>
      <c r="D1864" s="2" t="s">
        <v>787</v>
      </c>
      <c r="E1864" s="2" t="s">
        <v>804</v>
      </c>
      <c r="F1864" s="2" t="str" cm="1">
        <f t="array" ref="F1864">INDEX(_xlfn.TEXTSPLIT(E1864,"-"),2)</f>
        <v>男装</v>
      </c>
      <c r="G1864" s="2" t="str" cm="1">
        <f t="array" ref="G1864">INDEX(_xlfn.TEXTSPLIT(E1864,"-"),3)</f>
        <v>Polo衫</v>
      </c>
      <c r="H1864" s="5">
        <v>21920</v>
      </c>
      <c r="I1864" s="5">
        <v>3039824.02</v>
      </c>
      <c r="J1864" s="6">
        <v>0.0193</v>
      </c>
      <c r="K1864" s="6">
        <v>-0.4488</v>
      </c>
    </row>
    <row r="1865" ht="14.5" spans="1:11">
      <c r="A1865" s="3" t="str">
        <f t="shared" si="108"/>
        <v>2026年</v>
      </c>
      <c r="B1865" s="3" t="str">
        <f t="shared" si="109"/>
        <v>2月</v>
      </c>
      <c r="C1865" s="4" t="str">
        <f t="shared" si="110"/>
        <v>W8</v>
      </c>
      <c r="D1865" s="2" t="s">
        <v>787</v>
      </c>
      <c r="E1865" s="2" t="s">
        <v>805</v>
      </c>
      <c r="F1865" s="2" t="str" cm="1">
        <f t="array" ref="F1865">INDEX(_xlfn.TEXTSPLIT(E1865,"-"),2)</f>
        <v>男装</v>
      </c>
      <c r="G1865" s="2" t="str" cm="1">
        <f t="array" ref="G1865">INDEX(_xlfn.TEXTSPLIT(E1865,"-"),3)</f>
        <v>T恤</v>
      </c>
      <c r="H1865" s="5">
        <v>317155</v>
      </c>
      <c r="I1865" s="5">
        <v>22541428.11</v>
      </c>
      <c r="J1865" s="6">
        <v>0.1431</v>
      </c>
      <c r="K1865" s="6">
        <v>0.0884</v>
      </c>
    </row>
    <row r="1866" ht="14.5" spans="1:11">
      <c r="A1866" s="3" t="str">
        <f t="shared" si="108"/>
        <v>2026年</v>
      </c>
      <c r="B1866" s="3" t="str">
        <f t="shared" si="109"/>
        <v>2月</v>
      </c>
      <c r="C1866" s="4" t="str">
        <f t="shared" si="110"/>
        <v>W8</v>
      </c>
      <c r="D1866" s="2" t="s">
        <v>787</v>
      </c>
      <c r="E1866" s="2" t="s">
        <v>806</v>
      </c>
      <c r="F1866" s="2" t="str" cm="1">
        <f t="array" ref="F1866">INDEX(_xlfn.TEXTSPLIT(E1866,"-"),2)</f>
        <v>男装</v>
      </c>
      <c r="G1866" s="2" t="str" cm="1">
        <f t="array" ref="G1866">INDEX(_xlfn.TEXTSPLIT(E1866,"-"),3)</f>
        <v>中老年男装</v>
      </c>
      <c r="H1866" s="5">
        <v>12038</v>
      </c>
      <c r="I1866" s="5">
        <v>1054591.45</v>
      </c>
      <c r="J1866" s="6">
        <v>0.0067</v>
      </c>
      <c r="K1866" s="6">
        <v>-0.0024</v>
      </c>
    </row>
    <row r="1867" ht="14.5" spans="1:11">
      <c r="A1867" s="3" t="str">
        <f t="shared" si="108"/>
        <v>2026年</v>
      </c>
      <c r="B1867" s="3" t="str">
        <f t="shared" si="109"/>
        <v>2月</v>
      </c>
      <c r="C1867" s="4" t="str">
        <f t="shared" si="110"/>
        <v>W8</v>
      </c>
      <c r="D1867" s="2" t="s">
        <v>787</v>
      </c>
      <c r="E1867" s="2" t="s">
        <v>807</v>
      </c>
      <c r="F1867" s="2" t="str" cm="1">
        <f t="array" ref="F1867">INDEX(_xlfn.TEXTSPLIT(E1867,"-"),2)</f>
        <v>男装</v>
      </c>
      <c r="G1867" s="2" t="str" cm="1">
        <f t="array" ref="G1867">INDEX(_xlfn.TEXTSPLIT(E1867,"-"),3)</f>
        <v>休闲裤</v>
      </c>
      <c r="H1867" s="5">
        <v>149119</v>
      </c>
      <c r="I1867" s="5">
        <v>15833723.31</v>
      </c>
      <c r="J1867" s="6">
        <v>0.1005</v>
      </c>
      <c r="K1867" s="6">
        <v>-0.0125</v>
      </c>
    </row>
    <row r="1868" ht="14.5" spans="1:11">
      <c r="A1868" s="3" t="str">
        <f t="shared" si="108"/>
        <v>2026年</v>
      </c>
      <c r="B1868" s="3" t="str">
        <f t="shared" si="109"/>
        <v>2月</v>
      </c>
      <c r="C1868" s="4" t="str">
        <f t="shared" si="110"/>
        <v>W8</v>
      </c>
      <c r="D1868" s="2" t="s">
        <v>787</v>
      </c>
      <c r="E1868" s="2" t="s">
        <v>808</v>
      </c>
      <c r="F1868" s="2" t="str" cm="1">
        <f t="array" ref="F1868">INDEX(_xlfn.TEXTSPLIT(E1868,"-"),2)</f>
        <v>男装</v>
      </c>
      <c r="G1868" s="2" t="str" cm="1">
        <f t="array" ref="G1868">INDEX(_xlfn.TEXTSPLIT(E1868,"-"),3)</f>
        <v>卫衣</v>
      </c>
      <c r="H1868" s="5">
        <v>106945</v>
      </c>
      <c r="I1868" s="5">
        <v>12263606.87</v>
      </c>
      <c r="J1868" s="6">
        <v>0.0779</v>
      </c>
      <c r="K1868" s="6">
        <v>0.1442</v>
      </c>
    </row>
    <row r="1869" ht="14.5" spans="1:11">
      <c r="A1869" s="3" t="str">
        <f t="shared" si="108"/>
        <v>2026年</v>
      </c>
      <c r="B1869" s="3" t="str">
        <f t="shared" si="109"/>
        <v>2月</v>
      </c>
      <c r="C1869" s="4" t="str">
        <f t="shared" si="110"/>
        <v>W8</v>
      </c>
      <c r="D1869" s="2" t="s">
        <v>787</v>
      </c>
      <c r="E1869" s="2" t="s">
        <v>809</v>
      </c>
      <c r="F1869" s="2" t="str" cm="1">
        <f t="array" ref="F1869">INDEX(_xlfn.TEXTSPLIT(E1869,"-"),2)</f>
        <v>男装</v>
      </c>
      <c r="G1869" s="2" t="str" cm="1">
        <f t="array" ref="G1869">INDEX(_xlfn.TEXTSPLIT(E1869,"-"),3)</f>
        <v>卫裤</v>
      </c>
      <c r="H1869" s="5">
        <v>32675</v>
      </c>
      <c r="I1869" s="5">
        <v>3070932.04</v>
      </c>
      <c r="J1869" s="6">
        <v>0.0195</v>
      </c>
      <c r="K1869" s="6">
        <v>0.0801</v>
      </c>
    </row>
    <row r="1870" ht="14.5" spans="1:11">
      <c r="A1870" s="3" t="str">
        <f t="shared" si="108"/>
        <v>2026年</v>
      </c>
      <c r="B1870" s="3" t="str">
        <f t="shared" si="109"/>
        <v>2月</v>
      </c>
      <c r="C1870" s="4" t="str">
        <f t="shared" si="110"/>
        <v>W8</v>
      </c>
      <c r="D1870" s="2" t="s">
        <v>787</v>
      </c>
      <c r="E1870" s="2" t="s">
        <v>810</v>
      </c>
      <c r="F1870" s="2" t="str" cm="1">
        <f t="array" ref="F1870">INDEX(_xlfn.TEXTSPLIT(E1870,"-"),2)</f>
        <v>男装</v>
      </c>
      <c r="G1870" s="2" t="str" cm="1">
        <f t="array" ref="G1870">INDEX(_xlfn.TEXTSPLIT(E1870,"-"),3)</f>
        <v>大码男装</v>
      </c>
      <c r="H1870" s="5">
        <v>16891</v>
      </c>
      <c r="I1870" s="5">
        <v>1160681.75</v>
      </c>
      <c r="J1870" s="6">
        <v>0.0074</v>
      </c>
      <c r="K1870" s="6">
        <v>0.0655</v>
      </c>
    </row>
    <row r="1871" ht="14.5" spans="1:11">
      <c r="A1871" s="3" t="str">
        <f t="shared" si="108"/>
        <v>2026年</v>
      </c>
      <c r="B1871" s="3" t="str">
        <f t="shared" si="109"/>
        <v>2月</v>
      </c>
      <c r="C1871" s="4" t="str">
        <f t="shared" si="110"/>
        <v>W8</v>
      </c>
      <c r="D1871" s="2" t="s">
        <v>787</v>
      </c>
      <c r="E1871" s="2" t="s">
        <v>811</v>
      </c>
      <c r="F1871" s="2" t="str" cm="1">
        <f t="array" ref="F1871">INDEX(_xlfn.TEXTSPLIT(E1871,"-"),2)</f>
        <v>男装</v>
      </c>
      <c r="G1871" s="2" t="str" cm="1">
        <f t="array" ref="G1871">INDEX(_xlfn.TEXTSPLIT(E1871,"-"),3)</f>
        <v>夹克</v>
      </c>
      <c r="H1871" s="5">
        <v>172370</v>
      </c>
      <c r="I1871" s="5">
        <v>31775177.85</v>
      </c>
      <c r="J1871" s="6">
        <v>0.2018</v>
      </c>
      <c r="K1871" s="6">
        <v>0.1313</v>
      </c>
    </row>
    <row r="1872" ht="14.5" spans="1:11">
      <c r="A1872" s="3" t="str">
        <f t="shared" si="108"/>
        <v>2026年</v>
      </c>
      <c r="B1872" s="3" t="str">
        <f t="shared" si="109"/>
        <v>2月</v>
      </c>
      <c r="C1872" s="4" t="str">
        <f t="shared" si="110"/>
        <v>W8</v>
      </c>
      <c r="D1872" s="2" t="s">
        <v>787</v>
      </c>
      <c r="E1872" s="2" t="s">
        <v>812</v>
      </c>
      <c r="F1872" s="2" t="str" cm="1">
        <f t="array" ref="F1872">INDEX(_xlfn.TEXTSPLIT(E1872,"-"),2)</f>
        <v>男装</v>
      </c>
      <c r="G1872" s="2" t="str" cm="1">
        <f t="array" ref="G1872">INDEX(_xlfn.TEXTSPLIT(E1872,"-"),3)</f>
        <v>套装</v>
      </c>
      <c r="H1872" s="5">
        <v>19971</v>
      </c>
      <c r="I1872" s="5">
        <v>2752595.95</v>
      </c>
      <c r="J1872" s="6">
        <v>0.0175</v>
      </c>
      <c r="K1872" s="6">
        <v>0.0942</v>
      </c>
    </row>
    <row r="1873" ht="14.5" spans="1:11">
      <c r="A1873" s="3" t="str">
        <f t="shared" si="108"/>
        <v>2026年</v>
      </c>
      <c r="B1873" s="3" t="str">
        <f t="shared" si="109"/>
        <v>2月</v>
      </c>
      <c r="C1873" s="4" t="str">
        <f t="shared" si="110"/>
        <v>W8</v>
      </c>
      <c r="D1873" s="2" t="s">
        <v>787</v>
      </c>
      <c r="E1873" s="2" t="s">
        <v>813</v>
      </c>
      <c r="F1873" s="2" t="str" cm="1">
        <f t="array" ref="F1873">INDEX(_xlfn.TEXTSPLIT(E1873,"-"),2)</f>
        <v>男装</v>
      </c>
      <c r="G1873" s="2" t="str" cm="1">
        <f t="array" ref="G1873">INDEX(_xlfn.TEXTSPLIT(E1873,"-"),3)</f>
        <v>学生校服</v>
      </c>
      <c r="H1873" s="5">
        <v>1</v>
      </c>
      <c r="I1873" s="5">
        <v>29.82</v>
      </c>
      <c r="J1873" s="2" t="s">
        <v>713</v>
      </c>
      <c r="K1873" s="2" t="s">
        <v>360</v>
      </c>
    </row>
    <row r="1874" ht="14.5" spans="1:11">
      <c r="A1874" s="3" t="str">
        <f t="shared" si="108"/>
        <v>2026年</v>
      </c>
      <c r="B1874" s="3" t="str">
        <f t="shared" si="109"/>
        <v>2月</v>
      </c>
      <c r="C1874" s="4" t="str">
        <f t="shared" si="110"/>
        <v>W8</v>
      </c>
      <c r="D1874" s="2" t="s">
        <v>787</v>
      </c>
      <c r="E1874" s="2" t="s">
        <v>814</v>
      </c>
      <c r="F1874" s="2" t="str" cm="1">
        <f t="array" ref="F1874">INDEX(_xlfn.TEXTSPLIT(E1874,"-"),2)</f>
        <v>男装</v>
      </c>
      <c r="G1874" s="2" t="str" cm="1">
        <f t="array" ref="G1874">INDEX(_xlfn.TEXTSPLIT(E1874,"-"),3)</f>
        <v>打底衫</v>
      </c>
      <c r="H1874" s="5">
        <v>3410</v>
      </c>
      <c r="I1874" s="5">
        <v>184499.58</v>
      </c>
      <c r="J1874" s="6">
        <v>0.0012</v>
      </c>
      <c r="K1874" s="6">
        <v>-0.2585</v>
      </c>
    </row>
    <row r="1875" ht="14.5" spans="1:11">
      <c r="A1875" s="3" t="str">
        <f t="shared" si="108"/>
        <v>2026年</v>
      </c>
      <c r="B1875" s="3" t="str">
        <f t="shared" si="109"/>
        <v>2月</v>
      </c>
      <c r="C1875" s="4" t="str">
        <f t="shared" si="110"/>
        <v>W8</v>
      </c>
      <c r="D1875" s="2" t="s">
        <v>787</v>
      </c>
      <c r="E1875" s="2" t="s">
        <v>815</v>
      </c>
      <c r="F1875" s="2" t="str" cm="1">
        <f t="array" ref="F1875">INDEX(_xlfn.TEXTSPLIT(E1875,"-"),2)</f>
        <v>男装</v>
      </c>
      <c r="G1875" s="2" t="str" cm="1">
        <f t="array" ref="G1875">INDEX(_xlfn.TEXTSPLIT(E1875,"-"),3)</f>
        <v>新中式男装</v>
      </c>
      <c r="H1875" s="5">
        <v>824</v>
      </c>
      <c r="I1875" s="5">
        <v>192655.03</v>
      </c>
      <c r="J1875" s="6">
        <v>0.0012</v>
      </c>
      <c r="K1875" s="6">
        <v>3.9871</v>
      </c>
    </row>
    <row r="1876" ht="14.5" spans="1:11">
      <c r="A1876" s="3" t="str">
        <f t="shared" si="108"/>
        <v>2026年</v>
      </c>
      <c r="B1876" s="3" t="str">
        <f t="shared" si="109"/>
        <v>2月</v>
      </c>
      <c r="C1876" s="4" t="str">
        <f t="shared" si="110"/>
        <v>W8</v>
      </c>
      <c r="D1876" s="2" t="s">
        <v>787</v>
      </c>
      <c r="E1876" s="2" t="s">
        <v>816</v>
      </c>
      <c r="F1876" s="2" t="str" cm="1">
        <f t="array" ref="F1876">INDEX(_xlfn.TEXTSPLIT(E1876,"-"),2)</f>
        <v>男装</v>
      </c>
      <c r="G1876" s="2" t="str" cm="1">
        <f t="array" ref="G1876">INDEX(_xlfn.TEXTSPLIT(E1876,"-"),3)</f>
        <v>棉衣</v>
      </c>
      <c r="H1876" s="5">
        <v>21538</v>
      </c>
      <c r="I1876" s="5">
        <v>3465565.95</v>
      </c>
      <c r="J1876" s="6">
        <v>0.022</v>
      </c>
      <c r="K1876" s="6">
        <v>0.1687</v>
      </c>
    </row>
    <row r="1877" ht="14.5" spans="1:11">
      <c r="A1877" s="3" t="str">
        <f t="shared" si="108"/>
        <v>2026年</v>
      </c>
      <c r="B1877" s="3" t="str">
        <f t="shared" si="109"/>
        <v>2月</v>
      </c>
      <c r="C1877" s="4" t="str">
        <f t="shared" si="110"/>
        <v>W8</v>
      </c>
      <c r="D1877" s="2" t="s">
        <v>787</v>
      </c>
      <c r="E1877" s="2" t="s">
        <v>817</v>
      </c>
      <c r="F1877" s="2" t="str" cm="1">
        <f t="array" ref="F1877">INDEX(_xlfn.TEXTSPLIT(E1877,"-"),2)</f>
        <v>男装</v>
      </c>
      <c r="G1877" s="2" t="str" cm="1">
        <f t="array" ref="G1877">INDEX(_xlfn.TEXTSPLIT(E1877,"-"),3)</f>
        <v>棉裤</v>
      </c>
      <c r="H1877" s="5">
        <v>537</v>
      </c>
      <c r="I1877" s="5">
        <v>35222.14</v>
      </c>
      <c r="J1877" s="6">
        <v>0.0002</v>
      </c>
      <c r="K1877" s="6">
        <v>-0.2491</v>
      </c>
    </row>
    <row r="1878" ht="14.5" spans="1:11">
      <c r="A1878" s="3" t="str">
        <f t="shared" si="108"/>
        <v>2026年</v>
      </c>
      <c r="B1878" s="3" t="str">
        <f t="shared" si="109"/>
        <v>2月</v>
      </c>
      <c r="C1878" s="4" t="str">
        <f t="shared" si="110"/>
        <v>W8</v>
      </c>
      <c r="D1878" s="2" t="s">
        <v>787</v>
      </c>
      <c r="E1878" s="2" t="s">
        <v>818</v>
      </c>
      <c r="F1878" s="2" t="str" cm="1">
        <f t="array" ref="F1878">INDEX(_xlfn.TEXTSPLIT(E1878,"-"),2)</f>
        <v>男装</v>
      </c>
      <c r="G1878" s="2" t="str" cm="1">
        <f t="array" ref="G1878">INDEX(_xlfn.TEXTSPLIT(E1878,"-"),3)</f>
        <v>毛呢大衣</v>
      </c>
      <c r="H1878" s="5">
        <v>5297</v>
      </c>
      <c r="I1878" s="5">
        <v>1999127.08</v>
      </c>
      <c r="J1878" s="6">
        <v>0.0127</v>
      </c>
      <c r="K1878" s="6">
        <v>0.1679</v>
      </c>
    </row>
    <row r="1879" ht="14.5" spans="1:11">
      <c r="A1879" s="3" t="str">
        <f t="shared" si="108"/>
        <v>2026年</v>
      </c>
      <c r="B1879" s="3" t="str">
        <f t="shared" si="109"/>
        <v>2月</v>
      </c>
      <c r="C1879" s="4" t="str">
        <f t="shared" si="110"/>
        <v>W8</v>
      </c>
      <c r="D1879" s="2" t="s">
        <v>787</v>
      </c>
      <c r="E1879" s="2" t="s">
        <v>819</v>
      </c>
      <c r="F1879" s="2" t="str" cm="1">
        <f t="array" ref="F1879">INDEX(_xlfn.TEXTSPLIT(E1879,"-"),2)</f>
        <v>男装</v>
      </c>
      <c r="G1879" s="2" t="str" cm="1">
        <f t="array" ref="G1879">INDEX(_xlfn.TEXTSPLIT(E1879,"-"),3)</f>
        <v>民族服装</v>
      </c>
      <c r="H1879" s="5">
        <v>1088</v>
      </c>
      <c r="I1879" s="5">
        <v>234404.41</v>
      </c>
      <c r="J1879" s="6">
        <v>0.0015</v>
      </c>
      <c r="K1879" s="6">
        <v>0.1121</v>
      </c>
    </row>
    <row r="1880" ht="14.5" spans="1:11">
      <c r="A1880" s="3" t="str">
        <f t="shared" si="108"/>
        <v>2026年</v>
      </c>
      <c r="B1880" s="3" t="str">
        <f t="shared" si="109"/>
        <v>2月</v>
      </c>
      <c r="C1880" s="4" t="str">
        <f t="shared" si="110"/>
        <v>W8</v>
      </c>
      <c r="D1880" s="2" t="s">
        <v>787</v>
      </c>
      <c r="E1880" s="2" t="s">
        <v>820</v>
      </c>
      <c r="F1880" s="2" t="str" cm="1">
        <f t="array" ref="F1880">INDEX(_xlfn.TEXTSPLIT(E1880,"-"),2)</f>
        <v>男装</v>
      </c>
      <c r="G1880" s="2" t="str" cm="1">
        <f t="array" ref="G1880">INDEX(_xlfn.TEXTSPLIT(E1880,"-"),3)</f>
        <v>派克服</v>
      </c>
      <c r="H1880" s="5">
        <v>919</v>
      </c>
      <c r="I1880" s="5">
        <v>245356.55</v>
      </c>
      <c r="J1880" s="6">
        <v>0.0016</v>
      </c>
      <c r="K1880" s="6">
        <v>0.2104</v>
      </c>
    </row>
    <row r="1881" ht="14.5" spans="1:11">
      <c r="A1881" s="3" t="str">
        <f t="shared" si="108"/>
        <v>2026年</v>
      </c>
      <c r="B1881" s="3" t="str">
        <f t="shared" si="109"/>
        <v>2月</v>
      </c>
      <c r="C1881" s="4" t="str">
        <f t="shared" si="110"/>
        <v>W8</v>
      </c>
      <c r="D1881" s="2" t="s">
        <v>787</v>
      </c>
      <c r="E1881" s="2" t="s">
        <v>821</v>
      </c>
      <c r="F1881" s="2" t="str" cm="1">
        <f t="array" ref="F1881">INDEX(_xlfn.TEXTSPLIT(E1881,"-"),2)</f>
        <v>男装</v>
      </c>
      <c r="G1881" s="2" t="str" cm="1">
        <f t="array" ref="G1881">INDEX(_xlfn.TEXTSPLIT(E1881,"-"),3)</f>
        <v>牛仔裤</v>
      </c>
      <c r="H1881" s="5">
        <v>136330</v>
      </c>
      <c r="I1881" s="5">
        <v>16365467.72</v>
      </c>
      <c r="J1881" s="6">
        <v>0.1039</v>
      </c>
      <c r="K1881" s="6">
        <v>0.0441</v>
      </c>
    </row>
    <row r="1882" ht="14.5" spans="1:11">
      <c r="A1882" s="3" t="str">
        <f t="shared" si="108"/>
        <v>2026年</v>
      </c>
      <c r="B1882" s="3" t="str">
        <f t="shared" si="109"/>
        <v>2月</v>
      </c>
      <c r="C1882" s="4" t="str">
        <f t="shared" si="110"/>
        <v>W8</v>
      </c>
      <c r="D1882" s="2" t="s">
        <v>787</v>
      </c>
      <c r="E1882" s="2" t="s">
        <v>822</v>
      </c>
      <c r="F1882" s="2" t="str" cm="1">
        <f t="array" ref="F1882">INDEX(_xlfn.TEXTSPLIT(E1882,"-"),2)</f>
        <v>男装</v>
      </c>
      <c r="G1882" s="2" t="str" cm="1">
        <f t="array" ref="G1882">INDEX(_xlfn.TEXTSPLIT(E1882,"-"),3)</f>
        <v>皮草</v>
      </c>
      <c r="H1882" s="5">
        <v>310</v>
      </c>
      <c r="I1882" s="5">
        <v>225787.83</v>
      </c>
      <c r="J1882" s="6">
        <v>0.0014</v>
      </c>
      <c r="K1882" s="6">
        <v>-0.1315</v>
      </c>
    </row>
    <row r="1883" ht="14.5" spans="1:11">
      <c r="A1883" s="3" t="str">
        <f t="shared" si="108"/>
        <v>2026年</v>
      </c>
      <c r="B1883" s="3" t="str">
        <f t="shared" si="109"/>
        <v>2月</v>
      </c>
      <c r="C1883" s="4" t="str">
        <f t="shared" si="110"/>
        <v>W8</v>
      </c>
      <c r="D1883" s="2" t="s">
        <v>787</v>
      </c>
      <c r="E1883" s="2" t="s">
        <v>823</v>
      </c>
      <c r="F1883" s="2" t="str" cm="1">
        <f t="array" ref="F1883">INDEX(_xlfn.TEXTSPLIT(E1883,"-"),2)</f>
        <v>男装</v>
      </c>
      <c r="G1883" s="2" t="str" cm="1">
        <f t="array" ref="G1883">INDEX(_xlfn.TEXTSPLIT(E1883,"-"),3)</f>
        <v>皮衣</v>
      </c>
      <c r="H1883" s="5">
        <v>16566</v>
      </c>
      <c r="I1883" s="5">
        <v>5604354.21</v>
      </c>
      <c r="J1883" s="6">
        <v>0.0356</v>
      </c>
      <c r="K1883" s="6">
        <v>0.1095</v>
      </c>
    </row>
    <row r="1884" ht="14.5" spans="1:11">
      <c r="A1884" s="3" t="str">
        <f t="shared" ref="A1884:A1947" si="111">TEXT(YEAR(D1884),"0")&amp;"年"</f>
        <v>2026年</v>
      </c>
      <c r="B1884" s="3" t="str">
        <f t="shared" ref="B1884:B1947" si="112">TEXT(MONTH(D1884),"0")&amp;"月"</f>
        <v>2月</v>
      </c>
      <c r="C1884" s="4" t="str">
        <f t="shared" ref="C1884:C1947" si="113">"W"&amp;TEXT(WEEKNUM(D1884,2),"0")</f>
        <v>W8</v>
      </c>
      <c r="D1884" s="2" t="s">
        <v>787</v>
      </c>
      <c r="E1884" s="2" t="s">
        <v>824</v>
      </c>
      <c r="F1884" s="2" t="str" cm="1">
        <f t="array" ref="F1884">INDEX(_xlfn.TEXTSPLIT(E1884,"-"),2)</f>
        <v>男装</v>
      </c>
      <c r="G1884" s="2" t="str" cm="1">
        <f t="array" ref="G1884">INDEX(_xlfn.TEXTSPLIT(E1884,"-"),3)</f>
        <v>皮裤</v>
      </c>
      <c r="H1884" s="5">
        <v>262</v>
      </c>
      <c r="I1884" s="5">
        <v>43132.69</v>
      </c>
      <c r="J1884" s="6">
        <v>0.0003</v>
      </c>
      <c r="K1884" s="6">
        <v>0.0363</v>
      </c>
    </row>
    <row r="1885" ht="14.5" spans="1:11">
      <c r="A1885" s="3" t="str">
        <f t="shared" si="111"/>
        <v>2026年</v>
      </c>
      <c r="B1885" s="3" t="str">
        <f t="shared" si="112"/>
        <v>2月</v>
      </c>
      <c r="C1885" s="4" t="str">
        <f t="shared" si="113"/>
        <v>W8</v>
      </c>
      <c r="D1885" s="2" t="s">
        <v>787</v>
      </c>
      <c r="E1885" s="2" t="s">
        <v>825</v>
      </c>
      <c r="F1885" s="2" t="str" cm="1">
        <f t="array" ref="F1885">INDEX(_xlfn.TEXTSPLIT(E1885,"-"),2)</f>
        <v>男装</v>
      </c>
      <c r="G1885" s="2" t="str" cm="1">
        <f t="array" ref="G1885">INDEX(_xlfn.TEXTSPLIT(E1885,"-"),3)</f>
        <v>短外套</v>
      </c>
      <c r="H1885" s="5">
        <v>5351</v>
      </c>
      <c r="I1885" s="5">
        <v>1006375.97</v>
      </c>
      <c r="J1885" s="6">
        <v>0.0064</v>
      </c>
      <c r="K1885" s="6">
        <v>-0.3341</v>
      </c>
    </row>
    <row r="1886" ht="14.5" spans="1:11">
      <c r="A1886" s="3" t="str">
        <f t="shared" si="111"/>
        <v>2026年</v>
      </c>
      <c r="B1886" s="3" t="str">
        <f t="shared" si="112"/>
        <v>2月</v>
      </c>
      <c r="C1886" s="4" t="str">
        <f t="shared" si="113"/>
        <v>W8</v>
      </c>
      <c r="D1886" s="2" t="s">
        <v>787</v>
      </c>
      <c r="E1886" s="2" t="s">
        <v>826</v>
      </c>
      <c r="F1886" s="2" t="str" cm="1">
        <f t="array" ref="F1886">INDEX(_xlfn.TEXTSPLIT(E1886,"-"),2)</f>
        <v>男装</v>
      </c>
      <c r="G1886" s="2" t="str" cm="1">
        <f t="array" ref="G1886">INDEX(_xlfn.TEXTSPLIT(E1886,"-"),3)</f>
        <v>短裤</v>
      </c>
      <c r="H1886" s="5">
        <v>24970</v>
      </c>
      <c r="I1886" s="5">
        <v>987973.54</v>
      </c>
      <c r="J1886" s="6">
        <v>0.0063</v>
      </c>
      <c r="K1886" s="6">
        <v>0.1787</v>
      </c>
    </row>
    <row r="1887" ht="14.5" spans="1:11">
      <c r="A1887" s="3" t="str">
        <f t="shared" si="111"/>
        <v>2026年</v>
      </c>
      <c r="B1887" s="3" t="str">
        <f t="shared" si="112"/>
        <v>2月</v>
      </c>
      <c r="C1887" s="4" t="str">
        <f t="shared" si="113"/>
        <v>W8</v>
      </c>
      <c r="D1887" s="2" t="s">
        <v>787</v>
      </c>
      <c r="E1887" s="2" t="s">
        <v>827</v>
      </c>
      <c r="F1887" s="2" t="str" cm="1">
        <f t="array" ref="F1887">INDEX(_xlfn.TEXTSPLIT(E1887,"-"),2)</f>
        <v>男装</v>
      </c>
      <c r="G1887" s="2" t="str" cm="1">
        <f t="array" ref="G1887">INDEX(_xlfn.TEXTSPLIT(E1887,"-"),3)</f>
        <v>紧身衣</v>
      </c>
      <c r="H1887" s="5">
        <v>329</v>
      </c>
      <c r="I1887" s="5">
        <v>9863.9</v>
      </c>
      <c r="J1887" s="6">
        <v>0.0001</v>
      </c>
      <c r="K1887" s="6">
        <v>0.1904</v>
      </c>
    </row>
    <row r="1888" ht="14.5" spans="1:11">
      <c r="A1888" s="3" t="str">
        <f t="shared" si="111"/>
        <v>2026年</v>
      </c>
      <c r="B1888" s="3" t="str">
        <f t="shared" si="112"/>
        <v>2月</v>
      </c>
      <c r="C1888" s="4" t="str">
        <f t="shared" si="113"/>
        <v>W8</v>
      </c>
      <c r="D1888" s="2" t="s">
        <v>787</v>
      </c>
      <c r="E1888" s="2" t="s">
        <v>828</v>
      </c>
      <c r="F1888" s="2" t="str" cm="1">
        <f t="array" ref="F1888">INDEX(_xlfn.TEXTSPLIT(E1888,"-"),2)</f>
        <v>男装</v>
      </c>
      <c r="G1888" s="2" t="str" cm="1">
        <f t="array" ref="G1888">INDEX(_xlfn.TEXTSPLIT(E1888,"-"),3)</f>
        <v>羊毛衫</v>
      </c>
      <c r="H1888" s="5">
        <v>6606</v>
      </c>
      <c r="I1888" s="5">
        <v>1207059.58</v>
      </c>
      <c r="J1888" s="6">
        <v>0.0077</v>
      </c>
      <c r="K1888" s="6">
        <v>-0.1137</v>
      </c>
    </row>
    <row r="1889" ht="14.5" spans="1:11">
      <c r="A1889" s="3" t="str">
        <f t="shared" si="111"/>
        <v>2026年</v>
      </c>
      <c r="B1889" s="3" t="str">
        <f t="shared" si="112"/>
        <v>2月</v>
      </c>
      <c r="C1889" s="4" t="str">
        <f t="shared" si="113"/>
        <v>W8</v>
      </c>
      <c r="D1889" s="2" t="s">
        <v>787</v>
      </c>
      <c r="E1889" s="2" t="s">
        <v>829</v>
      </c>
      <c r="F1889" s="2" t="str" cm="1">
        <f t="array" ref="F1889">INDEX(_xlfn.TEXTSPLIT(E1889,"-"),2)</f>
        <v>男装</v>
      </c>
      <c r="G1889" s="2" t="str" cm="1">
        <f t="array" ref="G1889">INDEX(_xlfn.TEXTSPLIT(E1889,"-"),3)</f>
        <v>羊绒衫</v>
      </c>
      <c r="H1889" s="5">
        <v>1503</v>
      </c>
      <c r="I1889" s="5">
        <v>550843.76</v>
      </c>
      <c r="J1889" s="6">
        <v>0.0035</v>
      </c>
      <c r="K1889" s="6">
        <v>0.1292</v>
      </c>
    </row>
    <row r="1890" ht="14.5" spans="1:11">
      <c r="A1890" s="3" t="str">
        <f t="shared" si="111"/>
        <v>2026年</v>
      </c>
      <c r="B1890" s="3" t="str">
        <f t="shared" si="112"/>
        <v>2月</v>
      </c>
      <c r="C1890" s="4" t="str">
        <f t="shared" si="113"/>
        <v>W8</v>
      </c>
      <c r="D1890" s="2" t="s">
        <v>787</v>
      </c>
      <c r="E1890" s="2" t="s">
        <v>830</v>
      </c>
      <c r="F1890" s="2" t="str" cm="1">
        <f t="array" ref="F1890">INDEX(_xlfn.TEXTSPLIT(E1890,"-"),2)</f>
        <v>男装</v>
      </c>
      <c r="G1890" s="2" t="str" cm="1">
        <f t="array" ref="G1890">INDEX(_xlfn.TEXTSPLIT(E1890,"-"),3)</f>
        <v>羽绒服</v>
      </c>
      <c r="H1890" s="5">
        <v>25449</v>
      </c>
      <c r="I1890" s="5">
        <v>7572476.67</v>
      </c>
      <c r="J1890" s="6">
        <v>0.0481</v>
      </c>
      <c r="K1890" s="6">
        <v>-0.0784</v>
      </c>
    </row>
    <row r="1891" ht="14.5" spans="1:11">
      <c r="A1891" s="3" t="str">
        <f t="shared" si="111"/>
        <v>2026年</v>
      </c>
      <c r="B1891" s="3" t="str">
        <f t="shared" si="112"/>
        <v>2月</v>
      </c>
      <c r="C1891" s="4" t="str">
        <f t="shared" si="113"/>
        <v>W8</v>
      </c>
      <c r="D1891" s="2" t="s">
        <v>787</v>
      </c>
      <c r="E1891" s="2" t="s">
        <v>831</v>
      </c>
      <c r="F1891" s="2" t="str" cm="1">
        <f t="array" ref="F1891">INDEX(_xlfn.TEXTSPLIT(E1891,"-"),2)</f>
        <v>男装</v>
      </c>
      <c r="G1891" s="2" t="str" cm="1">
        <f t="array" ref="G1891">INDEX(_xlfn.TEXTSPLIT(E1891,"-"),3)</f>
        <v>羽绒裤</v>
      </c>
      <c r="H1891" s="5">
        <v>236</v>
      </c>
      <c r="I1891" s="5">
        <v>31281.64</v>
      </c>
      <c r="J1891" s="6">
        <v>0.0002</v>
      </c>
      <c r="K1891" s="6">
        <v>-0.0598</v>
      </c>
    </row>
    <row r="1892" ht="14.5" spans="1:11">
      <c r="A1892" s="3" t="str">
        <f t="shared" si="111"/>
        <v>2026年</v>
      </c>
      <c r="B1892" s="3" t="str">
        <f t="shared" si="112"/>
        <v>2月</v>
      </c>
      <c r="C1892" s="4" t="str">
        <f t="shared" si="113"/>
        <v>W8</v>
      </c>
      <c r="D1892" s="2" t="s">
        <v>787</v>
      </c>
      <c r="E1892" s="2" t="s">
        <v>832</v>
      </c>
      <c r="F1892" s="2" t="str" cm="1">
        <f t="array" ref="F1892">INDEX(_xlfn.TEXTSPLIT(E1892,"-"),2)</f>
        <v>男装</v>
      </c>
      <c r="G1892" s="2" t="str" cm="1">
        <f t="array" ref="G1892">INDEX(_xlfn.TEXTSPLIT(E1892,"-"),3)</f>
        <v>羽绒马甲</v>
      </c>
      <c r="H1892" s="5">
        <v>1841</v>
      </c>
      <c r="I1892" s="5">
        <v>338304.58</v>
      </c>
      <c r="J1892" s="6">
        <v>0.0021</v>
      </c>
      <c r="K1892" s="6">
        <v>-0.0734</v>
      </c>
    </row>
    <row r="1893" ht="14.5" spans="1:11">
      <c r="A1893" s="3" t="str">
        <f t="shared" si="111"/>
        <v>2026年</v>
      </c>
      <c r="B1893" s="3" t="str">
        <f t="shared" si="112"/>
        <v>2月</v>
      </c>
      <c r="C1893" s="4" t="str">
        <f t="shared" si="113"/>
        <v>W8</v>
      </c>
      <c r="D1893" s="2" t="s">
        <v>787</v>
      </c>
      <c r="E1893" s="2" t="s">
        <v>833</v>
      </c>
      <c r="F1893" s="2" t="str" cm="1">
        <f t="array" ref="F1893">INDEX(_xlfn.TEXTSPLIT(E1893,"-"),2)</f>
        <v>男装</v>
      </c>
      <c r="G1893" s="2" t="str" cm="1">
        <f t="array" ref="G1893">INDEX(_xlfn.TEXTSPLIT(E1893,"-"),3)</f>
        <v>背心</v>
      </c>
      <c r="H1893" s="5">
        <v>19621</v>
      </c>
      <c r="I1893" s="5">
        <v>867224.91</v>
      </c>
      <c r="J1893" s="6">
        <v>0.0055</v>
      </c>
      <c r="K1893" s="6">
        <v>0.0639</v>
      </c>
    </row>
    <row r="1894" ht="14.5" spans="1:11">
      <c r="A1894" s="3" t="str">
        <f t="shared" si="111"/>
        <v>2026年</v>
      </c>
      <c r="B1894" s="3" t="str">
        <f t="shared" si="112"/>
        <v>2月</v>
      </c>
      <c r="C1894" s="4" t="str">
        <f t="shared" si="113"/>
        <v>W8</v>
      </c>
      <c r="D1894" s="2" t="s">
        <v>787</v>
      </c>
      <c r="E1894" s="2" t="s">
        <v>834</v>
      </c>
      <c r="F1894" s="2" t="str" cm="1">
        <f t="array" ref="F1894">INDEX(_xlfn.TEXTSPLIT(E1894,"-"),2)</f>
        <v>男装</v>
      </c>
      <c r="G1894" s="2" t="str" cm="1">
        <f t="array" ref="G1894">INDEX(_xlfn.TEXTSPLIT(E1894,"-"),3)</f>
        <v>衬衫</v>
      </c>
      <c r="H1894" s="5">
        <v>43206</v>
      </c>
      <c r="I1894" s="5">
        <v>5544815.8</v>
      </c>
      <c r="J1894" s="6">
        <v>0.0352</v>
      </c>
      <c r="K1894" s="6">
        <v>0.108</v>
      </c>
    </row>
    <row r="1895" ht="14.5" spans="1:11">
      <c r="A1895" s="3" t="str">
        <f t="shared" si="111"/>
        <v>2026年</v>
      </c>
      <c r="B1895" s="3" t="str">
        <f t="shared" si="112"/>
        <v>2月</v>
      </c>
      <c r="C1895" s="4" t="str">
        <f t="shared" si="113"/>
        <v>W8</v>
      </c>
      <c r="D1895" s="2" t="s">
        <v>787</v>
      </c>
      <c r="E1895" s="2" t="s">
        <v>835</v>
      </c>
      <c r="F1895" s="2" t="str" cm="1">
        <f t="array" ref="F1895">INDEX(_xlfn.TEXTSPLIT(E1895,"-"),2)</f>
        <v>男装</v>
      </c>
      <c r="G1895" s="2" t="str" cm="1">
        <f t="array" ref="G1895">INDEX(_xlfn.TEXTSPLIT(E1895,"-"),3)</f>
        <v>西服</v>
      </c>
      <c r="H1895" s="5">
        <v>26805</v>
      </c>
      <c r="I1895" s="5">
        <v>6405698.23</v>
      </c>
      <c r="J1895" s="6">
        <v>0.0407</v>
      </c>
      <c r="K1895" s="6">
        <v>0.017</v>
      </c>
    </row>
    <row r="1896" ht="14.5" spans="1:11">
      <c r="A1896" s="3" t="str">
        <f t="shared" si="111"/>
        <v>2026年</v>
      </c>
      <c r="B1896" s="3" t="str">
        <f t="shared" si="112"/>
        <v>2月</v>
      </c>
      <c r="C1896" s="4" t="str">
        <f t="shared" si="113"/>
        <v>W8</v>
      </c>
      <c r="D1896" s="2" t="s">
        <v>787</v>
      </c>
      <c r="E1896" s="2" t="s">
        <v>836</v>
      </c>
      <c r="F1896" s="2" t="str" cm="1">
        <f t="array" ref="F1896">INDEX(_xlfn.TEXTSPLIT(E1896,"-"),2)</f>
        <v>男装</v>
      </c>
      <c r="G1896" s="2" t="str" cm="1">
        <f t="array" ref="G1896">INDEX(_xlfn.TEXTSPLIT(E1896,"-"),3)</f>
        <v>连体衣/裤</v>
      </c>
      <c r="H1896" s="5">
        <v>977</v>
      </c>
      <c r="I1896" s="5">
        <v>29244.5</v>
      </c>
      <c r="J1896" s="6">
        <v>0.0002</v>
      </c>
      <c r="K1896" s="6">
        <v>0.0973</v>
      </c>
    </row>
    <row r="1897" ht="14.5" spans="1:11">
      <c r="A1897" s="3" t="str">
        <f t="shared" si="111"/>
        <v>2026年</v>
      </c>
      <c r="B1897" s="3" t="str">
        <f t="shared" si="112"/>
        <v>2月</v>
      </c>
      <c r="C1897" s="4" t="str">
        <f t="shared" si="113"/>
        <v>W8</v>
      </c>
      <c r="D1897" s="2" t="s">
        <v>787</v>
      </c>
      <c r="E1897" s="2" t="s">
        <v>837</v>
      </c>
      <c r="F1897" s="2" t="str" cm="1">
        <f t="array" ref="F1897">INDEX(_xlfn.TEXTSPLIT(E1897,"-"),2)</f>
        <v>男装</v>
      </c>
      <c r="G1897" s="2" t="str" cm="1">
        <f t="array" ref="G1897">INDEX(_xlfn.TEXTSPLIT(E1897,"-"),3)</f>
        <v>速干/三防T恤</v>
      </c>
      <c r="H1897" s="5">
        <v>497</v>
      </c>
      <c r="I1897" s="5">
        <v>94199.95</v>
      </c>
      <c r="J1897" s="6">
        <v>0.0006</v>
      </c>
      <c r="K1897" s="6">
        <v>0.3776</v>
      </c>
    </row>
    <row r="1898" ht="14.5" spans="1:11">
      <c r="A1898" s="3" t="str">
        <f t="shared" si="111"/>
        <v>2026年</v>
      </c>
      <c r="B1898" s="3" t="str">
        <f t="shared" si="112"/>
        <v>2月</v>
      </c>
      <c r="C1898" s="4" t="str">
        <f t="shared" si="113"/>
        <v>W8</v>
      </c>
      <c r="D1898" s="2" t="s">
        <v>787</v>
      </c>
      <c r="E1898" s="2" t="s">
        <v>838</v>
      </c>
      <c r="F1898" s="2" t="str" cm="1">
        <f t="array" ref="F1898">INDEX(_xlfn.TEXTSPLIT(E1898,"-"),2)</f>
        <v>男装</v>
      </c>
      <c r="G1898" s="2" t="str" cm="1">
        <f t="array" ref="G1898">INDEX(_xlfn.TEXTSPLIT(E1898,"-"),3)</f>
        <v>针织衫/毛衣</v>
      </c>
      <c r="H1898" s="5">
        <v>55101</v>
      </c>
      <c r="I1898" s="5">
        <v>7975371.51</v>
      </c>
      <c r="J1898" s="6">
        <v>0.0506</v>
      </c>
      <c r="K1898" s="6">
        <v>-0.0604</v>
      </c>
    </row>
    <row r="1899" ht="14.5" spans="1:11">
      <c r="A1899" s="3" t="str">
        <f t="shared" si="111"/>
        <v>2026年</v>
      </c>
      <c r="B1899" s="3" t="str">
        <f t="shared" si="112"/>
        <v>2月</v>
      </c>
      <c r="C1899" s="4" t="str">
        <f t="shared" si="113"/>
        <v>W8</v>
      </c>
      <c r="D1899" s="2" t="s">
        <v>787</v>
      </c>
      <c r="E1899" s="2" t="s">
        <v>839</v>
      </c>
      <c r="F1899" s="2" t="str" cm="1">
        <f t="array" ref="F1899">INDEX(_xlfn.TEXTSPLIT(E1899,"-"),2)</f>
        <v>男装</v>
      </c>
      <c r="G1899" s="2" t="str" cm="1">
        <f t="array" ref="G1899">INDEX(_xlfn.TEXTSPLIT(E1899,"-"),3)</f>
        <v>防晒服</v>
      </c>
      <c r="H1899" s="5">
        <v>9093</v>
      </c>
      <c r="I1899" s="5">
        <v>890507</v>
      </c>
      <c r="J1899" s="6">
        <v>0.0057</v>
      </c>
      <c r="K1899" s="6">
        <v>33.0285</v>
      </c>
    </row>
    <row r="1900" ht="14.5" spans="1:11">
      <c r="A1900" s="3" t="str">
        <f t="shared" si="111"/>
        <v>2026年</v>
      </c>
      <c r="B1900" s="3" t="str">
        <f t="shared" si="112"/>
        <v>2月</v>
      </c>
      <c r="C1900" s="4" t="str">
        <f t="shared" si="113"/>
        <v>W8</v>
      </c>
      <c r="D1900" s="2" t="s">
        <v>787</v>
      </c>
      <c r="E1900" s="2" t="s">
        <v>840</v>
      </c>
      <c r="F1900" s="2" t="str" cm="1">
        <f t="array" ref="F1900">INDEX(_xlfn.TEXTSPLIT(E1900,"-"),2)</f>
        <v>男装</v>
      </c>
      <c r="G1900" s="2" t="str" cm="1">
        <f t="array" ref="G1900">INDEX(_xlfn.TEXTSPLIT(E1900,"-"),3)</f>
        <v>风衣</v>
      </c>
      <c r="H1900" s="5">
        <v>3675</v>
      </c>
      <c r="I1900" s="5">
        <v>966343.45</v>
      </c>
      <c r="J1900" s="6">
        <v>0.0061</v>
      </c>
      <c r="K1900" s="6">
        <v>0.0479</v>
      </c>
    </row>
    <row r="1901" ht="14.5" spans="1:11">
      <c r="A1901" s="3" t="str">
        <f t="shared" si="111"/>
        <v>2026年</v>
      </c>
      <c r="B1901" s="3" t="str">
        <f t="shared" si="112"/>
        <v>2月</v>
      </c>
      <c r="C1901" s="4" t="str">
        <f t="shared" si="113"/>
        <v>W8</v>
      </c>
      <c r="D1901" s="2" t="s">
        <v>787</v>
      </c>
      <c r="E1901" s="2" t="s">
        <v>841</v>
      </c>
      <c r="F1901" s="2" t="str" cm="1">
        <f t="array" ref="F1901">INDEX(_xlfn.TEXTSPLIT(E1901,"-"),2)</f>
        <v>男装</v>
      </c>
      <c r="G1901" s="2" t="str" cm="1">
        <f t="array" ref="G1901">INDEX(_xlfn.TEXTSPLIT(E1901,"-"),3)</f>
        <v>马甲</v>
      </c>
      <c r="H1901" s="5">
        <v>9344</v>
      </c>
      <c r="I1901" s="5">
        <v>919640.5</v>
      </c>
      <c r="J1901" s="6">
        <v>0.0058</v>
      </c>
      <c r="K1901" s="6">
        <v>-0.1294</v>
      </c>
    </row>
    <row r="1902" ht="14.5" spans="1:11">
      <c r="A1902" s="3" t="str">
        <f t="shared" si="111"/>
        <v>2026年</v>
      </c>
      <c r="B1902" s="3" t="str">
        <f t="shared" si="112"/>
        <v>2月</v>
      </c>
      <c r="C1902" s="4" t="str">
        <f t="shared" si="113"/>
        <v>W8</v>
      </c>
      <c r="D1902" s="2" t="s">
        <v>788</v>
      </c>
      <c r="E1902" s="2" t="s">
        <v>804</v>
      </c>
      <c r="F1902" s="2" t="str" cm="1">
        <f t="array" ref="F1902">INDEX(_xlfn.TEXTSPLIT(E1902,"-"),2)</f>
        <v>男装</v>
      </c>
      <c r="G1902" s="2" t="str" cm="1">
        <f t="array" ref="G1902">INDEX(_xlfn.TEXTSPLIT(E1902,"-"),3)</f>
        <v>Polo衫</v>
      </c>
      <c r="H1902" s="5">
        <v>27226</v>
      </c>
      <c r="I1902" s="5">
        <v>5487438.73</v>
      </c>
      <c r="J1902" s="6">
        <v>0.0312</v>
      </c>
      <c r="K1902" s="6">
        <v>0.8052</v>
      </c>
    </row>
    <row r="1903" ht="14.5" spans="1:11">
      <c r="A1903" s="3" t="str">
        <f t="shared" si="111"/>
        <v>2026年</v>
      </c>
      <c r="B1903" s="3" t="str">
        <f t="shared" si="112"/>
        <v>2月</v>
      </c>
      <c r="C1903" s="4" t="str">
        <f t="shared" si="113"/>
        <v>W8</v>
      </c>
      <c r="D1903" s="2" t="s">
        <v>788</v>
      </c>
      <c r="E1903" s="2" t="s">
        <v>805</v>
      </c>
      <c r="F1903" s="2" t="str" cm="1">
        <f t="array" ref="F1903">INDEX(_xlfn.TEXTSPLIT(E1903,"-"),2)</f>
        <v>男装</v>
      </c>
      <c r="G1903" s="2" t="str" cm="1">
        <f t="array" ref="G1903">INDEX(_xlfn.TEXTSPLIT(E1903,"-"),3)</f>
        <v>T恤</v>
      </c>
      <c r="H1903" s="5">
        <v>413448</v>
      </c>
      <c r="I1903" s="5">
        <v>27046256.03</v>
      </c>
      <c r="J1903" s="6">
        <v>0.1539</v>
      </c>
      <c r="K1903" s="6">
        <v>0.1998</v>
      </c>
    </row>
    <row r="1904" ht="14.5" spans="1:11">
      <c r="A1904" s="3" t="str">
        <f t="shared" si="111"/>
        <v>2026年</v>
      </c>
      <c r="B1904" s="3" t="str">
        <f t="shared" si="112"/>
        <v>2月</v>
      </c>
      <c r="C1904" s="4" t="str">
        <f t="shared" si="113"/>
        <v>W8</v>
      </c>
      <c r="D1904" s="2" t="s">
        <v>788</v>
      </c>
      <c r="E1904" s="2" t="s">
        <v>806</v>
      </c>
      <c r="F1904" s="2" t="str" cm="1">
        <f t="array" ref="F1904">INDEX(_xlfn.TEXTSPLIT(E1904,"-"),2)</f>
        <v>男装</v>
      </c>
      <c r="G1904" s="2" t="str" cm="1">
        <f t="array" ref="G1904">INDEX(_xlfn.TEXTSPLIT(E1904,"-"),3)</f>
        <v>中老年男装</v>
      </c>
      <c r="H1904" s="5">
        <v>15713</v>
      </c>
      <c r="I1904" s="5">
        <v>1163182.83</v>
      </c>
      <c r="J1904" s="6">
        <v>0.0066</v>
      </c>
      <c r="K1904" s="6">
        <v>0.103</v>
      </c>
    </row>
    <row r="1905" ht="14.5" spans="1:11">
      <c r="A1905" s="3" t="str">
        <f t="shared" si="111"/>
        <v>2026年</v>
      </c>
      <c r="B1905" s="3" t="str">
        <f t="shared" si="112"/>
        <v>2月</v>
      </c>
      <c r="C1905" s="4" t="str">
        <f t="shared" si="113"/>
        <v>W8</v>
      </c>
      <c r="D1905" s="2" t="s">
        <v>788</v>
      </c>
      <c r="E1905" s="2" t="s">
        <v>807</v>
      </c>
      <c r="F1905" s="2" t="str" cm="1">
        <f t="array" ref="F1905">INDEX(_xlfn.TEXTSPLIT(E1905,"-"),2)</f>
        <v>男装</v>
      </c>
      <c r="G1905" s="2" t="str" cm="1">
        <f t="array" ref="G1905">INDEX(_xlfn.TEXTSPLIT(E1905,"-"),3)</f>
        <v>休闲裤</v>
      </c>
      <c r="H1905" s="5">
        <v>170861</v>
      </c>
      <c r="I1905" s="5">
        <v>18295419.77</v>
      </c>
      <c r="J1905" s="6">
        <v>0.1041</v>
      </c>
      <c r="K1905" s="6">
        <v>0.1555</v>
      </c>
    </row>
    <row r="1906" ht="14.5" spans="1:11">
      <c r="A1906" s="3" t="str">
        <f t="shared" si="111"/>
        <v>2026年</v>
      </c>
      <c r="B1906" s="3" t="str">
        <f t="shared" si="112"/>
        <v>2月</v>
      </c>
      <c r="C1906" s="4" t="str">
        <f t="shared" si="113"/>
        <v>W8</v>
      </c>
      <c r="D1906" s="2" t="s">
        <v>788</v>
      </c>
      <c r="E1906" s="2" t="s">
        <v>808</v>
      </c>
      <c r="F1906" s="2" t="str" cm="1">
        <f t="array" ref="F1906">INDEX(_xlfn.TEXTSPLIT(E1906,"-"),2)</f>
        <v>男装</v>
      </c>
      <c r="G1906" s="2" t="str" cm="1">
        <f t="array" ref="G1906">INDEX(_xlfn.TEXTSPLIT(E1906,"-"),3)</f>
        <v>卫衣</v>
      </c>
      <c r="H1906" s="5">
        <v>116103</v>
      </c>
      <c r="I1906" s="5">
        <v>12059879</v>
      </c>
      <c r="J1906" s="6">
        <v>0.0686</v>
      </c>
      <c r="K1906" s="6">
        <v>-0.0166</v>
      </c>
    </row>
    <row r="1907" ht="14.5" spans="1:11">
      <c r="A1907" s="3" t="str">
        <f t="shared" si="111"/>
        <v>2026年</v>
      </c>
      <c r="B1907" s="3" t="str">
        <f t="shared" si="112"/>
        <v>2月</v>
      </c>
      <c r="C1907" s="4" t="str">
        <f t="shared" si="113"/>
        <v>W8</v>
      </c>
      <c r="D1907" s="2" t="s">
        <v>788</v>
      </c>
      <c r="E1907" s="2" t="s">
        <v>809</v>
      </c>
      <c r="F1907" s="2" t="str" cm="1">
        <f t="array" ref="F1907">INDEX(_xlfn.TEXTSPLIT(E1907,"-"),2)</f>
        <v>男装</v>
      </c>
      <c r="G1907" s="2" t="str" cm="1">
        <f t="array" ref="G1907">INDEX(_xlfn.TEXTSPLIT(E1907,"-"),3)</f>
        <v>卫裤</v>
      </c>
      <c r="H1907" s="5">
        <v>32381</v>
      </c>
      <c r="I1907" s="5">
        <v>3006751.31</v>
      </c>
      <c r="J1907" s="6">
        <v>0.0171</v>
      </c>
      <c r="K1907" s="6">
        <v>-0.0209</v>
      </c>
    </row>
    <row r="1908" ht="14.5" spans="1:11">
      <c r="A1908" s="3" t="str">
        <f t="shared" si="111"/>
        <v>2026年</v>
      </c>
      <c r="B1908" s="3" t="str">
        <f t="shared" si="112"/>
        <v>2月</v>
      </c>
      <c r="C1908" s="4" t="str">
        <f t="shared" si="113"/>
        <v>W8</v>
      </c>
      <c r="D1908" s="2" t="s">
        <v>788</v>
      </c>
      <c r="E1908" s="2" t="s">
        <v>810</v>
      </c>
      <c r="F1908" s="2" t="str" cm="1">
        <f t="array" ref="F1908">INDEX(_xlfn.TEXTSPLIT(E1908,"-"),2)</f>
        <v>男装</v>
      </c>
      <c r="G1908" s="2" t="str" cm="1">
        <f t="array" ref="G1908">INDEX(_xlfn.TEXTSPLIT(E1908,"-"),3)</f>
        <v>大码男装</v>
      </c>
      <c r="H1908" s="5">
        <v>20347</v>
      </c>
      <c r="I1908" s="5">
        <v>1293744.62</v>
      </c>
      <c r="J1908" s="6">
        <v>0.0074</v>
      </c>
      <c r="K1908" s="6">
        <v>0.1146</v>
      </c>
    </row>
    <row r="1909" ht="14.5" spans="1:11">
      <c r="A1909" s="3" t="str">
        <f t="shared" si="111"/>
        <v>2026年</v>
      </c>
      <c r="B1909" s="3" t="str">
        <f t="shared" si="112"/>
        <v>2月</v>
      </c>
      <c r="C1909" s="4" t="str">
        <f t="shared" si="113"/>
        <v>W8</v>
      </c>
      <c r="D1909" s="2" t="s">
        <v>788</v>
      </c>
      <c r="E1909" s="2" t="s">
        <v>811</v>
      </c>
      <c r="F1909" s="2" t="str" cm="1">
        <f t="array" ref="F1909">INDEX(_xlfn.TEXTSPLIT(E1909,"-"),2)</f>
        <v>男装</v>
      </c>
      <c r="G1909" s="2" t="str" cm="1">
        <f t="array" ref="G1909">INDEX(_xlfn.TEXTSPLIT(E1909,"-"),3)</f>
        <v>夹克</v>
      </c>
      <c r="H1909" s="5">
        <v>200655</v>
      </c>
      <c r="I1909" s="5">
        <v>35638842.44</v>
      </c>
      <c r="J1909" s="6">
        <v>0.2028</v>
      </c>
      <c r="K1909" s="6">
        <v>0.1216</v>
      </c>
    </row>
    <row r="1910" ht="14.5" spans="1:11">
      <c r="A1910" s="3" t="str">
        <f t="shared" si="111"/>
        <v>2026年</v>
      </c>
      <c r="B1910" s="3" t="str">
        <f t="shared" si="112"/>
        <v>2月</v>
      </c>
      <c r="C1910" s="4" t="str">
        <f t="shared" si="113"/>
        <v>W8</v>
      </c>
      <c r="D1910" s="2" t="s">
        <v>788</v>
      </c>
      <c r="E1910" s="2" t="s">
        <v>812</v>
      </c>
      <c r="F1910" s="2" t="str" cm="1">
        <f t="array" ref="F1910">INDEX(_xlfn.TEXTSPLIT(E1910,"-"),2)</f>
        <v>男装</v>
      </c>
      <c r="G1910" s="2" t="str" cm="1">
        <f t="array" ref="G1910">INDEX(_xlfn.TEXTSPLIT(E1910,"-"),3)</f>
        <v>套装</v>
      </c>
      <c r="H1910" s="5">
        <v>23128</v>
      </c>
      <c r="I1910" s="5">
        <v>2799711.47</v>
      </c>
      <c r="J1910" s="6">
        <v>0.0159</v>
      </c>
      <c r="K1910" s="6">
        <v>0.0171</v>
      </c>
    </row>
    <row r="1911" ht="14.5" spans="1:11">
      <c r="A1911" s="3" t="str">
        <f t="shared" si="111"/>
        <v>2026年</v>
      </c>
      <c r="B1911" s="3" t="str">
        <f t="shared" si="112"/>
        <v>2月</v>
      </c>
      <c r="C1911" s="4" t="str">
        <f t="shared" si="113"/>
        <v>W8</v>
      </c>
      <c r="D1911" s="2" t="s">
        <v>788</v>
      </c>
      <c r="E1911" s="2" t="s">
        <v>813</v>
      </c>
      <c r="F1911" s="2" t="str" cm="1">
        <f t="array" ref="F1911">INDEX(_xlfn.TEXTSPLIT(E1911,"-"),2)</f>
        <v>男装</v>
      </c>
      <c r="G1911" s="2" t="str" cm="1">
        <f t="array" ref="G1911">INDEX(_xlfn.TEXTSPLIT(E1911,"-"),3)</f>
        <v>学生校服</v>
      </c>
      <c r="H1911" s="5">
        <v>0</v>
      </c>
      <c r="I1911" s="5">
        <v>0</v>
      </c>
      <c r="J1911" s="7">
        <v>0</v>
      </c>
      <c r="K1911" s="7">
        <v>-1</v>
      </c>
    </row>
    <row r="1912" ht="14.5" spans="1:11">
      <c r="A1912" s="3" t="str">
        <f t="shared" si="111"/>
        <v>2026年</v>
      </c>
      <c r="B1912" s="3" t="str">
        <f t="shared" si="112"/>
        <v>2月</v>
      </c>
      <c r="C1912" s="4" t="str">
        <f t="shared" si="113"/>
        <v>W8</v>
      </c>
      <c r="D1912" s="2" t="s">
        <v>788</v>
      </c>
      <c r="E1912" s="2" t="s">
        <v>814</v>
      </c>
      <c r="F1912" s="2" t="str" cm="1">
        <f t="array" ref="F1912">INDEX(_xlfn.TEXTSPLIT(E1912,"-"),2)</f>
        <v>男装</v>
      </c>
      <c r="G1912" s="2" t="str" cm="1">
        <f t="array" ref="G1912">INDEX(_xlfn.TEXTSPLIT(E1912,"-"),3)</f>
        <v>打底衫</v>
      </c>
      <c r="H1912" s="5">
        <v>5587</v>
      </c>
      <c r="I1912" s="5">
        <v>273238.06</v>
      </c>
      <c r="J1912" s="6">
        <v>0.0016</v>
      </c>
      <c r="K1912" s="6">
        <v>0.481</v>
      </c>
    </row>
    <row r="1913" ht="14.5" spans="1:11">
      <c r="A1913" s="3" t="str">
        <f t="shared" si="111"/>
        <v>2026年</v>
      </c>
      <c r="B1913" s="3" t="str">
        <f t="shared" si="112"/>
        <v>2月</v>
      </c>
      <c r="C1913" s="4" t="str">
        <f t="shared" si="113"/>
        <v>W8</v>
      </c>
      <c r="D1913" s="2" t="s">
        <v>788</v>
      </c>
      <c r="E1913" s="2" t="s">
        <v>815</v>
      </c>
      <c r="F1913" s="2" t="str" cm="1">
        <f t="array" ref="F1913">INDEX(_xlfn.TEXTSPLIT(E1913,"-"),2)</f>
        <v>男装</v>
      </c>
      <c r="G1913" s="2" t="str" cm="1">
        <f t="array" ref="G1913">INDEX(_xlfn.TEXTSPLIT(E1913,"-"),3)</f>
        <v>新中式男装</v>
      </c>
      <c r="H1913" s="5">
        <v>438</v>
      </c>
      <c r="I1913" s="5">
        <v>104555.46</v>
      </c>
      <c r="J1913" s="6">
        <v>0.0006</v>
      </c>
      <c r="K1913" s="6">
        <v>-0.4573</v>
      </c>
    </row>
    <row r="1914" ht="14.5" spans="1:11">
      <c r="A1914" s="3" t="str">
        <f t="shared" si="111"/>
        <v>2026年</v>
      </c>
      <c r="B1914" s="3" t="str">
        <f t="shared" si="112"/>
        <v>2月</v>
      </c>
      <c r="C1914" s="4" t="str">
        <f t="shared" si="113"/>
        <v>W8</v>
      </c>
      <c r="D1914" s="2" t="s">
        <v>788</v>
      </c>
      <c r="E1914" s="2" t="s">
        <v>816</v>
      </c>
      <c r="F1914" s="2" t="str" cm="1">
        <f t="array" ref="F1914">INDEX(_xlfn.TEXTSPLIT(E1914,"-"),2)</f>
        <v>男装</v>
      </c>
      <c r="G1914" s="2" t="str" cm="1">
        <f t="array" ref="G1914">INDEX(_xlfn.TEXTSPLIT(E1914,"-"),3)</f>
        <v>棉衣</v>
      </c>
      <c r="H1914" s="5">
        <v>22266</v>
      </c>
      <c r="I1914" s="5">
        <v>3256831.71</v>
      </c>
      <c r="J1914" s="6">
        <v>0.0185</v>
      </c>
      <c r="K1914" s="6">
        <v>-0.0602</v>
      </c>
    </row>
    <row r="1915" ht="14.5" spans="1:11">
      <c r="A1915" s="3" t="str">
        <f t="shared" si="111"/>
        <v>2026年</v>
      </c>
      <c r="B1915" s="3" t="str">
        <f t="shared" si="112"/>
        <v>2月</v>
      </c>
      <c r="C1915" s="4" t="str">
        <f t="shared" si="113"/>
        <v>W8</v>
      </c>
      <c r="D1915" s="2" t="s">
        <v>788</v>
      </c>
      <c r="E1915" s="2" t="s">
        <v>817</v>
      </c>
      <c r="F1915" s="2" t="str" cm="1">
        <f t="array" ref="F1915">INDEX(_xlfn.TEXTSPLIT(E1915,"-"),2)</f>
        <v>男装</v>
      </c>
      <c r="G1915" s="2" t="str" cm="1">
        <f t="array" ref="G1915">INDEX(_xlfn.TEXTSPLIT(E1915,"-"),3)</f>
        <v>棉裤</v>
      </c>
      <c r="H1915" s="5">
        <v>614</v>
      </c>
      <c r="I1915" s="5">
        <v>33333.48</v>
      </c>
      <c r="J1915" s="6">
        <v>0.0002</v>
      </c>
      <c r="K1915" s="6">
        <v>-0.0536</v>
      </c>
    </row>
    <row r="1916" ht="14.5" spans="1:11">
      <c r="A1916" s="3" t="str">
        <f t="shared" si="111"/>
        <v>2026年</v>
      </c>
      <c r="B1916" s="3" t="str">
        <f t="shared" si="112"/>
        <v>2月</v>
      </c>
      <c r="C1916" s="4" t="str">
        <f t="shared" si="113"/>
        <v>W8</v>
      </c>
      <c r="D1916" s="2" t="s">
        <v>788</v>
      </c>
      <c r="E1916" s="2" t="s">
        <v>818</v>
      </c>
      <c r="F1916" s="2" t="str" cm="1">
        <f t="array" ref="F1916">INDEX(_xlfn.TEXTSPLIT(E1916,"-"),2)</f>
        <v>男装</v>
      </c>
      <c r="G1916" s="2" t="str" cm="1">
        <f t="array" ref="G1916">INDEX(_xlfn.TEXTSPLIT(E1916,"-"),3)</f>
        <v>毛呢大衣</v>
      </c>
      <c r="H1916" s="5">
        <v>5516</v>
      </c>
      <c r="I1916" s="5">
        <v>1961926.8</v>
      </c>
      <c r="J1916" s="6">
        <v>0.0112</v>
      </c>
      <c r="K1916" s="6">
        <v>-0.0186</v>
      </c>
    </row>
    <row r="1917" ht="14.5" spans="1:11">
      <c r="A1917" s="3" t="str">
        <f t="shared" si="111"/>
        <v>2026年</v>
      </c>
      <c r="B1917" s="3" t="str">
        <f t="shared" si="112"/>
        <v>2月</v>
      </c>
      <c r="C1917" s="4" t="str">
        <f t="shared" si="113"/>
        <v>W8</v>
      </c>
      <c r="D1917" s="2" t="s">
        <v>788</v>
      </c>
      <c r="E1917" s="2" t="s">
        <v>819</v>
      </c>
      <c r="F1917" s="2" t="str" cm="1">
        <f t="array" ref="F1917">INDEX(_xlfn.TEXTSPLIT(E1917,"-"),2)</f>
        <v>男装</v>
      </c>
      <c r="G1917" s="2" t="str" cm="1">
        <f t="array" ref="G1917">INDEX(_xlfn.TEXTSPLIT(E1917,"-"),3)</f>
        <v>民族服装</v>
      </c>
      <c r="H1917" s="5">
        <v>1164</v>
      </c>
      <c r="I1917" s="5">
        <v>222417.16</v>
      </c>
      <c r="J1917" s="6">
        <v>0.0013</v>
      </c>
      <c r="K1917" s="6">
        <v>-0.0511</v>
      </c>
    </row>
    <row r="1918" ht="14.5" spans="1:11">
      <c r="A1918" s="3" t="str">
        <f t="shared" si="111"/>
        <v>2026年</v>
      </c>
      <c r="B1918" s="3" t="str">
        <f t="shared" si="112"/>
        <v>2月</v>
      </c>
      <c r="C1918" s="4" t="str">
        <f t="shared" si="113"/>
        <v>W8</v>
      </c>
      <c r="D1918" s="2" t="s">
        <v>788</v>
      </c>
      <c r="E1918" s="2" t="s">
        <v>820</v>
      </c>
      <c r="F1918" s="2" t="str" cm="1">
        <f t="array" ref="F1918">INDEX(_xlfn.TEXTSPLIT(E1918,"-"),2)</f>
        <v>男装</v>
      </c>
      <c r="G1918" s="2" t="str" cm="1">
        <f t="array" ref="G1918">INDEX(_xlfn.TEXTSPLIT(E1918,"-"),3)</f>
        <v>派克服</v>
      </c>
      <c r="H1918" s="5">
        <v>715</v>
      </c>
      <c r="I1918" s="5">
        <v>163683.24</v>
      </c>
      <c r="J1918" s="6">
        <v>0.0009</v>
      </c>
      <c r="K1918" s="6">
        <v>-0.3329</v>
      </c>
    </row>
    <row r="1919" ht="14.5" spans="1:11">
      <c r="A1919" s="3" t="str">
        <f t="shared" si="111"/>
        <v>2026年</v>
      </c>
      <c r="B1919" s="3" t="str">
        <f t="shared" si="112"/>
        <v>2月</v>
      </c>
      <c r="C1919" s="4" t="str">
        <f t="shared" si="113"/>
        <v>W8</v>
      </c>
      <c r="D1919" s="2" t="s">
        <v>788</v>
      </c>
      <c r="E1919" s="2" t="s">
        <v>821</v>
      </c>
      <c r="F1919" s="2" t="str" cm="1">
        <f t="array" ref="F1919">INDEX(_xlfn.TEXTSPLIT(E1919,"-"),2)</f>
        <v>男装</v>
      </c>
      <c r="G1919" s="2" t="str" cm="1">
        <f t="array" ref="G1919">INDEX(_xlfn.TEXTSPLIT(E1919,"-"),3)</f>
        <v>牛仔裤</v>
      </c>
      <c r="H1919" s="5">
        <v>157224</v>
      </c>
      <c r="I1919" s="5">
        <v>18572491.7</v>
      </c>
      <c r="J1919" s="6">
        <v>0.1057</v>
      </c>
      <c r="K1919" s="6">
        <v>0.1349</v>
      </c>
    </row>
    <row r="1920" ht="14.5" spans="1:11">
      <c r="A1920" s="3" t="str">
        <f t="shared" si="111"/>
        <v>2026年</v>
      </c>
      <c r="B1920" s="3" t="str">
        <f t="shared" si="112"/>
        <v>2月</v>
      </c>
      <c r="C1920" s="4" t="str">
        <f t="shared" si="113"/>
        <v>W8</v>
      </c>
      <c r="D1920" s="2" t="s">
        <v>788</v>
      </c>
      <c r="E1920" s="2" t="s">
        <v>822</v>
      </c>
      <c r="F1920" s="2" t="str" cm="1">
        <f t="array" ref="F1920">INDEX(_xlfn.TEXTSPLIT(E1920,"-"),2)</f>
        <v>男装</v>
      </c>
      <c r="G1920" s="2" t="str" cm="1">
        <f t="array" ref="G1920">INDEX(_xlfn.TEXTSPLIT(E1920,"-"),3)</f>
        <v>皮草</v>
      </c>
      <c r="H1920" s="5">
        <v>193</v>
      </c>
      <c r="I1920" s="5">
        <v>146665.92</v>
      </c>
      <c r="J1920" s="6">
        <v>0.0008</v>
      </c>
      <c r="K1920" s="6">
        <v>-0.3504</v>
      </c>
    </row>
    <row r="1921" ht="14.5" spans="1:11">
      <c r="A1921" s="3" t="str">
        <f t="shared" si="111"/>
        <v>2026年</v>
      </c>
      <c r="B1921" s="3" t="str">
        <f t="shared" si="112"/>
        <v>2月</v>
      </c>
      <c r="C1921" s="4" t="str">
        <f t="shared" si="113"/>
        <v>W8</v>
      </c>
      <c r="D1921" s="2" t="s">
        <v>788</v>
      </c>
      <c r="E1921" s="2" t="s">
        <v>823</v>
      </c>
      <c r="F1921" s="2" t="str" cm="1">
        <f t="array" ref="F1921">INDEX(_xlfn.TEXTSPLIT(E1921,"-"),2)</f>
        <v>男装</v>
      </c>
      <c r="G1921" s="2" t="str" cm="1">
        <f t="array" ref="G1921">INDEX(_xlfn.TEXTSPLIT(E1921,"-"),3)</f>
        <v>皮衣</v>
      </c>
      <c r="H1921" s="5">
        <v>16699</v>
      </c>
      <c r="I1921" s="5">
        <v>6283023.7</v>
      </c>
      <c r="J1921" s="6">
        <v>0.0358</v>
      </c>
      <c r="K1921" s="6">
        <v>0.1211</v>
      </c>
    </row>
    <row r="1922" ht="14.5" spans="1:11">
      <c r="A1922" s="3" t="str">
        <f t="shared" si="111"/>
        <v>2026年</v>
      </c>
      <c r="B1922" s="3" t="str">
        <f t="shared" si="112"/>
        <v>2月</v>
      </c>
      <c r="C1922" s="4" t="str">
        <f t="shared" si="113"/>
        <v>W8</v>
      </c>
      <c r="D1922" s="2" t="s">
        <v>788</v>
      </c>
      <c r="E1922" s="2" t="s">
        <v>824</v>
      </c>
      <c r="F1922" s="2" t="str" cm="1">
        <f t="array" ref="F1922">INDEX(_xlfn.TEXTSPLIT(E1922,"-"),2)</f>
        <v>男装</v>
      </c>
      <c r="G1922" s="2" t="str" cm="1">
        <f t="array" ref="G1922">INDEX(_xlfn.TEXTSPLIT(E1922,"-"),3)</f>
        <v>皮裤</v>
      </c>
      <c r="H1922" s="5">
        <v>131</v>
      </c>
      <c r="I1922" s="5">
        <v>24392.6</v>
      </c>
      <c r="J1922" s="6">
        <v>0.0001</v>
      </c>
      <c r="K1922" s="6">
        <v>-0.4345</v>
      </c>
    </row>
    <row r="1923" ht="14.5" spans="1:11">
      <c r="A1923" s="3" t="str">
        <f t="shared" si="111"/>
        <v>2026年</v>
      </c>
      <c r="B1923" s="3" t="str">
        <f t="shared" si="112"/>
        <v>2月</v>
      </c>
      <c r="C1923" s="4" t="str">
        <f t="shared" si="113"/>
        <v>W8</v>
      </c>
      <c r="D1923" s="2" t="s">
        <v>788</v>
      </c>
      <c r="E1923" s="2" t="s">
        <v>825</v>
      </c>
      <c r="F1923" s="2" t="str" cm="1">
        <f t="array" ref="F1923">INDEX(_xlfn.TEXTSPLIT(E1923,"-"),2)</f>
        <v>男装</v>
      </c>
      <c r="G1923" s="2" t="str" cm="1">
        <f t="array" ref="G1923">INDEX(_xlfn.TEXTSPLIT(E1923,"-"),3)</f>
        <v>短外套</v>
      </c>
      <c r="H1923" s="5">
        <v>6527</v>
      </c>
      <c r="I1923" s="5">
        <v>1196815.06</v>
      </c>
      <c r="J1923" s="6">
        <v>0.0068</v>
      </c>
      <c r="K1923" s="6">
        <v>0.1892</v>
      </c>
    </row>
    <row r="1924" ht="14.5" spans="1:11">
      <c r="A1924" s="3" t="str">
        <f t="shared" si="111"/>
        <v>2026年</v>
      </c>
      <c r="B1924" s="3" t="str">
        <f t="shared" si="112"/>
        <v>2月</v>
      </c>
      <c r="C1924" s="4" t="str">
        <f t="shared" si="113"/>
        <v>W8</v>
      </c>
      <c r="D1924" s="2" t="s">
        <v>788</v>
      </c>
      <c r="E1924" s="2" t="s">
        <v>826</v>
      </c>
      <c r="F1924" s="2" t="str" cm="1">
        <f t="array" ref="F1924">INDEX(_xlfn.TEXTSPLIT(E1924,"-"),2)</f>
        <v>男装</v>
      </c>
      <c r="G1924" s="2" t="str" cm="1">
        <f t="array" ref="G1924">INDEX(_xlfn.TEXTSPLIT(E1924,"-"),3)</f>
        <v>短裤</v>
      </c>
      <c r="H1924" s="5">
        <v>32714</v>
      </c>
      <c r="I1924" s="5">
        <v>1547345.25</v>
      </c>
      <c r="J1924" s="6">
        <v>0.0088</v>
      </c>
      <c r="K1924" s="6">
        <v>0.5662</v>
      </c>
    </row>
    <row r="1925" ht="14.5" spans="1:11">
      <c r="A1925" s="3" t="str">
        <f t="shared" si="111"/>
        <v>2026年</v>
      </c>
      <c r="B1925" s="3" t="str">
        <f t="shared" si="112"/>
        <v>2月</v>
      </c>
      <c r="C1925" s="4" t="str">
        <f t="shared" si="113"/>
        <v>W8</v>
      </c>
      <c r="D1925" s="2" t="s">
        <v>788</v>
      </c>
      <c r="E1925" s="2" t="s">
        <v>827</v>
      </c>
      <c r="F1925" s="2" t="str" cm="1">
        <f t="array" ref="F1925">INDEX(_xlfn.TEXTSPLIT(E1925,"-"),2)</f>
        <v>男装</v>
      </c>
      <c r="G1925" s="2" t="str" cm="1">
        <f t="array" ref="G1925">INDEX(_xlfn.TEXTSPLIT(E1925,"-"),3)</f>
        <v>紧身衣</v>
      </c>
      <c r="H1925" s="5">
        <v>298</v>
      </c>
      <c r="I1925" s="5">
        <v>8768.26</v>
      </c>
      <c r="J1925" s="2" t="s">
        <v>713</v>
      </c>
      <c r="K1925" s="6">
        <v>-0.1111</v>
      </c>
    </row>
    <row r="1926" ht="14.5" spans="1:11">
      <c r="A1926" s="3" t="str">
        <f t="shared" si="111"/>
        <v>2026年</v>
      </c>
      <c r="B1926" s="3" t="str">
        <f t="shared" si="112"/>
        <v>2月</v>
      </c>
      <c r="C1926" s="4" t="str">
        <f t="shared" si="113"/>
        <v>W8</v>
      </c>
      <c r="D1926" s="2" t="s">
        <v>788</v>
      </c>
      <c r="E1926" s="2" t="s">
        <v>828</v>
      </c>
      <c r="F1926" s="2" t="str" cm="1">
        <f t="array" ref="F1926">INDEX(_xlfn.TEXTSPLIT(E1926,"-"),2)</f>
        <v>男装</v>
      </c>
      <c r="G1926" s="2" t="str" cm="1">
        <f t="array" ref="G1926">INDEX(_xlfn.TEXTSPLIT(E1926,"-"),3)</f>
        <v>羊毛衫</v>
      </c>
      <c r="H1926" s="5">
        <v>7418</v>
      </c>
      <c r="I1926" s="5">
        <v>1289400.92</v>
      </c>
      <c r="J1926" s="6">
        <v>0.0073</v>
      </c>
      <c r="K1926" s="6">
        <v>0.0682</v>
      </c>
    </row>
    <row r="1927" ht="14.5" spans="1:11">
      <c r="A1927" s="3" t="str">
        <f t="shared" si="111"/>
        <v>2026年</v>
      </c>
      <c r="B1927" s="3" t="str">
        <f t="shared" si="112"/>
        <v>2月</v>
      </c>
      <c r="C1927" s="4" t="str">
        <f t="shared" si="113"/>
        <v>W8</v>
      </c>
      <c r="D1927" s="2" t="s">
        <v>788</v>
      </c>
      <c r="E1927" s="2" t="s">
        <v>829</v>
      </c>
      <c r="F1927" s="2" t="str" cm="1">
        <f t="array" ref="F1927">INDEX(_xlfn.TEXTSPLIT(E1927,"-"),2)</f>
        <v>男装</v>
      </c>
      <c r="G1927" s="2" t="str" cm="1">
        <f t="array" ref="G1927">INDEX(_xlfn.TEXTSPLIT(E1927,"-"),3)</f>
        <v>羊绒衫</v>
      </c>
      <c r="H1927" s="5">
        <v>1872</v>
      </c>
      <c r="I1927" s="5">
        <v>595268.53</v>
      </c>
      <c r="J1927" s="6">
        <v>0.0034</v>
      </c>
      <c r="K1927" s="6">
        <v>0.0806</v>
      </c>
    </row>
    <row r="1928" ht="14.5" spans="1:11">
      <c r="A1928" s="3" t="str">
        <f t="shared" si="111"/>
        <v>2026年</v>
      </c>
      <c r="B1928" s="3" t="str">
        <f t="shared" si="112"/>
        <v>2月</v>
      </c>
      <c r="C1928" s="4" t="str">
        <f t="shared" si="113"/>
        <v>W8</v>
      </c>
      <c r="D1928" s="2" t="s">
        <v>788</v>
      </c>
      <c r="E1928" s="2" t="s">
        <v>830</v>
      </c>
      <c r="F1928" s="2" t="str" cm="1">
        <f t="array" ref="F1928">INDEX(_xlfn.TEXTSPLIT(E1928,"-"),2)</f>
        <v>男装</v>
      </c>
      <c r="G1928" s="2" t="str" cm="1">
        <f t="array" ref="G1928">INDEX(_xlfn.TEXTSPLIT(E1928,"-"),3)</f>
        <v>羽绒服</v>
      </c>
      <c r="H1928" s="5">
        <v>26445</v>
      </c>
      <c r="I1928" s="5">
        <v>7067679.61</v>
      </c>
      <c r="J1928" s="6">
        <v>0.0402</v>
      </c>
      <c r="K1928" s="6">
        <v>-0.0667</v>
      </c>
    </row>
    <row r="1929" ht="14.5" spans="1:11">
      <c r="A1929" s="3" t="str">
        <f t="shared" si="111"/>
        <v>2026年</v>
      </c>
      <c r="B1929" s="3" t="str">
        <f t="shared" si="112"/>
        <v>2月</v>
      </c>
      <c r="C1929" s="4" t="str">
        <f t="shared" si="113"/>
        <v>W8</v>
      </c>
      <c r="D1929" s="2" t="s">
        <v>788</v>
      </c>
      <c r="E1929" s="2" t="s">
        <v>831</v>
      </c>
      <c r="F1929" s="2" t="str" cm="1">
        <f t="array" ref="F1929">INDEX(_xlfn.TEXTSPLIT(E1929,"-"),2)</f>
        <v>男装</v>
      </c>
      <c r="G1929" s="2" t="str" cm="1">
        <f t="array" ref="G1929">INDEX(_xlfn.TEXTSPLIT(E1929,"-"),3)</f>
        <v>羽绒裤</v>
      </c>
      <c r="H1929" s="5">
        <v>257</v>
      </c>
      <c r="I1929" s="5">
        <v>30960.39</v>
      </c>
      <c r="J1929" s="6">
        <v>0.0002</v>
      </c>
      <c r="K1929" s="6">
        <v>-0.0103</v>
      </c>
    </row>
    <row r="1930" ht="14.5" spans="1:11">
      <c r="A1930" s="3" t="str">
        <f t="shared" si="111"/>
        <v>2026年</v>
      </c>
      <c r="B1930" s="3" t="str">
        <f t="shared" si="112"/>
        <v>2月</v>
      </c>
      <c r="C1930" s="4" t="str">
        <f t="shared" si="113"/>
        <v>W8</v>
      </c>
      <c r="D1930" s="2" t="s">
        <v>788</v>
      </c>
      <c r="E1930" s="2" t="s">
        <v>832</v>
      </c>
      <c r="F1930" s="2" t="str" cm="1">
        <f t="array" ref="F1930">INDEX(_xlfn.TEXTSPLIT(E1930,"-"),2)</f>
        <v>男装</v>
      </c>
      <c r="G1930" s="2" t="str" cm="1">
        <f t="array" ref="G1930">INDEX(_xlfn.TEXTSPLIT(E1930,"-"),3)</f>
        <v>羽绒马甲</v>
      </c>
      <c r="H1930" s="5">
        <v>2110</v>
      </c>
      <c r="I1930" s="5">
        <v>347265.75</v>
      </c>
      <c r="J1930" s="6">
        <v>0.002</v>
      </c>
      <c r="K1930" s="6">
        <v>0.0265</v>
      </c>
    </row>
    <row r="1931" ht="14.5" spans="1:11">
      <c r="A1931" s="3" t="str">
        <f t="shared" si="111"/>
        <v>2026年</v>
      </c>
      <c r="B1931" s="3" t="str">
        <f t="shared" si="112"/>
        <v>2月</v>
      </c>
      <c r="C1931" s="4" t="str">
        <f t="shared" si="113"/>
        <v>W8</v>
      </c>
      <c r="D1931" s="2" t="s">
        <v>788</v>
      </c>
      <c r="E1931" s="2" t="s">
        <v>833</v>
      </c>
      <c r="F1931" s="2" t="str" cm="1">
        <f t="array" ref="F1931">INDEX(_xlfn.TEXTSPLIT(E1931,"-"),2)</f>
        <v>男装</v>
      </c>
      <c r="G1931" s="2" t="str" cm="1">
        <f t="array" ref="G1931">INDEX(_xlfn.TEXTSPLIT(E1931,"-"),3)</f>
        <v>背心</v>
      </c>
      <c r="H1931" s="5">
        <v>22638</v>
      </c>
      <c r="I1931" s="5">
        <v>1014817.32</v>
      </c>
      <c r="J1931" s="6">
        <v>0.0058</v>
      </c>
      <c r="K1931" s="6">
        <v>0.1702</v>
      </c>
    </row>
    <row r="1932" ht="14.5" spans="1:11">
      <c r="A1932" s="3" t="str">
        <f t="shared" si="111"/>
        <v>2026年</v>
      </c>
      <c r="B1932" s="3" t="str">
        <f t="shared" si="112"/>
        <v>2月</v>
      </c>
      <c r="C1932" s="4" t="str">
        <f t="shared" si="113"/>
        <v>W8</v>
      </c>
      <c r="D1932" s="2" t="s">
        <v>788</v>
      </c>
      <c r="E1932" s="2" t="s">
        <v>834</v>
      </c>
      <c r="F1932" s="2" t="str" cm="1">
        <f t="array" ref="F1932">INDEX(_xlfn.TEXTSPLIT(E1932,"-"),2)</f>
        <v>男装</v>
      </c>
      <c r="G1932" s="2" t="str" cm="1">
        <f t="array" ref="G1932">INDEX(_xlfn.TEXTSPLIT(E1932,"-"),3)</f>
        <v>衬衫</v>
      </c>
      <c r="H1932" s="5">
        <v>53919</v>
      </c>
      <c r="I1932" s="5">
        <v>6640205.76</v>
      </c>
      <c r="J1932" s="6">
        <v>0.0378</v>
      </c>
      <c r="K1932" s="6">
        <v>0.1976</v>
      </c>
    </row>
    <row r="1933" ht="14.5" spans="1:11">
      <c r="A1933" s="3" t="str">
        <f t="shared" si="111"/>
        <v>2026年</v>
      </c>
      <c r="B1933" s="3" t="str">
        <f t="shared" si="112"/>
        <v>2月</v>
      </c>
      <c r="C1933" s="4" t="str">
        <f t="shared" si="113"/>
        <v>W8</v>
      </c>
      <c r="D1933" s="2" t="s">
        <v>788</v>
      </c>
      <c r="E1933" s="2" t="s">
        <v>835</v>
      </c>
      <c r="F1933" s="2" t="str" cm="1">
        <f t="array" ref="F1933">INDEX(_xlfn.TEXTSPLIT(E1933,"-"),2)</f>
        <v>男装</v>
      </c>
      <c r="G1933" s="2" t="str" cm="1">
        <f t="array" ref="G1933">INDEX(_xlfn.TEXTSPLIT(E1933,"-"),3)</f>
        <v>西服</v>
      </c>
      <c r="H1933" s="5">
        <v>28458</v>
      </c>
      <c r="I1933" s="5">
        <v>7218982.2</v>
      </c>
      <c r="J1933" s="6">
        <v>0.0411</v>
      </c>
      <c r="K1933" s="6">
        <v>0.127</v>
      </c>
    </row>
    <row r="1934" ht="14.5" spans="1:11">
      <c r="A1934" s="3" t="str">
        <f t="shared" si="111"/>
        <v>2026年</v>
      </c>
      <c r="B1934" s="3" t="str">
        <f t="shared" si="112"/>
        <v>2月</v>
      </c>
      <c r="C1934" s="4" t="str">
        <f t="shared" si="113"/>
        <v>W8</v>
      </c>
      <c r="D1934" s="2" t="s">
        <v>788</v>
      </c>
      <c r="E1934" s="2" t="s">
        <v>836</v>
      </c>
      <c r="F1934" s="2" t="str" cm="1">
        <f t="array" ref="F1934">INDEX(_xlfn.TEXTSPLIT(E1934,"-"),2)</f>
        <v>男装</v>
      </c>
      <c r="G1934" s="2" t="str" cm="1">
        <f t="array" ref="G1934">INDEX(_xlfn.TEXTSPLIT(E1934,"-"),3)</f>
        <v>连体衣/裤</v>
      </c>
      <c r="H1934" s="5">
        <v>946</v>
      </c>
      <c r="I1934" s="5">
        <v>29926.43</v>
      </c>
      <c r="J1934" s="6">
        <v>0.0002</v>
      </c>
      <c r="K1934" s="6">
        <v>0.0233</v>
      </c>
    </row>
    <row r="1935" ht="14.5" spans="1:11">
      <c r="A1935" s="3" t="str">
        <f t="shared" si="111"/>
        <v>2026年</v>
      </c>
      <c r="B1935" s="3" t="str">
        <f t="shared" si="112"/>
        <v>2月</v>
      </c>
      <c r="C1935" s="4" t="str">
        <f t="shared" si="113"/>
        <v>W8</v>
      </c>
      <c r="D1935" s="2" t="s">
        <v>788</v>
      </c>
      <c r="E1935" s="2" t="s">
        <v>837</v>
      </c>
      <c r="F1935" s="2" t="str" cm="1">
        <f t="array" ref="F1935">INDEX(_xlfn.TEXTSPLIT(E1935,"-"),2)</f>
        <v>男装</v>
      </c>
      <c r="G1935" s="2" t="str" cm="1">
        <f t="array" ref="G1935">INDEX(_xlfn.TEXTSPLIT(E1935,"-"),3)</f>
        <v>速干/三防T恤</v>
      </c>
      <c r="H1935" s="5">
        <v>543</v>
      </c>
      <c r="I1935" s="5">
        <v>86650.43</v>
      </c>
      <c r="J1935" s="6">
        <v>0.0005</v>
      </c>
      <c r="K1935" s="6">
        <v>-0.0801</v>
      </c>
    </row>
    <row r="1936" ht="14.5" spans="1:11">
      <c r="A1936" s="3" t="str">
        <f t="shared" si="111"/>
        <v>2026年</v>
      </c>
      <c r="B1936" s="3" t="str">
        <f t="shared" si="112"/>
        <v>2月</v>
      </c>
      <c r="C1936" s="4" t="str">
        <f t="shared" si="113"/>
        <v>W8</v>
      </c>
      <c r="D1936" s="2" t="s">
        <v>788</v>
      </c>
      <c r="E1936" s="2" t="s">
        <v>838</v>
      </c>
      <c r="F1936" s="2" t="str" cm="1">
        <f t="array" ref="F1936">INDEX(_xlfn.TEXTSPLIT(E1936,"-"),2)</f>
        <v>男装</v>
      </c>
      <c r="G1936" s="2" t="str" cm="1">
        <f t="array" ref="G1936">INDEX(_xlfn.TEXTSPLIT(E1936,"-"),3)</f>
        <v>针织衫/毛衣</v>
      </c>
      <c r="H1936" s="5">
        <v>60314</v>
      </c>
      <c r="I1936" s="5">
        <v>8155561.42</v>
      </c>
      <c r="J1936" s="6">
        <v>0.0464</v>
      </c>
      <c r="K1936" s="6">
        <v>0.0226</v>
      </c>
    </row>
    <row r="1937" ht="14.5" spans="1:11">
      <c r="A1937" s="3" t="str">
        <f t="shared" si="111"/>
        <v>2026年</v>
      </c>
      <c r="B1937" s="3" t="str">
        <f t="shared" si="112"/>
        <v>2月</v>
      </c>
      <c r="C1937" s="4" t="str">
        <f t="shared" si="113"/>
        <v>W8</v>
      </c>
      <c r="D1937" s="2" t="s">
        <v>788</v>
      </c>
      <c r="E1937" s="2" t="s">
        <v>839</v>
      </c>
      <c r="F1937" s="2" t="str" cm="1">
        <f t="array" ref="F1937">INDEX(_xlfn.TEXTSPLIT(E1937,"-"),2)</f>
        <v>男装</v>
      </c>
      <c r="G1937" s="2" t="str" cm="1">
        <f t="array" ref="G1937">INDEX(_xlfn.TEXTSPLIT(E1937,"-"),3)</f>
        <v>防晒服</v>
      </c>
      <c r="H1937" s="5">
        <v>645</v>
      </c>
      <c r="I1937" s="5">
        <v>59767.03</v>
      </c>
      <c r="J1937" s="6">
        <v>0.0003</v>
      </c>
      <c r="K1937" s="6">
        <v>-0.9329</v>
      </c>
    </row>
    <row r="1938" ht="14.5" spans="1:11">
      <c r="A1938" s="3" t="str">
        <f t="shared" si="111"/>
        <v>2026年</v>
      </c>
      <c r="B1938" s="3" t="str">
        <f t="shared" si="112"/>
        <v>2月</v>
      </c>
      <c r="C1938" s="4" t="str">
        <f t="shared" si="113"/>
        <v>W8</v>
      </c>
      <c r="D1938" s="2" t="s">
        <v>788</v>
      </c>
      <c r="E1938" s="2" t="s">
        <v>840</v>
      </c>
      <c r="F1938" s="2" t="str" cm="1">
        <f t="array" ref="F1938">INDEX(_xlfn.TEXTSPLIT(E1938,"-"),2)</f>
        <v>男装</v>
      </c>
      <c r="G1938" s="2" t="str" cm="1">
        <f t="array" ref="G1938">INDEX(_xlfn.TEXTSPLIT(E1938,"-"),3)</f>
        <v>风衣</v>
      </c>
      <c r="H1938" s="5">
        <v>5186</v>
      </c>
      <c r="I1938" s="5">
        <v>1408503.4</v>
      </c>
      <c r="J1938" s="6">
        <v>0.008</v>
      </c>
      <c r="K1938" s="6">
        <v>0.4576</v>
      </c>
    </row>
    <row r="1939" ht="14.5" spans="1:11">
      <c r="A1939" s="3" t="str">
        <f t="shared" si="111"/>
        <v>2026年</v>
      </c>
      <c r="B1939" s="3" t="str">
        <f t="shared" si="112"/>
        <v>2月</v>
      </c>
      <c r="C1939" s="4" t="str">
        <f t="shared" si="113"/>
        <v>W8</v>
      </c>
      <c r="D1939" s="2" t="s">
        <v>788</v>
      </c>
      <c r="E1939" s="2" t="s">
        <v>841</v>
      </c>
      <c r="F1939" s="2" t="str" cm="1">
        <f t="array" ref="F1939">INDEX(_xlfn.TEXTSPLIT(E1939,"-"),2)</f>
        <v>男装</v>
      </c>
      <c r="G1939" s="2" t="str" cm="1">
        <f t="array" ref="G1939">INDEX(_xlfn.TEXTSPLIT(E1939,"-"),3)</f>
        <v>马甲</v>
      </c>
      <c r="H1939" s="5">
        <v>11339</v>
      </c>
      <c r="I1939" s="5">
        <v>1216708.99</v>
      </c>
      <c r="J1939" s="6">
        <v>0.0069</v>
      </c>
      <c r="K1939" s="6">
        <v>0.323</v>
      </c>
    </row>
    <row r="1940" ht="14.5" spans="1:11">
      <c r="A1940" s="3" t="str">
        <f t="shared" si="111"/>
        <v>2026年</v>
      </c>
      <c r="B1940" s="3" t="str">
        <f t="shared" si="112"/>
        <v>2月</v>
      </c>
      <c r="C1940" s="4" t="str">
        <f t="shared" si="113"/>
        <v>W8</v>
      </c>
      <c r="D1940" s="2" t="s">
        <v>789</v>
      </c>
      <c r="E1940" s="2" t="s">
        <v>804</v>
      </c>
      <c r="F1940" s="2" t="str" cm="1">
        <f t="array" ref="F1940">INDEX(_xlfn.TEXTSPLIT(E1940,"-"),2)</f>
        <v>男装</v>
      </c>
      <c r="G1940" s="2" t="str" cm="1">
        <f t="array" ref="G1940">INDEX(_xlfn.TEXTSPLIT(E1940,"-"),3)</f>
        <v>Polo衫</v>
      </c>
      <c r="H1940" s="5">
        <v>39265</v>
      </c>
      <c r="I1940" s="5">
        <v>7160927.43</v>
      </c>
      <c r="J1940" s="6">
        <v>0.0355</v>
      </c>
      <c r="K1940" s="6">
        <v>0.305</v>
      </c>
    </row>
    <row r="1941" ht="14.5" spans="1:11">
      <c r="A1941" s="3" t="str">
        <f t="shared" si="111"/>
        <v>2026年</v>
      </c>
      <c r="B1941" s="3" t="str">
        <f t="shared" si="112"/>
        <v>2月</v>
      </c>
      <c r="C1941" s="4" t="str">
        <f t="shared" si="113"/>
        <v>W8</v>
      </c>
      <c r="D1941" s="2" t="s">
        <v>789</v>
      </c>
      <c r="E1941" s="2" t="s">
        <v>805</v>
      </c>
      <c r="F1941" s="2" t="str" cm="1">
        <f t="array" ref="F1941">INDEX(_xlfn.TEXTSPLIT(E1941,"-"),2)</f>
        <v>男装</v>
      </c>
      <c r="G1941" s="2" t="str" cm="1">
        <f t="array" ref="G1941">INDEX(_xlfn.TEXTSPLIT(E1941,"-"),3)</f>
        <v>T恤</v>
      </c>
      <c r="H1941" s="5">
        <v>473558</v>
      </c>
      <c r="I1941" s="5">
        <v>30315956.28</v>
      </c>
      <c r="J1941" s="6">
        <v>0.1505</v>
      </c>
      <c r="K1941" s="6">
        <v>0.1209</v>
      </c>
    </row>
    <row r="1942" ht="14.5" spans="1:11">
      <c r="A1942" s="3" t="str">
        <f t="shared" si="111"/>
        <v>2026年</v>
      </c>
      <c r="B1942" s="3" t="str">
        <f t="shared" si="112"/>
        <v>2月</v>
      </c>
      <c r="C1942" s="4" t="str">
        <f t="shared" si="113"/>
        <v>W8</v>
      </c>
      <c r="D1942" s="2" t="s">
        <v>789</v>
      </c>
      <c r="E1942" s="2" t="s">
        <v>806</v>
      </c>
      <c r="F1942" s="2" t="str" cm="1">
        <f t="array" ref="F1942">INDEX(_xlfn.TEXTSPLIT(E1942,"-"),2)</f>
        <v>男装</v>
      </c>
      <c r="G1942" s="2" t="str" cm="1">
        <f t="array" ref="G1942">INDEX(_xlfn.TEXTSPLIT(E1942,"-"),3)</f>
        <v>中老年男装</v>
      </c>
      <c r="H1942" s="5">
        <v>19499</v>
      </c>
      <c r="I1942" s="5">
        <v>1344134.62</v>
      </c>
      <c r="J1942" s="6">
        <v>0.0067</v>
      </c>
      <c r="K1942" s="6">
        <v>0.1556</v>
      </c>
    </row>
    <row r="1943" ht="14.5" spans="1:11">
      <c r="A1943" s="3" t="str">
        <f t="shared" si="111"/>
        <v>2026年</v>
      </c>
      <c r="B1943" s="3" t="str">
        <f t="shared" si="112"/>
        <v>2月</v>
      </c>
      <c r="C1943" s="4" t="str">
        <f t="shared" si="113"/>
        <v>W8</v>
      </c>
      <c r="D1943" s="2" t="s">
        <v>789</v>
      </c>
      <c r="E1943" s="2" t="s">
        <v>807</v>
      </c>
      <c r="F1943" s="2" t="str" cm="1">
        <f t="array" ref="F1943">INDEX(_xlfn.TEXTSPLIT(E1943,"-"),2)</f>
        <v>男装</v>
      </c>
      <c r="G1943" s="2" t="str" cm="1">
        <f t="array" ref="G1943">INDEX(_xlfn.TEXTSPLIT(E1943,"-"),3)</f>
        <v>休闲裤</v>
      </c>
      <c r="H1943" s="5">
        <v>195137</v>
      </c>
      <c r="I1943" s="5">
        <v>23873966.02</v>
      </c>
      <c r="J1943" s="6">
        <v>0.1185</v>
      </c>
      <c r="K1943" s="6">
        <v>0.3049</v>
      </c>
    </row>
    <row r="1944" ht="14.5" spans="1:11">
      <c r="A1944" s="3" t="str">
        <f t="shared" si="111"/>
        <v>2026年</v>
      </c>
      <c r="B1944" s="3" t="str">
        <f t="shared" si="112"/>
        <v>2月</v>
      </c>
      <c r="C1944" s="4" t="str">
        <f t="shared" si="113"/>
        <v>W8</v>
      </c>
      <c r="D1944" s="2" t="s">
        <v>789</v>
      </c>
      <c r="E1944" s="2" t="s">
        <v>808</v>
      </c>
      <c r="F1944" s="2" t="str" cm="1">
        <f t="array" ref="F1944">INDEX(_xlfn.TEXTSPLIT(E1944,"-"),2)</f>
        <v>男装</v>
      </c>
      <c r="G1944" s="2" t="str" cm="1">
        <f t="array" ref="G1944">INDEX(_xlfn.TEXTSPLIT(E1944,"-"),3)</f>
        <v>卫衣</v>
      </c>
      <c r="H1944" s="5">
        <v>133478</v>
      </c>
      <c r="I1944" s="5">
        <v>14163089.8</v>
      </c>
      <c r="J1944" s="6">
        <v>0.0703</v>
      </c>
      <c r="K1944" s="6">
        <v>0.1744</v>
      </c>
    </row>
    <row r="1945" ht="14.5" spans="1:11">
      <c r="A1945" s="3" t="str">
        <f t="shared" si="111"/>
        <v>2026年</v>
      </c>
      <c r="B1945" s="3" t="str">
        <f t="shared" si="112"/>
        <v>2月</v>
      </c>
      <c r="C1945" s="4" t="str">
        <f t="shared" si="113"/>
        <v>W8</v>
      </c>
      <c r="D1945" s="2" t="s">
        <v>789</v>
      </c>
      <c r="E1945" s="2" t="s">
        <v>809</v>
      </c>
      <c r="F1945" s="2" t="str" cm="1">
        <f t="array" ref="F1945">INDEX(_xlfn.TEXTSPLIT(E1945,"-"),2)</f>
        <v>男装</v>
      </c>
      <c r="G1945" s="2" t="str" cm="1">
        <f t="array" ref="G1945">INDEX(_xlfn.TEXTSPLIT(E1945,"-"),3)</f>
        <v>卫裤</v>
      </c>
      <c r="H1945" s="5">
        <v>36066</v>
      </c>
      <c r="I1945" s="5">
        <v>3409574.1</v>
      </c>
      <c r="J1945" s="6">
        <v>0.0169</v>
      </c>
      <c r="K1945" s="6">
        <v>0.134</v>
      </c>
    </row>
    <row r="1946" ht="14.5" spans="1:11">
      <c r="A1946" s="3" t="str">
        <f t="shared" si="111"/>
        <v>2026年</v>
      </c>
      <c r="B1946" s="3" t="str">
        <f t="shared" si="112"/>
        <v>2月</v>
      </c>
      <c r="C1946" s="4" t="str">
        <f t="shared" si="113"/>
        <v>W8</v>
      </c>
      <c r="D1946" s="2" t="s">
        <v>789</v>
      </c>
      <c r="E1946" s="2" t="s">
        <v>810</v>
      </c>
      <c r="F1946" s="2" t="str" cm="1">
        <f t="array" ref="F1946">INDEX(_xlfn.TEXTSPLIT(E1946,"-"),2)</f>
        <v>男装</v>
      </c>
      <c r="G1946" s="2" t="str" cm="1">
        <f t="array" ref="G1946">INDEX(_xlfn.TEXTSPLIT(E1946,"-"),3)</f>
        <v>大码男装</v>
      </c>
      <c r="H1946" s="5">
        <v>25076</v>
      </c>
      <c r="I1946" s="5">
        <v>1614242.02</v>
      </c>
      <c r="J1946" s="6">
        <v>0.008</v>
      </c>
      <c r="K1946" s="6">
        <v>0.2477</v>
      </c>
    </row>
    <row r="1947" ht="14.5" spans="1:11">
      <c r="A1947" s="3" t="str">
        <f t="shared" si="111"/>
        <v>2026年</v>
      </c>
      <c r="B1947" s="3" t="str">
        <f t="shared" si="112"/>
        <v>2月</v>
      </c>
      <c r="C1947" s="4" t="str">
        <f t="shared" si="113"/>
        <v>W8</v>
      </c>
      <c r="D1947" s="2" t="s">
        <v>789</v>
      </c>
      <c r="E1947" s="2" t="s">
        <v>811</v>
      </c>
      <c r="F1947" s="2" t="str" cm="1">
        <f t="array" ref="F1947">INDEX(_xlfn.TEXTSPLIT(E1947,"-"),2)</f>
        <v>男装</v>
      </c>
      <c r="G1947" s="2" t="str" cm="1">
        <f t="array" ref="G1947">INDEX(_xlfn.TEXTSPLIT(E1947,"-"),3)</f>
        <v>夹克</v>
      </c>
      <c r="H1947" s="5">
        <v>240287</v>
      </c>
      <c r="I1947" s="5">
        <v>41732683.76</v>
      </c>
      <c r="J1947" s="6">
        <v>0.2071</v>
      </c>
      <c r="K1947" s="6">
        <v>0.171</v>
      </c>
    </row>
    <row r="1948" ht="14.5" spans="1:11">
      <c r="A1948" s="3" t="str">
        <f t="shared" ref="A1948:A2011" si="114">TEXT(YEAR(D1948),"0")&amp;"年"</f>
        <v>2026年</v>
      </c>
      <c r="B1948" s="3" t="str">
        <f t="shared" ref="B1948:B2011" si="115">TEXT(MONTH(D1948),"0")&amp;"月"</f>
        <v>2月</v>
      </c>
      <c r="C1948" s="4" t="str">
        <f t="shared" ref="C1948:C2011" si="116">"W"&amp;TEXT(WEEKNUM(D1948,2),"0")</f>
        <v>W8</v>
      </c>
      <c r="D1948" s="2" t="s">
        <v>789</v>
      </c>
      <c r="E1948" s="2" t="s">
        <v>812</v>
      </c>
      <c r="F1948" s="2" t="str" cm="1">
        <f t="array" ref="F1948">INDEX(_xlfn.TEXTSPLIT(E1948,"-"),2)</f>
        <v>男装</v>
      </c>
      <c r="G1948" s="2" t="str" cm="1">
        <f t="array" ref="G1948">INDEX(_xlfn.TEXTSPLIT(E1948,"-"),3)</f>
        <v>套装</v>
      </c>
      <c r="H1948" s="5">
        <v>25440</v>
      </c>
      <c r="I1948" s="5">
        <v>3367193.81</v>
      </c>
      <c r="J1948" s="6">
        <v>0.0167</v>
      </c>
      <c r="K1948" s="6">
        <v>0.2027</v>
      </c>
    </row>
    <row r="1949" ht="14.5" spans="1:11">
      <c r="A1949" s="3" t="str">
        <f t="shared" si="114"/>
        <v>2026年</v>
      </c>
      <c r="B1949" s="3" t="str">
        <f t="shared" si="115"/>
        <v>2月</v>
      </c>
      <c r="C1949" s="4" t="str">
        <f t="shared" si="116"/>
        <v>W8</v>
      </c>
      <c r="D1949" s="2" t="s">
        <v>789</v>
      </c>
      <c r="E1949" s="2" t="s">
        <v>813</v>
      </c>
      <c r="F1949" s="2" t="str" cm="1">
        <f t="array" ref="F1949">INDEX(_xlfn.TEXTSPLIT(E1949,"-"),2)</f>
        <v>男装</v>
      </c>
      <c r="G1949" s="2" t="str" cm="1">
        <f t="array" ref="G1949">INDEX(_xlfn.TEXTSPLIT(E1949,"-"),3)</f>
        <v>学生校服</v>
      </c>
      <c r="H1949" s="5">
        <v>3</v>
      </c>
      <c r="I1949" s="5">
        <v>208.72</v>
      </c>
      <c r="J1949" s="2" t="s">
        <v>713</v>
      </c>
      <c r="K1949" s="2" t="s">
        <v>360</v>
      </c>
    </row>
    <row r="1950" ht="14.5" spans="1:11">
      <c r="A1950" s="3" t="str">
        <f t="shared" si="114"/>
        <v>2026年</v>
      </c>
      <c r="B1950" s="3" t="str">
        <f t="shared" si="115"/>
        <v>2月</v>
      </c>
      <c r="C1950" s="4" t="str">
        <f t="shared" si="116"/>
        <v>W8</v>
      </c>
      <c r="D1950" s="2" t="s">
        <v>789</v>
      </c>
      <c r="E1950" s="2" t="s">
        <v>814</v>
      </c>
      <c r="F1950" s="2" t="str" cm="1">
        <f t="array" ref="F1950">INDEX(_xlfn.TEXTSPLIT(E1950,"-"),2)</f>
        <v>男装</v>
      </c>
      <c r="G1950" s="2" t="str" cm="1">
        <f t="array" ref="G1950">INDEX(_xlfn.TEXTSPLIT(E1950,"-"),3)</f>
        <v>打底衫</v>
      </c>
      <c r="H1950" s="5">
        <v>12022</v>
      </c>
      <c r="I1950" s="5">
        <v>394250.77</v>
      </c>
      <c r="J1950" s="6">
        <v>0.002</v>
      </c>
      <c r="K1950" s="6">
        <v>0.4429</v>
      </c>
    </row>
    <row r="1951" ht="14.5" spans="1:11">
      <c r="A1951" s="3" t="str">
        <f t="shared" si="114"/>
        <v>2026年</v>
      </c>
      <c r="B1951" s="3" t="str">
        <f t="shared" si="115"/>
        <v>2月</v>
      </c>
      <c r="C1951" s="4" t="str">
        <f t="shared" si="116"/>
        <v>W8</v>
      </c>
      <c r="D1951" s="2" t="s">
        <v>789</v>
      </c>
      <c r="E1951" s="2" t="s">
        <v>815</v>
      </c>
      <c r="F1951" s="2" t="str" cm="1">
        <f t="array" ref="F1951">INDEX(_xlfn.TEXTSPLIT(E1951,"-"),2)</f>
        <v>男装</v>
      </c>
      <c r="G1951" s="2" t="str" cm="1">
        <f t="array" ref="G1951">INDEX(_xlfn.TEXTSPLIT(E1951,"-"),3)</f>
        <v>新中式男装</v>
      </c>
      <c r="H1951" s="5">
        <v>187</v>
      </c>
      <c r="I1951" s="5">
        <v>67876.04</v>
      </c>
      <c r="J1951" s="6">
        <v>0.0003</v>
      </c>
      <c r="K1951" s="6">
        <v>-0.3508</v>
      </c>
    </row>
    <row r="1952" ht="14.5" spans="1:11">
      <c r="A1952" s="3" t="str">
        <f t="shared" si="114"/>
        <v>2026年</v>
      </c>
      <c r="B1952" s="3" t="str">
        <f t="shared" si="115"/>
        <v>2月</v>
      </c>
      <c r="C1952" s="4" t="str">
        <f t="shared" si="116"/>
        <v>W8</v>
      </c>
      <c r="D1952" s="2" t="s">
        <v>789</v>
      </c>
      <c r="E1952" s="2" t="s">
        <v>816</v>
      </c>
      <c r="F1952" s="2" t="str" cm="1">
        <f t="array" ref="F1952">INDEX(_xlfn.TEXTSPLIT(E1952,"-"),2)</f>
        <v>男装</v>
      </c>
      <c r="G1952" s="2" t="str" cm="1">
        <f t="array" ref="G1952">INDEX(_xlfn.TEXTSPLIT(E1952,"-"),3)</f>
        <v>棉衣</v>
      </c>
      <c r="H1952" s="5">
        <v>21287</v>
      </c>
      <c r="I1952" s="5">
        <v>2923602.94</v>
      </c>
      <c r="J1952" s="6">
        <v>0.0145</v>
      </c>
      <c r="K1952" s="6">
        <v>-0.1023</v>
      </c>
    </row>
    <row r="1953" ht="14.5" spans="1:11">
      <c r="A1953" s="3" t="str">
        <f t="shared" si="114"/>
        <v>2026年</v>
      </c>
      <c r="B1953" s="3" t="str">
        <f t="shared" si="115"/>
        <v>2月</v>
      </c>
      <c r="C1953" s="4" t="str">
        <f t="shared" si="116"/>
        <v>W8</v>
      </c>
      <c r="D1953" s="2" t="s">
        <v>789</v>
      </c>
      <c r="E1953" s="2" t="s">
        <v>817</v>
      </c>
      <c r="F1953" s="2" t="str" cm="1">
        <f t="array" ref="F1953">INDEX(_xlfn.TEXTSPLIT(E1953,"-"),2)</f>
        <v>男装</v>
      </c>
      <c r="G1953" s="2" t="str" cm="1">
        <f t="array" ref="G1953">INDEX(_xlfn.TEXTSPLIT(E1953,"-"),3)</f>
        <v>棉裤</v>
      </c>
      <c r="H1953" s="5">
        <v>723</v>
      </c>
      <c r="I1953" s="5">
        <v>57836.74</v>
      </c>
      <c r="J1953" s="6">
        <v>0.0003</v>
      </c>
      <c r="K1953" s="6">
        <v>0.7351</v>
      </c>
    </row>
    <row r="1954" ht="14.5" spans="1:11">
      <c r="A1954" s="3" t="str">
        <f t="shared" si="114"/>
        <v>2026年</v>
      </c>
      <c r="B1954" s="3" t="str">
        <f t="shared" si="115"/>
        <v>2月</v>
      </c>
      <c r="C1954" s="4" t="str">
        <f t="shared" si="116"/>
        <v>W8</v>
      </c>
      <c r="D1954" s="2" t="s">
        <v>789</v>
      </c>
      <c r="E1954" s="2" t="s">
        <v>818</v>
      </c>
      <c r="F1954" s="2" t="str" cm="1">
        <f t="array" ref="F1954">INDEX(_xlfn.TEXTSPLIT(E1954,"-"),2)</f>
        <v>男装</v>
      </c>
      <c r="G1954" s="2" t="str" cm="1">
        <f t="array" ref="G1954">INDEX(_xlfn.TEXTSPLIT(E1954,"-"),3)</f>
        <v>毛呢大衣</v>
      </c>
      <c r="H1954" s="5">
        <v>7151</v>
      </c>
      <c r="I1954" s="5">
        <v>2060216.32</v>
      </c>
      <c r="J1954" s="6">
        <v>0.0102</v>
      </c>
      <c r="K1954" s="6">
        <v>0.0501</v>
      </c>
    </row>
    <row r="1955" ht="14.5" spans="1:11">
      <c r="A1955" s="3" t="str">
        <f t="shared" si="114"/>
        <v>2026年</v>
      </c>
      <c r="B1955" s="3" t="str">
        <f t="shared" si="115"/>
        <v>2月</v>
      </c>
      <c r="C1955" s="4" t="str">
        <f t="shared" si="116"/>
        <v>W8</v>
      </c>
      <c r="D1955" s="2" t="s">
        <v>789</v>
      </c>
      <c r="E1955" s="2" t="s">
        <v>819</v>
      </c>
      <c r="F1955" s="2" t="str" cm="1">
        <f t="array" ref="F1955">INDEX(_xlfn.TEXTSPLIT(E1955,"-"),2)</f>
        <v>男装</v>
      </c>
      <c r="G1955" s="2" t="str" cm="1">
        <f t="array" ref="G1955">INDEX(_xlfn.TEXTSPLIT(E1955,"-"),3)</f>
        <v>民族服装</v>
      </c>
      <c r="H1955" s="5">
        <v>1686</v>
      </c>
      <c r="I1955" s="5">
        <v>298792.12</v>
      </c>
      <c r="J1955" s="6">
        <v>0.0015</v>
      </c>
      <c r="K1955" s="6">
        <v>0.3434</v>
      </c>
    </row>
    <row r="1956" ht="14.5" spans="1:11">
      <c r="A1956" s="3" t="str">
        <f t="shared" si="114"/>
        <v>2026年</v>
      </c>
      <c r="B1956" s="3" t="str">
        <f t="shared" si="115"/>
        <v>2月</v>
      </c>
      <c r="C1956" s="4" t="str">
        <f t="shared" si="116"/>
        <v>W8</v>
      </c>
      <c r="D1956" s="2" t="s">
        <v>789</v>
      </c>
      <c r="E1956" s="2" t="s">
        <v>820</v>
      </c>
      <c r="F1956" s="2" t="str" cm="1">
        <f t="array" ref="F1956">INDEX(_xlfn.TEXTSPLIT(E1956,"-"),2)</f>
        <v>男装</v>
      </c>
      <c r="G1956" s="2" t="str" cm="1">
        <f t="array" ref="G1956">INDEX(_xlfn.TEXTSPLIT(E1956,"-"),3)</f>
        <v>派克服</v>
      </c>
      <c r="H1956" s="5">
        <v>552</v>
      </c>
      <c r="I1956" s="5">
        <v>145199.27</v>
      </c>
      <c r="J1956" s="6">
        <v>0.0007</v>
      </c>
      <c r="K1956" s="6">
        <v>-0.1129</v>
      </c>
    </row>
    <row r="1957" ht="14.5" spans="1:11">
      <c r="A1957" s="3" t="str">
        <f t="shared" si="114"/>
        <v>2026年</v>
      </c>
      <c r="B1957" s="3" t="str">
        <f t="shared" si="115"/>
        <v>2月</v>
      </c>
      <c r="C1957" s="4" t="str">
        <f t="shared" si="116"/>
        <v>W8</v>
      </c>
      <c r="D1957" s="2" t="s">
        <v>789</v>
      </c>
      <c r="E1957" s="2" t="s">
        <v>821</v>
      </c>
      <c r="F1957" s="2" t="str" cm="1">
        <f t="array" ref="F1957">INDEX(_xlfn.TEXTSPLIT(E1957,"-"),2)</f>
        <v>男装</v>
      </c>
      <c r="G1957" s="2" t="str" cm="1">
        <f t="array" ref="G1957">INDEX(_xlfn.TEXTSPLIT(E1957,"-"),3)</f>
        <v>牛仔裤</v>
      </c>
      <c r="H1957" s="5">
        <v>166749</v>
      </c>
      <c r="I1957" s="5">
        <v>19551855.93</v>
      </c>
      <c r="J1957" s="6">
        <v>0.097</v>
      </c>
      <c r="K1957" s="6">
        <v>0.0527</v>
      </c>
    </row>
    <row r="1958" ht="14.5" spans="1:11">
      <c r="A1958" s="3" t="str">
        <f t="shared" si="114"/>
        <v>2026年</v>
      </c>
      <c r="B1958" s="3" t="str">
        <f t="shared" si="115"/>
        <v>2月</v>
      </c>
      <c r="C1958" s="4" t="str">
        <f t="shared" si="116"/>
        <v>W8</v>
      </c>
      <c r="D1958" s="2" t="s">
        <v>789</v>
      </c>
      <c r="E1958" s="2" t="s">
        <v>822</v>
      </c>
      <c r="F1958" s="2" t="str" cm="1">
        <f t="array" ref="F1958">INDEX(_xlfn.TEXTSPLIT(E1958,"-"),2)</f>
        <v>男装</v>
      </c>
      <c r="G1958" s="2" t="str" cm="1">
        <f t="array" ref="G1958">INDEX(_xlfn.TEXTSPLIT(E1958,"-"),3)</f>
        <v>皮草</v>
      </c>
      <c r="H1958" s="5">
        <v>205</v>
      </c>
      <c r="I1958" s="5">
        <v>119358.88</v>
      </c>
      <c r="J1958" s="6">
        <v>0.0006</v>
      </c>
      <c r="K1958" s="6">
        <v>-0.1862</v>
      </c>
    </row>
    <row r="1959" ht="14.5" spans="1:11">
      <c r="A1959" s="3" t="str">
        <f t="shared" si="114"/>
        <v>2026年</v>
      </c>
      <c r="B1959" s="3" t="str">
        <f t="shared" si="115"/>
        <v>2月</v>
      </c>
      <c r="C1959" s="4" t="str">
        <f t="shared" si="116"/>
        <v>W8</v>
      </c>
      <c r="D1959" s="2" t="s">
        <v>789</v>
      </c>
      <c r="E1959" s="2" t="s">
        <v>823</v>
      </c>
      <c r="F1959" s="2" t="str" cm="1">
        <f t="array" ref="F1959">INDEX(_xlfn.TEXTSPLIT(E1959,"-"),2)</f>
        <v>男装</v>
      </c>
      <c r="G1959" s="2" t="str" cm="1">
        <f t="array" ref="G1959">INDEX(_xlfn.TEXTSPLIT(E1959,"-"),3)</f>
        <v>皮衣</v>
      </c>
      <c r="H1959" s="5">
        <v>18746</v>
      </c>
      <c r="I1959" s="5">
        <v>6922589.5</v>
      </c>
      <c r="J1959" s="6">
        <v>0.0344</v>
      </c>
      <c r="K1959" s="6">
        <v>0.1018</v>
      </c>
    </row>
    <row r="1960" ht="14.5" spans="1:11">
      <c r="A1960" s="3" t="str">
        <f t="shared" si="114"/>
        <v>2026年</v>
      </c>
      <c r="B1960" s="3" t="str">
        <f t="shared" si="115"/>
        <v>2月</v>
      </c>
      <c r="C1960" s="4" t="str">
        <f t="shared" si="116"/>
        <v>W8</v>
      </c>
      <c r="D1960" s="2" t="s">
        <v>789</v>
      </c>
      <c r="E1960" s="2" t="s">
        <v>824</v>
      </c>
      <c r="F1960" s="2" t="str" cm="1">
        <f t="array" ref="F1960">INDEX(_xlfn.TEXTSPLIT(E1960,"-"),2)</f>
        <v>男装</v>
      </c>
      <c r="G1960" s="2" t="str" cm="1">
        <f t="array" ref="G1960">INDEX(_xlfn.TEXTSPLIT(E1960,"-"),3)</f>
        <v>皮裤</v>
      </c>
      <c r="H1960" s="5">
        <v>193</v>
      </c>
      <c r="I1960" s="5">
        <v>105525.69</v>
      </c>
      <c r="J1960" s="6">
        <v>0.0005</v>
      </c>
      <c r="K1960" s="6">
        <v>3.3261</v>
      </c>
    </row>
    <row r="1961" ht="14.5" spans="1:11">
      <c r="A1961" s="3" t="str">
        <f t="shared" si="114"/>
        <v>2026年</v>
      </c>
      <c r="B1961" s="3" t="str">
        <f t="shared" si="115"/>
        <v>2月</v>
      </c>
      <c r="C1961" s="4" t="str">
        <f t="shared" si="116"/>
        <v>W8</v>
      </c>
      <c r="D1961" s="2" t="s">
        <v>789</v>
      </c>
      <c r="E1961" s="2" t="s">
        <v>825</v>
      </c>
      <c r="F1961" s="2" t="str" cm="1">
        <f t="array" ref="F1961">INDEX(_xlfn.TEXTSPLIT(E1961,"-"),2)</f>
        <v>男装</v>
      </c>
      <c r="G1961" s="2" t="str" cm="1">
        <f t="array" ref="G1961">INDEX(_xlfn.TEXTSPLIT(E1961,"-"),3)</f>
        <v>短外套</v>
      </c>
      <c r="H1961" s="5">
        <v>6796</v>
      </c>
      <c r="I1961" s="5">
        <v>1025444.8</v>
      </c>
      <c r="J1961" s="6">
        <v>0.0051</v>
      </c>
      <c r="K1961" s="6">
        <v>-0.1432</v>
      </c>
    </row>
    <row r="1962" ht="14.5" spans="1:11">
      <c r="A1962" s="3" t="str">
        <f t="shared" si="114"/>
        <v>2026年</v>
      </c>
      <c r="B1962" s="3" t="str">
        <f t="shared" si="115"/>
        <v>2月</v>
      </c>
      <c r="C1962" s="4" t="str">
        <f t="shared" si="116"/>
        <v>W8</v>
      </c>
      <c r="D1962" s="2" t="s">
        <v>789</v>
      </c>
      <c r="E1962" s="2" t="s">
        <v>826</v>
      </c>
      <c r="F1962" s="2" t="str" cm="1">
        <f t="array" ref="F1962">INDEX(_xlfn.TEXTSPLIT(E1962,"-"),2)</f>
        <v>男装</v>
      </c>
      <c r="G1962" s="2" t="str" cm="1">
        <f t="array" ref="G1962">INDEX(_xlfn.TEXTSPLIT(E1962,"-"),3)</f>
        <v>短裤</v>
      </c>
      <c r="H1962" s="5">
        <v>42938</v>
      </c>
      <c r="I1962" s="5">
        <v>2048575.77</v>
      </c>
      <c r="J1962" s="6">
        <v>0.0102</v>
      </c>
      <c r="K1962" s="6">
        <v>0.3239</v>
      </c>
    </row>
    <row r="1963" ht="14.5" spans="1:11">
      <c r="A1963" s="3" t="str">
        <f t="shared" si="114"/>
        <v>2026年</v>
      </c>
      <c r="B1963" s="3" t="str">
        <f t="shared" si="115"/>
        <v>2月</v>
      </c>
      <c r="C1963" s="4" t="str">
        <f t="shared" si="116"/>
        <v>W8</v>
      </c>
      <c r="D1963" s="2" t="s">
        <v>789</v>
      </c>
      <c r="E1963" s="2" t="s">
        <v>827</v>
      </c>
      <c r="F1963" s="2" t="str" cm="1">
        <f t="array" ref="F1963">INDEX(_xlfn.TEXTSPLIT(E1963,"-"),2)</f>
        <v>男装</v>
      </c>
      <c r="G1963" s="2" t="str" cm="1">
        <f t="array" ref="G1963">INDEX(_xlfn.TEXTSPLIT(E1963,"-"),3)</f>
        <v>紧身衣</v>
      </c>
      <c r="H1963" s="5">
        <v>276</v>
      </c>
      <c r="I1963" s="5">
        <v>8175.52</v>
      </c>
      <c r="J1963" s="2" t="s">
        <v>713</v>
      </c>
      <c r="K1963" s="6">
        <v>-0.0676</v>
      </c>
    </row>
    <row r="1964" ht="14.5" spans="1:11">
      <c r="A1964" s="3" t="str">
        <f t="shared" si="114"/>
        <v>2026年</v>
      </c>
      <c r="B1964" s="3" t="str">
        <f t="shared" si="115"/>
        <v>2月</v>
      </c>
      <c r="C1964" s="4" t="str">
        <f t="shared" si="116"/>
        <v>W8</v>
      </c>
      <c r="D1964" s="2" t="s">
        <v>789</v>
      </c>
      <c r="E1964" s="2" t="s">
        <v>828</v>
      </c>
      <c r="F1964" s="2" t="str" cm="1">
        <f t="array" ref="F1964">INDEX(_xlfn.TEXTSPLIT(E1964,"-"),2)</f>
        <v>男装</v>
      </c>
      <c r="G1964" s="2" t="str" cm="1">
        <f t="array" ref="G1964">INDEX(_xlfn.TEXTSPLIT(E1964,"-"),3)</f>
        <v>羊毛衫</v>
      </c>
      <c r="H1964" s="5">
        <v>7597</v>
      </c>
      <c r="I1964" s="5">
        <v>1254246.85</v>
      </c>
      <c r="J1964" s="6">
        <v>0.0062</v>
      </c>
      <c r="K1964" s="6">
        <v>-0.0273</v>
      </c>
    </row>
    <row r="1965" ht="14.5" spans="1:11">
      <c r="A1965" s="3" t="str">
        <f t="shared" si="114"/>
        <v>2026年</v>
      </c>
      <c r="B1965" s="3" t="str">
        <f t="shared" si="115"/>
        <v>2月</v>
      </c>
      <c r="C1965" s="4" t="str">
        <f t="shared" si="116"/>
        <v>W8</v>
      </c>
      <c r="D1965" s="2" t="s">
        <v>789</v>
      </c>
      <c r="E1965" s="2" t="s">
        <v>829</v>
      </c>
      <c r="F1965" s="2" t="str" cm="1">
        <f t="array" ref="F1965">INDEX(_xlfn.TEXTSPLIT(E1965,"-"),2)</f>
        <v>男装</v>
      </c>
      <c r="G1965" s="2" t="str" cm="1">
        <f t="array" ref="G1965">INDEX(_xlfn.TEXTSPLIT(E1965,"-"),3)</f>
        <v>羊绒衫</v>
      </c>
      <c r="H1965" s="5">
        <v>1914</v>
      </c>
      <c r="I1965" s="5">
        <v>649043.45</v>
      </c>
      <c r="J1965" s="6">
        <v>0.0032</v>
      </c>
      <c r="K1965" s="6">
        <v>0.0903</v>
      </c>
    </row>
    <row r="1966" ht="14.5" spans="1:11">
      <c r="A1966" s="3" t="str">
        <f t="shared" si="114"/>
        <v>2026年</v>
      </c>
      <c r="B1966" s="3" t="str">
        <f t="shared" si="115"/>
        <v>2月</v>
      </c>
      <c r="C1966" s="4" t="str">
        <f t="shared" si="116"/>
        <v>W8</v>
      </c>
      <c r="D1966" s="2" t="s">
        <v>789</v>
      </c>
      <c r="E1966" s="2" t="s">
        <v>830</v>
      </c>
      <c r="F1966" s="2" t="str" cm="1">
        <f t="array" ref="F1966">INDEX(_xlfn.TEXTSPLIT(E1966,"-"),2)</f>
        <v>男装</v>
      </c>
      <c r="G1966" s="2" t="str" cm="1">
        <f t="array" ref="G1966">INDEX(_xlfn.TEXTSPLIT(E1966,"-"),3)</f>
        <v>羽绒服</v>
      </c>
      <c r="H1966" s="5">
        <v>26069</v>
      </c>
      <c r="I1966" s="5">
        <v>7184998.25</v>
      </c>
      <c r="J1966" s="6">
        <v>0.0357</v>
      </c>
      <c r="K1966" s="6">
        <v>0.0166</v>
      </c>
    </row>
    <row r="1967" ht="14.5" spans="1:11">
      <c r="A1967" s="3" t="str">
        <f t="shared" si="114"/>
        <v>2026年</v>
      </c>
      <c r="B1967" s="3" t="str">
        <f t="shared" si="115"/>
        <v>2月</v>
      </c>
      <c r="C1967" s="4" t="str">
        <f t="shared" si="116"/>
        <v>W8</v>
      </c>
      <c r="D1967" s="2" t="s">
        <v>789</v>
      </c>
      <c r="E1967" s="2" t="s">
        <v>831</v>
      </c>
      <c r="F1967" s="2" t="str" cm="1">
        <f t="array" ref="F1967">INDEX(_xlfn.TEXTSPLIT(E1967,"-"),2)</f>
        <v>男装</v>
      </c>
      <c r="G1967" s="2" t="str" cm="1">
        <f t="array" ref="G1967">INDEX(_xlfn.TEXTSPLIT(E1967,"-"),3)</f>
        <v>羽绒裤</v>
      </c>
      <c r="H1967" s="5">
        <v>155</v>
      </c>
      <c r="I1967" s="5">
        <v>20113.15</v>
      </c>
      <c r="J1967" s="6">
        <v>0.0001</v>
      </c>
      <c r="K1967" s="6">
        <v>-0.3504</v>
      </c>
    </row>
    <row r="1968" ht="14.5" spans="1:11">
      <c r="A1968" s="3" t="str">
        <f t="shared" si="114"/>
        <v>2026年</v>
      </c>
      <c r="B1968" s="3" t="str">
        <f t="shared" si="115"/>
        <v>2月</v>
      </c>
      <c r="C1968" s="4" t="str">
        <f t="shared" si="116"/>
        <v>W8</v>
      </c>
      <c r="D1968" s="2" t="s">
        <v>789</v>
      </c>
      <c r="E1968" s="2" t="s">
        <v>832</v>
      </c>
      <c r="F1968" s="2" t="str" cm="1">
        <f t="array" ref="F1968">INDEX(_xlfn.TEXTSPLIT(E1968,"-"),2)</f>
        <v>男装</v>
      </c>
      <c r="G1968" s="2" t="str" cm="1">
        <f t="array" ref="G1968">INDEX(_xlfn.TEXTSPLIT(E1968,"-"),3)</f>
        <v>羽绒马甲</v>
      </c>
      <c r="H1968" s="5">
        <v>1941</v>
      </c>
      <c r="I1968" s="5">
        <v>319436.58</v>
      </c>
      <c r="J1968" s="6">
        <v>0.0016</v>
      </c>
      <c r="K1968" s="6">
        <v>-0.0801</v>
      </c>
    </row>
    <row r="1969" ht="14.5" spans="1:11">
      <c r="A1969" s="3" t="str">
        <f t="shared" si="114"/>
        <v>2026年</v>
      </c>
      <c r="B1969" s="3" t="str">
        <f t="shared" si="115"/>
        <v>2月</v>
      </c>
      <c r="C1969" s="4" t="str">
        <f t="shared" si="116"/>
        <v>W8</v>
      </c>
      <c r="D1969" s="2" t="s">
        <v>789</v>
      </c>
      <c r="E1969" s="2" t="s">
        <v>833</v>
      </c>
      <c r="F1969" s="2" t="str" cm="1">
        <f t="array" ref="F1969">INDEX(_xlfn.TEXTSPLIT(E1969,"-"),2)</f>
        <v>男装</v>
      </c>
      <c r="G1969" s="2" t="str" cm="1">
        <f t="array" ref="G1969">INDEX(_xlfn.TEXTSPLIT(E1969,"-"),3)</f>
        <v>背心</v>
      </c>
      <c r="H1969" s="5">
        <v>33794</v>
      </c>
      <c r="I1969" s="5">
        <v>1465958.04</v>
      </c>
      <c r="J1969" s="6">
        <v>0.0073</v>
      </c>
      <c r="K1969" s="6">
        <v>0.4446</v>
      </c>
    </row>
    <row r="1970" ht="14.5" spans="1:11">
      <c r="A1970" s="3" t="str">
        <f t="shared" si="114"/>
        <v>2026年</v>
      </c>
      <c r="B1970" s="3" t="str">
        <f t="shared" si="115"/>
        <v>2月</v>
      </c>
      <c r="C1970" s="4" t="str">
        <f t="shared" si="116"/>
        <v>W8</v>
      </c>
      <c r="D1970" s="2" t="s">
        <v>789</v>
      </c>
      <c r="E1970" s="2" t="s">
        <v>834</v>
      </c>
      <c r="F1970" s="2" t="str" cm="1">
        <f t="array" ref="F1970">INDEX(_xlfn.TEXTSPLIT(E1970,"-"),2)</f>
        <v>男装</v>
      </c>
      <c r="G1970" s="2" t="str" cm="1">
        <f t="array" ref="G1970">INDEX(_xlfn.TEXTSPLIT(E1970,"-"),3)</f>
        <v>衬衫</v>
      </c>
      <c r="H1970" s="5">
        <v>65379</v>
      </c>
      <c r="I1970" s="5">
        <v>7788671.19</v>
      </c>
      <c r="J1970" s="6">
        <v>0.0387</v>
      </c>
      <c r="K1970" s="6">
        <v>0.173</v>
      </c>
    </row>
    <row r="1971" ht="14.5" spans="1:11">
      <c r="A1971" s="3" t="str">
        <f t="shared" si="114"/>
        <v>2026年</v>
      </c>
      <c r="B1971" s="3" t="str">
        <f t="shared" si="115"/>
        <v>2月</v>
      </c>
      <c r="C1971" s="4" t="str">
        <f t="shared" si="116"/>
        <v>W8</v>
      </c>
      <c r="D1971" s="2" t="s">
        <v>789</v>
      </c>
      <c r="E1971" s="2" t="s">
        <v>835</v>
      </c>
      <c r="F1971" s="2" t="str" cm="1">
        <f t="array" ref="F1971">INDEX(_xlfn.TEXTSPLIT(E1971,"-"),2)</f>
        <v>男装</v>
      </c>
      <c r="G1971" s="2" t="str" cm="1">
        <f t="array" ref="G1971">INDEX(_xlfn.TEXTSPLIT(E1971,"-"),3)</f>
        <v>西服</v>
      </c>
      <c r="H1971" s="5">
        <v>35684</v>
      </c>
      <c r="I1971" s="5">
        <v>9036251.6</v>
      </c>
      <c r="J1971" s="6">
        <v>0.0449</v>
      </c>
      <c r="K1971" s="6">
        <v>0.2517</v>
      </c>
    </row>
    <row r="1972" ht="14.5" spans="1:11">
      <c r="A1972" s="3" t="str">
        <f t="shared" si="114"/>
        <v>2026年</v>
      </c>
      <c r="B1972" s="3" t="str">
        <f t="shared" si="115"/>
        <v>2月</v>
      </c>
      <c r="C1972" s="4" t="str">
        <f t="shared" si="116"/>
        <v>W8</v>
      </c>
      <c r="D1972" s="2" t="s">
        <v>789</v>
      </c>
      <c r="E1972" s="2" t="s">
        <v>836</v>
      </c>
      <c r="F1972" s="2" t="str" cm="1">
        <f t="array" ref="F1972">INDEX(_xlfn.TEXTSPLIT(E1972,"-"),2)</f>
        <v>男装</v>
      </c>
      <c r="G1972" s="2" t="str" cm="1">
        <f t="array" ref="G1972">INDEX(_xlfn.TEXTSPLIT(E1972,"-"),3)</f>
        <v>连体衣/裤</v>
      </c>
      <c r="H1972" s="5">
        <v>1168</v>
      </c>
      <c r="I1972" s="5">
        <v>38129.95</v>
      </c>
      <c r="J1972" s="6">
        <v>0.0002</v>
      </c>
      <c r="K1972" s="6">
        <v>0.2741</v>
      </c>
    </row>
    <row r="1973" ht="14.5" spans="1:11">
      <c r="A1973" s="3" t="str">
        <f t="shared" si="114"/>
        <v>2026年</v>
      </c>
      <c r="B1973" s="3" t="str">
        <f t="shared" si="115"/>
        <v>2月</v>
      </c>
      <c r="C1973" s="4" t="str">
        <f t="shared" si="116"/>
        <v>W8</v>
      </c>
      <c r="D1973" s="2" t="s">
        <v>789</v>
      </c>
      <c r="E1973" s="2" t="s">
        <v>837</v>
      </c>
      <c r="F1973" s="2" t="str" cm="1">
        <f t="array" ref="F1973">INDEX(_xlfn.TEXTSPLIT(E1973,"-"),2)</f>
        <v>男装</v>
      </c>
      <c r="G1973" s="2" t="str" cm="1">
        <f t="array" ref="G1973">INDEX(_xlfn.TEXTSPLIT(E1973,"-"),3)</f>
        <v>速干/三防T恤</v>
      </c>
      <c r="H1973" s="5">
        <v>675</v>
      </c>
      <c r="I1973" s="5">
        <v>121879.34</v>
      </c>
      <c r="J1973" s="6">
        <v>0.0006</v>
      </c>
      <c r="K1973" s="6">
        <v>0.4066</v>
      </c>
    </row>
    <row r="1974" ht="14.5" spans="1:11">
      <c r="A1974" s="3" t="str">
        <f t="shared" si="114"/>
        <v>2026年</v>
      </c>
      <c r="B1974" s="3" t="str">
        <f t="shared" si="115"/>
        <v>2月</v>
      </c>
      <c r="C1974" s="4" t="str">
        <f t="shared" si="116"/>
        <v>W8</v>
      </c>
      <c r="D1974" s="2" t="s">
        <v>789</v>
      </c>
      <c r="E1974" s="2" t="s">
        <v>838</v>
      </c>
      <c r="F1974" s="2" t="str" cm="1">
        <f t="array" ref="F1974">INDEX(_xlfn.TEXTSPLIT(E1974,"-"),2)</f>
        <v>男装</v>
      </c>
      <c r="G1974" s="2" t="str" cm="1">
        <f t="array" ref="G1974">INDEX(_xlfn.TEXTSPLIT(E1974,"-"),3)</f>
        <v>针织衫/毛衣</v>
      </c>
      <c r="H1974" s="5">
        <v>62400</v>
      </c>
      <c r="I1974" s="5">
        <v>8163292.38</v>
      </c>
      <c r="J1974" s="6">
        <v>0.0405</v>
      </c>
      <c r="K1974" s="6">
        <v>0.0009</v>
      </c>
    </row>
    <row r="1975" ht="14.5" spans="1:11">
      <c r="A1975" s="3" t="str">
        <f t="shared" si="114"/>
        <v>2026年</v>
      </c>
      <c r="B1975" s="3" t="str">
        <f t="shared" si="115"/>
        <v>2月</v>
      </c>
      <c r="C1975" s="4" t="str">
        <f t="shared" si="116"/>
        <v>W8</v>
      </c>
      <c r="D1975" s="2" t="s">
        <v>789</v>
      </c>
      <c r="E1975" s="2" t="s">
        <v>839</v>
      </c>
      <c r="F1975" s="2" t="str" cm="1">
        <f t="array" ref="F1975">INDEX(_xlfn.TEXTSPLIT(E1975,"-"),2)</f>
        <v>男装</v>
      </c>
      <c r="G1975" s="2" t="str" cm="1">
        <f t="array" ref="G1975">INDEX(_xlfn.TEXTSPLIT(E1975,"-"),3)</f>
        <v>防晒服</v>
      </c>
      <c r="H1975" s="5">
        <v>1619</v>
      </c>
      <c r="I1975" s="5">
        <v>91177.5</v>
      </c>
      <c r="J1975" s="6">
        <v>0.0005</v>
      </c>
      <c r="K1975" s="6">
        <v>0.5255</v>
      </c>
    </row>
    <row r="1976" ht="14.5" spans="1:11">
      <c r="A1976" s="3" t="str">
        <f t="shared" si="114"/>
        <v>2026年</v>
      </c>
      <c r="B1976" s="3" t="str">
        <f t="shared" si="115"/>
        <v>2月</v>
      </c>
      <c r="C1976" s="4" t="str">
        <f t="shared" si="116"/>
        <v>W8</v>
      </c>
      <c r="D1976" s="2" t="s">
        <v>789</v>
      </c>
      <c r="E1976" s="2" t="s">
        <v>840</v>
      </c>
      <c r="F1976" s="2" t="str" cm="1">
        <f t="array" ref="F1976">INDEX(_xlfn.TEXTSPLIT(E1976,"-"),2)</f>
        <v>男装</v>
      </c>
      <c r="G1976" s="2" t="str" cm="1">
        <f t="array" ref="G1976">INDEX(_xlfn.TEXTSPLIT(E1976,"-"),3)</f>
        <v>风衣</v>
      </c>
      <c r="H1976" s="5">
        <v>4988</v>
      </c>
      <c r="I1976" s="5">
        <v>1374415.93</v>
      </c>
      <c r="J1976" s="6">
        <v>0.0068</v>
      </c>
      <c r="K1976" s="6">
        <v>-0.0242</v>
      </c>
    </row>
    <row r="1977" ht="14.5" spans="1:11">
      <c r="A1977" s="3" t="str">
        <f t="shared" si="114"/>
        <v>2026年</v>
      </c>
      <c r="B1977" s="3" t="str">
        <f t="shared" si="115"/>
        <v>2月</v>
      </c>
      <c r="C1977" s="4" t="str">
        <f t="shared" si="116"/>
        <v>W8</v>
      </c>
      <c r="D1977" s="2" t="s">
        <v>789</v>
      </c>
      <c r="E1977" s="2" t="s">
        <v>841</v>
      </c>
      <c r="F1977" s="2" t="str" cm="1">
        <f t="array" ref="F1977">INDEX(_xlfn.TEXTSPLIT(E1977,"-"),2)</f>
        <v>男装</v>
      </c>
      <c r="G1977" s="2" t="str" cm="1">
        <f t="array" ref="G1977">INDEX(_xlfn.TEXTSPLIT(E1977,"-"),3)</f>
        <v>马甲</v>
      </c>
      <c r="H1977" s="5">
        <v>11720</v>
      </c>
      <c r="I1977" s="5">
        <v>1248780.76</v>
      </c>
      <c r="J1977" s="6">
        <v>0.0062</v>
      </c>
      <c r="K1977" s="6">
        <v>0.0264</v>
      </c>
    </row>
    <row r="1978" ht="14.5" spans="1:11">
      <c r="A1978" s="3" t="str">
        <f t="shared" si="114"/>
        <v>2026年</v>
      </c>
      <c r="B1978" s="3" t="str">
        <f t="shared" si="115"/>
        <v>2月</v>
      </c>
      <c r="C1978" s="4" t="str">
        <f t="shared" si="116"/>
        <v>W8</v>
      </c>
      <c r="D1978" s="2" t="s">
        <v>790</v>
      </c>
      <c r="E1978" s="2" t="s">
        <v>804</v>
      </c>
      <c r="F1978" s="2" t="str" cm="1">
        <f t="array" ref="F1978">INDEX(_xlfn.TEXTSPLIT(E1978,"-"),2)</f>
        <v>男装</v>
      </c>
      <c r="G1978" s="2" t="str" cm="1">
        <f t="array" ref="G1978">INDEX(_xlfn.TEXTSPLIT(E1978,"-"),3)</f>
        <v>Polo衫</v>
      </c>
      <c r="H1978" s="5">
        <v>29535</v>
      </c>
      <c r="I1978" s="5">
        <v>3240152.93</v>
      </c>
      <c r="J1978" s="6">
        <v>0.0216</v>
      </c>
      <c r="K1978" s="6">
        <v>-0.5475</v>
      </c>
    </row>
    <row r="1979" ht="14.5" spans="1:11">
      <c r="A1979" s="3" t="str">
        <f t="shared" si="114"/>
        <v>2026年</v>
      </c>
      <c r="B1979" s="3" t="str">
        <f t="shared" si="115"/>
        <v>2月</v>
      </c>
      <c r="C1979" s="4" t="str">
        <f t="shared" si="116"/>
        <v>W8</v>
      </c>
      <c r="D1979" s="2" t="s">
        <v>790</v>
      </c>
      <c r="E1979" s="2" t="s">
        <v>805</v>
      </c>
      <c r="F1979" s="2" t="str" cm="1">
        <f t="array" ref="F1979">INDEX(_xlfn.TEXTSPLIT(E1979,"-"),2)</f>
        <v>男装</v>
      </c>
      <c r="G1979" s="2" t="str" cm="1">
        <f t="array" ref="G1979">INDEX(_xlfn.TEXTSPLIT(E1979,"-"),3)</f>
        <v>T恤</v>
      </c>
      <c r="H1979" s="5">
        <v>394698</v>
      </c>
      <c r="I1979" s="5">
        <v>26665213.78</v>
      </c>
      <c r="J1979" s="6">
        <v>0.1774</v>
      </c>
      <c r="K1979" s="6">
        <v>-0.1204</v>
      </c>
    </row>
    <row r="1980" ht="14.5" spans="1:11">
      <c r="A1980" s="3" t="str">
        <f t="shared" si="114"/>
        <v>2026年</v>
      </c>
      <c r="B1980" s="3" t="str">
        <f t="shared" si="115"/>
        <v>2月</v>
      </c>
      <c r="C1980" s="4" t="str">
        <f t="shared" si="116"/>
        <v>W8</v>
      </c>
      <c r="D1980" s="2" t="s">
        <v>790</v>
      </c>
      <c r="E1980" s="2" t="s">
        <v>806</v>
      </c>
      <c r="F1980" s="2" t="str" cm="1">
        <f t="array" ref="F1980">INDEX(_xlfn.TEXTSPLIT(E1980,"-"),2)</f>
        <v>男装</v>
      </c>
      <c r="G1980" s="2" t="str" cm="1">
        <f t="array" ref="G1980">INDEX(_xlfn.TEXTSPLIT(E1980,"-"),3)</f>
        <v>中老年男装</v>
      </c>
      <c r="H1980" s="5">
        <v>6740</v>
      </c>
      <c r="I1980" s="5">
        <v>525048.48</v>
      </c>
      <c r="J1980" s="6">
        <v>0.0035</v>
      </c>
      <c r="K1980" s="6">
        <v>-0.6094</v>
      </c>
    </row>
    <row r="1981" ht="14.5" spans="1:11">
      <c r="A1981" s="3" t="str">
        <f t="shared" si="114"/>
        <v>2026年</v>
      </c>
      <c r="B1981" s="3" t="str">
        <f t="shared" si="115"/>
        <v>2月</v>
      </c>
      <c r="C1981" s="4" t="str">
        <f t="shared" si="116"/>
        <v>W8</v>
      </c>
      <c r="D1981" s="2" t="s">
        <v>790</v>
      </c>
      <c r="E1981" s="2" t="s">
        <v>807</v>
      </c>
      <c r="F1981" s="2" t="str" cm="1">
        <f t="array" ref="F1981">INDEX(_xlfn.TEXTSPLIT(E1981,"-"),2)</f>
        <v>男装</v>
      </c>
      <c r="G1981" s="2" t="str" cm="1">
        <f t="array" ref="G1981">INDEX(_xlfn.TEXTSPLIT(E1981,"-"),3)</f>
        <v>休闲裤</v>
      </c>
      <c r="H1981" s="5">
        <v>163048</v>
      </c>
      <c r="I1981" s="5">
        <v>17726625.73</v>
      </c>
      <c r="J1981" s="6">
        <v>0.1179</v>
      </c>
      <c r="K1981" s="6">
        <v>-0.2575</v>
      </c>
    </row>
    <row r="1982" ht="14.5" spans="1:11">
      <c r="A1982" s="3" t="str">
        <f t="shared" si="114"/>
        <v>2026年</v>
      </c>
      <c r="B1982" s="3" t="str">
        <f t="shared" si="115"/>
        <v>2月</v>
      </c>
      <c r="C1982" s="4" t="str">
        <f t="shared" si="116"/>
        <v>W8</v>
      </c>
      <c r="D1982" s="2" t="s">
        <v>790</v>
      </c>
      <c r="E1982" s="2" t="s">
        <v>808</v>
      </c>
      <c r="F1982" s="2" t="str" cm="1">
        <f t="array" ref="F1982">INDEX(_xlfn.TEXTSPLIT(E1982,"-"),2)</f>
        <v>男装</v>
      </c>
      <c r="G1982" s="2" t="str" cm="1">
        <f t="array" ref="G1982">INDEX(_xlfn.TEXTSPLIT(E1982,"-"),3)</f>
        <v>卫衣</v>
      </c>
      <c r="H1982" s="5">
        <v>96511</v>
      </c>
      <c r="I1982" s="5">
        <v>9634715.08</v>
      </c>
      <c r="J1982" s="6">
        <v>0.0641</v>
      </c>
      <c r="K1982" s="6">
        <v>-0.3197</v>
      </c>
    </row>
    <row r="1983" ht="14.5" spans="1:11">
      <c r="A1983" s="3" t="str">
        <f t="shared" si="114"/>
        <v>2026年</v>
      </c>
      <c r="B1983" s="3" t="str">
        <f t="shared" si="115"/>
        <v>2月</v>
      </c>
      <c r="C1983" s="4" t="str">
        <f t="shared" si="116"/>
        <v>W8</v>
      </c>
      <c r="D1983" s="2" t="s">
        <v>790</v>
      </c>
      <c r="E1983" s="2" t="s">
        <v>809</v>
      </c>
      <c r="F1983" s="2" t="str" cm="1">
        <f t="array" ref="F1983">INDEX(_xlfn.TEXTSPLIT(E1983,"-"),2)</f>
        <v>男装</v>
      </c>
      <c r="G1983" s="2" t="str" cm="1">
        <f t="array" ref="G1983">INDEX(_xlfn.TEXTSPLIT(E1983,"-"),3)</f>
        <v>卫裤</v>
      </c>
      <c r="H1983" s="5">
        <v>35280</v>
      </c>
      <c r="I1983" s="5">
        <v>2976101.33</v>
      </c>
      <c r="J1983" s="6">
        <v>0.0198</v>
      </c>
      <c r="K1983" s="6">
        <v>-0.1271</v>
      </c>
    </row>
    <row r="1984" ht="14.5" spans="1:11">
      <c r="A1984" s="3" t="str">
        <f t="shared" si="114"/>
        <v>2026年</v>
      </c>
      <c r="B1984" s="3" t="str">
        <f t="shared" si="115"/>
        <v>2月</v>
      </c>
      <c r="C1984" s="4" t="str">
        <f t="shared" si="116"/>
        <v>W8</v>
      </c>
      <c r="D1984" s="2" t="s">
        <v>790</v>
      </c>
      <c r="E1984" s="2" t="s">
        <v>810</v>
      </c>
      <c r="F1984" s="2" t="str" cm="1">
        <f t="array" ref="F1984">INDEX(_xlfn.TEXTSPLIT(E1984,"-"),2)</f>
        <v>男装</v>
      </c>
      <c r="G1984" s="2" t="str" cm="1">
        <f t="array" ref="G1984">INDEX(_xlfn.TEXTSPLIT(E1984,"-"),3)</f>
        <v>大码男装</v>
      </c>
      <c r="H1984" s="5">
        <v>13179</v>
      </c>
      <c r="I1984" s="5">
        <v>963932.63</v>
      </c>
      <c r="J1984" s="6">
        <v>0.0064</v>
      </c>
      <c r="K1984" s="6">
        <v>-0.4029</v>
      </c>
    </row>
    <row r="1985" ht="14.5" spans="1:11">
      <c r="A1985" s="3" t="str">
        <f t="shared" si="114"/>
        <v>2026年</v>
      </c>
      <c r="B1985" s="3" t="str">
        <f t="shared" si="115"/>
        <v>2月</v>
      </c>
      <c r="C1985" s="4" t="str">
        <f t="shared" si="116"/>
        <v>W8</v>
      </c>
      <c r="D1985" s="2" t="s">
        <v>790</v>
      </c>
      <c r="E1985" s="2" t="s">
        <v>811</v>
      </c>
      <c r="F1985" s="2" t="str" cm="1">
        <f t="array" ref="F1985">INDEX(_xlfn.TEXTSPLIT(E1985,"-"),2)</f>
        <v>男装</v>
      </c>
      <c r="G1985" s="2" t="str" cm="1">
        <f t="array" ref="G1985">INDEX(_xlfn.TEXTSPLIT(E1985,"-"),3)</f>
        <v>夹克</v>
      </c>
      <c r="H1985" s="5">
        <v>159616</v>
      </c>
      <c r="I1985" s="5">
        <v>30789748.87</v>
      </c>
      <c r="J1985" s="6">
        <v>0.2048</v>
      </c>
      <c r="K1985" s="6">
        <v>-0.2622</v>
      </c>
    </row>
    <row r="1986" ht="14.5" spans="1:11">
      <c r="A1986" s="3" t="str">
        <f t="shared" si="114"/>
        <v>2026年</v>
      </c>
      <c r="B1986" s="3" t="str">
        <f t="shared" si="115"/>
        <v>2月</v>
      </c>
      <c r="C1986" s="4" t="str">
        <f t="shared" si="116"/>
        <v>W8</v>
      </c>
      <c r="D1986" s="2" t="s">
        <v>790</v>
      </c>
      <c r="E1986" s="2" t="s">
        <v>812</v>
      </c>
      <c r="F1986" s="2" t="str" cm="1">
        <f t="array" ref="F1986">INDEX(_xlfn.TEXTSPLIT(E1986,"-"),2)</f>
        <v>男装</v>
      </c>
      <c r="G1986" s="2" t="str" cm="1">
        <f t="array" ref="G1986">INDEX(_xlfn.TEXTSPLIT(E1986,"-"),3)</f>
        <v>套装</v>
      </c>
      <c r="H1986" s="5">
        <v>18204</v>
      </c>
      <c r="I1986" s="5">
        <v>2351643.15</v>
      </c>
      <c r="J1986" s="6">
        <v>0.0156</v>
      </c>
      <c r="K1986" s="6">
        <v>-0.3016</v>
      </c>
    </row>
    <row r="1987" ht="14.5" spans="1:11">
      <c r="A1987" s="3" t="str">
        <f t="shared" si="114"/>
        <v>2026年</v>
      </c>
      <c r="B1987" s="3" t="str">
        <f t="shared" si="115"/>
        <v>2月</v>
      </c>
      <c r="C1987" s="4" t="str">
        <f t="shared" si="116"/>
        <v>W8</v>
      </c>
      <c r="D1987" s="2" t="s">
        <v>790</v>
      </c>
      <c r="E1987" s="2" t="s">
        <v>813</v>
      </c>
      <c r="F1987" s="2" t="str" cm="1">
        <f t="array" ref="F1987">INDEX(_xlfn.TEXTSPLIT(E1987,"-"),2)</f>
        <v>男装</v>
      </c>
      <c r="G1987" s="2" t="str" cm="1">
        <f t="array" ref="G1987">INDEX(_xlfn.TEXTSPLIT(E1987,"-"),3)</f>
        <v>学生校服</v>
      </c>
      <c r="H1987" s="5">
        <v>50</v>
      </c>
      <c r="I1987" s="5">
        <v>3150.6</v>
      </c>
      <c r="J1987" s="2" t="s">
        <v>713</v>
      </c>
      <c r="K1987" s="6">
        <v>14.0949</v>
      </c>
    </row>
    <row r="1988" ht="14.5" spans="1:11">
      <c r="A1988" s="3" t="str">
        <f t="shared" si="114"/>
        <v>2026年</v>
      </c>
      <c r="B1988" s="3" t="str">
        <f t="shared" si="115"/>
        <v>2月</v>
      </c>
      <c r="C1988" s="4" t="str">
        <f t="shared" si="116"/>
        <v>W8</v>
      </c>
      <c r="D1988" s="2" t="s">
        <v>790</v>
      </c>
      <c r="E1988" s="2" t="s">
        <v>814</v>
      </c>
      <c r="F1988" s="2" t="str" cm="1">
        <f t="array" ref="F1988">INDEX(_xlfn.TEXTSPLIT(E1988,"-"),2)</f>
        <v>男装</v>
      </c>
      <c r="G1988" s="2" t="str" cm="1">
        <f t="array" ref="G1988">INDEX(_xlfn.TEXTSPLIT(E1988,"-"),3)</f>
        <v>打底衫</v>
      </c>
      <c r="H1988" s="5">
        <v>9177</v>
      </c>
      <c r="I1988" s="5">
        <v>284704.41</v>
      </c>
      <c r="J1988" s="6">
        <v>0.0019</v>
      </c>
      <c r="K1988" s="6">
        <v>-0.2779</v>
      </c>
    </row>
    <row r="1989" ht="14.5" spans="1:11">
      <c r="A1989" s="3" t="str">
        <f t="shared" si="114"/>
        <v>2026年</v>
      </c>
      <c r="B1989" s="3" t="str">
        <f t="shared" si="115"/>
        <v>2月</v>
      </c>
      <c r="C1989" s="4" t="str">
        <f t="shared" si="116"/>
        <v>W8</v>
      </c>
      <c r="D1989" s="2" t="s">
        <v>790</v>
      </c>
      <c r="E1989" s="2" t="s">
        <v>815</v>
      </c>
      <c r="F1989" s="2" t="str" cm="1">
        <f t="array" ref="F1989">INDEX(_xlfn.TEXTSPLIT(E1989,"-"),2)</f>
        <v>男装</v>
      </c>
      <c r="G1989" s="2" t="str" cm="1">
        <f t="array" ref="G1989">INDEX(_xlfn.TEXTSPLIT(E1989,"-"),3)</f>
        <v>新中式男装</v>
      </c>
      <c r="H1989" s="5">
        <v>235</v>
      </c>
      <c r="I1989" s="5">
        <v>71567.55</v>
      </c>
      <c r="J1989" s="6">
        <v>0.0005</v>
      </c>
      <c r="K1989" s="6">
        <v>0.0544</v>
      </c>
    </row>
    <row r="1990" ht="14.5" spans="1:11">
      <c r="A1990" s="3" t="str">
        <f t="shared" si="114"/>
        <v>2026年</v>
      </c>
      <c r="B1990" s="3" t="str">
        <f t="shared" si="115"/>
        <v>2月</v>
      </c>
      <c r="C1990" s="4" t="str">
        <f t="shared" si="116"/>
        <v>W8</v>
      </c>
      <c r="D1990" s="2" t="s">
        <v>790</v>
      </c>
      <c r="E1990" s="2" t="s">
        <v>816</v>
      </c>
      <c r="F1990" s="2" t="str" cm="1">
        <f t="array" ref="F1990">INDEX(_xlfn.TEXTSPLIT(E1990,"-"),2)</f>
        <v>男装</v>
      </c>
      <c r="G1990" s="2" t="str" cm="1">
        <f t="array" ref="G1990">INDEX(_xlfn.TEXTSPLIT(E1990,"-"),3)</f>
        <v>棉衣</v>
      </c>
      <c r="H1990" s="5">
        <v>10787</v>
      </c>
      <c r="I1990" s="5">
        <v>1531011.79</v>
      </c>
      <c r="J1990" s="6">
        <v>0.0102</v>
      </c>
      <c r="K1990" s="6">
        <v>-0.4763</v>
      </c>
    </row>
    <row r="1991" ht="14.5" spans="1:11">
      <c r="A1991" s="3" t="str">
        <f t="shared" si="114"/>
        <v>2026年</v>
      </c>
      <c r="B1991" s="3" t="str">
        <f t="shared" si="115"/>
        <v>2月</v>
      </c>
      <c r="C1991" s="4" t="str">
        <f t="shared" si="116"/>
        <v>W8</v>
      </c>
      <c r="D1991" s="2" t="s">
        <v>790</v>
      </c>
      <c r="E1991" s="2" t="s">
        <v>817</v>
      </c>
      <c r="F1991" s="2" t="str" cm="1">
        <f t="array" ref="F1991">INDEX(_xlfn.TEXTSPLIT(E1991,"-"),2)</f>
        <v>男装</v>
      </c>
      <c r="G1991" s="2" t="str" cm="1">
        <f t="array" ref="G1991">INDEX(_xlfn.TEXTSPLIT(E1991,"-"),3)</f>
        <v>棉裤</v>
      </c>
      <c r="H1991" s="5">
        <v>376</v>
      </c>
      <c r="I1991" s="5">
        <v>166053.37</v>
      </c>
      <c r="J1991" s="6">
        <v>0.0011</v>
      </c>
      <c r="K1991" s="6">
        <v>1.8711</v>
      </c>
    </row>
    <row r="1992" ht="14.5" spans="1:11">
      <c r="A1992" s="3" t="str">
        <f t="shared" si="114"/>
        <v>2026年</v>
      </c>
      <c r="B1992" s="3" t="str">
        <f t="shared" si="115"/>
        <v>2月</v>
      </c>
      <c r="C1992" s="4" t="str">
        <f t="shared" si="116"/>
        <v>W8</v>
      </c>
      <c r="D1992" s="2" t="s">
        <v>790</v>
      </c>
      <c r="E1992" s="2" t="s">
        <v>818</v>
      </c>
      <c r="F1992" s="2" t="str" cm="1">
        <f t="array" ref="F1992">INDEX(_xlfn.TEXTSPLIT(E1992,"-"),2)</f>
        <v>男装</v>
      </c>
      <c r="G1992" s="2" t="str" cm="1">
        <f t="array" ref="G1992">INDEX(_xlfn.TEXTSPLIT(E1992,"-"),3)</f>
        <v>毛呢大衣</v>
      </c>
      <c r="H1992" s="5">
        <v>6301</v>
      </c>
      <c r="I1992" s="5">
        <v>1414824.75</v>
      </c>
      <c r="J1992" s="6">
        <v>0.0094</v>
      </c>
      <c r="K1992" s="6">
        <v>-0.3133</v>
      </c>
    </row>
    <row r="1993" ht="14.5" spans="1:11">
      <c r="A1993" s="3" t="str">
        <f t="shared" si="114"/>
        <v>2026年</v>
      </c>
      <c r="B1993" s="3" t="str">
        <f t="shared" si="115"/>
        <v>2月</v>
      </c>
      <c r="C1993" s="4" t="str">
        <f t="shared" si="116"/>
        <v>W8</v>
      </c>
      <c r="D1993" s="2" t="s">
        <v>790</v>
      </c>
      <c r="E1993" s="2" t="s">
        <v>819</v>
      </c>
      <c r="F1993" s="2" t="str" cm="1">
        <f t="array" ref="F1993">INDEX(_xlfn.TEXTSPLIT(E1993,"-"),2)</f>
        <v>男装</v>
      </c>
      <c r="G1993" s="2" t="str" cm="1">
        <f t="array" ref="G1993">INDEX(_xlfn.TEXTSPLIT(E1993,"-"),3)</f>
        <v>民族服装</v>
      </c>
      <c r="H1993" s="5">
        <v>1168</v>
      </c>
      <c r="I1993" s="5">
        <v>228819.69</v>
      </c>
      <c r="J1993" s="6">
        <v>0.0015</v>
      </c>
      <c r="K1993" s="6">
        <v>-0.2342</v>
      </c>
    </row>
    <row r="1994" ht="14.5" spans="1:11">
      <c r="A1994" s="3" t="str">
        <f t="shared" si="114"/>
        <v>2026年</v>
      </c>
      <c r="B1994" s="3" t="str">
        <f t="shared" si="115"/>
        <v>2月</v>
      </c>
      <c r="C1994" s="4" t="str">
        <f t="shared" si="116"/>
        <v>W8</v>
      </c>
      <c r="D1994" s="2" t="s">
        <v>790</v>
      </c>
      <c r="E1994" s="2" t="s">
        <v>820</v>
      </c>
      <c r="F1994" s="2" t="str" cm="1">
        <f t="array" ref="F1994">INDEX(_xlfn.TEXTSPLIT(E1994,"-"),2)</f>
        <v>男装</v>
      </c>
      <c r="G1994" s="2" t="str" cm="1">
        <f t="array" ref="G1994">INDEX(_xlfn.TEXTSPLIT(E1994,"-"),3)</f>
        <v>派克服</v>
      </c>
      <c r="H1994" s="5">
        <v>457</v>
      </c>
      <c r="I1994" s="5">
        <v>132550.75</v>
      </c>
      <c r="J1994" s="6">
        <v>0.0009</v>
      </c>
      <c r="K1994" s="6">
        <v>-0.0871</v>
      </c>
    </row>
    <row r="1995" ht="14.5" spans="1:11">
      <c r="A1995" s="3" t="str">
        <f t="shared" si="114"/>
        <v>2026年</v>
      </c>
      <c r="B1995" s="3" t="str">
        <f t="shared" si="115"/>
        <v>2月</v>
      </c>
      <c r="C1995" s="4" t="str">
        <f t="shared" si="116"/>
        <v>W8</v>
      </c>
      <c r="D1995" s="2" t="s">
        <v>790</v>
      </c>
      <c r="E1995" s="2" t="s">
        <v>821</v>
      </c>
      <c r="F1995" s="2" t="str" cm="1">
        <f t="array" ref="F1995">INDEX(_xlfn.TEXTSPLIT(E1995,"-"),2)</f>
        <v>男装</v>
      </c>
      <c r="G1995" s="2" t="str" cm="1">
        <f t="array" ref="G1995">INDEX(_xlfn.TEXTSPLIT(E1995,"-"),3)</f>
        <v>牛仔裤</v>
      </c>
      <c r="H1995" s="5">
        <v>136068</v>
      </c>
      <c r="I1995" s="5">
        <v>16138396.96</v>
      </c>
      <c r="J1995" s="6">
        <v>0.1073</v>
      </c>
      <c r="K1995" s="6">
        <v>-0.1746</v>
      </c>
    </row>
    <row r="1996" ht="14.5" spans="1:11">
      <c r="A1996" s="3" t="str">
        <f t="shared" si="114"/>
        <v>2026年</v>
      </c>
      <c r="B1996" s="3" t="str">
        <f t="shared" si="115"/>
        <v>2月</v>
      </c>
      <c r="C1996" s="4" t="str">
        <f t="shared" si="116"/>
        <v>W8</v>
      </c>
      <c r="D1996" s="2" t="s">
        <v>790</v>
      </c>
      <c r="E1996" s="2" t="s">
        <v>822</v>
      </c>
      <c r="F1996" s="2" t="str" cm="1">
        <f t="array" ref="F1996">INDEX(_xlfn.TEXTSPLIT(E1996,"-"),2)</f>
        <v>男装</v>
      </c>
      <c r="G1996" s="2" t="str" cm="1">
        <f t="array" ref="G1996">INDEX(_xlfn.TEXTSPLIT(E1996,"-"),3)</f>
        <v>皮草</v>
      </c>
      <c r="H1996" s="5">
        <v>51</v>
      </c>
      <c r="I1996" s="5">
        <v>91507.73</v>
      </c>
      <c r="J1996" s="6">
        <v>0.0006</v>
      </c>
      <c r="K1996" s="6">
        <v>-0.2333</v>
      </c>
    </row>
    <row r="1997" ht="14.5" spans="1:11">
      <c r="A1997" s="3" t="str">
        <f t="shared" si="114"/>
        <v>2026年</v>
      </c>
      <c r="B1997" s="3" t="str">
        <f t="shared" si="115"/>
        <v>2月</v>
      </c>
      <c r="C1997" s="4" t="str">
        <f t="shared" si="116"/>
        <v>W8</v>
      </c>
      <c r="D1997" s="2" t="s">
        <v>790</v>
      </c>
      <c r="E1997" s="2" t="s">
        <v>823</v>
      </c>
      <c r="F1997" s="2" t="str" cm="1">
        <f t="array" ref="F1997">INDEX(_xlfn.TEXTSPLIT(E1997,"-"),2)</f>
        <v>男装</v>
      </c>
      <c r="G1997" s="2" t="str" cm="1">
        <f t="array" ref="G1997">INDEX(_xlfn.TEXTSPLIT(E1997,"-"),3)</f>
        <v>皮衣</v>
      </c>
      <c r="H1997" s="5">
        <v>14528</v>
      </c>
      <c r="I1997" s="5">
        <v>5849067.53</v>
      </c>
      <c r="J1997" s="6">
        <v>0.0389</v>
      </c>
      <c r="K1997" s="6">
        <v>-0.1551</v>
      </c>
    </row>
    <row r="1998" ht="14.5" spans="1:11">
      <c r="A1998" s="3" t="str">
        <f t="shared" si="114"/>
        <v>2026年</v>
      </c>
      <c r="B1998" s="3" t="str">
        <f t="shared" si="115"/>
        <v>2月</v>
      </c>
      <c r="C1998" s="4" t="str">
        <f t="shared" si="116"/>
        <v>W8</v>
      </c>
      <c r="D1998" s="2" t="s">
        <v>790</v>
      </c>
      <c r="E1998" s="2" t="s">
        <v>824</v>
      </c>
      <c r="F1998" s="2" t="str" cm="1">
        <f t="array" ref="F1998">INDEX(_xlfn.TEXTSPLIT(E1998,"-"),2)</f>
        <v>男装</v>
      </c>
      <c r="G1998" s="2" t="str" cm="1">
        <f t="array" ref="G1998">INDEX(_xlfn.TEXTSPLIT(E1998,"-"),3)</f>
        <v>皮裤</v>
      </c>
      <c r="H1998" s="5">
        <v>123</v>
      </c>
      <c r="I1998" s="5">
        <v>23225.51</v>
      </c>
      <c r="J1998" s="6">
        <v>0.0002</v>
      </c>
      <c r="K1998" s="6">
        <v>-0.7799</v>
      </c>
    </row>
    <row r="1999" ht="14.5" spans="1:11">
      <c r="A1999" s="3" t="str">
        <f t="shared" si="114"/>
        <v>2026年</v>
      </c>
      <c r="B1999" s="3" t="str">
        <f t="shared" si="115"/>
        <v>2月</v>
      </c>
      <c r="C1999" s="4" t="str">
        <f t="shared" si="116"/>
        <v>W8</v>
      </c>
      <c r="D1999" s="2" t="s">
        <v>790</v>
      </c>
      <c r="E1999" s="2" t="s">
        <v>825</v>
      </c>
      <c r="F1999" s="2" t="str" cm="1">
        <f t="array" ref="F1999">INDEX(_xlfn.TEXTSPLIT(E1999,"-"),2)</f>
        <v>男装</v>
      </c>
      <c r="G1999" s="2" t="str" cm="1">
        <f t="array" ref="G1999">INDEX(_xlfn.TEXTSPLIT(E1999,"-"),3)</f>
        <v>短外套</v>
      </c>
      <c r="H1999" s="5">
        <v>3789</v>
      </c>
      <c r="I1999" s="5">
        <v>569002.28</v>
      </c>
      <c r="J1999" s="6">
        <v>0.0038</v>
      </c>
      <c r="K1999" s="6">
        <v>-0.4451</v>
      </c>
    </row>
    <row r="2000" ht="14.5" spans="1:11">
      <c r="A2000" s="3" t="str">
        <f t="shared" si="114"/>
        <v>2026年</v>
      </c>
      <c r="B2000" s="3" t="str">
        <f t="shared" si="115"/>
        <v>2月</v>
      </c>
      <c r="C2000" s="4" t="str">
        <f t="shared" si="116"/>
        <v>W8</v>
      </c>
      <c r="D2000" s="2" t="s">
        <v>790</v>
      </c>
      <c r="E2000" s="2" t="s">
        <v>826</v>
      </c>
      <c r="F2000" s="2" t="str" cm="1">
        <f t="array" ref="F2000">INDEX(_xlfn.TEXTSPLIT(E2000,"-"),2)</f>
        <v>男装</v>
      </c>
      <c r="G2000" s="2" t="str" cm="1">
        <f t="array" ref="G2000">INDEX(_xlfn.TEXTSPLIT(E2000,"-"),3)</f>
        <v>短裤</v>
      </c>
      <c r="H2000" s="5">
        <v>41011</v>
      </c>
      <c r="I2000" s="5">
        <v>1770725.47</v>
      </c>
      <c r="J2000" s="6">
        <v>0.0118</v>
      </c>
      <c r="K2000" s="6">
        <v>-0.1356</v>
      </c>
    </row>
    <row r="2001" ht="14.5" spans="1:11">
      <c r="A2001" s="3" t="str">
        <f t="shared" si="114"/>
        <v>2026年</v>
      </c>
      <c r="B2001" s="3" t="str">
        <f t="shared" si="115"/>
        <v>2月</v>
      </c>
      <c r="C2001" s="4" t="str">
        <f t="shared" si="116"/>
        <v>W8</v>
      </c>
      <c r="D2001" s="2" t="s">
        <v>790</v>
      </c>
      <c r="E2001" s="2" t="s">
        <v>827</v>
      </c>
      <c r="F2001" s="2" t="str" cm="1">
        <f t="array" ref="F2001">INDEX(_xlfn.TEXTSPLIT(E2001,"-"),2)</f>
        <v>男装</v>
      </c>
      <c r="G2001" s="2" t="str" cm="1">
        <f t="array" ref="G2001">INDEX(_xlfn.TEXTSPLIT(E2001,"-"),3)</f>
        <v>紧身衣</v>
      </c>
      <c r="H2001" s="5">
        <v>221</v>
      </c>
      <c r="I2001" s="5">
        <v>6681.55</v>
      </c>
      <c r="J2001" s="2" t="s">
        <v>713</v>
      </c>
      <c r="K2001" s="6">
        <v>-0.1827</v>
      </c>
    </row>
    <row r="2002" ht="14.5" spans="1:11">
      <c r="A2002" s="3" t="str">
        <f t="shared" si="114"/>
        <v>2026年</v>
      </c>
      <c r="B2002" s="3" t="str">
        <f t="shared" si="115"/>
        <v>2月</v>
      </c>
      <c r="C2002" s="4" t="str">
        <f t="shared" si="116"/>
        <v>W8</v>
      </c>
      <c r="D2002" s="2" t="s">
        <v>790</v>
      </c>
      <c r="E2002" s="2" t="s">
        <v>828</v>
      </c>
      <c r="F2002" s="2" t="str" cm="1">
        <f t="array" ref="F2002">INDEX(_xlfn.TEXTSPLIT(E2002,"-"),2)</f>
        <v>男装</v>
      </c>
      <c r="G2002" s="2" t="str" cm="1">
        <f t="array" ref="G2002">INDEX(_xlfn.TEXTSPLIT(E2002,"-"),3)</f>
        <v>羊毛衫</v>
      </c>
      <c r="H2002" s="5">
        <v>5906</v>
      </c>
      <c r="I2002" s="5">
        <v>998281.16</v>
      </c>
      <c r="J2002" s="6">
        <v>0.0066</v>
      </c>
      <c r="K2002" s="6">
        <v>-0.2041</v>
      </c>
    </row>
    <row r="2003" ht="14.5" spans="1:11">
      <c r="A2003" s="3" t="str">
        <f t="shared" si="114"/>
        <v>2026年</v>
      </c>
      <c r="B2003" s="3" t="str">
        <f t="shared" si="115"/>
        <v>2月</v>
      </c>
      <c r="C2003" s="4" t="str">
        <f t="shared" si="116"/>
        <v>W8</v>
      </c>
      <c r="D2003" s="2" t="s">
        <v>790</v>
      </c>
      <c r="E2003" s="2" t="s">
        <v>829</v>
      </c>
      <c r="F2003" s="2" t="str" cm="1">
        <f t="array" ref="F2003">INDEX(_xlfn.TEXTSPLIT(E2003,"-"),2)</f>
        <v>男装</v>
      </c>
      <c r="G2003" s="2" t="str" cm="1">
        <f t="array" ref="G2003">INDEX(_xlfn.TEXTSPLIT(E2003,"-"),3)</f>
        <v>羊绒衫</v>
      </c>
      <c r="H2003" s="5">
        <v>1161</v>
      </c>
      <c r="I2003" s="5">
        <v>357642.58</v>
      </c>
      <c r="J2003" s="6">
        <v>0.0024</v>
      </c>
      <c r="K2003" s="6">
        <v>-0.449</v>
      </c>
    </row>
    <row r="2004" ht="14.5" spans="1:11">
      <c r="A2004" s="3" t="str">
        <f t="shared" si="114"/>
        <v>2026年</v>
      </c>
      <c r="B2004" s="3" t="str">
        <f t="shared" si="115"/>
        <v>2月</v>
      </c>
      <c r="C2004" s="4" t="str">
        <f t="shared" si="116"/>
        <v>W8</v>
      </c>
      <c r="D2004" s="2" t="s">
        <v>790</v>
      </c>
      <c r="E2004" s="2" t="s">
        <v>830</v>
      </c>
      <c r="F2004" s="2" t="str" cm="1">
        <f t="array" ref="F2004">INDEX(_xlfn.TEXTSPLIT(E2004,"-"),2)</f>
        <v>男装</v>
      </c>
      <c r="G2004" s="2" t="str" cm="1">
        <f t="array" ref="G2004">INDEX(_xlfn.TEXTSPLIT(E2004,"-"),3)</f>
        <v>羽绒服</v>
      </c>
      <c r="H2004" s="5">
        <v>16842</v>
      </c>
      <c r="I2004" s="5">
        <v>5211126.03</v>
      </c>
      <c r="J2004" s="6">
        <v>0.0347</v>
      </c>
      <c r="K2004" s="6">
        <v>-0.2747</v>
      </c>
    </row>
    <row r="2005" ht="14.5" spans="1:11">
      <c r="A2005" s="3" t="str">
        <f t="shared" si="114"/>
        <v>2026年</v>
      </c>
      <c r="B2005" s="3" t="str">
        <f t="shared" si="115"/>
        <v>2月</v>
      </c>
      <c r="C2005" s="4" t="str">
        <f t="shared" si="116"/>
        <v>W8</v>
      </c>
      <c r="D2005" s="2" t="s">
        <v>790</v>
      </c>
      <c r="E2005" s="2" t="s">
        <v>831</v>
      </c>
      <c r="F2005" s="2" t="str" cm="1">
        <f t="array" ref="F2005">INDEX(_xlfn.TEXTSPLIT(E2005,"-"),2)</f>
        <v>男装</v>
      </c>
      <c r="G2005" s="2" t="str" cm="1">
        <f t="array" ref="G2005">INDEX(_xlfn.TEXTSPLIT(E2005,"-"),3)</f>
        <v>羽绒裤</v>
      </c>
      <c r="H2005" s="5">
        <v>68</v>
      </c>
      <c r="I2005" s="5">
        <v>8889.19</v>
      </c>
      <c r="J2005" s="6">
        <v>0.0001</v>
      </c>
      <c r="K2005" s="6">
        <v>-0.558</v>
      </c>
    </row>
    <row r="2006" ht="14.5" spans="1:11">
      <c r="A2006" s="3" t="str">
        <f t="shared" si="114"/>
        <v>2026年</v>
      </c>
      <c r="B2006" s="3" t="str">
        <f t="shared" si="115"/>
        <v>2月</v>
      </c>
      <c r="C2006" s="4" t="str">
        <f t="shared" si="116"/>
        <v>W8</v>
      </c>
      <c r="D2006" s="2" t="s">
        <v>790</v>
      </c>
      <c r="E2006" s="2" t="s">
        <v>832</v>
      </c>
      <c r="F2006" s="2" t="str" cm="1">
        <f t="array" ref="F2006">INDEX(_xlfn.TEXTSPLIT(E2006,"-"),2)</f>
        <v>男装</v>
      </c>
      <c r="G2006" s="2" t="str" cm="1">
        <f t="array" ref="G2006">INDEX(_xlfn.TEXTSPLIT(E2006,"-"),3)</f>
        <v>羽绒马甲</v>
      </c>
      <c r="H2006" s="5">
        <v>987</v>
      </c>
      <c r="I2006" s="5">
        <v>180586.93</v>
      </c>
      <c r="J2006" s="6">
        <v>0.0012</v>
      </c>
      <c r="K2006" s="6">
        <v>-0.4347</v>
      </c>
    </row>
    <row r="2007" ht="14.5" spans="1:11">
      <c r="A2007" s="3" t="str">
        <f t="shared" si="114"/>
        <v>2026年</v>
      </c>
      <c r="B2007" s="3" t="str">
        <f t="shared" si="115"/>
        <v>2月</v>
      </c>
      <c r="C2007" s="4" t="str">
        <f t="shared" si="116"/>
        <v>W8</v>
      </c>
      <c r="D2007" s="2" t="s">
        <v>790</v>
      </c>
      <c r="E2007" s="2" t="s">
        <v>833</v>
      </c>
      <c r="F2007" s="2" t="str" cm="1">
        <f t="array" ref="F2007">INDEX(_xlfn.TEXTSPLIT(E2007,"-"),2)</f>
        <v>男装</v>
      </c>
      <c r="G2007" s="2" t="str" cm="1">
        <f t="array" ref="G2007">INDEX(_xlfn.TEXTSPLIT(E2007,"-"),3)</f>
        <v>背心</v>
      </c>
      <c r="H2007" s="5">
        <v>24186</v>
      </c>
      <c r="I2007" s="5">
        <v>1023180.7</v>
      </c>
      <c r="J2007" s="6">
        <v>0.0068</v>
      </c>
      <c r="K2007" s="6">
        <v>-0.302</v>
      </c>
    </row>
    <row r="2008" ht="14.5" spans="1:11">
      <c r="A2008" s="3" t="str">
        <f t="shared" si="114"/>
        <v>2026年</v>
      </c>
      <c r="B2008" s="3" t="str">
        <f t="shared" si="115"/>
        <v>2月</v>
      </c>
      <c r="C2008" s="4" t="str">
        <f t="shared" si="116"/>
        <v>W8</v>
      </c>
      <c r="D2008" s="2" t="s">
        <v>790</v>
      </c>
      <c r="E2008" s="2" t="s">
        <v>834</v>
      </c>
      <c r="F2008" s="2" t="str" cm="1">
        <f t="array" ref="F2008">INDEX(_xlfn.TEXTSPLIT(E2008,"-"),2)</f>
        <v>男装</v>
      </c>
      <c r="G2008" s="2" t="str" cm="1">
        <f t="array" ref="G2008">INDEX(_xlfn.TEXTSPLIT(E2008,"-"),3)</f>
        <v>衬衫</v>
      </c>
      <c r="H2008" s="5">
        <v>52832</v>
      </c>
      <c r="I2008" s="5">
        <v>6200833.39</v>
      </c>
      <c r="J2008" s="6">
        <v>0.0412</v>
      </c>
      <c r="K2008" s="6">
        <v>-0.2039</v>
      </c>
    </row>
    <row r="2009" ht="14.5" spans="1:11">
      <c r="A2009" s="3" t="str">
        <f t="shared" si="114"/>
        <v>2026年</v>
      </c>
      <c r="B2009" s="3" t="str">
        <f t="shared" si="115"/>
        <v>2月</v>
      </c>
      <c r="C2009" s="4" t="str">
        <f t="shared" si="116"/>
        <v>W8</v>
      </c>
      <c r="D2009" s="2" t="s">
        <v>790</v>
      </c>
      <c r="E2009" s="2" t="s">
        <v>835</v>
      </c>
      <c r="F2009" s="2" t="str" cm="1">
        <f t="array" ref="F2009">INDEX(_xlfn.TEXTSPLIT(E2009,"-"),2)</f>
        <v>男装</v>
      </c>
      <c r="G2009" s="2" t="str" cm="1">
        <f t="array" ref="G2009">INDEX(_xlfn.TEXTSPLIT(E2009,"-"),3)</f>
        <v>西服</v>
      </c>
      <c r="H2009" s="5">
        <v>22506</v>
      </c>
      <c r="I2009" s="5">
        <v>5287666.88</v>
      </c>
      <c r="J2009" s="6">
        <v>0.0352</v>
      </c>
      <c r="K2009" s="6">
        <v>-0.4148</v>
      </c>
    </row>
    <row r="2010" ht="14.5" spans="1:11">
      <c r="A2010" s="3" t="str">
        <f t="shared" si="114"/>
        <v>2026年</v>
      </c>
      <c r="B2010" s="3" t="str">
        <f t="shared" si="115"/>
        <v>2月</v>
      </c>
      <c r="C2010" s="4" t="str">
        <f t="shared" si="116"/>
        <v>W8</v>
      </c>
      <c r="D2010" s="2" t="s">
        <v>790</v>
      </c>
      <c r="E2010" s="2" t="s">
        <v>836</v>
      </c>
      <c r="F2010" s="2" t="str" cm="1">
        <f t="array" ref="F2010">INDEX(_xlfn.TEXTSPLIT(E2010,"-"),2)</f>
        <v>男装</v>
      </c>
      <c r="G2010" s="2" t="str" cm="1">
        <f t="array" ref="G2010">INDEX(_xlfn.TEXTSPLIT(E2010,"-"),3)</f>
        <v>连体衣/裤</v>
      </c>
      <c r="H2010" s="5">
        <v>976</v>
      </c>
      <c r="I2010" s="5">
        <v>32272.25</v>
      </c>
      <c r="J2010" s="6">
        <v>0.0002</v>
      </c>
      <c r="K2010" s="6">
        <v>-0.1536</v>
      </c>
    </row>
    <row r="2011" ht="14.5" spans="1:11">
      <c r="A2011" s="3" t="str">
        <f t="shared" si="114"/>
        <v>2026年</v>
      </c>
      <c r="B2011" s="3" t="str">
        <f t="shared" si="115"/>
        <v>2月</v>
      </c>
      <c r="C2011" s="4" t="str">
        <f t="shared" si="116"/>
        <v>W8</v>
      </c>
      <c r="D2011" s="2" t="s">
        <v>790</v>
      </c>
      <c r="E2011" s="2" t="s">
        <v>837</v>
      </c>
      <c r="F2011" s="2" t="str" cm="1">
        <f t="array" ref="F2011">INDEX(_xlfn.TEXTSPLIT(E2011,"-"),2)</f>
        <v>男装</v>
      </c>
      <c r="G2011" s="2" t="str" cm="1">
        <f t="array" ref="G2011">INDEX(_xlfn.TEXTSPLIT(E2011,"-"),3)</f>
        <v>速干/三防T恤</v>
      </c>
      <c r="H2011" s="5">
        <v>769</v>
      </c>
      <c r="I2011" s="5">
        <v>148866.01</v>
      </c>
      <c r="J2011" s="6">
        <v>0.001</v>
      </c>
      <c r="K2011" s="6">
        <v>0.2214</v>
      </c>
    </row>
    <row r="2012" ht="14.5" spans="1:11">
      <c r="A2012" s="3" t="str">
        <f>TEXT(YEAR(D2012),"0")&amp;"年"</f>
        <v>2026年</v>
      </c>
      <c r="B2012" s="3" t="str">
        <f>TEXT(MONTH(D2012),"0")&amp;"月"</f>
        <v>2月</v>
      </c>
      <c r="C2012" s="4" t="str">
        <f>"W"&amp;TEXT(WEEKNUM(D2012,2),"0")</f>
        <v>W8</v>
      </c>
      <c r="D2012" s="2" t="s">
        <v>790</v>
      </c>
      <c r="E2012" s="2" t="s">
        <v>838</v>
      </c>
      <c r="F2012" s="2" t="str" cm="1">
        <f t="array" ref="F2012">INDEX(_xlfn.TEXTSPLIT(E2012,"-"),2)</f>
        <v>男装</v>
      </c>
      <c r="G2012" s="2" t="str" cm="1">
        <f t="array" ref="G2012">INDEX(_xlfn.TEXTSPLIT(E2012,"-"),3)</f>
        <v>针织衫/毛衣</v>
      </c>
      <c r="H2012" s="5">
        <v>39545</v>
      </c>
      <c r="I2012" s="5">
        <v>5215436.45</v>
      </c>
      <c r="J2012" s="6">
        <v>0.0347</v>
      </c>
      <c r="K2012" s="6">
        <v>-0.3611</v>
      </c>
    </row>
    <row r="2013" ht="14.5" spans="1:11">
      <c r="A2013" s="3" t="str">
        <f>TEXT(YEAR(D2013),"0")&amp;"年"</f>
        <v>2026年</v>
      </c>
      <c r="B2013" s="3" t="str">
        <f>TEXT(MONTH(D2013),"0")&amp;"月"</f>
        <v>2月</v>
      </c>
      <c r="C2013" s="4" t="str">
        <f>"W"&amp;TEXT(WEEKNUM(D2013,2),"0")</f>
        <v>W8</v>
      </c>
      <c r="D2013" s="2" t="s">
        <v>790</v>
      </c>
      <c r="E2013" s="2" t="s">
        <v>839</v>
      </c>
      <c r="F2013" s="2" t="str" cm="1">
        <f t="array" ref="F2013">INDEX(_xlfn.TEXTSPLIT(E2013,"-"),2)</f>
        <v>男装</v>
      </c>
      <c r="G2013" s="2" t="str" cm="1">
        <f t="array" ref="G2013">INDEX(_xlfn.TEXTSPLIT(E2013,"-"),3)</f>
        <v>防晒服</v>
      </c>
      <c r="H2013" s="5">
        <v>1270</v>
      </c>
      <c r="I2013" s="5">
        <v>81201.84</v>
      </c>
      <c r="J2013" s="6">
        <v>0.0005</v>
      </c>
      <c r="K2013" s="6">
        <v>-0.1094</v>
      </c>
    </row>
    <row r="2014" ht="14.5" spans="1:11">
      <c r="A2014" s="3" t="str">
        <f>TEXT(YEAR(D2014),"0")&amp;"年"</f>
        <v>2026年</v>
      </c>
      <c r="B2014" s="3" t="str">
        <f>TEXT(MONTH(D2014),"0")&amp;"月"</f>
        <v>2月</v>
      </c>
      <c r="C2014" s="4" t="str">
        <f>"W"&amp;TEXT(WEEKNUM(D2014,2),"0")</f>
        <v>W8</v>
      </c>
      <c r="D2014" s="2" t="s">
        <v>790</v>
      </c>
      <c r="E2014" s="2" t="s">
        <v>840</v>
      </c>
      <c r="F2014" s="2" t="str" cm="1">
        <f t="array" ref="F2014">INDEX(_xlfn.TEXTSPLIT(E2014,"-"),2)</f>
        <v>男装</v>
      </c>
      <c r="G2014" s="2" t="str" cm="1">
        <f t="array" ref="G2014">INDEX(_xlfn.TEXTSPLIT(E2014,"-"),3)</f>
        <v>风衣</v>
      </c>
      <c r="H2014" s="5">
        <v>4879</v>
      </c>
      <c r="I2014" s="5">
        <v>1328382.82</v>
      </c>
      <c r="J2014" s="6">
        <v>0.0088</v>
      </c>
      <c r="K2014" s="6">
        <v>-0.0335</v>
      </c>
    </row>
    <row r="2015" ht="14.5" spans="1:11">
      <c r="A2015" s="3" t="str">
        <f>TEXT(YEAR(D2015),"0")&amp;"年"</f>
        <v>2026年</v>
      </c>
      <c r="B2015" s="3" t="str">
        <f>TEXT(MONTH(D2015),"0")&amp;"月"</f>
        <v>2月</v>
      </c>
      <c r="C2015" s="4" t="str">
        <f>"W"&amp;TEXT(WEEKNUM(D2015,2),"0")</f>
        <v>W8</v>
      </c>
      <c r="D2015" s="2" t="s">
        <v>790</v>
      </c>
      <c r="E2015" s="2" t="s">
        <v>841</v>
      </c>
      <c r="F2015" s="2" t="str" cm="1">
        <f t="array" ref="F2015">INDEX(_xlfn.TEXTSPLIT(E2015,"-"),2)</f>
        <v>男装</v>
      </c>
      <c r="G2015" s="2" t="str" cm="1">
        <f t="array" ref="G2015">INDEX(_xlfn.TEXTSPLIT(E2015,"-"),3)</f>
        <v>马甲</v>
      </c>
      <c r="H2015" s="5">
        <v>10018</v>
      </c>
      <c r="I2015" s="5">
        <v>1108297.63</v>
      </c>
      <c r="J2015" s="6">
        <v>0.0074</v>
      </c>
      <c r="K2015" s="6">
        <v>-0.1125</v>
      </c>
    </row>
    <row r="2016" ht="14.5" spans="1:11">
      <c r="A2016" s="3" t="str">
        <f t="shared" ref="A2016:A2079" si="117">TEXT(YEAR(D2016),"0")&amp;"年"</f>
        <v>2026年</v>
      </c>
      <c r="B2016" s="3" t="str">
        <f t="shared" ref="B2016:B2079" si="118">TEXT(MONTH(D2016),"0")&amp;"月"</f>
        <v>2月</v>
      </c>
      <c r="C2016" s="4" t="str">
        <f t="shared" ref="C2016:C2079" si="119">"W"&amp;TEXT(WEEKNUM(D2016,2),"0")</f>
        <v>W9</v>
      </c>
      <c r="D2016" s="8" t="s">
        <v>791</v>
      </c>
      <c r="E2016" s="8" t="s">
        <v>804</v>
      </c>
      <c r="F2016" s="2" t="str" cm="1">
        <f t="array" ref="F2016">INDEX(_xlfn.TEXTSPLIT(E2016,"-"),2)</f>
        <v>男装</v>
      </c>
      <c r="G2016" s="2" t="str" cm="1">
        <f t="array" ref="G2016">INDEX(_xlfn.TEXTSPLIT(E2016,"-"),3)</f>
        <v>Polo衫</v>
      </c>
      <c r="H2016" s="9">
        <v>59406</v>
      </c>
      <c r="I2016" s="9">
        <v>6030398.71</v>
      </c>
      <c r="J2016" s="10">
        <v>0.0233</v>
      </c>
      <c r="K2016" s="10">
        <v>0.204</v>
      </c>
    </row>
    <row r="2017" ht="14.5" spans="1:11">
      <c r="A2017" s="3" t="str">
        <f t="shared" si="117"/>
        <v>2026年</v>
      </c>
      <c r="B2017" s="3" t="str">
        <f t="shared" si="118"/>
        <v>2月</v>
      </c>
      <c r="C2017" s="4" t="str">
        <f t="shared" si="119"/>
        <v>W9</v>
      </c>
      <c r="D2017" s="2" t="s">
        <v>791</v>
      </c>
      <c r="E2017" s="2" t="s">
        <v>805</v>
      </c>
      <c r="F2017" s="2" t="str" cm="1">
        <f t="array" ref="F2017">INDEX(_xlfn.TEXTSPLIT(E2017,"-"),2)</f>
        <v>男装</v>
      </c>
      <c r="G2017" s="2" t="str" cm="1">
        <f t="array" ref="G2017">INDEX(_xlfn.TEXTSPLIT(E2017,"-"),3)</f>
        <v>T恤</v>
      </c>
      <c r="H2017" s="5">
        <v>620037</v>
      </c>
      <c r="I2017" s="5">
        <v>42969217.81</v>
      </c>
      <c r="J2017" s="6">
        <v>0.1658</v>
      </c>
      <c r="K2017" s="6">
        <v>0.0747</v>
      </c>
    </row>
    <row r="2018" ht="14.5" spans="1:11">
      <c r="A2018" s="3" t="str">
        <f t="shared" si="117"/>
        <v>2026年</v>
      </c>
      <c r="B2018" s="3" t="str">
        <f t="shared" si="118"/>
        <v>2月</v>
      </c>
      <c r="C2018" s="4" t="str">
        <f t="shared" si="119"/>
        <v>W9</v>
      </c>
      <c r="D2018" s="2" t="s">
        <v>791</v>
      </c>
      <c r="E2018" s="2" t="s">
        <v>806</v>
      </c>
      <c r="F2018" s="2" t="str" cm="1">
        <f t="array" ref="F2018">INDEX(_xlfn.TEXTSPLIT(E2018,"-"),2)</f>
        <v>男装</v>
      </c>
      <c r="G2018" s="2" t="str" cm="1">
        <f t="array" ref="G2018">INDEX(_xlfn.TEXTSPLIT(E2018,"-"),3)</f>
        <v>中老年男装</v>
      </c>
      <c r="H2018" s="5">
        <v>25187</v>
      </c>
      <c r="I2018" s="5">
        <v>1811953.02</v>
      </c>
      <c r="J2018" s="6">
        <v>0.007</v>
      </c>
      <c r="K2018" s="6">
        <v>0.1528</v>
      </c>
    </row>
    <row r="2019" ht="14.5" spans="1:11">
      <c r="A2019" s="3" t="str">
        <f t="shared" si="117"/>
        <v>2026年</v>
      </c>
      <c r="B2019" s="3" t="str">
        <f t="shared" si="118"/>
        <v>2月</v>
      </c>
      <c r="C2019" s="4" t="str">
        <f t="shared" si="119"/>
        <v>W9</v>
      </c>
      <c r="D2019" s="2" t="s">
        <v>791</v>
      </c>
      <c r="E2019" s="2" t="s">
        <v>807</v>
      </c>
      <c r="F2019" s="2" t="str" cm="1">
        <f t="array" ref="F2019">INDEX(_xlfn.TEXTSPLIT(E2019,"-"),2)</f>
        <v>男装</v>
      </c>
      <c r="G2019" s="2" t="str" cm="1">
        <f t="array" ref="G2019">INDEX(_xlfn.TEXTSPLIT(E2019,"-"),3)</f>
        <v>休闲裤</v>
      </c>
      <c r="H2019" s="5">
        <v>289082</v>
      </c>
      <c r="I2019" s="5">
        <v>29755178</v>
      </c>
      <c r="J2019" s="6">
        <v>0.1148</v>
      </c>
      <c r="K2019" s="6">
        <v>0.173</v>
      </c>
    </row>
    <row r="2020" ht="14.5" spans="1:11">
      <c r="A2020" s="3" t="str">
        <f t="shared" si="117"/>
        <v>2026年</v>
      </c>
      <c r="B2020" s="3" t="str">
        <f t="shared" si="118"/>
        <v>2月</v>
      </c>
      <c r="C2020" s="4" t="str">
        <f t="shared" si="119"/>
        <v>W9</v>
      </c>
      <c r="D2020" s="2" t="s">
        <v>791</v>
      </c>
      <c r="E2020" s="2" t="s">
        <v>808</v>
      </c>
      <c r="F2020" s="2" t="str" cm="1">
        <f t="array" ref="F2020">INDEX(_xlfn.TEXTSPLIT(E2020,"-"),2)</f>
        <v>男装</v>
      </c>
      <c r="G2020" s="2" t="str" cm="1">
        <f t="array" ref="G2020">INDEX(_xlfn.TEXTSPLIT(E2020,"-"),3)</f>
        <v>卫衣</v>
      </c>
      <c r="H2020" s="5">
        <v>178793</v>
      </c>
      <c r="I2020" s="5">
        <v>16932858.38</v>
      </c>
      <c r="J2020" s="6">
        <v>0.0653</v>
      </c>
      <c r="K2020" s="6">
        <v>0.0647</v>
      </c>
    </row>
    <row r="2021" ht="14.5" spans="1:11">
      <c r="A2021" s="3" t="str">
        <f t="shared" si="117"/>
        <v>2026年</v>
      </c>
      <c r="B2021" s="3" t="str">
        <f t="shared" si="118"/>
        <v>2月</v>
      </c>
      <c r="C2021" s="4" t="str">
        <f t="shared" si="119"/>
        <v>W9</v>
      </c>
      <c r="D2021" s="2" t="s">
        <v>791</v>
      </c>
      <c r="E2021" s="2" t="s">
        <v>809</v>
      </c>
      <c r="F2021" s="2" t="str" cm="1">
        <f t="array" ref="F2021">INDEX(_xlfn.TEXTSPLIT(E2021,"-"),2)</f>
        <v>男装</v>
      </c>
      <c r="G2021" s="2" t="str" cm="1">
        <f t="array" ref="G2021">INDEX(_xlfn.TEXTSPLIT(E2021,"-"),3)</f>
        <v>卫裤</v>
      </c>
      <c r="H2021" s="5">
        <v>48142</v>
      </c>
      <c r="I2021" s="5">
        <v>4372130.14</v>
      </c>
      <c r="J2021" s="6">
        <v>0.0169</v>
      </c>
      <c r="K2021" s="6">
        <v>0.085</v>
      </c>
    </row>
    <row r="2022" ht="14.5" spans="1:11">
      <c r="A2022" s="3" t="str">
        <f t="shared" si="117"/>
        <v>2026年</v>
      </c>
      <c r="B2022" s="3" t="str">
        <f t="shared" si="118"/>
        <v>2月</v>
      </c>
      <c r="C2022" s="4" t="str">
        <f t="shared" si="119"/>
        <v>W9</v>
      </c>
      <c r="D2022" s="2" t="s">
        <v>791</v>
      </c>
      <c r="E2022" s="2" t="s">
        <v>810</v>
      </c>
      <c r="F2022" s="2" t="str" cm="1">
        <f t="array" ref="F2022">INDEX(_xlfn.TEXTSPLIT(E2022,"-"),2)</f>
        <v>男装</v>
      </c>
      <c r="G2022" s="2" t="str" cm="1">
        <f t="array" ref="G2022">INDEX(_xlfn.TEXTSPLIT(E2022,"-"),3)</f>
        <v>大码男装</v>
      </c>
      <c r="H2022" s="5">
        <v>33049</v>
      </c>
      <c r="I2022" s="5">
        <v>2530146.39</v>
      </c>
      <c r="J2022" s="6">
        <v>0.0098</v>
      </c>
      <c r="K2022" s="6">
        <v>0.0696</v>
      </c>
    </row>
    <row r="2023" ht="14.5" spans="1:11">
      <c r="A2023" s="3" t="str">
        <f t="shared" si="117"/>
        <v>2026年</v>
      </c>
      <c r="B2023" s="3" t="str">
        <f t="shared" si="118"/>
        <v>2月</v>
      </c>
      <c r="C2023" s="4" t="str">
        <f t="shared" si="119"/>
        <v>W9</v>
      </c>
      <c r="D2023" s="2" t="s">
        <v>791</v>
      </c>
      <c r="E2023" s="2" t="s">
        <v>811</v>
      </c>
      <c r="F2023" s="2" t="str" cm="1">
        <f t="array" ref="F2023">INDEX(_xlfn.TEXTSPLIT(E2023,"-"),2)</f>
        <v>男装</v>
      </c>
      <c r="G2023" s="2" t="str" cm="1">
        <f t="array" ref="G2023">INDEX(_xlfn.TEXTSPLIT(E2023,"-"),3)</f>
        <v>夹克</v>
      </c>
      <c r="H2023" s="5">
        <v>301296</v>
      </c>
      <c r="I2023" s="5">
        <v>53037624.2</v>
      </c>
      <c r="J2023" s="6">
        <v>0.2046</v>
      </c>
      <c r="K2023" s="6">
        <v>0.1009</v>
      </c>
    </row>
    <row r="2024" ht="14.5" spans="1:11">
      <c r="A2024" s="3" t="str">
        <f t="shared" si="117"/>
        <v>2026年</v>
      </c>
      <c r="B2024" s="3" t="str">
        <f t="shared" si="118"/>
        <v>2月</v>
      </c>
      <c r="C2024" s="4" t="str">
        <f t="shared" si="119"/>
        <v>W9</v>
      </c>
      <c r="D2024" s="2" t="s">
        <v>791</v>
      </c>
      <c r="E2024" s="2" t="s">
        <v>812</v>
      </c>
      <c r="F2024" s="2" t="str" cm="1">
        <f t="array" ref="F2024">INDEX(_xlfn.TEXTSPLIT(E2024,"-"),2)</f>
        <v>男装</v>
      </c>
      <c r="G2024" s="2" t="str" cm="1">
        <f t="array" ref="G2024">INDEX(_xlfn.TEXTSPLIT(E2024,"-"),3)</f>
        <v>套装</v>
      </c>
      <c r="H2024" s="5">
        <v>33375</v>
      </c>
      <c r="I2024" s="5">
        <v>4749493.76</v>
      </c>
      <c r="J2024" s="6">
        <v>0.0183</v>
      </c>
      <c r="K2024" s="6">
        <v>0.0943</v>
      </c>
    </row>
    <row r="2025" ht="14.5" spans="1:11">
      <c r="A2025" s="3" t="str">
        <f t="shared" si="117"/>
        <v>2026年</v>
      </c>
      <c r="B2025" s="3" t="str">
        <f t="shared" si="118"/>
        <v>2月</v>
      </c>
      <c r="C2025" s="4" t="str">
        <f t="shared" si="119"/>
        <v>W9</v>
      </c>
      <c r="D2025" s="2" t="s">
        <v>791</v>
      </c>
      <c r="E2025" s="2" t="s">
        <v>813</v>
      </c>
      <c r="F2025" s="2" t="str" cm="1">
        <f t="array" ref="F2025">INDEX(_xlfn.TEXTSPLIT(E2025,"-"),2)</f>
        <v>男装</v>
      </c>
      <c r="G2025" s="2" t="str" cm="1">
        <f t="array" ref="G2025">INDEX(_xlfn.TEXTSPLIT(E2025,"-"),3)</f>
        <v>学生校服</v>
      </c>
      <c r="H2025" s="5">
        <v>3</v>
      </c>
      <c r="I2025" s="5">
        <v>132.9</v>
      </c>
      <c r="J2025" s="2" t="s">
        <v>713</v>
      </c>
      <c r="K2025" s="6">
        <v>-0.9734</v>
      </c>
    </row>
    <row r="2026" ht="14.5" spans="1:11">
      <c r="A2026" s="3" t="str">
        <f t="shared" si="117"/>
        <v>2026年</v>
      </c>
      <c r="B2026" s="3" t="str">
        <f t="shared" si="118"/>
        <v>2月</v>
      </c>
      <c r="C2026" s="4" t="str">
        <f t="shared" si="119"/>
        <v>W9</v>
      </c>
      <c r="D2026" s="2" t="s">
        <v>791</v>
      </c>
      <c r="E2026" s="2" t="s">
        <v>814</v>
      </c>
      <c r="F2026" s="2" t="str" cm="1">
        <f t="array" ref="F2026">INDEX(_xlfn.TEXTSPLIT(E2026,"-"),2)</f>
        <v>男装</v>
      </c>
      <c r="G2026" s="2" t="str" cm="1">
        <f t="array" ref="G2026">INDEX(_xlfn.TEXTSPLIT(E2026,"-"),3)</f>
        <v>打底衫</v>
      </c>
      <c r="H2026" s="5">
        <v>16018</v>
      </c>
      <c r="I2026" s="5">
        <v>624196.57</v>
      </c>
      <c r="J2026" s="6">
        <v>0.0024</v>
      </c>
      <c r="K2026" s="6">
        <v>0.1748</v>
      </c>
    </row>
    <row r="2027" ht="14.5" spans="1:11">
      <c r="A2027" s="3" t="str">
        <f t="shared" si="117"/>
        <v>2026年</v>
      </c>
      <c r="B2027" s="3" t="str">
        <f t="shared" si="118"/>
        <v>2月</v>
      </c>
      <c r="C2027" s="4" t="str">
        <f t="shared" si="119"/>
        <v>W9</v>
      </c>
      <c r="D2027" s="2" t="s">
        <v>791</v>
      </c>
      <c r="E2027" s="2" t="s">
        <v>815</v>
      </c>
      <c r="F2027" s="2" t="str" cm="1">
        <f t="array" ref="F2027">INDEX(_xlfn.TEXTSPLIT(E2027,"-"),2)</f>
        <v>男装</v>
      </c>
      <c r="G2027" s="2" t="str" cm="1">
        <f t="array" ref="G2027">INDEX(_xlfn.TEXTSPLIT(E2027,"-"),3)</f>
        <v>新中式男装</v>
      </c>
      <c r="H2027" s="5">
        <v>278</v>
      </c>
      <c r="I2027" s="5">
        <v>59614.9</v>
      </c>
      <c r="J2027" s="6">
        <v>0.0002</v>
      </c>
      <c r="K2027" s="6">
        <v>-0.535</v>
      </c>
    </row>
    <row r="2028" ht="14.5" spans="1:11">
      <c r="A2028" s="3" t="str">
        <f t="shared" si="117"/>
        <v>2026年</v>
      </c>
      <c r="B2028" s="3" t="str">
        <f t="shared" si="118"/>
        <v>2月</v>
      </c>
      <c r="C2028" s="4" t="str">
        <f t="shared" si="119"/>
        <v>W9</v>
      </c>
      <c r="D2028" s="2" t="s">
        <v>791</v>
      </c>
      <c r="E2028" s="2" t="s">
        <v>816</v>
      </c>
      <c r="F2028" s="2" t="str" cm="1">
        <f t="array" ref="F2028">INDEX(_xlfn.TEXTSPLIT(E2028,"-"),2)</f>
        <v>男装</v>
      </c>
      <c r="G2028" s="2" t="str" cm="1">
        <f t="array" ref="G2028">INDEX(_xlfn.TEXTSPLIT(E2028,"-"),3)</f>
        <v>棉衣</v>
      </c>
      <c r="H2028" s="5">
        <v>26936</v>
      </c>
      <c r="I2028" s="5">
        <v>3614205.32</v>
      </c>
      <c r="J2028" s="6">
        <v>0.0139</v>
      </c>
      <c r="K2028" s="6">
        <v>0.099</v>
      </c>
    </row>
    <row r="2029" ht="14.5" spans="1:11">
      <c r="A2029" s="3" t="str">
        <f t="shared" si="117"/>
        <v>2026年</v>
      </c>
      <c r="B2029" s="3" t="str">
        <f t="shared" si="118"/>
        <v>2月</v>
      </c>
      <c r="C2029" s="4" t="str">
        <f t="shared" si="119"/>
        <v>W9</v>
      </c>
      <c r="D2029" s="2" t="s">
        <v>791</v>
      </c>
      <c r="E2029" s="2" t="s">
        <v>817</v>
      </c>
      <c r="F2029" s="2" t="str" cm="1">
        <f t="array" ref="F2029">INDEX(_xlfn.TEXTSPLIT(E2029,"-"),2)</f>
        <v>男装</v>
      </c>
      <c r="G2029" s="2" t="str" cm="1">
        <f t="array" ref="G2029">INDEX(_xlfn.TEXTSPLIT(E2029,"-"),3)</f>
        <v>棉裤</v>
      </c>
      <c r="H2029" s="5">
        <v>1063</v>
      </c>
      <c r="I2029" s="5">
        <v>46561.4</v>
      </c>
      <c r="J2029" s="6">
        <v>0.0002</v>
      </c>
      <c r="K2029" s="6">
        <v>-0.7525</v>
      </c>
    </row>
    <row r="2030" ht="14.5" spans="1:11">
      <c r="A2030" s="3" t="str">
        <f t="shared" si="117"/>
        <v>2026年</v>
      </c>
      <c r="B2030" s="3" t="str">
        <f t="shared" si="118"/>
        <v>2月</v>
      </c>
      <c r="C2030" s="4" t="str">
        <f t="shared" si="119"/>
        <v>W9</v>
      </c>
      <c r="D2030" s="2" t="s">
        <v>791</v>
      </c>
      <c r="E2030" s="2" t="s">
        <v>818</v>
      </c>
      <c r="F2030" s="2" t="str" cm="1">
        <f t="array" ref="F2030">INDEX(_xlfn.TEXTSPLIT(E2030,"-"),2)</f>
        <v>男装</v>
      </c>
      <c r="G2030" s="2" t="str" cm="1">
        <f t="array" ref="G2030">INDEX(_xlfn.TEXTSPLIT(E2030,"-"),3)</f>
        <v>毛呢大衣</v>
      </c>
      <c r="H2030" s="5">
        <v>8758</v>
      </c>
      <c r="I2030" s="5">
        <v>2303176.46</v>
      </c>
      <c r="J2030" s="6">
        <v>0.0089</v>
      </c>
      <c r="K2030" s="7">
        <v>0.16</v>
      </c>
    </row>
    <row r="2031" ht="14.5" spans="1:11">
      <c r="A2031" s="3" t="str">
        <f t="shared" si="117"/>
        <v>2026年</v>
      </c>
      <c r="B2031" s="3" t="str">
        <f t="shared" si="118"/>
        <v>2月</v>
      </c>
      <c r="C2031" s="4" t="str">
        <f t="shared" si="119"/>
        <v>W9</v>
      </c>
      <c r="D2031" s="2" t="s">
        <v>791</v>
      </c>
      <c r="E2031" s="2" t="s">
        <v>819</v>
      </c>
      <c r="F2031" s="2" t="str" cm="1">
        <f t="array" ref="F2031">INDEX(_xlfn.TEXTSPLIT(E2031,"-"),2)</f>
        <v>男装</v>
      </c>
      <c r="G2031" s="2" t="str" cm="1">
        <f t="array" ref="G2031">INDEX(_xlfn.TEXTSPLIT(E2031,"-"),3)</f>
        <v>民族服装</v>
      </c>
      <c r="H2031" s="5">
        <v>2206</v>
      </c>
      <c r="I2031" s="5">
        <v>419131.91</v>
      </c>
      <c r="J2031" s="6">
        <v>0.0016</v>
      </c>
      <c r="K2031" s="6">
        <v>0.2798</v>
      </c>
    </row>
    <row r="2032" ht="14.5" spans="1:11">
      <c r="A2032" s="3" t="str">
        <f t="shared" si="117"/>
        <v>2026年</v>
      </c>
      <c r="B2032" s="3" t="str">
        <f t="shared" si="118"/>
        <v>2月</v>
      </c>
      <c r="C2032" s="4" t="str">
        <f t="shared" si="119"/>
        <v>W9</v>
      </c>
      <c r="D2032" s="2" t="s">
        <v>791</v>
      </c>
      <c r="E2032" s="2" t="s">
        <v>820</v>
      </c>
      <c r="F2032" s="2" t="str" cm="1">
        <f t="array" ref="F2032">INDEX(_xlfn.TEXTSPLIT(E2032,"-"),2)</f>
        <v>男装</v>
      </c>
      <c r="G2032" s="2" t="str" cm="1">
        <f t="array" ref="G2032">INDEX(_xlfn.TEXTSPLIT(E2032,"-"),3)</f>
        <v>派克服</v>
      </c>
      <c r="H2032" s="5">
        <v>472</v>
      </c>
      <c r="I2032" s="5">
        <v>95196.15</v>
      </c>
      <c r="J2032" s="6">
        <v>0.0004</v>
      </c>
      <c r="K2032" s="6">
        <v>-0.1756</v>
      </c>
    </row>
    <row r="2033" ht="14.5" spans="1:11">
      <c r="A2033" s="3" t="str">
        <f t="shared" si="117"/>
        <v>2026年</v>
      </c>
      <c r="B2033" s="3" t="str">
        <f t="shared" si="118"/>
        <v>2月</v>
      </c>
      <c r="C2033" s="4" t="str">
        <f t="shared" si="119"/>
        <v>W9</v>
      </c>
      <c r="D2033" s="2" t="s">
        <v>791</v>
      </c>
      <c r="E2033" s="2" t="s">
        <v>821</v>
      </c>
      <c r="F2033" s="2" t="str" cm="1">
        <f t="array" ref="F2033">INDEX(_xlfn.TEXTSPLIT(E2033,"-"),2)</f>
        <v>男装</v>
      </c>
      <c r="G2033" s="2" t="str" cm="1">
        <f t="array" ref="G2033">INDEX(_xlfn.TEXTSPLIT(E2033,"-"),3)</f>
        <v>牛仔裤</v>
      </c>
      <c r="H2033" s="5">
        <v>223157</v>
      </c>
      <c r="I2033" s="5">
        <v>25784254.44</v>
      </c>
      <c r="J2033" s="6">
        <v>0.0995</v>
      </c>
      <c r="K2033" s="6">
        <v>0.0239</v>
      </c>
    </row>
    <row r="2034" ht="14.5" spans="1:11">
      <c r="A2034" s="3" t="str">
        <f t="shared" si="117"/>
        <v>2026年</v>
      </c>
      <c r="B2034" s="3" t="str">
        <f t="shared" si="118"/>
        <v>2月</v>
      </c>
      <c r="C2034" s="4" t="str">
        <f t="shared" si="119"/>
        <v>W9</v>
      </c>
      <c r="D2034" s="2" t="s">
        <v>791</v>
      </c>
      <c r="E2034" s="2" t="s">
        <v>822</v>
      </c>
      <c r="F2034" s="2" t="str" cm="1">
        <f t="array" ref="F2034">INDEX(_xlfn.TEXTSPLIT(E2034,"-"),2)</f>
        <v>男装</v>
      </c>
      <c r="G2034" s="2" t="str" cm="1">
        <f t="array" ref="G2034">INDEX(_xlfn.TEXTSPLIT(E2034,"-"),3)</f>
        <v>皮草</v>
      </c>
      <c r="H2034" s="5">
        <v>297</v>
      </c>
      <c r="I2034" s="5">
        <v>314892.33</v>
      </c>
      <c r="J2034" s="6">
        <v>0.0012</v>
      </c>
      <c r="K2034" s="6">
        <v>0.4367</v>
      </c>
    </row>
    <row r="2035" ht="14.5" spans="1:11">
      <c r="A2035" s="3" t="str">
        <f t="shared" si="117"/>
        <v>2026年</v>
      </c>
      <c r="B2035" s="3" t="str">
        <f t="shared" si="118"/>
        <v>2月</v>
      </c>
      <c r="C2035" s="4" t="str">
        <f t="shared" si="119"/>
        <v>W9</v>
      </c>
      <c r="D2035" s="2" t="s">
        <v>791</v>
      </c>
      <c r="E2035" s="2" t="s">
        <v>823</v>
      </c>
      <c r="F2035" s="2" t="str" cm="1">
        <f t="array" ref="F2035">INDEX(_xlfn.TEXTSPLIT(E2035,"-"),2)</f>
        <v>男装</v>
      </c>
      <c r="G2035" s="2" t="str" cm="1">
        <f t="array" ref="G2035">INDEX(_xlfn.TEXTSPLIT(E2035,"-"),3)</f>
        <v>皮衣</v>
      </c>
      <c r="H2035" s="5">
        <v>25560</v>
      </c>
      <c r="I2035" s="5">
        <v>9834401.52</v>
      </c>
      <c r="J2035" s="6">
        <v>0.0379</v>
      </c>
      <c r="K2035" s="6">
        <v>0.1986</v>
      </c>
    </row>
    <row r="2036" ht="14.5" spans="1:11">
      <c r="A2036" s="3" t="str">
        <f t="shared" si="117"/>
        <v>2026年</v>
      </c>
      <c r="B2036" s="3" t="str">
        <f t="shared" si="118"/>
        <v>2月</v>
      </c>
      <c r="C2036" s="4" t="str">
        <f t="shared" si="119"/>
        <v>W9</v>
      </c>
      <c r="D2036" s="2" t="s">
        <v>791</v>
      </c>
      <c r="E2036" s="2" t="s">
        <v>824</v>
      </c>
      <c r="F2036" s="2" t="str" cm="1">
        <f t="array" ref="F2036">INDEX(_xlfn.TEXTSPLIT(E2036,"-"),2)</f>
        <v>男装</v>
      </c>
      <c r="G2036" s="2" t="str" cm="1">
        <f t="array" ref="G2036">INDEX(_xlfn.TEXTSPLIT(E2036,"-"),3)</f>
        <v>皮裤</v>
      </c>
      <c r="H2036" s="5">
        <v>261</v>
      </c>
      <c r="I2036" s="5">
        <v>64549.89</v>
      </c>
      <c r="J2036" s="6">
        <v>0.0002</v>
      </c>
      <c r="K2036" s="6">
        <v>0.3581</v>
      </c>
    </row>
    <row r="2037" ht="14.5" spans="1:11">
      <c r="A2037" s="3" t="str">
        <f t="shared" si="117"/>
        <v>2026年</v>
      </c>
      <c r="B2037" s="3" t="str">
        <f t="shared" si="118"/>
        <v>2月</v>
      </c>
      <c r="C2037" s="4" t="str">
        <f t="shared" si="119"/>
        <v>W9</v>
      </c>
      <c r="D2037" s="2" t="s">
        <v>791</v>
      </c>
      <c r="E2037" s="2" t="s">
        <v>825</v>
      </c>
      <c r="F2037" s="2" t="str" cm="1">
        <f t="array" ref="F2037">INDEX(_xlfn.TEXTSPLIT(E2037,"-"),2)</f>
        <v>男装</v>
      </c>
      <c r="G2037" s="2" t="str" cm="1">
        <f t="array" ref="G2037">INDEX(_xlfn.TEXTSPLIT(E2037,"-"),3)</f>
        <v>短外套</v>
      </c>
      <c r="H2037" s="5">
        <v>14023</v>
      </c>
      <c r="I2037" s="5">
        <v>1897074.06</v>
      </c>
      <c r="J2037" s="6">
        <v>0.0073</v>
      </c>
      <c r="K2037" s="6">
        <v>0.8706</v>
      </c>
    </row>
    <row r="2038" ht="14.5" spans="1:11">
      <c r="A2038" s="3" t="str">
        <f t="shared" si="117"/>
        <v>2026年</v>
      </c>
      <c r="B2038" s="3" t="str">
        <f t="shared" si="118"/>
        <v>2月</v>
      </c>
      <c r="C2038" s="4" t="str">
        <f t="shared" si="119"/>
        <v>W9</v>
      </c>
      <c r="D2038" s="2" t="s">
        <v>791</v>
      </c>
      <c r="E2038" s="2" t="s">
        <v>826</v>
      </c>
      <c r="F2038" s="2" t="str" cm="1">
        <f t="array" ref="F2038">INDEX(_xlfn.TEXTSPLIT(E2038,"-"),2)</f>
        <v>男装</v>
      </c>
      <c r="G2038" s="2" t="str" cm="1">
        <f t="array" ref="G2038">INDEX(_xlfn.TEXTSPLIT(E2038,"-"),3)</f>
        <v>短裤</v>
      </c>
      <c r="H2038" s="5">
        <v>59801</v>
      </c>
      <c r="I2038" s="5">
        <v>3547689.38</v>
      </c>
      <c r="J2038" s="6">
        <v>0.0137</v>
      </c>
      <c r="K2038" s="6">
        <v>0.5576</v>
      </c>
    </row>
    <row r="2039" ht="14.5" spans="1:11">
      <c r="A2039" s="3" t="str">
        <f t="shared" si="117"/>
        <v>2026年</v>
      </c>
      <c r="B2039" s="3" t="str">
        <f t="shared" si="118"/>
        <v>2月</v>
      </c>
      <c r="C2039" s="4" t="str">
        <f t="shared" si="119"/>
        <v>W9</v>
      </c>
      <c r="D2039" s="2" t="s">
        <v>791</v>
      </c>
      <c r="E2039" s="2" t="s">
        <v>827</v>
      </c>
      <c r="F2039" s="2" t="str" cm="1">
        <f t="array" ref="F2039">INDEX(_xlfn.TEXTSPLIT(E2039,"-"),2)</f>
        <v>男装</v>
      </c>
      <c r="G2039" s="2" t="str" cm="1">
        <f t="array" ref="G2039">INDEX(_xlfn.TEXTSPLIT(E2039,"-"),3)</f>
        <v>紧身衣</v>
      </c>
      <c r="H2039" s="5">
        <v>238</v>
      </c>
      <c r="I2039" s="5">
        <v>6976.74</v>
      </c>
      <c r="J2039" s="2" t="s">
        <v>713</v>
      </c>
      <c r="K2039" s="6">
        <v>-0.2499</v>
      </c>
    </row>
    <row r="2040" ht="14.5" spans="1:11">
      <c r="A2040" s="3" t="str">
        <f t="shared" si="117"/>
        <v>2026年</v>
      </c>
      <c r="B2040" s="3" t="str">
        <f t="shared" si="118"/>
        <v>2月</v>
      </c>
      <c r="C2040" s="4" t="str">
        <f t="shared" si="119"/>
        <v>W9</v>
      </c>
      <c r="D2040" s="2" t="s">
        <v>791</v>
      </c>
      <c r="E2040" s="2" t="s">
        <v>828</v>
      </c>
      <c r="F2040" s="2" t="str" cm="1">
        <f t="array" ref="F2040">INDEX(_xlfn.TEXTSPLIT(E2040,"-"),2)</f>
        <v>男装</v>
      </c>
      <c r="G2040" s="2" t="str" cm="1">
        <f t="array" ref="G2040">INDEX(_xlfn.TEXTSPLIT(E2040,"-"),3)</f>
        <v>羊毛衫</v>
      </c>
      <c r="H2040" s="5">
        <v>9793</v>
      </c>
      <c r="I2040" s="5">
        <v>1574031.18</v>
      </c>
      <c r="J2040" s="6">
        <v>0.0061</v>
      </c>
      <c r="K2040" s="6">
        <v>0.0115</v>
      </c>
    </row>
    <row r="2041" ht="14.5" spans="1:11">
      <c r="A2041" s="3" t="str">
        <f t="shared" si="117"/>
        <v>2026年</v>
      </c>
      <c r="B2041" s="3" t="str">
        <f t="shared" si="118"/>
        <v>2月</v>
      </c>
      <c r="C2041" s="4" t="str">
        <f t="shared" si="119"/>
        <v>W9</v>
      </c>
      <c r="D2041" s="2" t="s">
        <v>791</v>
      </c>
      <c r="E2041" s="2" t="s">
        <v>829</v>
      </c>
      <c r="F2041" s="2" t="str" cm="1">
        <f t="array" ref="F2041">INDEX(_xlfn.TEXTSPLIT(E2041,"-"),2)</f>
        <v>男装</v>
      </c>
      <c r="G2041" s="2" t="str" cm="1">
        <f t="array" ref="G2041">INDEX(_xlfn.TEXTSPLIT(E2041,"-"),3)</f>
        <v>羊绒衫</v>
      </c>
      <c r="H2041" s="5">
        <v>2900</v>
      </c>
      <c r="I2041" s="5">
        <v>774527.43</v>
      </c>
      <c r="J2041" s="6">
        <v>0.003</v>
      </c>
      <c r="K2041" s="6">
        <v>0.2991</v>
      </c>
    </row>
    <row r="2042" ht="14.5" spans="1:11">
      <c r="A2042" s="3" t="str">
        <f t="shared" si="117"/>
        <v>2026年</v>
      </c>
      <c r="B2042" s="3" t="str">
        <f t="shared" si="118"/>
        <v>2月</v>
      </c>
      <c r="C2042" s="4" t="str">
        <f t="shared" si="119"/>
        <v>W9</v>
      </c>
      <c r="D2042" s="2" t="s">
        <v>791</v>
      </c>
      <c r="E2042" s="2" t="s">
        <v>830</v>
      </c>
      <c r="F2042" s="2" t="str" cm="1">
        <f t="array" ref="F2042">INDEX(_xlfn.TEXTSPLIT(E2042,"-"),2)</f>
        <v>男装</v>
      </c>
      <c r="G2042" s="2" t="str" cm="1">
        <f t="array" ref="G2042">INDEX(_xlfn.TEXTSPLIT(E2042,"-"),3)</f>
        <v>羽绒服</v>
      </c>
      <c r="H2042" s="5">
        <v>33536</v>
      </c>
      <c r="I2042" s="5">
        <v>9371527.88</v>
      </c>
      <c r="J2042" s="6">
        <v>0.0362</v>
      </c>
      <c r="K2042" s="6">
        <v>0.3214</v>
      </c>
    </row>
    <row r="2043" ht="14.5" spans="1:11">
      <c r="A2043" s="3" t="str">
        <f t="shared" si="117"/>
        <v>2026年</v>
      </c>
      <c r="B2043" s="3" t="str">
        <f t="shared" si="118"/>
        <v>2月</v>
      </c>
      <c r="C2043" s="4" t="str">
        <f t="shared" si="119"/>
        <v>W9</v>
      </c>
      <c r="D2043" s="2" t="s">
        <v>791</v>
      </c>
      <c r="E2043" s="2" t="s">
        <v>831</v>
      </c>
      <c r="F2043" s="2" t="str" cm="1">
        <f t="array" ref="F2043">INDEX(_xlfn.TEXTSPLIT(E2043,"-"),2)</f>
        <v>男装</v>
      </c>
      <c r="G2043" s="2" t="str" cm="1">
        <f t="array" ref="G2043">INDEX(_xlfn.TEXTSPLIT(E2043,"-"),3)</f>
        <v>羽绒裤</v>
      </c>
      <c r="H2043" s="5">
        <v>219</v>
      </c>
      <c r="I2043" s="5">
        <v>31197.11</v>
      </c>
      <c r="J2043" s="6">
        <v>0.0001</v>
      </c>
      <c r="K2043" s="6">
        <v>0.1243</v>
      </c>
    </row>
    <row r="2044" ht="14.5" spans="1:11">
      <c r="A2044" s="3" t="str">
        <f t="shared" si="117"/>
        <v>2026年</v>
      </c>
      <c r="B2044" s="3" t="str">
        <f t="shared" si="118"/>
        <v>2月</v>
      </c>
      <c r="C2044" s="4" t="str">
        <f t="shared" si="119"/>
        <v>W9</v>
      </c>
      <c r="D2044" s="2" t="s">
        <v>791</v>
      </c>
      <c r="E2044" s="2" t="s">
        <v>832</v>
      </c>
      <c r="F2044" s="2" t="str" cm="1">
        <f t="array" ref="F2044">INDEX(_xlfn.TEXTSPLIT(E2044,"-"),2)</f>
        <v>男装</v>
      </c>
      <c r="G2044" s="2" t="str" cm="1">
        <f t="array" ref="G2044">INDEX(_xlfn.TEXTSPLIT(E2044,"-"),3)</f>
        <v>羽绒马甲</v>
      </c>
      <c r="H2044" s="5">
        <v>2315</v>
      </c>
      <c r="I2044" s="5">
        <v>403714.52</v>
      </c>
      <c r="J2044" s="6">
        <v>0.0016</v>
      </c>
      <c r="K2044" s="6">
        <v>0.2241</v>
      </c>
    </row>
    <row r="2045" ht="14.5" spans="1:11">
      <c r="A2045" s="3" t="str">
        <f t="shared" si="117"/>
        <v>2026年</v>
      </c>
      <c r="B2045" s="3" t="str">
        <f t="shared" si="118"/>
        <v>2月</v>
      </c>
      <c r="C2045" s="4" t="str">
        <f t="shared" si="119"/>
        <v>W9</v>
      </c>
      <c r="D2045" s="2" t="s">
        <v>791</v>
      </c>
      <c r="E2045" s="2" t="s">
        <v>833</v>
      </c>
      <c r="F2045" s="2" t="str" cm="1">
        <f t="array" ref="F2045">INDEX(_xlfn.TEXTSPLIT(E2045,"-"),2)</f>
        <v>男装</v>
      </c>
      <c r="G2045" s="2" t="str" cm="1">
        <f t="array" ref="G2045">INDEX(_xlfn.TEXTSPLIT(E2045,"-"),3)</f>
        <v>背心</v>
      </c>
      <c r="H2045" s="5">
        <v>32642</v>
      </c>
      <c r="I2045" s="5">
        <v>1624774.53</v>
      </c>
      <c r="J2045" s="6">
        <v>0.0063</v>
      </c>
      <c r="K2045" s="6">
        <v>0.1285</v>
      </c>
    </row>
    <row r="2046" ht="14.5" spans="1:11">
      <c r="A2046" s="3" t="str">
        <f t="shared" si="117"/>
        <v>2026年</v>
      </c>
      <c r="B2046" s="3" t="str">
        <f t="shared" si="118"/>
        <v>2月</v>
      </c>
      <c r="C2046" s="4" t="str">
        <f t="shared" si="119"/>
        <v>W9</v>
      </c>
      <c r="D2046" s="2" t="s">
        <v>791</v>
      </c>
      <c r="E2046" s="2" t="s">
        <v>834</v>
      </c>
      <c r="F2046" s="2" t="str" cm="1">
        <f t="array" ref="F2046">INDEX(_xlfn.TEXTSPLIT(E2046,"-"),2)</f>
        <v>男装</v>
      </c>
      <c r="G2046" s="2" t="str" cm="1">
        <f t="array" ref="G2046">INDEX(_xlfn.TEXTSPLIT(E2046,"-"),3)</f>
        <v>衬衫</v>
      </c>
      <c r="H2046" s="5">
        <v>80522</v>
      </c>
      <c r="I2046" s="5">
        <v>9734429.56</v>
      </c>
      <c r="J2046" s="6">
        <v>0.0376</v>
      </c>
      <c r="K2046" s="6">
        <v>0.0476</v>
      </c>
    </row>
    <row r="2047" ht="14.5" spans="1:11">
      <c r="A2047" s="3" t="str">
        <f t="shared" si="117"/>
        <v>2026年</v>
      </c>
      <c r="B2047" s="3" t="str">
        <f t="shared" si="118"/>
        <v>2月</v>
      </c>
      <c r="C2047" s="4" t="str">
        <f t="shared" si="119"/>
        <v>W9</v>
      </c>
      <c r="D2047" s="2" t="s">
        <v>791</v>
      </c>
      <c r="E2047" s="2" t="s">
        <v>835</v>
      </c>
      <c r="F2047" s="2" t="str" cm="1">
        <f t="array" ref="F2047">INDEX(_xlfn.TEXTSPLIT(E2047,"-"),2)</f>
        <v>男装</v>
      </c>
      <c r="G2047" s="2" t="str" cm="1">
        <f t="array" ref="G2047">INDEX(_xlfn.TEXTSPLIT(E2047,"-"),3)</f>
        <v>西服</v>
      </c>
      <c r="H2047" s="5">
        <v>46709</v>
      </c>
      <c r="I2047" s="5">
        <v>10734477.03</v>
      </c>
      <c r="J2047" s="6">
        <v>0.0414</v>
      </c>
      <c r="K2047" s="6">
        <v>0.3018</v>
      </c>
    </row>
    <row r="2048" ht="14.5" spans="1:11">
      <c r="A2048" s="3" t="str">
        <f t="shared" si="117"/>
        <v>2026年</v>
      </c>
      <c r="B2048" s="3" t="str">
        <f t="shared" si="118"/>
        <v>2月</v>
      </c>
      <c r="C2048" s="4" t="str">
        <f t="shared" si="119"/>
        <v>W9</v>
      </c>
      <c r="D2048" s="2" t="s">
        <v>791</v>
      </c>
      <c r="E2048" s="2" t="s">
        <v>836</v>
      </c>
      <c r="F2048" s="2" t="str" cm="1">
        <f t="array" ref="F2048">INDEX(_xlfn.TEXTSPLIT(E2048,"-"),2)</f>
        <v>男装</v>
      </c>
      <c r="G2048" s="2" t="str" cm="1">
        <f t="array" ref="G2048">INDEX(_xlfn.TEXTSPLIT(E2048,"-"),3)</f>
        <v>连体衣/裤</v>
      </c>
      <c r="H2048" s="5">
        <v>527</v>
      </c>
      <c r="I2048" s="5">
        <v>11979.28</v>
      </c>
      <c r="J2048" s="2" t="s">
        <v>713</v>
      </c>
      <c r="K2048" s="6">
        <v>-0.1491</v>
      </c>
    </row>
    <row r="2049" ht="14.5" spans="1:11">
      <c r="A2049" s="3" t="str">
        <f t="shared" si="117"/>
        <v>2026年</v>
      </c>
      <c r="B2049" s="3" t="str">
        <f t="shared" si="118"/>
        <v>2月</v>
      </c>
      <c r="C2049" s="4" t="str">
        <f t="shared" si="119"/>
        <v>W9</v>
      </c>
      <c r="D2049" s="2" t="s">
        <v>791</v>
      </c>
      <c r="E2049" s="2" t="s">
        <v>837</v>
      </c>
      <c r="F2049" s="2" t="str" cm="1">
        <f t="array" ref="F2049">INDEX(_xlfn.TEXTSPLIT(E2049,"-"),2)</f>
        <v>男装</v>
      </c>
      <c r="G2049" s="2" t="str" cm="1">
        <f t="array" ref="G2049">INDEX(_xlfn.TEXTSPLIT(E2049,"-"),3)</f>
        <v>速干/三防T恤</v>
      </c>
      <c r="H2049" s="5">
        <v>1968</v>
      </c>
      <c r="I2049" s="5">
        <v>359260.37</v>
      </c>
      <c r="J2049" s="6">
        <v>0.0014</v>
      </c>
      <c r="K2049" s="6">
        <v>-0.0817</v>
      </c>
    </row>
    <row r="2050" ht="14.5" spans="1:11">
      <c r="A2050" s="3" t="str">
        <f t="shared" si="117"/>
        <v>2026年</v>
      </c>
      <c r="B2050" s="3" t="str">
        <f t="shared" si="118"/>
        <v>2月</v>
      </c>
      <c r="C2050" s="4" t="str">
        <f t="shared" si="119"/>
        <v>W9</v>
      </c>
      <c r="D2050" s="2" t="s">
        <v>791</v>
      </c>
      <c r="E2050" s="2" t="s">
        <v>838</v>
      </c>
      <c r="F2050" s="2" t="str" cm="1">
        <f t="array" ref="F2050">INDEX(_xlfn.TEXTSPLIT(E2050,"-"),2)</f>
        <v>男装</v>
      </c>
      <c r="G2050" s="2" t="str" cm="1">
        <f t="array" ref="G2050">INDEX(_xlfn.TEXTSPLIT(E2050,"-"),3)</f>
        <v>针织衫/毛衣</v>
      </c>
      <c r="H2050" s="5">
        <v>81538</v>
      </c>
      <c r="I2050" s="5">
        <v>10029819.34</v>
      </c>
      <c r="J2050" s="6">
        <v>0.0387</v>
      </c>
      <c r="K2050" s="6">
        <v>0.0457</v>
      </c>
    </row>
    <row r="2051" ht="14.5" spans="1:11">
      <c r="A2051" s="3" t="str">
        <f t="shared" si="117"/>
        <v>2026年</v>
      </c>
      <c r="B2051" s="3" t="str">
        <f t="shared" si="118"/>
        <v>2月</v>
      </c>
      <c r="C2051" s="4" t="str">
        <f t="shared" si="119"/>
        <v>W9</v>
      </c>
      <c r="D2051" s="2" t="s">
        <v>791</v>
      </c>
      <c r="E2051" s="2" t="s">
        <v>839</v>
      </c>
      <c r="F2051" s="2" t="str" cm="1">
        <f t="array" ref="F2051">INDEX(_xlfn.TEXTSPLIT(E2051,"-"),2)</f>
        <v>男装</v>
      </c>
      <c r="G2051" s="2" t="str" cm="1">
        <f t="array" ref="G2051">INDEX(_xlfn.TEXTSPLIT(E2051,"-"),3)</f>
        <v>防晒服</v>
      </c>
      <c r="H2051" s="5">
        <v>2998</v>
      </c>
      <c r="I2051" s="5">
        <v>165918.54</v>
      </c>
      <c r="J2051" s="6">
        <v>0.0006</v>
      </c>
      <c r="K2051" s="6">
        <v>-0.2762</v>
      </c>
    </row>
    <row r="2052" ht="14.5" spans="1:11">
      <c r="A2052" s="3" t="str">
        <f t="shared" si="117"/>
        <v>2026年</v>
      </c>
      <c r="B2052" s="3" t="str">
        <f t="shared" si="118"/>
        <v>2月</v>
      </c>
      <c r="C2052" s="4" t="str">
        <f t="shared" si="119"/>
        <v>W9</v>
      </c>
      <c r="D2052" s="2" t="s">
        <v>791</v>
      </c>
      <c r="E2052" s="2" t="s">
        <v>840</v>
      </c>
      <c r="F2052" s="2" t="str" cm="1">
        <f t="array" ref="F2052">INDEX(_xlfn.TEXTSPLIT(E2052,"-"),2)</f>
        <v>男装</v>
      </c>
      <c r="G2052" s="2" t="str" cm="1">
        <f t="array" ref="G2052">INDEX(_xlfn.TEXTSPLIT(E2052,"-"),3)</f>
        <v>风衣</v>
      </c>
      <c r="H2052" s="5">
        <v>7891</v>
      </c>
      <c r="I2052" s="5">
        <v>2049268.47</v>
      </c>
      <c r="J2052" s="6">
        <v>0.0079</v>
      </c>
      <c r="K2052" s="6">
        <v>0.1036</v>
      </c>
    </row>
    <row r="2053" ht="14.5" spans="1:11">
      <c r="A2053" s="3" t="str">
        <f t="shared" si="117"/>
        <v>2026年</v>
      </c>
      <c r="B2053" s="3" t="str">
        <f t="shared" si="118"/>
        <v>2月</v>
      </c>
      <c r="C2053" s="4" t="str">
        <f t="shared" si="119"/>
        <v>W9</v>
      </c>
      <c r="D2053" s="2" t="s">
        <v>791</v>
      </c>
      <c r="E2053" s="2" t="s">
        <v>841</v>
      </c>
      <c r="F2053" s="2" t="str" cm="1">
        <f t="array" ref="F2053">INDEX(_xlfn.TEXTSPLIT(E2053,"-"),2)</f>
        <v>男装</v>
      </c>
      <c r="G2053" s="2" t="str" cm="1">
        <f t="array" ref="G2053">INDEX(_xlfn.TEXTSPLIT(E2053,"-"),3)</f>
        <v>马甲</v>
      </c>
      <c r="H2053" s="5">
        <v>15057</v>
      </c>
      <c r="I2053" s="5">
        <v>1506532.5</v>
      </c>
      <c r="J2053" s="6">
        <v>0.0058</v>
      </c>
      <c r="K2053" s="6">
        <v>-0.0757</v>
      </c>
    </row>
    <row r="2054" ht="14.5" spans="1:11">
      <c r="A2054" s="3" t="str">
        <f t="shared" si="117"/>
        <v>2026年</v>
      </c>
      <c r="B2054" s="3" t="str">
        <f t="shared" si="118"/>
        <v>2月</v>
      </c>
      <c r="C2054" s="4" t="str">
        <f t="shared" si="119"/>
        <v>W9</v>
      </c>
      <c r="D2054" s="2" t="s">
        <v>792</v>
      </c>
      <c r="E2054" s="2" t="s">
        <v>804</v>
      </c>
      <c r="F2054" s="2" t="str" cm="1">
        <f t="array" ref="F2054">INDEX(_xlfn.TEXTSPLIT(E2054,"-"),2)</f>
        <v>男装</v>
      </c>
      <c r="G2054" s="2" t="str" cm="1">
        <f t="array" ref="G2054">INDEX(_xlfn.TEXTSPLIT(E2054,"-"),3)</f>
        <v>Polo衫</v>
      </c>
      <c r="H2054" s="5">
        <v>80662</v>
      </c>
      <c r="I2054" s="5">
        <v>7958976.96</v>
      </c>
      <c r="J2054" s="6">
        <v>0.0282</v>
      </c>
      <c r="K2054" s="6">
        <v>0.3198</v>
      </c>
    </row>
    <row r="2055" ht="14.5" spans="1:11">
      <c r="A2055" s="3" t="str">
        <f t="shared" si="117"/>
        <v>2026年</v>
      </c>
      <c r="B2055" s="3" t="str">
        <f t="shared" si="118"/>
        <v>2月</v>
      </c>
      <c r="C2055" s="4" t="str">
        <f t="shared" si="119"/>
        <v>W9</v>
      </c>
      <c r="D2055" s="2" t="s">
        <v>792</v>
      </c>
      <c r="E2055" s="2" t="s">
        <v>805</v>
      </c>
      <c r="F2055" s="2" t="str" cm="1">
        <f t="array" ref="F2055">INDEX(_xlfn.TEXTSPLIT(E2055,"-"),2)</f>
        <v>男装</v>
      </c>
      <c r="G2055" s="2" t="str" cm="1">
        <f t="array" ref="G2055">INDEX(_xlfn.TEXTSPLIT(E2055,"-"),3)</f>
        <v>T恤</v>
      </c>
      <c r="H2055" s="5">
        <v>694666</v>
      </c>
      <c r="I2055" s="5">
        <v>45845722.74</v>
      </c>
      <c r="J2055" s="6">
        <v>0.1624</v>
      </c>
      <c r="K2055" s="6">
        <v>0.0669</v>
      </c>
    </row>
    <row r="2056" ht="14.5" spans="1:11">
      <c r="A2056" s="3" t="str">
        <f t="shared" si="117"/>
        <v>2026年</v>
      </c>
      <c r="B2056" s="3" t="str">
        <f t="shared" si="118"/>
        <v>2月</v>
      </c>
      <c r="C2056" s="4" t="str">
        <f t="shared" si="119"/>
        <v>W9</v>
      </c>
      <c r="D2056" s="2" t="s">
        <v>792</v>
      </c>
      <c r="E2056" s="2" t="s">
        <v>806</v>
      </c>
      <c r="F2056" s="2" t="str" cm="1">
        <f t="array" ref="F2056">INDEX(_xlfn.TEXTSPLIT(E2056,"-"),2)</f>
        <v>男装</v>
      </c>
      <c r="G2056" s="2" t="str" cm="1">
        <f t="array" ref="G2056">INDEX(_xlfn.TEXTSPLIT(E2056,"-"),3)</f>
        <v>中老年男装</v>
      </c>
      <c r="H2056" s="5">
        <v>25671</v>
      </c>
      <c r="I2056" s="5">
        <v>1952518.39</v>
      </c>
      <c r="J2056" s="6">
        <v>0.0069</v>
      </c>
      <c r="K2056" s="6">
        <v>0.0776</v>
      </c>
    </row>
    <row r="2057" ht="14.5" spans="1:11">
      <c r="A2057" s="3" t="str">
        <f t="shared" si="117"/>
        <v>2026年</v>
      </c>
      <c r="B2057" s="3" t="str">
        <f t="shared" si="118"/>
        <v>2月</v>
      </c>
      <c r="C2057" s="4" t="str">
        <f t="shared" si="119"/>
        <v>W9</v>
      </c>
      <c r="D2057" s="2" t="s">
        <v>792</v>
      </c>
      <c r="E2057" s="2" t="s">
        <v>807</v>
      </c>
      <c r="F2057" s="2" t="str" cm="1">
        <f t="array" ref="F2057">INDEX(_xlfn.TEXTSPLIT(E2057,"-"),2)</f>
        <v>男装</v>
      </c>
      <c r="G2057" s="2" t="str" cm="1">
        <f t="array" ref="G2057">INDEX(_xlfn.TEXTSPLIT(E2057,"-"),3)</f>
        <v>休闲裤</v>
      </c>
      <c r="H2057" s="5">
        <v>320183</v>
      </c>
      <c r="I2057" s="5">
        <v>32839057.12</v>
      </c>
      <c r="J2057" s="6">
        <v>0.1163</v>
      </c>
      <c r="K2057" s="6">
        <v>0.1036</v>
      </c>
    </row>
    <row r="2058" ht="14.5" spans="1:11">
      <c r="A2058" s="3" t="str">
        <f t="shared" si="117"/>
        <v>2026年</v>
      </c>
      <c r="B2058" s="3" t="str">
        <f t="shared" si="118"/>
        <v>2月</v>
      </c>
      <c r="C2058" s="4" t="str">
        <f t="shared" si="119"/>
        <v>W9</v>
      </c>
      <c r="D2058" s="2" t="s">
        <v>792</v>
      </c>
      <c r="E2058" s="2" t="s">
        <v>808</v>
      </c>
      <c r="F2058" s="2" t="str" cm="1">
        <f t="array" ref="F2058">INDEX(_xlfn.TEXTSPLIT(E2058,"-"),2)</f>
        <v>男装</v>
      </c>
      <c r="G2058" s="2" t="str" cm="1">
        <f t="array" ref="G2058">INDEX(_xlfn.TEXTSPLIT(E2058,"-"),3)</f>
        <v>卫衣</v>
      </c>
      <c r="H2058" s="5">
        <v>200478</v>
      </c>
      <c r="I2058" s="5">
        <v>19581014.84</v>
      </c>
      <c r="J2058" s="6">
        <v>0.0694</v>
      </c>
      <c r="K2058" s="6">
        <v>0.1564</v>
      </c>
    </row>
    <row r="2059" ht="14.5" spans="1:11">
      <c r="A2059" s="3" t="str">
        <f t="shared" si="117"/>
        <v>2026年</v>
      </c>
      <c r="B2059" s="3" t="str">
        <f t="shared" si="118"/>
        <v>2月</v>
      </c>
      <c r="C2059" s="4" t="str">
        <f t="shared" si="119"/>
        <v>W9</v>
      </c>
      <c r="D2059" s="2" t="s">
        <v>792</v>
      </c>
      <c r="E2059" s="2" t="s">
        <v>809</v>
      </c>
      <c r="F2059" s="2" t="str" cm="1">
        <f t="array" ref="F2059">INDEX(_xlfn.TEXTSPLIT(E2059,"-"),2)</f>
        <v>男装</v>
      </c>
      <c r="G2059" s="2" t="str" cm="1">
        <f t="array" ref="G2059">INDEX(_xlfn.TEXTSPLIT(E2059,"-"),3)</f>
        <v>卫裤</v>
      </c>
      <c r="H2059" s="5">
        <v>48237</v>
      </c>
      <c r="I2059" s="5">
        <v>4193830.08</v>
      </c>
      <c r="J2059" s="6">
        <v>0.0149</v>
      </c>
      <c r="K2059" s="6">
        <v>-0.0408</v>
      </c>
    </row>
    <row r="2060" ht="14.5" spans="1:11">
      <c r="A2060" s="3" t="str">
        <f t="shared" si="117"/>
        <v>2026年</v>
      </c>
      <c r="B2060" s="3" t="str">
        <f t="shared" si="118"/>
        <v>2月</v>
      </c>
      <c r="C2060" s="4" t="str">
        <f t="shared" si="119"/>
        <v>W9</v>
      </c>
      <c r="D2060" s="2" t="s">
        <v>792</v>
      </c>
      <c r="E2060" s="2" t="s">
        <v>810</v>
      </c>
      <c r="F2060" s="2" t="str" cm="1">
        <f t="array" ref="F2060">INDEX(_xlfn.TEXTSPLIT(E2060,"-"),2)</f>
        <v>男装</v>
      </c>
      <c r="G2060" s="2" t="str" cm="1">
        <f t="array" ref="G2060">INDEX(_xlfn.TEXTSPLIT(E2060,"-"),3)</f>
        <v>大码男装</v>
      </c>
      <c r="H2060" s="5">
        <v>40649</v>
      </c>
      <c r="I2060" s="5">
        <v>2918982.35</v>
      </c>
      <c r="J2060" s="6">
        <v>0.0103</v>
      </c>
      <c r="K2060" s="6">
        <v>0.1537</v>
      </c>
    </row>
    <row r="2061" ht="14.5" spans="1:11">
      <c r="A2061" s="3" t="str">
        <f t="shared" si="117"/>
        <v>2026年</v>
      </c>
      <c r="B2061" s="3" t="str">
        <f t="shared" si="118"/>
        <v>2月</v>
      </c>
      <c r="C2061" s="4" t="str">
        <f t="shared" si="119"/>
        <v>W9</v>
      </c>
      <c r="D2061" s="2" t="s">
        <v>792</v>
      </c>
      <c r="E2061" s="2" t="s">
        <v>811</v>
      </c>
      <c r="F2061" s="2" t="str" cm="1">
        <f t="array" ref="F2061">INDEX(_xlfn.TEXTSPLIT(E2061,"-"),2)</f>
        <v>男装</v>
      </c>
      <c r="G2061" s="2" t="str" cm="1">
        <f t="array" ref="G2061">INDEX(_xlfn.TEXTSPLIT(E2061,"-"),3)</f>
        <v>夹克</v>
      </c>
      <c r="H2061" s="5">
        <v>294213</v>
      </c>
      <c r="I2061" s="5">
        <v>55127482.97</v>
      </c>
      <c r="J2061" s="6">
        <v>0.1953</v>
      </c>
      <c r="K2061" s="6">
        <v>0.0394</v>
      </c>
    </row>
    <row r="2062" ht="14.5" spans="1:11">
      <c r="A2062" s="3" t="str">
        <f t="shared" si="117"/>
        <v>2026年</v>
      </c>
      <c r="B2062" s="3" t="str">
        <f t="shared" si="118"/>
        <v>2月</v>
      </c>
      <c r="C2062" s="4" t="str">
        <f t="shared" si="119"/>
        <v>W9</v>
      </c>
      <c r="D2062" s="2" t="s">
        <v>792</v>
      </c>
      <c r="E2062" s="2" t="s">
        <v>812</v>
      </c>
      <c r="F2062" s="2" t="str" cm="1">
        <f t="array" ref="F2062">INDEX(_xlfn.TEXTSPLIT(E2062,"-"),2)</f>
        <v>男装</v>
      </c>
      <c r="G2062" s="2" t="str" cm="1">
        <f t="array" ref="G2062">INDEX(_xlfn.TEXTSPLIT(E2062,"-"),3)</f>
        <v>套装</v>
      </c>
      <c r="H2062" s="5">
        <v>38980</v>
      </c>
      <c r="I2062" s="5">
        <v>6436006.85</v>
      </c>
      <c r="J2062" s="6">
        <v>0.0228</v>
      </c>
      <c r="K2062" s="6">
        <v>0.3551</v>
      </c>
    </row>
    <row r="2063" ht="14.5" spans="1:11">
      <c r="A2063" s="3" t="str">
        <f t="shared" si="117"/>
        <v>2026年</v>
      </c>
      <c r="B2063" s="3" t="str">
        <f t="shared" si="118"/>
        <v>2月</v>
      </c>
      <c r="C2063" s="4" t="str">
        <f t="shared" si="119"/>
        <v>W9</v>
      </c>
      <c r="D2063" s="2" t="s">
        <v>792</v>
      </c>
      <c r="E2063" s="2" t="s">
        <v>813</v>
      </c>
      <c r="F2063" s="2" t="str" cm="1">
        <f t="array" ref="F2063">INDEX(_xlfn.TEXTSPLIT(E2063,"-"),2)</f>
        <v>男装</v>
      </c>
      <c r="G2063" s="2" t="str" cm="1">
        <f t="array" ref="G2063">INDEX(_xlfn.TEXTSPLIT(E2063,"-"),3)</f>
        <v>学生校服</v>
      </c>
      <c r="H2063" s="5">
        <v>8</v>
      </c>
      <c r="I2063" s="5">
        <v>350</v>
      </c>
      <c r="J2063" s="2" t="s">
        <v>713</v>
      </c>
      <c r="K2063" s="6">
        <v>1.6336</v>
      </c>
    </row>
    <row r="2064" ht="14.5" spans="1:11">
      <c r="A2064" s="3" t="str">
        <f t="shared" si="117"/>
        <v>2026年</v>
      </c>
      <c r="B2064" s="3" t="str">
        <f t="shared" si="118"/>
        <v>2月</v>
      </c>
      <c r="C2064" s="4" t="str">
        <f t="shared" si="119"/>
        <v>W9</v>
      </c>
      <c r="D2064" s="2" t="s">
        <v>792</v>
      </c>
      <c r="E2064" s="2" t="s">
        <v>814</v>
      </c>
      <c r="F2064" s="2" t="str" cm="1">
        <f t="array" ref="F2064">INDEX(_xlfn.TEXTSPLIT(E2064,"-"),2)</f>
        <v>男装</v>
      </c>
      <c r="G2064" s="2" t="str" cm="1">
        <f t="array" ref="G2064">INDEX(_xlfn.TEXTSPLIT(E2064,"-"),3)</f>
        <v>打底衫</v>
      </c>
      <c r="H2064" s="5">
        <v>10024</v>
      </c>
      <c r="I2064" s="5">
        <v>558295.4</v>
      </c>
      <c r="J2064" s="6">
        <v>0.002</v>
      </c>
      <c r="K2064" s="6">
        <v>-0.1056</v>
      </c>
    </row>
    <row r="2065" ht="14.5" spans="1:11">
      <c r="A2065" s="3" t="str">
        <f t="shared" si="117"/>
        <v>2026年</v>
      </c>
      <c r="B2065" s="3" t="str">
        <f t="shared" si="118"/>
        <v>2月</v>
      </c>
      <c r="C2065" s="4" t="str">
        <f t="shared" si="119"/>
        <v>W9</v>
      </c>
      <c r="D2065" s="2" t="s">
        <v>792</v>
      </c>
      <c r="E2065" s="2" t="s">
        <v>815</v>
      </c>
      <c r="F2065" s="2" t="str" cm="1">
        <f t="array" ref="F2065">INDEX(_xlfn.TEXTSPLIT(E2065,"-"),2)</f>
        <v>男装</v>
      </c>
      <c r="G2065" s="2" t="str" cm="1">
        <f t="array" ref="G2065">INDEX(_xlfn.TEXTSPLIT(E2065,"-"),3)</f>
        <v>新中式男装</v>
      </c>
      <c r="H2065" s="5">
        <v>167</v>
      </c>
      <c r="I2065" s="5">
        <v>43583.2</v>
      </c>
      <c r="J2065" s="6">
        <v>0.0002</v>
      </c>
      <c r="K2065" s="6">
        <v>-0.2689</v>
      </c>
    </row>
    <row r="2066" ht="14.5" spans="1:11">
      <c r="A2066" s="3" t="str">
        <f t="shared" si="117"/>
        <v>2026年</v>
      </c>
      <c r="B2066" s="3" t="str">
        <f t="shared" si="118"/>
        <v>2月</v>
      </c>
      <c r="C2066" s="4" t="str">
        <f t="shared" si="119"/>
        <v>W9</v>
      </c>
      <c r="D2066" s="2" t="s">
        <v>792</v>
      </c>
      <c r="E2066" s="2" t="s">
        <v>816</v>
      </c>
      <c r="F2066" s="2" t="str" cm="1">
        <f t="array" ref="F2066">INDEX(_xlfn.TEXTSPLIT(E2066,"-"),2)</f>
        <v>男装</v>
      </c>
      <c r="G2066" s="2" t="str" cm="1">
        <f t="array" ref="G2066">INDEX(_xlfn.TEXTSPLIT(E2066,"-"),3)</f>
        <v>棉衣</v>
      </c>
      <c r="H2066" s="5">
        <v>33251</v>
      </c>
      <c r="I2066" s="5">
        <v>4341350.04</v>
      </c>
      <c r="J2066" s="6">
        <v>0.0154</v>
      </c>
      <c r="K2066" s="6">
        <v>0.2012</v>
      </c>
    </row>
    <row r="2067" ht="14.5" spans="1:11">
      <c r="A2067" s="3" t="str">
        <f t="shared" si="117"/>
        <v>2026年</v>
      </c>
      <c r="B2067" s="3" t="str">
        <f t="shared" si="118"/>
        <v>2月</v>
      </c>
      <c r="C2067" s="4" t="str">
        <f t="shared" si="119"/>
        <v>W9</v>
      </c>
      <c r="D2067" s="2" t="s">
        <v>792</v>
      </c>
      <c r="E2067" s="2" t="s">
        <v>817</v>
      </c>
      <c r="F2067" s="2" t="str" cm="1">
        <f t="array" ref="F2067">INDEX(_xlfn.TEXTSPLIT(E2067,"-"),2)</f>
        <v>男装</v>
      </c>
      <c r="G2067" s="2" t="str" cm="1">
        <f t="array" ref="G2067">INDEX(_xlfn.TEXTSPLIT(E2067,"-"),3)</f>
        <v>棉裤</v>
      </c>
      <c r="H2067" s="5">
        <v>940</v>
      </c>
      <c r="I2067" s="5">
        <v>61740.8</v>
      </c>
      <c r="J2067" s="6">
        <v>0.0002</v>
      </c>
      <c r="K2067" s="6">
        <v>0.326</v>
      </c>
    </row>
    <row r="2068" ht="14.5" spans="1:11">
      <c r="A2068" s="3" t="str">
        <f t="shared" si="117"/>
        <v>2026年</v>
      </c>
      <c r="B2068" s="3" t="str">
        <f t="shared" si="118"/>
        <v>2月</v>
      </c>
      <c r="C2068" s="4" t="str">
        <f t="shared" si="119"/>
        <v>W9</v>
      </c>
      <c r="D2068" s="2" t="s">
        <v>792</v>
      </c>
      <c r="E2068" s="2" t="s">
        <v>818</v>
      </c>
      <c r="F2068" s="2" t="str" cm="1">
        <f t="array" ref="F2068">INDEX(_xlfn.TEXTSPLIT(E2068,"-"),2)</f>
        <v>男装</v>
      </c>
      <c r="G2068" s="2" t="str" cm="1">
        <f t="array" ref="G2068">INDEX(_xlfn.TEXTSPLIT(E2068,"-"),3)</f>
        <v>毛呢大衣</v>
      </c>
      <c r="H2068" s="5">
        <v>7401</v>
      </c>
      <c r="I2068" s="5">
        <v>2109670.06</v>
      </c>
      <c r="J2068" s="6">
        <v>0.0075</v>
      </c>
      <c r="K2068" s="6">
        <v>-0.084</v>
      </c>
    </row>
    <row r="2069" ht="14.5" spans="1:11">
      <c r="A2069" s="3" t="str">
        <f t="shared" si="117"/>
        <v>2026年</v>
      </c>
      <c r="B2069" s="3" t="str">
        <f t="shared" si="118"/>
        <v>2月</v>
      </c>
      <c r="C2069" s="4" t="str">
        <f t="shared" si="119"/>
        <v>W9</v>
      </c>
      <c r="D2069" s="2" t="s">
        <v>792</v>
      </c>
      <c r="E2069" s="2" t="s">
        <v>819</v>
      </c>
      <c r="F2069" s="2" t="str" cm="1">
        <f t="array" ref="F2069">INDEX(_xlfn.TEXTSPLIT(E2069,"-"),2)</f>
        <v>男装</v>
      </c>
      <c r="G2069" s="2" t="str" cm="1">
        <f t="array" ref="G2069">INDEX(_xlfn.TEXTSPLIT(E2069,"-"),3)</f>
        <v>民族服装</v>
      </c>
      <c r="H2069" s="5">
        <v>2737</v>
      </c>
      <c r="I2069" s="5">
        <v>509094.97</v>
      </c>
      <c r="J2069" s="6">
        <v>0.0018</v>
      </c>
      <c r="K2069" s="6">
        <v>0.2146</v>
      </c>
    </row>
    <row r="2070" ht="14.5" spans="1:11">
      <c r="A2070" s="3" t="str">
        <f t="shared" si="117"/>
        <v>2026年</v>
      </c>
      <c r="B2070" s="3" t="str">
        <f t="shared" si="118"/>
        <v>2月</v>
      </c>
      <c r="C2070" s="4" t="str">
        <f t="shared" si="119"/>
        <v>W9</v>
      </c>
      <c r="D2070" s="2" t="s">
        <v>792</v>
      </c>
      <c r="E2070" s="2" t="s">
        <v>820</v>
      </c>
      <c r="F2070" s="2" t="str" cm="1">
        <f t="array" ref="F2070">INDEX(_xlfn.TEXTSPLIT(E2070,"-"),2)</f>
        <v>男装</v>
      </c>
      <c r="G2070" s="2" t="str" cm="1">
        <f t="array" ref="G2070">INDEX(_xlfn.TEXTSPLIT(E2070,"-"),3)</f>
        <v>派克服</v>
      </c>
      <c r="H2070" s="5">
        <v>1008</v>
      </c>
      <c r="I2070" s="5">
        <v>220232.07</v>
      </c>
      <c r="J2070" s="6">
        <v>0.0008</v>
      </c>
      <c r="K2070" s="6">
        <v>1.3135</v>
      </c>
    </row>
    <row r="2071" ht="14.5" spans="1:11">
      <c r="A2071" s="3" t="str">
        <f t="shared" si="117"/>
        <v>2026年</v>
      </c>
      <c r="B2071" s="3" t="str">
        <f t="shared" si="118"/>
        <v>2月</v>
      </c>
      <c r="C2071" s="4" t="str">
        <f t="shared" si="119"/>
        <v>W9</v>
      </c>
      <c r="D2071" s="2" t="s">
        <v>792</v>
      </c>
      <c r="E2071" s="2" t="s">
        <v>821</v>
      </c>
      <c r="F2071" s="2" t="str" cm="1">
        <f t="array" ref="F2071">INDEX(_xlfn.TEXTSPLIT(E2071,"-"),2)</f>
        <v>男装</v>
      </c>
      <c r="G2071" s="2" t="str" cm="1">
        <f t="array" ref="G2071">INDEX(_xlfn.TEXTSPLIT(E2071,"-"),3)</f>
        <v>牛仔裤</v>
      </c>
      <c r="H2071" s="5">
        <v>247013</v>
      </c>
      <c r="I2071" s="5">
        <v>28457227.52</v>
      </c>
      <c r="J2071" s="6">
        <v>0.1008</v>
      </c>
      <c r="K2071" s="6">
        <v>0.1037</v>
      </c>
    </row>
    <row r="2072" ht="14.5" spans="1:11">
      <c r="A2072" s="3" t="str">
        <f t="shared" si="117"/>
        <v>2026年</v>
      </c>
      <c r="B2072" s="3" t="str">
        <f t="shared" si="118"/>
        <v>2月</v>
      </c>
      <c r="C2072" s="4" t="str">
        <f t="shared" si="119"/>
        <v>W9</v>
      </c>
      <c r="D2072" s="2" t="s">
        <v>792</v>
      </c>
      <c r="E2072" s="2" t="s">
        <v>822</v>
      </c>
      <c r="F2072" s="2" t="str" cm="1">
        <f t="array" ref="F2072">INDEX(_xlfn.TEXTSPLIT(E2072,"-"),2)</f>
        <v>男装</v>
      </c>
      <c r="G2072" s="2" t="str" cm="1">
        <f t="array" ref="G2072">INDEX(_xlfn.TEXTSPLIT(E2072,"-"),3)</f>
        <v>皮草</v>
      </c>
      <c r="H2072" s="5">
        <v>468</v>
      </c>
      <c r="I2072" s="5">
        <v>318304.44</v>
      </c>
      <c r="J2072" s="6">
        <v>0.0011</v>
      </c>
      <c r="K2072" s="6">
        <v>0.0108</v>
      </c>
    </row>
    <row r="2073" ht="14.5" spans="1:11">
      <c r="A2073" s="3" t="str">
        <f t="shared" si="117"/>
        <v>2026年</v>
      </c>
      <c r="B2073" s="3" t="str">
        <f t="shared" si="118"/>
        <v>2月</v>
      </c>
      <c r="C2073" s="4" t="str">
        <f t="shared" si="119"/>
        <v>W9</v>
      </c>
      <c r="D2073" s="2" t="s">
        <v>792</v>
      </c>
      <c r="E2073" s="2" t="s">
        <v>823</v>
      </c>
      <c r="F2073" s="2" t="str" cm="1">
        <f t="array" ref="F2073">INDEX(_xlfn.TEXTSPLIT(E2073,"-"),2)</f>
        <v>男装</v>
      </c>
      <c r="G2073" s="2" t="str" cm="1">
        <f t="array" ref="G2073">INDEX(_xlfn.TEXTSPLIT(E2073,"-"),3)</f>
        <v>皮衣</v>
      </c>
      <c r="H2073" s="5">
        <v>29346</v>
      </c>
      <c r="I2073" s="5">
        <v>11584882.9</v>
      </c>
      <c r="J2073" s="6">
        <v>0.041</v>
      </c>
      <c r="K2073" s="6">
        <v>0.178</v>
      </c>
    </row>
    <row r="2074" ht="14.5" spans="1:11">
      <c r="A2074" s="3" t="str">
        <f t="shared" si="117"/>
        <v>2026年</v>
      </c>
      <c r="B2074" s="3" t="str">
        <f t="shared" si="118"/>
        <v>2月</v>
      </c>
      <c r="C2074" s="4" t="str">
        <f t="shared" si="119"/>
        <v>W9</v>
      </c>
      <c r="D2074" s="2" t="s">
        <v>792</v>
      </c>
      <c r="E2074" s="2" t="s">
        <v>824</v>
      </c>
      <c r="F2074" s="2" t="str" cm="1">
        <f t="array" ref="F2074">INDEX(_xlfn.TEXTSPLIT(E2074,"-"),2)</f>
        <v>男装</v>
      </c>
      <c r="G2074" s="2" t="str" cm="1">
        <f t="array" ref="G2074">INDEX(_xlfn.TEXTSPLIT(E2074,"-"),3)</f>
        <v>皮裤</v>
      </c>
      <c r="H2074" s="5">
        <v>385</v>
      </c>
      <c r="I2074" s="5">
        <v>80607.04</v>
      </c>
      <c r="J2074" s="6">
        <v>0.0003</v>
      </c>
      <c r="K2074" s="6">
        <v>0.2488</v>
      </c>
    </row>
    <row r="2075" ht="14.5" spans="1:11">
      <c r="A2075" s="3" t="str">
        <f t="shared" si="117"/>
        <v>2026年</v>
      </c>
      <c r="B2075" s="3" t="str">
        <f t="shared" si="118"/>
        <v>2月</v>
      </c>
      <c r="C2075" s="4" t="str">
        <f t="shared" si="119"/>
        <v>W9</v>
      </c>
      <c r="D2075" s="2" t="s">
        <v>792</v>
      </c>
      <c r="E2075" s="2" t="s">
        <v>825</v>
      </c>
      <c r="F2075" s="2" t="str" cm="1">
        <f t="array" ref="F2075">INDEX(_xlfn.TEXTSPLIT(E2075,"-"),2)</f>
        <v>男装</v>
      </c>
      <c r="G2075" s="2" t="str" cm="1">
        <f t="array" ref="G2075">INDEX(_xlfn.TEXTSPLIT(E2075,"-"),3)</f>
        <v>短外套</v>
      </c>
      <c r="H2075" s="5">
        <v>17461</v>
      </c>
      <c r="I2075" s="5">
        <v>2154128.85</v>
      </c>
      <c r="J2075" s="6">
        <v>0.0076</v>
      </c>
      <c r="K2075" s="6">
        <v>0.1355</v>
      </c>
    </row>
    <row r="2076" ht="14.5" spans="1:11">
      <c r="A2076" s="3" t="str">
        <f t="shared" si="117"/>
        <v>2026年</v>
      </c>
      <c r="B2076" s="3" t="str">
        <f t="shared" si="118"/>
        <v>2月</v>
      </c>
      <c r="C2076" s="4" t="str">
        <f t="shared" si="119"/>
        <v>W9</v>
      </c>
      <c r="D2076" s="2" t="s">
        <v>792</v>
      </c>
      <c r="E2076" s="2" t="s">
        <v>826</v>
      </c>
      <c r="F2076" s="2" t="str" cm="1">
        <f t="array" ref="F2076">INDEX(_xlfn.TEXTSPLIT(E2076,"-"),2)</f>
        <v>男装</v>
      </c>
      <c r="G2076" s="2" t="str" cm="1">
        <f t="array" ref="G2076">INDEX(_xlfn.TEXTSPLIT(E2076,"-"),3)</f>
        <v>短裤</v>
      </c>
      <c r="H2076" s="5">
        <v>59654</v>
      </c>
      <c r="I2076" s="5">
        <v>2832978.54</v>
      </c>
      <c r="J2076" s="7">
        <v>0.01</v>
      </c>
      <c r="K2076" s="6">
        <v>-0.2015</v>
      </c>
    </row>
    <row r="2077" ht="14.5" spans="1:11">
      <c r="A2077" s="3" t="str">
        <f t="shared" si="117"/>
        <v>2026年</v>
      </c>
      <c r="B2077" s="3" t="str">
        <f t="shared" si="118"/>
        <v>2月</v>
      </c>
      <c r="C2077" s="4" t="str">
        <f t="shared" si="119"/>
        <v>W9</v>
      </c>
      <c r="D2077" s="2" t="s">
        <v>792</v>
      </c>
      <c r="E2077" s="2" t="s">
        <v>827</v>
      </c>
      <c r="F2077" s="2" t="str" cm="1">
        <f t="array" ref="F2077">INDEX(_xlfn.TEXTSPLIT(E2077,"-"),2)</f>
        <v>男装</v>
      </c>
      <c r="G2077" s="2" t="str" cm="1">
        <f t="array" ref="G2077">INDEX(_xlfn.TEXTSPLIT(E2077,"-"),3)</f>
        <v>紧身衣</v>
      </c>
      <c r="H2077" s="5">
        <v>276</v>
      </c>
      <c r="I2077" s="5">
        <v>8209.28</v>
      </c>
      <c r="J2077" s="2" t="s">
        <v>713</v>
      </c>
      <c r="K2077" s="6">
        <v>0.1767</v>
      </c>
    </row>
    <row r="2078" ht="14.5" spans="1:11">
      <c r="A2078" s="3" t="str">
        <f t="shared" si="117"/>
        <v>2026年</v>
      </c>
      <c r="B2078" s="3" t="str">
        <f t="shared" si="118"/>
        <v>2月</v>
      </c>
      <c r="C2078" s="4" t="str">
        <f t="shared" si="119"/>
        <v>W9</v>
      </c>
      <c r="D2078" s="2" t="s">
        <v>792</v>
      </c>
      <c r="E2078" s="2" t="s">
        <v>828</v>
      </c>
      <c r="F2078" s="2" t="str" cm="1">
        <f t="array" ref="F2078">INDEX(_xlfn.TEXTSPLIT(E2078,"-"),2)</f>
        <v>男装</v>
      </c>
      <c r="G2078" s="2" t="str" cm="1">
        <f t="array" ref="G2078">INDEX(_xlfn.TEXTSPLIT(E2078,"-"),3)</f>
        <v>羊毛衫</v>
      </c>
      <c r="H2078" s="5">
        <v>16752</v>
      </c>
      <c r="I2078" s="5">
        <v>2153769.33</v>
      </c>
      <c r="J2078" s="6">
        <v>0.0076</v>
      </c>
      <c r="K2078" s="6">
        <v>0.3683</v>
      </c>
    </row>
    <row r="2079" ht="14.5" spans="1:11">
      <c r="A2079" s="3" t="str">
        <f t="shared" si="117"/>
        <v>2026年</v>
      </c>
      <c r="B2079" s="3" t="str">
        <f t="shared" si="118"/>
        <v>2月</v>
      </c>
      <c r="C2079" s="4" t="str">
        <f t="shared" si="119"/>
        <v>W9</v>
      </c>
      <c r="D2079" s="2" t="s">
        <v>792</v>
      </c>
      <c r="E2079" s="2" t="s">
        <v>829</v>
      </c>
      <c r="F2079" s="2" t="str" cm="1">
        <f t="array" ref="F2079">INDEX(_xlfn.TEXTSPLIT(E2079,"-"),2)</f>
        <v>男装</v>
      </c>
      <c r="G2079" s="2" t="str" cm="1">
        <f t="array" ref="G2079">INDEX(_xlfn.TEXTSPLIT(E2079,"-"),3)</f>
        <v>羊绒衫</v>
      </c>
      <c r="H2079" s="5">
        <v>1988</v>
      </c>
      <c r="I2079" s="5">
        <v>681361.24</v>
      </c>
      <c r="J2079" s="6">
        <v>0.0024</v>
      </c>
      <c r="K2079" s="6">
        <v>-0.1203</v>
      </c>
    </row>
    <row r="2080" ht="14.5" spans="1:11">
      <c r="A2080" s="3" t="str">
        <f t="shared" ref="A2080:A2143" si="120">TEXT(YEAR(D2080),"0")&amp;"年"</f>
        <v>2026年</v>
      </c>
      <c r="B2080" s="3" t="str">
        <f t="shared" ref="B2080:B2143" si="121">TEXT(MONTH(D2080),"0")&amp;"月"</f>
        <v>2月</v>
      </c>
      <c r="C2080" s="4" t="str">
        <f t="shared" ref="C2080:C2143" si="122">"W"&amp;TEXT(WEEKNUM(D2080,2),"0")</f>
        <v>W9</v>
      </c>
      <c r="D2080" s="2" t="s">
        <v>792</v>
      </c>
      <c r="E2080" s="2" t="s">
        <v>830</v>
      </c>
      <c r="F2080" s="2" t="str" cm="1">
        <f t="array" ref="F2080">INDEX(_xlfn.TEXTSPLIT(E2080,"-"),2)</f>
        <v>男装</v>
      </c>
      <c r="G2080" s="2" t="str" cm="1">
        <f t="array" ref="G2080">INDEX(_xlfn.TEXTSPLIT(E2080,"-"),3)</f>
        <v>羽绒服</v>
      </c>
      <c r="H2080" s="5">
        <v>42520</v>
      </c>
      <c r="I2080" s="5">
        <v>10984575.77</v>
      </c>
      <c r="J2080" s="6">
        <v>0.0389</v>
      </c>
      <c r="K2080" s="6">
        <v>0.1721</v>
      </c>
    </row>
    <row r="2081" ht="14.5" spans="1:11">
      <c r="A2081" s="3" t="str">
        <f t="shared" si="120"/>
        <v>2026年</v>
      </c>
      <c r="B2081" s="3" t="str">
        <f t="shared" si="121"/>
        <v>2月</v>
      </c>
      <c r="C2081" s="4" t="str">
        <f t="shared" si="122"/>
        <v>W9</v>
      </c>
      <c r="D2081" s="2" t="s">
        <v>792</v>
      </c>
      <c r="E2081" s="2" t="s">
        <v>831</v>
      </c>
      <c r="F2081" s="2" t="str" cm="1">
        <f t="array" ref="F2081">INDEX(_xlfn.TEXTSPLIT(E2081,"-"),2)</f>
        <v>男装</v>
      </c>
      <c r="G2081" s="2" t="str" cm="1">
        <f t="array" ref="G2081">INDEX(_xlfn.TEXTSPLIT(E2081,"-"),3)</f>
        <v>羽绒裤</v>
      </c>
      <c r="H2081" s="5">
        <v>299</v>
      </c>
      <c r="I2081" s="5">
        <v>38514.35</v>
      </c>
      <c r="J2081" s="6">
        <v>0.0001</v>
      </c>
      <c r="K2081" s="6">
        <v>0.2345</v>
      </c>
    </row>
    <row r="2082" ht="14.5" spans="1:11">
      <c r="A2082" s="3" t="str">
        <f t="shared" si="120"/>
        <v>2026年</v>
      </c>
      <c r="B2082" s="3" t="str">
        <f t="shared" si="121"/>
        <v>2月</v>
      </c>
      <c r="C2082" s="4" t="str">
        <f t="shared" si="122"/>
        <v>W9</v>
      </c>
      <c r="D2082" s="2" t="s">
        <v>792</v>
      </c>
      <c r="E2082" s="2" t="s">
        <v>832</v>
      </c>
      <c r="F2082" s="2" t="str" cm="1">
        <f t="array" ref="F2082">INDEX(_xlfn.TEXTSPLIT(E2082,"-"),2)</f>
        <v>男装</v>
      </c>
      <c r="G2082" s="2" t="str" cm="1">
        <f t="array" ref="G2082">INDEX(_xlfn.TEXTSPLIT(E2082,"-"),3)</f>
        <v>羽绒马甲</v>
      </c>
      <c r="H2082" s="5">
        <v>2039</v>
      </c>
      <c r="I2082" s="5">
        <v>375015.64</v>
      </c>
      <c r="J2082" s="6">
        <v>0.0013</v>
      </c>
      <c r="K2082" s="6">
        <v>-0.0711</v>
      </c>
    </row>
    <row r="2083" ht="14.5" spans="1:11">
      <c r="A2083" s="3" t="str">
        <f t="shared" si="120"/>
        <v>2026年</v>
      </c>
      <c r="B2083" s="3" t="str">
        <f t="shared" si="121"/>
        <v>2月</v>
      </c>
      <c r="C2083" s="4" t="str">
        <f t="shared" si="122"/>
        <v>W9</v>
      </c>
      <c r="D2083" s="2" t="s">
        <v>792</v>
      </c>
      <c r="E2083" s="2" t="s">
        <v>833</v>
      </c>
      <c r="F2083" s="2" t="str" cm="1">
        <f t="array" ref="F2083">INDEX(_xlfn.TEXTSPLIT(E2083,"-"),2)</f>
        <v>男装</v>
      </c>
      <c r="G2083" s="2" t="str" cm="1">
        <f t="array" ref="G2083">INDEX(_xlfn.TEXTSPLIT(E2083,"-"),3)</f>
        <v>背心</v>
      </c>
      <c r="H2083" s="5">
        <v>30398</v>
      </c>
      <c r="I2083" s="5">
        <v>1646460.03</v>
      </c>
      <c r="J2083" s="6">
        <v>0.0058</v>
      </c>
      <c r="K2083" s="6">
        <v>0.0133</v>
      </c>
    </row>
    <row r="2084" ht="14.5" spans="1:11">
      <c r="A2084" s="3" t="str">
        <f t="shared" si="120"/>
        <v>2026年</v>
      </c>
      <c r="B2084" s="3" t="str">
        <f t="shared" si="121"/>
        <v>2月</v>
      </c>
      <c r="C2084" s="4" t="str">
        <f t="shared" si="122"/>
        <v>W9</v>
      </c>
      <c r="D2084" s="2" t="s">
        <v>792</v>
      </c>
      <c r="E2084" s="2" t="s">
        <v>834</v>
      </c>
      <c r="F2084" s="2" t="str" cm="1">
        <f t="array" ref="F2084">INDEX(_xlfn.TEXTSPLIT(E2084,"-"),2)</f>
        <v>男装</v>
      </c>
      <c r="G2084" s="2" t="str" cm="1">
        <f t="array" ref="G2084">INDEX(_xlfn.TEXTSPLIT(E2084,"-"),3)</f>
        <v>衬衫</v>
      </c>
      <c r="H2084" s="5">
        <v>89504</v>
      </c>
      <c r="I2084" s="5">
        <v>10718071.07</v>
      </c>
      <c r="J2084" s="6">
        <v>0.038</v>
      </c>
      <c r="K2084" s="6">
        <v>0.101</v>
      </c>
    </row>
    <row r="2085" ht="14.5" spans="1:11">
      <c r="A2085" s="3" t="str">
        <f t="shared" si="120"/>
        <v>2026年</v>
      </c>
      <c r="B2085" s="3" t="str">
        <f t="shared" si="121"/>
        <v>2月</v>
      </c>
      <c r="C2085" s="4" t="str">
        <f t="shared" si="122"/>
        <v>W9</v>
      </c>
      <c r="D2085" s="2" t="s">
        <v>792</v>
      </c>
      <c r="E2085" s="2" t="s">
        <v>835</v>
      </c>
      <c r="F2085" s="2" t="str" cm="1">
        <f t="array" ref="F2085">INDEX(_xlfn.TEXTSPLIT(E2085,"-"),2)</f>
        <v>男装</v>
      </c>
      <c r="G2085" s="2" t="str" cm="1">
        <f t="array" ref="G2085">INDEX(_xlfn.TEXTSPLIT(E2085,"-"),3)</f>
        <v>西服</v>
      </c>
      <c r="H2085" s="5">
        <v>49019</v>
      </c>
      <c r="I2085" s="5">
        <v>11315058.09</v>
      </c>
      <c r="J2085" s="6">
        <v>0.0401</v>
      </c>
      <c r="K2085" s="6">
        <v>0.0541</v>
      </c>
    </row>
    <row r="2086" ht="14.5" spans="1:11">
      <c r="A2086" s="3" t="str">
        <f t="shared" si="120"/>
        <v>2026年</v>
      </c>
      <c r="B2086" s="3" t="str">
        <f t="shared" si="121"/>
        <v>2月</v>
      </c>
      <c r="C2086" s="4" t="str">
        <f t="shared" si="122"/>
        <v>W9</v>
      </c>
      <c r="D2086" s="2" t="s">
        <v>792</v>
      </c>
      <c r="E2086" s="2" t="s">
        <v>836</v>
      </c>
      <c r="F2086" s="2" t="str" cm="1">
        <f t="array" ref="F2086">INDEX(_xlfn.TEXTSPLIT(E2086,"-"),2)</f>
        <v>男装</v>
      </c>
      <c r="G2086" s="2" t="str" cm="1">
        <f t="array" ref="G2086">INDEX(_xlfn.TEXTSPLIT(E2086,"-"),3)</f>
        <v>连体衣/裤</v>
      </c>
      <c r="H2086" s="5">
        <v>382</v>
      </c>
      <c r="I2086" s="5">
        <v>8569.93</v>
      </c>
      <c r="J2086" s="2" t="s">
        <v>713</v>
      </c>
      <c r="K2086" s="6">
        <v>-0.2846</v>
      </c>
    </row>
    <row r="2087" ht="14.5" spans="1:11">
      <c r="A2087" s="3" t="str">
        <f t="shared" si="120"/>
        <v>2026年</v>
      </c>
      <c r="B2087" s="3" t="str">
        <f t="shared" si="121"/>
        <v>2月</v>
      </c>
      <c r="C2087" s="4" t="str">
        <f t="shared" si="122"/>
        <v>W9</v>
      </c>
      <c r="D2087" s="2" t="s">
        <v>792</v>
      </c>
      <c r="E2087" s="2" t="s">
        <v>837</v>
      </c>
      <c r="F2087" s="2" t="str" cm="1">
        <f t="array" ref="F2087">INDEX(_xlfn.TEXTSPLIT(E2087,"-"),2)</f>
        <v>男装</v>
      </c>
      <c r="G2087" s="2" t="str" cm="1">
        <f t="array" ref="G2087">INDEX(_xlfn.TEXTSPLIT(E2087,"-"),3)</f>
        <v>速干/三防T恤</v>
      </c>
      <c r="H2087" s="5">
        <v>1642</v>
      </c>
      <c r="I2087" s="5">
        <v>251372.29</v>
      </c>
      <c r="J2087" s="6">
        <v>0.0009</v>
      </c>
      <c r="K2087" s="6">
        <v>-0.3003</v>
      </c>
    </row>
    <row r="2088" ht="14.5" spans="1:11">
      <c r="A2088" s="3" t="str">
        <f t="shared" si="120"/>
        <v>2026年</v>
      </c>
      <c r="B2088" s="3" t="str">
        <f t="shared" si="121"/>
        <v>2月</v>
      </c>
      <c r="C2088" s="4" t="str">
        <f t="shared" si="122"/>
        <v>W9</v>
      </c>
      <c r="D2088" s="2" t="s">
        <v>792</v>
      </c>
      <c r="E2088" s="2" t="s">
        <v>838</v>
      </c>
      <c r="F2088" s="2" t="str" cm="1">
        <f t="array" ref="F2088">INDEX(_xlfn.TEXTSPLIT(E2088,"-"),2)</f>
        <v>男装</v>
      </c>
      <c r="G2088" s="2" t="str" cm="1">
        <f t="array" ref="G2088">INDEX(_xlfn.TEXTSPLIT(E2088,"-"),3)</f>
        <v>针织衫/毛衣</v>
      </c>
      <c r="H2088" s="5">
        <v>73403</v>
      </c>
      <c r="I2088" s="5">
        <v>9180170.69</v>
      </c>
      <c r="J2088" s="6">
        <v>0.0325</v>
      </c>
      <c r="K2088" s="6">
        <v>-0.0847</v>
      </c>
    </row>
    <row r="2089" ht="14.5" spans="1:11">
      <c r="A2089" s="3" t="str">
        <f t="shared" si="120"/>
        <v>2026年</v>
      </c>
      <c r="B2089" s="3" t="str">
        <f t="shared" si="121"/>
        <v>2月</v>
      </c>
      <c r="C2089" s="4" t="str">
        <f t="shared" si="122"/>
        <v>W9</v>
      </c>
      <c r="D2089" s="2" t="s">
        <v>792</v>
      </c>
      <c r="E2089" s="2" t="s">
        <v>839</v>
      </c>
      <c r="F2089" s="2" t="str" cm="1">
        <f t="array" ref="F2089">INDEX(_xlfn.TEXTSPLIT(E2089,"-"),2)</f>
        <v>男装</v>
      </c>
      <c r="G2089" s="2" t="str" cm="1">
        <f t="array" ref="G2089">INDEX(_xlfn.TEXTSPLIT(E2089,"-"),3)</f>
        <v>防晒服</v>
      </c>
      <c r="H2089" s="5">
        <v>2866</v>
      </c>
      <c r="I2089" s="5">
        <v>195321.65</v>
      </c>
      <c r="J2089" s="6">
        <v>0.0007</v>
      </c>
      <c r="K2089" s="6">
        <v>0.1772</v>
      </c>
    </row>
    <row r="2090" ht="14.5" spans="1:11">
      <c r="A2090" s="3" t="str">
        <f t="shared" si="120"/>
        <v>2026年</v>
      </c>
      <c r="B2090" s="3" t="str">
        <f t="shared" si="121"/>
        <v>2月</v>
      </c>
      <c r="C2090" s="4" t="str">
        <f t="shared" si="122"/>
        <v>W9</v>
      </c>
      <c r="D2090" s="2" t="s">
        <v>792</v>
      </c>
      <c r="E2090" s="2" t="s">
        <v>840</v>
      </c>
      <c r="F2090" s="2" t="str" cm="1">
        <f t="array" ref="F2090">INDEX(_xlfn.TEXTSPLIT(E2090,"-"),2)</f>
        <v>男装</v>
      </c>
      <c r="G2090" s="2" t="str" cm="1">
        <f t="array" ref="G2090">INDEX(_xlfn.TEXTSPLIT(E2090,"-"),3)</f>
        <v>风衣</v>
      </c>
      <c r="H2090" s="5">
        <v>9834</v>
      </c>
      <c r="I2090" s="5">
        <v>2600463.61</v>
      </c>
      <c r="J2090" s="6">
        <v>0.0092</v>
      </c>
      <c r="K2090" s="6">
        <v>0.269</v>
      </c>
    </row>
    <row r="2091" ht="14.5" spans="1:11">
      <c r="A2091" s="3" t="str">
        <f t="shared" si="120"/>
        <v>2026年</v>
      </c>
      <c r="B2091" s="3" t="str">
        <f t="shared" si="121"/>
        <v>2月</v>
      </c>
      <c r="C2091" s="4" t="str">
        <f t="shared" si="122"/>
        <v>W9</v>
      </c>
      <c r="D2091" s="2" t="s">
        <v>792</v>
      </c>
      <c r="E2091" s="2" t="s">
        <v>841</v>
      </c>
      <c r="F2091" s="2" t="str" cm="1">
        <f t="array" ref="F2091">INDEX(_xlfn.TEXTSPLIT(E2091,"-"),2)</f>
        <v>男装</v>
      </c>
      <c r="G2091" s="2" t="str" cm="1">
        <f t="array" ref="G2091">INDEX(_xlfn.TEXTSPLIT(E2091,"-"),3)</f>
        <v>马甲</v>
      </c>
      <c r="H2091" s="5">
        <v>17295</v>
      </c>
      <c r="I2091" s="5">
        <v>2038892.72</v>
      </c>
      <c r="J2091" s="6">
        <v>0.0072</v>
      </c>
      <c r="K2091" s="6">
        <v>0.3534</v>
      </c>
    </row>
    <row r="2092" ht="14.5" spans="1:11">
      <c r="A2092" s="3" t="str">
        <f t="shared" si="120"/>
        <v>2026年</v>
      </c>
      <c r="B2092" s="3" t="str">
        <f t="shared" si="121"/>
        <v>2月</v>
      </c>
      <c r="C2092" s="4" t="str">
        <f t="shared" si="122"/>
        <v>W9</v>
      </c>
      <c r="D2092" s="2" t="s">
        <v>793</v>
      </c>
      <c r="E2092" s="2" t="s">
        <v>804</v>
      </c>
      <c r="F2092" s="2" t="str" cm="1">
        <f t="array" ref="F2092">INDEX(_xlfn.TEXTSPLIT(E2092,"-"),2)</f>
        <v>男装</v>
      </c>
      <c r="G2092" s="2" t="str" cm="1">
        <f t="array" ref="G2092">INDEX(_xlfn.TEXTSPLIT(E2092,"-"),3)</f>
        <v>Polo衫</v>
      </c>
      <c r="H2092" s="5">
        <v>76824</v>
      </c>
      <c r="I2092" s="5">
        <v>7786477.68</v>
      </c>
      <c r="J2092" s="6">
        <v>0.0297</v>
      </c>
      <c r="K2092" s="6">
        <v>-0.0217</v>
      </c>
    </row>
    <row r="2093" ht="14.5" spans="1:11">
      <c r="A2093" s="3" t="str">
        <f t="shared" si="120"/>
        <v>2026年</v>
      </c>
      <c r="B2093" s="3" t="str">
        <f t="shared" si="121"/>
        <v>2月</v>
      </c>
      <c r="C2093" s="4" t="str">
        <f t="shared" si="122"/>
        <v>W9</v>
      </c>
      <c r="D2093" s="2" t="s">
        <v>793</v>
      </c>
      <c r="E2093" s="2" t="s">
        <v>805</v>
      </c>
      <c r="F2093" s="2" t="str" cm="1">
        <f t="array" ref="F2093">INDEX(_xlfn.TEXTSPLIT(E2093,"-"),2)</f>
        <v>男装</v>
      </c>
      <c r="G2093" s="2" t="str" cm="1">
        <f t="array" ref="G2093">INDEX(_xlfn.TEXTSPLIT(E2093,"-"),3)</f>
        <v>T恤</v>
      </c>
      <c r="H2093" s="5">
        <v>617312</v>
      </c>
      <c r="I2093" s="5">
        <v>40065190.35</v>
      </c>
      <c r="J2093" s="6">
        <v>0.1528</v>
      </c>
      <c r="K2093" s="6">
        <v>-0.1261</v>
      </c>
    </row>
    <row r="2094" ht="14.5" spans="1:11">
      <c r="A2094" s="3" t="str">
        <f t="shared" si="120"/>
        <v>2026年</v>
      </c>
      <c r="B2094" s="3" t="str">
        <f t="shared" si="121"/>
        <v>2月</v>
      </c>
      <c r="C2094" s="4" t="str">
        <f t="shared" si="122"/>
        <v>W9</v>
      </c>
      <c r="D2094" s="2" t="s">
        <v>793</v>
      </c>
      <c r="E2094" s="2" t="s">
        <v>806</v>
      </c>
      <c r="F2094" s="2" t="str" cm="1">
        <f t="array" ref="F2094">INDEX(_xlfn.TEXTSPLIT(E2094,"-"),2)</f>
        <v>男装</v>
      </c>
      <c r="G2094" s="2" t="str" cm="1">
        <f t="array" ref="G2094">INDEX(_xlfn.TEXTSPLIT(E2094,"-"),3)</f>
        <v>中老年男装</v>
      </c>
      <c r="H2094" s="5">
        <v>25275</v>
      </c>
      <c r="I2094" s="5">
        <v>1787310.06</v>
      </c>
      <c r="J2094" s="6">
        <v>0.0068</v>
      </c>
      <c r="K2094" s="6">
        <v>-0.0846</v>
      </c>
    </row>
    <row r="2095" ht="14.5" spans="1:11">
      <c r="A2095" s="3" t="str">
        <f t="shared" si="120"/>
        <v>2026年</v>
      </c>
      <c r="B2095" s="3" t="str">
        <f t="shared" si="121"/>
        <v>2月</v>
      </c>
      <c r="C2095" s="4" t="str">
        <f t="shared" si="122"/>
        <v>W9</v>
      </c>
      <c r="D2095" s="2" t="s">
        <v>793</v>
      </c>
      <c r="E2095" s="2" t="s">
        <v>807</v>
      </c>
      <c r="F2095" s="2" t="str" cm="1">
        <f t="array" ref="F2095">INDEX(_xlfn.TEXTSPLIT(E2095,"-"),2)</f>
        <v>男装</v>
      </c>
      <c r="G2095" s="2" t="str" cm="1">
        <f t="array" ref="G2095">INDEX(_xlfn.TEXTSPLIT(E2095,"-"),3)</f>
        <v>休闲裤</v>
      </c>
      <c r="H2095" s="5">
        <v>299873</v>
      </c>
      <c r="I2095" s="5">
        <v>31120850.78</v>
      </c>
      <c r="J2095" s="6">
        <v>0.1187</v>
      </c>
      <c r="K2095" s="6">
        <v>-0.0523</v>
      </c>
    </row>
    <row r="2096" ht="14.5" spans="1:11">
      <c r="A2096" s="3" t="str">
        <f t="shared" si="120"/>
        <v>2026年</v>
      </c>
      <c r="B2096" s="3" t="str">
        <f t="shared" si="121"/>
        <v>2月</v>
      </c>
      <c r="C2096" s="4" t="str">
        <f t="shared" si="122"/>
        <v>W9</v>
      </c>
      <c r="D2096" s="2" t="s">
        <v>793</v>
      </c>
      <c r="E2096" s="2" t="s">
        <v>808</v>
      </c>
      <c r="F2096" s="2" t="str" cm="1">
        <f t="array" ref="F2096">INDEX(_xlfn.TEXTSPLIT(E2096,"-"),2)</f>
        <v>男装</v>
      </c>
      <c r="G2096" s="2" t="str" cm="1">
        <f t="array" ref="G2096">INDEX(_xlfn.TEXTSPLIT(E2096,"-"),3)</f>
        <v>卫衣</v>
      </c>
      <c r="H2096" s="5">
        <v>187986</v>
      </c>
      <c r="I2096" s="5">
        <v>17301465.29</v>
      </c>
      <c r="J2096" s="6">
        <v>0.066</v>
      </c>
      <c r="K2096" s="6">
        <v>-0.1164</v>
      </c>
    </row>
    <row r="2097" ht="14.5" spans="1:11">
      <c r="A2097" s="3" t="str">
        <f t="shared" si="120"/>
        <v>2026年</v>
      </c>
      <c r="B2097" s="3" t="str">
        <f t="shared" si="121"/>
        <v>2月</v>
      </c>
      <c r="C2097" s="4" t="str">
        <f t="shared" si="122"/>
        <v>W9</v>
      </c>
      <c r="D2097" s="2" t="s">
        <v>793</v>
      </c>
      <c r="E2097" s="2" t="s">
        <v>809</v>
      </c>
      <c r="F2097" s="2" t="str" cm="1">
        <f t="array" ref="F2097">INDEX(_xlfn.TEXTSPLIT(E2097,"-"),2)</f>
        <v>男装</v>
      </c>
      <c r="G2097" s="2" t="str" cm="1">
        <f t="array" ref="G2097">INDEX(_xlfn.TEXTSPLIT(E2097,"-"),3)</f>
        <v>卫裤</v>
      </c>
      <c r="H2097" s="5">
        <v>41354</v>
      </c>
      <c r="I2097" s="5">
        <v>4072734.11</v>
      </c>
      <c r="J2097" s="6">
        <v>0.0155</v>
      </c>
      <c r="K2097" s="6">
        <v>-0.0289</v>
      </c>
    </row>
    <row r="2098" ht="14.5" spans="1:11">
      <c r="A2098" s="3" t="str">
        <f t="shared" si="120"/>
        <v>2026年</v>
      </c>
      <c r="B2098" s="3" t="str">
        <f t="shared" si="121"/>
        <v>2月</v>
      </c>
      <c r="C2098" s="4" t="str">
        <f t="shared" si="122"/>
        <v>W9</v>
      </c>
      <c r="D2098" s="2" t="s">
        <v>793</v>
      </c>
      <c r="E2098" s="2" t="s">
        <v>810</v>
      </c>
      <c r="F2098" s="2" t="str" cm="1">
        <f t="array" ref="F2098">INDEX(_xlfn.TEXTSPLIT(E2098,"-"),2)</f>
        <v>男装</v>
      </c>
      <c r="G2098" s="2" t="str" cm="1">
        <f t="array" ref="G2098">INDEX(_xlfn.TEXTSPLIT(E2098,"-"),3)</f>
        <v>大码男装</v>
      </c>
      <c r="H2098" s="5">
        <v>40432</v>
      </c>
      <c r="I2098" s="5">
        <v>2662579.53</v>
      </c>
      <c r="J2098" s="6">
        <v>0.0102</v>
      </c>
      <c r="K2098" s="6">
        <v>-0.0878</v>
      </c>
    </row>
    <row r="2099" ht="14.5" spans="1:11">
      <c r="A2099" s="3" t="str">
        <f t="shared" si="120"/>
        <v>2026年</v>
      </c>
      <c r="B2099" s="3" t="str">
        <f t="shared" si="121"/>
        <v>2月</v>
      </c>
      <c r="C2099" s="4" t="str">
        <f t="shared" si="122"/>
        <v>W9</v>
      </c>
      <c r="D2099" s="2" t="s">
        <v>793</v>
      </c>
      <c r="E2099" s="2" t="s">
        <v>811</v>
      </c>
      <c r="F2099" s="2" t="str" cm="1">
        <f t="array" ref="F2099">INDEX(_xlfn.TEXTSPLIT(E2099,"-"),2)</f>
        <v>男装</v>
      </c>
      <c r="G2099" s="2" t="str" cm="1">
        <f t="array" ref="G2099">INDEX(_xlfn.TEXTSPLIT(E2099,"-"),3)</f>
        <v>夹克</v>
      </c>
      <c r="H2099" s="5">
        <v>293091</v>
      </c>
      <c r="I2099" s="5">
        <v>52768449.47</v>
      </c>
      <c r="J2099" s="6">
        <v>0.2012</v>
      </c>
      <c r="K2099" s="6">
        <v>-0.0428</v>
      </c>
    </row>
    <row r="2100" ht="14.5" spans="1:11">
      <c r="A2100" s="3" t="str">
        <f t="shared" si="120"/>
        <v>2026年</v>
      </c>
      <c r="B2100" s="3" t="str">
        <f t="shared" si="121"/>
        <v>2月</v>
      </c>
      <c r="C2100" s="4" t="str">
        <f t="shared" si="122"/>
        <v>W9</v>
      </c>
      <c r="D2100" s="2" t="s">
        <v>793</v>
      </c>
      <c r="E2100" s="2" t="s">
        <v>812</v>
      </c>
      <c r="F2100" s="2" t="str" cm="1">
        <f t="array" ref="F2100">INDEX(_xlfn.TEXTSPLIT(E2100,"-"),2)</f>
        <v>男装</v>
      </c>
      <c r="G2100" s="2" t="str" cm="1">
        <f t="array" ref="G2100">INDEX(_xlfn.TEXTSPLIT(E2100,"-"),3)</f>
        <v>套装</v>
      </c>
      <c r="H2100" s="5">
        <v>40074</v>
      </c>
      <c r="I2100" s="5">
        <v>6561058.19</v>
      </c>
      <c r="J2100" s="6">
        <v>0.025</v>
      </c>
      <c r="K2100" s="6">
        <v>0.0194</v>
      </c>
    </row>
    <row r="2101" ht="14.5" spans="1:11">
      <c r="A2101" s="3" t="str">
        <f t="shared" si="120"/>
        <v>2026年</v>
      </c>
      <c r="B2101" s="3" t="str">
        <f t="shared" si="121"/>
        <v>2月</v>
      </c>
      <c r="C2101" s="4" t="str">
        <f t="shared" si="122"/>
        <v>W9</v>
      </c>
      <c r="D2101" s="2" t="s">
        <v>793</v>
      </c>
      <c r="E2101" s="2" t="s">
        <v>813</v>
      </c>
      <c r="F2101" s="2" t="str" cm="1">
        <f t="array" ref="F2101">INDEX(_xlfn.TEXTSPLIT(E2101,"-"),2)</f>
        <v>男装</v>
      </c>
      <c r="G2101" s="2" t="str" cm="1">
        <f t="array" ref="G2101">INDEX(_xlfn.TEXTSPLIT(E2101,"-"),3)</f>
        <v>学生校服</v>
      </c>
      <c r="H2101" s="5">
        <v>3</v>
      </c>
      <c r="I2101" s="5">
        <v>129</v>
      </c>
      <c r="J2101" s="2" t="s">
        <v>713</v>
      </c>
      <c r="K2101" s="6">
        <v>-0.6314</v>
      </c>
    </row>
    <row r="2102" ht="14.5" spans="1:11">
      <c r="A2102" s="3" t="str">
        <f t="shared" si="120"/>
        <v>2026年</v>
      </c>
      <c r="B2102" s="3" t="str">
        <f t="shared" si="121"/>
        <v>2月</v>
      </c>
      <c r="C2102" s="4" t="str">
        <f t="shared" si="122"/>
        <v>W9</v>
      </c>
      <c r="D2102" s="2" t="s">
        <v>793</v>
      </c>
      <c r="E2102" s="2" t="s">
        <v>814</v>
      </c>
      <c r="F2102" s="2" t="str" cm="1">
        <f t="array" ref="F2102">INDEX(_xlfn.TEXTSPLIT(E2102,"-"),2)</f>
        <v>男装</v>
      </c>
      <c r="G2102" s="2" t="str" cm="1">
        <f t="array" ref="G2102">INDEX(_xlfn.TEXTSPLIT(E2102,"-"),3)</f>
        <v>打底衫</v>
      </c>
      <c r="H2102" s="5">
        <v>6726</v>
      </c>
      <c r="I2102" s="5">
        <v>413284.79</v>
      </c>
      <c r="J2102" s="6">
        <v>0.0016</v>
      </c>
      <c r="K2102" s="6">
        <v>-0.2597</v>
      </c>
    </row>
    <row r="2103" ht="14.5" spans="1:11">
      <c r="A2103" s="3" t="str">
        <f t="shared" si="120"/>
        <v>2026年</v>
      </c>
      <c r="B2103" s="3" t="str">
        <f t="shared" si="121"/>
        <v>2月</v>
      </c>
      <c r="C2103" s="4" t="str">
        <f t="shared" si="122"/>
        <v>W9</v>
      </c>
      <c r="D2103" s="2" t="s">
        <v>793</v>
      </c>
      <c r="E2103" s="2" t="s">
        <v>815</v>
      </c>
      <c r="F2103" s="2" t="str" cm="1">
        <f t="array" ref="F2103">INDEX(_xlfn.TEXTSPLIT(E2103,"-"),2)</f>
        <v>男装</v>
      </c>
      <c r="G2103" s="2" t="str" cm="1">
        <f t="array" ref="G2103">INDEX(_xlfn.TEXTSPLIT(E2103,"-"),3)</f>
        <v>新中式男装</v>
      </c>
      <c r="H2103" s="5">
        <v>202</v>
      </c>
      <c r="I2103" s="5">
        <v>43605.92</v>
      </c>
      <c r="J2103" s="6">
        <v>0.0002</v>
      </c>
      <c r="K2103" s="6">
        <v>0.0005</v>
      </c>
    </row>
    <row r="2104" ht="14.5" spans="1:11">
      <c r="A2104" s="3" t="str">
        <f t="shared" si="120"/>
        <v>2026年</v>
      </c>
      <c r="B2104" s="3" t="str">
        <f t="shared" si="121"/>
        <v>2月</v>
      </c>
      <c r="C2104" s="4" t="str">
        <f t="shared" si="122"/>
        <v>W9</v>
      </c>
      <c r="D2104" s="2" t="s">
        <v>793</v>
      </c>
      <c r="E2104" s="2" t="s">
        <v>816</v>
      </c>
      <c r="F2104" s="2" t="str" cm="1">
        <f t="array" ref="F2104">INDEX(_xlfn.TEXTSPLIT(E2104,"-"),2)</f>
        <v>男装</v>
      </c>
      <c r="G2104" s="2" t="str" cm="1">
        <f t="array" ref="G2104">INDEX(_xlfn.TEXTSPLIT(E2104,"-"),3)</f>
        <v>棉衣</v>
      </c>
      <c r="H2104" s="5">
        <v>37012</v>
      </c>
      <c r="I2104" s="5">
        <v>4212371.18</v>
      </c>
      <c r="J2104" s="6">
        <v>0.0161</v>
      </c>
      <c r="K2104" s="6">
        <v>-0.0297</v>
      </c>
    </row>
    <row r="2105" ht="14.5" spans="1:11">
      <c r="A2105" s="3" t="str">
        <f t="shared" si="120"/>
        <v>2026年</v>
      </c>
      <c r="B2105" s="3" t="str">
        <f t="shared" si="121"/>
        <v>2月</v>
      </c>
      <c r="C2105" s="4" t="str">
        <f t="shared" si="122"/>
        <v>W9</v>
      </c>
      <c r="D2105" s="2" t="s">
        <v>793</v>
      </c>
      <c r="E2105" s="2" t="s">
        <v>817</v>
      </c>
      <c r="F2105" s="2" t="str" cm="1">
        <f t="array" ref="F2105">INDEX(_xlfn.TEXTSPLIT(E2105,"-"),2)</f>
        <v>男装</v>
      </c>
      <c r="G2105" s="2" t="str" cm="1">
        <f t="array" ref="G2105">INDEX(_xlfn.TEXTSPLIT(E2105,"-"),3)</f>
        <v>棉裤</v>
      </c>
      <c r="H2105" s="5">
        <v>1049</v>
      </c>
      <c r="I2105" s="5">
        <v>58198.34</v>
      </c>
      <c r="J2105" s="6">
        <v>0.0002</v>
      </c>
      <c r="K2105" s="6">
        <v>-0.0574</v>
      </c>
    </row>
    <row r="2106" ht="14.5" spans="1:11">
      <c r="A2106" s="3" t="str">
        <f t="shared" si="120"/>
        <v>2026年</v>
      </c>
      <c r="B2106" s="3" t="str">
        <f t="shared" si="121"/>
        <v>2月</v>
      </c>
      <c r="C2106" s="4" t="str">
        <f t="shared" si="122"/>
        <v>W9</v>
      </c>
      <c r="D2106" s="2" t="s">
        <v>793</v>
      </c>
      <c r="E2106" s="2" t="s">
        <v>818</v>
      </c>
      <c r="F2106" s="2" t="str" cm="1">
        <f t="array" ref="F2106">INDEX(_xlfn.TEXTSPLIT(E2106,"-"),2)</f>
        <v>男装</v>
      </c>
      <c r="G2106" s="2" t="str" cm="1">
        <f t="array" ref="G2106">INDEX(_xlfn.TEXTSPLIT(E2106,"-"),3)</f>
        <v>毛呢大衣</v>
      </c>
      <c r="H2106" s="5">
        <v>7307</v>
      </c>
      <c r="I2106" s="5">
        <v>2034708.18</v>
      </c>
      <c r="J2106" s="6">
        <v>0.0078</v>
      </c>
      <c r="K2106" s="6">
        <v>-0.0355</v>
      </c>
    </row>
    <row r="2107" ht="14.5" spans="1:11">
      <c r="A2107" s="3" t="str">
        <f t="shared" si="120"/>
        <v>2026年</v>
      </c>
      <c r="B2107" s="3" t="str">
        <f t="shared" si="121"/>
        <v>2月</v>
      </c>
      <c r="C2107" s="4" t="str">
        <f t="shared" si="122"/>
        <v>W9</v>
      </c>
      <c r="D2107" s="2" t="s">
        <v>793</v>
      </c>
      <c r="E2107" s="2" t="s">
        <v>819</v>
      </c>
      <c r="F2107" s="2" t="str" cm="1">
        <f t="array" ref="F2107">INDEX(_xlfn.TEXTSPLIT(E2107,"-"),2)</f>
        <v>男装</v>
      </c>
      <c r="G2107" s="2" t="str" cm="1">
        <f t="array" ref="G2107">INDEX(_xlfn.TEXTSPLIT(E2107,"-"),3)</f>
        <v>民族服装</v>
      </c>
      <c r="H2107" s="5">
        <v>4449</v>
      </c>
      <c r="I2107" s="5">
        <v>729783.73</v>
      </c>
      <c r="J2107" s="6">
        <v>0.0028</v>
      </c>
      <c r="K2107" s="6">
        <v>0.4335</v>
      </c>
    </row>
    <row r="2108" ht="14.5" spans="1:11">
      <c r="A2108" s="3" t="str">
        <f t="shared" si="120"/>
        <v>2026年</v>
      </c>
      <c r="B2108" s="3" t="str">
        <f t="shared" si="121"/>
        <v>2月</v>
      </c>
      <c r="C2108" s="4" t="str">
        <f t="shared" si="122"/>
        <v>W9</v>
      </c>
      <c r="D2108" s="2" t="s">
        <v>793</v>
      </c>
      <c r="E2108" s="2" t="s">
        <v>820</v>
      </c>
      <c r="F2108" s="2" t="str" cm="1">
        <f t="array" ref="F2108">INDEX(_xlfn.TEXTSPLIT(E2108,"-"),2)</f>
        <v>男装</v>
      </c>
      <c r="G2108" s="2" t="str" cm="1">
        <f t="array" ref="G2108">INDEX(_xlfn.TEXTSPLIT(E2108,"-"),3)</f>
        <v>派克服</v>
      </c>
      <c r="H2108" s="5">
        <v>903</v>
      </c>
      <c r="I2108" s="5">
        <v>178576.24</v>
      </c>
      <c r="J2108" s="6">
        <v>0.0007</v>
      </c>
      <c r="K2108" s="6">
        <v>-0.1891</v>
      </c>
    </row>
    <row r="2109" ht="14.5" spans="1:11">
      <c r="A2109" s="3" t="str">
        <f t="shared" si="120"/>
        <v>2026年</v>
      </c>
      <c r="B2109" s="3" t="str">
        <f t="shared" si="121"/>
        <v>2月</v>
      </c>
      <c r="C2109" s="4" t="str">
        <f t="shared" si="122"/>
        <v>W9</v>
      </c>
      <c r="D2109" s="2" t="s">
        <v>793</v>
      </c>
      <c r="E2109" s="2" t="s">
        <v>821</v>
      </c>
      <c r="F2109" s="2" t="str" cm="1">
        <f t="array" ref="F2109">INDEX(_xlfn.TEXTSPLIT(E2109,"-"),2)</f>
        <v>男装</v>
      </c>
      <c r="G2109" s="2" t="str" cm="1">
        <f t="array" ref="G2109">INDEX(_xlfn.TEXTSPLIT(E2109,"-"),3)</f>
        <v>牛仔裤</v>
      </c>
      <c r="H2109" s="5">
        <v>214256</v>
      </c>
      <c r="I2109" s="5">
        <v>24014595.83</v>
      </c>
      <c r="J2109" s="6">
        <v>0.0916</v>
      </c>
      <c r="K2109" s="6">
        <v>-0.1561</v>
      </c>
    </row>
    <row r="2110" ht="14.5" spans="1:11">
      <c r="A2110" s="3" t="str">
        <f t="shared" si="120"/>
        <v>2026年</v>
      </c>
      <c r="B2110" s="3" t="str">
        <f t="shared" si="121"/>
        <v>2月</v>
      </c>
      <c r="C2110" s="4" t="str">
        <f t="shared" si="122"/>
        <v>W9</v>
      </c>
      <c r="D2110" s="2" t="s">
        <v>793</v>
      </c>
      <c r="E2110" s="2" t="s">
        <v>822</v>
      </c>
      <c r="F2110" s="2" t="str" cm="1">
        <f t="array" ref="F2110">INDEX(_xlfn.TEXTSPLIT(E2110,"-"),2)</f>
        <v>男装</v>
      </c>
      <c r="G2110" s="2" t="str" cm="1">
        <f t="array" ref="G2110">INDEX(_xlfn.TEXTSPLIT(E2110,"-"),3)</f>
        <v>皮草</v>
      </c>
      <c r="H2110" s="5">
        <v>327</v>
      </c>
      <c r="I2110" s="5">
        <v>213744.47</v>
      </c>
      <c r="J2110" s="6">
        <v>0.0008</v>
      </c>
      <c r="K2110" s="6">
        <v>-0.3285</v>
      </c>
    </row>
    <row r="2111" ht="14.5" spans="1:11">
      <c r="A2111" s="3" t="str">
        <f t="shared" si="120"/>
        <v>2026年</v>
      </c>
      <c r="B2111" s="3" t="str">
        <f t="shared" si="121"/>
        <v>2月</v>
      </c>
      <c r="C2111" s="4" t="str">
        <f t="shared" si="122"/>
        <v>W9</v>
      </c>
      <c r="D2111" s="2" t="s">
        <v>793</v>
      </c>
      <c r="E2111" s="2" t="s">
        <v>823</v>
      </c>
      <c r="F2111" s="2" t="str" cm="1">
        <f t="array" ref="F2111">INDEX(_xlfn.TEXTSPLIT(E2111,"-"),2)</f>
        <v>男装</v>
      </c>
      <c r="G2111" s="2" t="str" cm="1">
        <f t="array" ref="G2111">INDEX(_xlfn.TEXTSPLIT(E2111,"-"),3)</f>
        <v>皮衣</v>
      </c>
      <c r="H2111" s="5">
        <v>27926</v>
      </c>
      <c r="I2111" s="5">
        <v>10523647.98</v>
      </c>
      <c r="J2111" s="6">
        <v>0.0401</v>
      </c>
      <c r="K2111" s="6">
        <v>-0.0916</v>
      </c>
    </row>
    <row r="2112" ht="14.5" spans="1:11">
      <c r="A2112" s="3" t="str">
        <f t="shared" si="120"/>
        <v>2026年</v>
      </c>
      <c r="B2112" s="3" t="str">
        <f t="shared" si="121"/>
        <v>2月</v>
      </c>
      <c r="C2112" s="4" t="str">
        <f t="shared" si="122"/>
        <v>W9</v>
      </c>
      <c r="D2112" s="2" t="s">
        <v>793</v>
      </c>
      <c r="E2112" s="2" t="s">
        <v>824</v>
      </c>
      <c r="F2112" s="2" t="str" cm="1">
        <f t="array" ref="F2112">INDEX(_xlfn.TEXTSPLIT(E2112,"-"),2)</f>
        <v>男装</v>
      </c>
      <c r="G2112" s="2" t="str" cm="1">
        <f t="array" ref="G2112">INDEX(_xlfn.TEXTSPLIT(E2112,"-"),3)</f>
        <v>皮裤</v>
      </c>
      <c r="H2112" s="5">
        <v>479</v>
      </c>
      <c r="I2112" s="5">
        <v>89022.92</v>
      </c>
      <c r="J2112" s="6">
        <v>0.0003</v>
      </c>
      <c r="K2112" s="6">
        <v>0.1044</v>
      </c>
    </row>
    <row r="2113" ht="14.5" spans="1:11">
      <c r="A2113" s="3" t="str">
        <f t="shared" si="120"/>
        <v>2026年</v>
      </c>
      <c r="B2113" s="3" t="str">
        <f t="shared" si="121"/>
        <v>2月</v>
      </c>
      <c r="C2113" s="4" t="str">
        <f t="shared" si="122"/>
        <v>W9</v>
      </c>
      <c r="D2113" s="2" t="s">
        <v>793</v>
      </c>
      <c r="E2113" s="2" t="s">
        <v>825</v>
      </c>
      <c r="F2113" s="2" t="str" cm="1">
        <f t="array" ref="F2113">INDEX(_xlfn.TEXTSPLIT(E2113,"-"),2)</f>
        <v>男装</v>
      </c>
      <c r="G2113" s="2" t="str" cm="1">
        <f t="array" ref="G2113">INDEX(_xlfn.TEXTSPLIT(E2113,"-"),3)</f>
        <v>短外套</v>
      </c>
      <c r="H2113" s="5">
        <v>16609</v>
      </c>
      <c r="I2113" s="5">
        <v>2017387</v>
      </c>
      <c r="J2113" s="6">
        <v>0.0077</v>
      </c>
      <c r="K2113" s="6">
        <v>-0.0635</v>
      </c>
    </row>
    <row r="2114" ht="14.5" spans="1:11">
      <c r="A2114" s="3" t="str">
        <f t="shared" si="120"/>
        <v>2026年</v>
      </c>
      <c r="B2114" s="3" t="str">
        <f t="shared" si="121"/>
        <v>2月</v>
      </c>
      <c r="C2114" s="4" t="str">
        <f t="shared" si="122"/>
        <v>W9</v>
      </c>
      <c r="D2114" s="2" t="s">
        <v>793</v>
      </c>
      <c r="E2114" s="2" t="s">
        <v>826</v>
      </c>
      <c r="F2114" s="2" t="str" cm="1">
        <f t="array" ref="F2114">INDEX(_xlfn.TEXTSPLIT(E2114,"-"),2)</f>
        <v>男装</v>
      </c>
      <c r="G2114" s="2" t="str" cm="1">
        <f t="array" ref="G2114">INDEX(_xlfn.TEXTSPLIT(E2114,"-"),3)</f>
        <v>短裤</v>
      </c>
      <c r="H2114" s="5">
        <v>58445</v>
      </c>
      <c r="I2114" s="5">
        <v>2419461.18</v>
      </c>
      <c r="J2114" s="6">
        <v>0.0092</v>
      </c>
      <c r="K2114" s="6">
        <v>-0.146</v>
      </c>
    </row>
    <row r="2115" ht="14.5" spans="1:11">
      <c r="A2115" s="3" t="str">
        <f t="shared" si="120"/>
        <v>2026年</v>
      </c>
      <c r="B2115" s="3" t="str">
        <f t="shared" si="121"/>
        <v>2月</v>
      </c>
      <c r="C2115" s="4" t="str">
        <f t="shared" si="122"/>
        <v>W9</v>
      </c>
      <c r="D2115" s="2" t="s">
        <v>793</v>
      </c>
      <c r="E2115" s="2" t="s">
        <v>827</v>
      </c>
      <c r="F2115" s="2" t="str" cm="1">
        <f t="array" ref="F2115">INDEX(_xlfn.TEXTSPLIT(E2115,"-"),2)</f>
        <v>男装</v>
      </c>
      <c r="G2115" s="2" t="str" cm="1">
        <f t="array" ref="G2115">INDEX(_xlfn.TEXTSPLIT(E2115,"-"),3)</f>
        <v>紧身衣</v>
      </c>
      <c r="H2115" s="5">
        <v>511</v>
      </c>
      <c r="I2115" s="5">
        <v>15076.1</v>
      </c>
      <c r="J2115" s="6">
        <v>0.0001</v>
      </c>
      <c r="K2115" s="6">
        <v>0.8365</v>
      </c>
    </row>
    <row r="2116" ht="14.5" spans="1:11">
      <c r="A2116" s="3" t="str">
        <f t="shared" si="120"/>
        <v>2026年</v>
      </c>
      <c r="B2116" s="3" t="str">
        <f t="shared" si="121"/>
        <v>2月</v>
      </c>
      <c r="C2116" s="4" t="str">
        <f t="shared" si="122"/>
        <v>W9</v>
      </c>
      <c r="D2116" s="2" t="s">
        <v>793</v>
      </c>
      <c r="E2116" s="2" t="s">
        <v>828</v>
      </c>
      <c r="F2116" s="2" t="str" cm="1">
        <f t="array" ref="F2116">INDEX(_xlfn.TEXTSPLIT(E2116,"-"),2)</f>
        <v>男装</v>
      </c>
      <c r="G2116" s="2" t="str" cm="1">
        <f t="array" ref="G2116">INDEX(_xlfn.TEXTSPLIT(E2116,"-"),3)</f>
        <v>羊毛衫</v>
      </c>
      <c r="H2116" s="5">
        <v>13762</v>
      </c>
      <c r="I2116" s="5">
        <v>2220323.92</v>
      </c>
      <c r="J2116" s="6">
        <v>0.0085</v>
      </c>
      <c r="K2116" s="6">
        <v>0.0309</v>
      </c>
    </row>
    <row r="2117" ht="14.5" spans="1:11">
      <c r="A2117" s="3" t="str">
        <f t="shared" si="120"/>
        <v>2026年</v>
      </c>
      <c r="B2117" s="3" t="str">
        <f t="shared" si="121"/>
        <v>2月</v>
      </c>
      <c r="C2117" s="4" t="str">
        <f t="shared" si="122"/>
        <v>W9</v>
      </c>
      <c r="D2117" s="2" t="s">
        <v>793</v>
      </c>
      <c r="E2117" s="2" t="s">
        <v>829</v>
      </c>
      <c r="F2117" s="2" t="str" cm="1">
        <f t="array" ref="F2117">INDEX(_xlfn.TEXTSPLIT(E2117,"-"),2)</f>
        <v>男装</v>
      </c>
      <c r="G2117" s="2" t="str" cm="1">
        <f t="array" ref="G2117">INDEX(_xlfn.TEXTSPLIT(E2117,"-"),3)</f>
        <v>羊绒衫</v>
      </c>
      <c r="H2117" s="5">
        <v>2800</v>
      </c>
      <c r="I2117" s="5">
        <v>695898.49</v>
      </c>
      <c r="J2117" s="6">
        <v>0.0027</v>
      </c>
      <c r="K2117" s="6">
        <v>0.0213</v>
      </c>
    </row>
    <row r="2118" ht="14.5" spans="1:11">
      <c r="A2118" s="3" t="str">
        <f t="shared" si="120"/>
        <v>2026年</v>
      </c>
      <c r="B2118" s="3" t="str">
        <f t="shared" si="121"/>
        <v>2月</v>
      </c>
      <c r="C2118" s="4" t="str">
        <f t="shared" si="122"/>
        <v>W9</v>
      </c>
      <c r="D2118" s="2" t="s">
        <v>793</v>
      </c>
      <c r="E2118" s="2" t="s">
        <v>830</v>
      </c>
      <c r="F2118" s="2" t="str" cm="1">
        <f t="array" ref="F2118">INDEX(_xlfn.TEXTSPLIT(E2118,"-"),2)</f>
        <v>男装</v>
      </c>
      <c r="G2118" s="2" t="str" cm="1">
        <f t="array" ref="G2118">INDEX(_xlfn.TEXTSPLIT(E2118,"-"),3)</f>
        <v>羽绒服</v>
      </c>
      <c r="H2118" s="5">
        <v>44777</v>
      </c>
      <c r="I2118" s="5">
        <v>11048020.42</v>
      </c>
      <c r="J2118" s="6">
        <v>0.0421</v>
      </c>
      <c r="K2118" s="6">
        <v>0.0058</v>
      </c>
    </row>
    <row r="2119" ht="14.5" spans="1:11">
      <c r="A2119" s="3" t="str">
        <f t="shared" si="120"/>
        <v>2026年</v>
      </c>
      <c r="B2119" s="3" t="str">
        <f t="shared" si="121"/>
        <v>2月</v>
      </c>
      <c r="C2119" s="4" t="str">
        <f t="shared" si="122"/>
        <v>W9</v>
      </c>
      <c r="D2119" s="2" t="s">
        <v>793</v>
      </c>
      <c r="E2119" s="2" t="s">
        <v>831</v>
      </c>
      <c r="F2119" s="2" t="str" cm="1">
        <f t="array" ref="F2119">INDEX(_xlfn.TEXTSPLIT(E2119,"-"),2)</f>
        <v>男装</v>
      </c>
      <c r="G2119" s="2" t="str" cm="1">
        <f t="array" ref="G2119">INDEX(_xlfn.TEXTSPLIT(E2119,"-"),3)</f>
        <v>羽绒裤</v>
      </c>
      <c r="H2119" s="5">
        <v>263</v>
      </c>
      <c r="I2119" s="5">
        <v>30084.47</v>
      </c>
      <c r="J2119" s="6">
        <v>0.0001</v>
      </c>
      <c r="K2119" s="6">
        <v>-0.2189</v>
      </c>
    </row>
    <row r="2120" ht="14.5" spans="1:11">
      <c r="A2120" s="3" t="str">
        <f t="shared" si="120"/>
        <v>2026年</v>
      </c>
      <c r="B2120" s="3" t="str">
        <f t="shared" si="121"/>
        <v>2月</v>
      </c>
      <c r="C2120" s="4" t="str">
        <f t="shared" si="122"/>
        <v>W9</v>
      </c>
      <c r="D2120" s="2" t="s">
        <v>793</v>
      </c>
      <c r="E2120" s="2" t="s">
        <v>832</v>
      </c>
      <c r="F2120" s="2" t="str" cm="1">
        <f t="array" ref="F2120">INDEX(_xlfn.TEXTSPLIT(E2120,"-"),2)</f>
        <v>男装</v>
      </c>
      <c r="G2120" s="2" t="str" cm="1">
        <f t="array" ref="G2120">INDEX(_xlfn.TEXTSPLIT(E2120,"-"),3)</f>
        <v>羽绒马甲</v>
      </c>
      <c r="H2120" s="5">
        <v>2009</v>
      </c>
      <c r="I2120" s="5">
        <v>390920.15</v>
      </c>
      <c r="J2120" s="6">
        <v>0.0015</v>
      </c>
      <c r="K2120" s="6">
        <v>0.0424</v>
      </c>
    </row>
    <row r="2121" ht="14.5" spans="1:11">
      <c r="A2121" s="3" t="str">
        <f t="shared" si="120"/>
        <v>2026年</v>
      </c>
      <c r="B2121" s="3" t="str">
        <f t="shared" si="121"/>
        <v>2月</v>
      </c>
      <c r="C2121" s="4" t="str">
        <f t="shared" si="122"/>
        <v>W9</v>
      </c>
      <c r="D2121" s="2" t="s">
        <v>793</v>
      </c>
      <c r="E2121" s="2" t="s">
        <v>833</v>
      </c>
      <c r="F2121" s="2" t="str" cm="1">
        <f t="array" ref="F2121">INDEX(_xlfn.TEXTSPLIT(E2121,"-"),2)</f>
        <v>男装</v>
      </c>
      <c r="G2121" s="2" t="str" cm="1">
        <f t="array" ref="G2121">INDEX(_xlfn.TEXTSPLIT(E2121,"-"),3)</f>
        <v>背心</v>
      </c>
      <c r="H2121" s="5">
        <v>29251</v>
      </c>
      <c r="I2121" s="5">
        <v>1406910.47</v>
      </c>
      <c r="J2121" s="6">
        <v>0.0054</v>
      </c>
      <c r="K2121" s="6">
        <v>-0.1455</v>
      </c>
    </row>
    <row r="2122" ht="14.5" spans="1:11">
      <c r="A2122" s="3" t="str">
        <f t="shared" si="120"/>
        <v>2026年</v>
      </c>
      <c r="B2122" s="3" t="str">
        <f t="shared" si="121"/>
        <v>2月</v>
      </c>
      <c r="C2122" s="4" t="str">
        <f t="shared" si="122"/>
        <v>W9</v>
      </c>
      <c r="D2122" s="2" t="s">
        <v>793</v>
      </c>
      <c r="E2122" s="2" t="s">
        <v>834</v>
      </c>
      <c r="F2122" s="2" t="str" cm="1">
        <f t="array" ref="F2122">INDEX(_xlfn.TEXTSPLIT(E2122,"-"),2)</f>
        <v>男装</v>
      </c>
      <c r="G2122" s="2" t="str" cm="1">
        <f t="array" ref="G2122">INDEX(_xlfn.TEXTSPLIT(E2122,"-"),3)</f>
        <v>衬衫</v>
      </c>
      <c r="H2122" s="5">
        <v>80588</v>
      </c>
      <c r="I2122" s="5">
        <v>9880996.95</v>
      </c>
      <c r="J2122" s="6">
        <v>0.0377</v>
      </c>
      <c r="K2122" s="6">
        <v>-0.0781</v>
      </c>
    </row>
    <row r="2123" ht="14.5" spans="1:11">
      <c r="A2123" s="3" t="str">
        <f t="shared" si="120"/>
        <v>2026年</v>
      </c>
      <c r="B2123" s="3" t="str">
        <f t="shared" si="121"/>
        <v>2月</v>
      </c>
      <c r="C2123" s="4" t="str">
        <f t="shared" si="122"/>
        <v>W9</v>
      </c>
      <c r="D2123" s="2" t="s">
        <v>793</v>
      </c>
      <c r="E2123" s="2" t="s">
        <v>835</v>
      </c>
      <c r="F2123" s="2" t="str" cm="1">
        <f t="array" ref="F2123">INDEX(_xlfn.TEXTSPLIT(E2123,"-"),2)</f>
        <v>男装</v>
      </c>
      <c r="G2123" s="2" t="str" cm="1">
        <f t="array" ref="G2123">INDEX(_xlfn.TEXTSPLIT(E2123,"-"),3)</f>
        <v>西服</v>
      </c>
      <c r="H2123" s="5">
        <v>53892</v>
      </c>
      <c r="I2123" s="5">
        <v>12117549.23</v>
      </c>
      <c r="J2123" s="6">
        <v>0.0462</v>
      </c>
      <c r="K2123" s="6">
        <v>0.0709</v>
      </c>
    </row>
    <row r="2124" ht="14.5" spans="1:11">
      <c r="A2124" s="3" t="str">
        <f t="shared" si="120"/>
        <v>2026年</v>
      </c>
      <c r="B2124" s="3" t="str">
        <f t="shared" si="121"/>
        <v>2月</v>
      </c>
      <c r="C2124" s="4" t="str">
        <f t="shared" si="122"/>
        <v>W9</v>
      </c>
      <c r="D2124" s="2" t="s">
        <v>793</v>
      </c>
      <c r="E2124" s="2" t="s">
        <v>836</v>
      </c>
      <c r="F2124" s="2" t="str" cm="1">
        <f t="array" ref="F2124">INDEX(_xlfn.TEXTSPLIT(E2124,"-"),2)</f>
        <v>男装</v>
      </c>
      <c r="G2124" s="2" t="str" cm="1">
        <f t="array" ref="G2124">INDEX(_xlfn.TEXTSPLIT(E2124,"-"),3)</f>
        <v>连体衣/裤</v>
      </c>
      <c r="H2124" s="5">
        <v>491</v>
      </c>
      <c r="I2124" s="5">
        <v>10439.72</v>
      </c>
      <c r="J2124" s="2" t="s">
        <v>713</v>
      </c>
      <c r="K2124" s="6">
        <v>0.2182</v>
      </c>
    </row>
    <row r="2125" ht="14.5" spans="1:11">
      <c r="A2125" s="3" t="str">
        <f t="shared" si="120"/>
        <v>2026年</v>
      </c>
      <c r="B2125" s="3" t="str">
        <f t="shared" si="121"/>
        <v>2月</v>
      </c>
      <c r="C2125" s="4" t="str">
        <f t="shared" si="122"/>
        <v>W9</v>
      </c>
      <c r="D2125" s="2" t="s">
        <v>793</v>
      </c>
      <c r="E2125" s="2" t="s">
        <v>837</v>
      </c>
      <c r="F2125" s="2" t="str" cm="1">
        <f t="array" ref="F2125">INDEX(_xlfn.TEXTSPLIT(E2125,"-"),2)</f>
        <v>男装</v>
      </c>
      <c r="G2125" s="2" t="str" cm="1">
        <f t="array" ref="G2125">INDEX(_xlfn.TEXTSPLIT(E2125,"-"),3)</f>
        <v>速干/三防T恤</v>
      </c>
      <c r="H2125" s="5">
        <v>1425</v>
      </c>
      <c r="I2125" s="5">
        <v>191054.46</v>
      </c>
      <c r="J2125" s="6">
        <v>0.0007</v>
      </c>
      <c r="K2125" s="7">
        <v>-0.24</v>
      </c>
    </row>
    <row r="2126" ht="14.5" spans="1:11">
      <c r="A2126" s="3" t="str">
        <f t="shared" si="120"/>
        <v>2026年</v>
      </c>
      <c r="B2126" s="3" t="str">
        <f t="shared" si="121"/>
        <v>2月</v>
      </c>
      <c r="C2126" s="4" t="str">
        <f t="shared" si="122"/>
        <v>W9</v>
      </c>
      <c r="D2126" s="2" t="s">
        <v>793</v>
      </c>
      <c r="E2126" s="2" t="s">
        <v>838</v>
      </c>
      <c r="F2126" s="2" t="str" cm="1">
        <f t="array" ref="F2126">INDEX(_xlfn.TEXTSPLIT(E2126,"-"),2)</f>
        <v>男装</v>
      </c>
      <c r="G2126" s="2" t="str" cm="1">
        <f t="array" ref="G2126">INDEX(_xlfn.TEXTSPLIT(E2126,"-"),3)</f>
        <v>针织衫/毛衣</v>
      </c>
      <c r="H2126" s="5">
        <v>67509</v>
      </c>
      <c r="I2126" s="5">
        <v>8350246.15</v>
      </c>
      <c r="J2126" s="6">
        <v>0.0318</v>
      </c>
      <c r="K2126" s="6">
        <v>-0.0904</v>
      </c>
    </row>
    <row r="2127" ht="14.5" spans="1:11">
      <c r="A2127" s="3" t="str">
        <f t="shared" si="120"/>
        <v>2026年</v>
      </c>
      <c r="B2127" s="3" t="str">
        <f t="shared" si="121"/>
        <v>2月</v>
      </c>
      <c r="C2127" s="4" t="str">
        <f t="shared" si="122"/>
        <v>W9</v>
      </c>
      <c r="D2127" s="2" t="s">
        <v>793</v>
      </c>
      <c r="E2127" s="2" t="s">
        <v>839</v>
      </c>
      <c r="F2127" s="2" t="str" cm="1">
        <f t="array" ref="F2127">INDEX(_xlfn.TEXTSPLIT(E2127,"-"),2)</f>
        <v>男装</v>
      </c>
      <c r="G2127" s="2" t="str" cm="1">
        <f t="array" ref="G2127">INDEX(_xlfn.TEXTSPLIT(E2127,"-"),3)</f>
        <v>防晒服</v>
      </c>
      <c r="H2127" s="5">
        <v>2397</v>
      </c>
      <c r="I2127" s="5">
        <v>193748.7</v>
      </c>
      <c r="J2127" s="6">
        <v>0.0007</v>
      </c>
      <c r="K2127" s="6">
        <v>-0.0081</v>
      </c>
    </row>
    <row r="2128" ht="14.5" spans="1:11">
      <c r="A2128" s="3" t="str">
        <f t="shared" si="120"/>
        <v>2026年</v>
      </c>
      <c r="B2128" s="3" t="str">
        <f t="shared" si="121"/>
        <v>2月</v>
      </c>
      <c r="C2128" s="4" t="str">
        <f t="shared" si="122"/>
        <v>W9</v>
      </c>
      <c r="D2128" s="2" t="s">
        <v>793</v>
      </c>
      <c r="E2128" s="2" t="s">
        <v>840</v>
      </c>
      <c r="F2128" s="2" t="str" cm="1">
        <f t="array" ref="F2128">INDEX(_xlfn.TEXTSPLIT(E2128,"-"),2)</f>
        <v>男装</v>
      </c>
      <c r="G2128" s="2" t="str" cm="1">
        <f t="array" ref="G2128">INDEX(_xlfn.TEXTSPLIT(E2128,"-"),3)</f>
        <v>风衣</v>
      </c>
      <c r="H2128" s="5">
        <v>9260</v>
      </c>
      <c r="I2128" s="5">
        <v>2453728.11</v>
      </c>
      <c r="J2128" s="6">
        <v>0.0094</v>
      </c>
      <c r="K2128" s="6">
        <v>-0.0564</v>
      </c>
    </row>
    <row r="2129" ht="14.5" spans="1:11">
      <c r="A2129" s="3" t="str">
        <f t="shared" si="120"/>
        <v>2026年</v>
      </c>
      <c r="B2129" s="3" t="str">
        <f t="shared" si="121"/>
        <v>2月</v>
      </c>
      <c r="C2129" s="4" t="str">
        <f t="shared" si="122"/>
        <v>W9</v>
      </c>
      <c r="D2129" s="2" t="s">
        <v>793</v>
      </c>
      <c r="E2129" s="2" t="s">
        <v>841</v>
      </c>
      <c r="F2129" s="2" t="str" cm="1">
        <f t="array" ref="F2129">INDEX(_xlfn.TEXTSPLIT(E2129,"-"),2)</f>
        <v>男装</v>
      </c>
      <c r="G2129" s="2" t="str" cm="1">
        <f t="array" ref="G2129">INDEX(_xlfn.TEXTSPLIT(E2129,"-"),3)</f>
        <v>马甲</v>
      </c>
      <c r="H2129" s="5">
        <v>16194</v>
      </c>
      <c r="I2129" s="5">
        <v>2153295.88</v>
      </c>
      <c r="J2129" s="6">
        <v>0.0082</v>
      </c>
      <c r="K2129" s="6">
        <v>0.0561</v>
      </c>
    </row>
    <row r="2130" ht="14.5" spans="1:11">
      <c r="A2130" s="3" t="str">
        <f t="shared" si="120"/>
        <v>2026年</v>
      </c>
      <c r="B2130" s="3" t="str">
        <f t="shared" si="121"/>
        <v>2月</v>
      </c>
      <c r="C2130" s="4" t="str">
        <f t="shared" si="122"/>
        <v>W9</v>
      </c>
      <c r="D2130" s="2" t="s">
        <v>794</v>
      </c>
      <c r="E2130" s="2" t="s">
        <v>804</v>
      </c>
      <c r="F2130" s="2" t="str" cm="1">
        <f t="array" ref="F2130">INDEX(_xlfn.TEXTSPLIT(E2130,"-"),2)</f>
        <v>男装</v>
      </c>
      <c r="G2130" s="2" t="str" cm="1">
        <f t="array" ref="G2130">INDEX(_xlfn.TEXTSPLIT(E2130,"-"),3)</f>
        <v>Polo衫</v>
      </c>
      <c r="H2130" s="5">
        <v>72979</v>
      </c>
      <c r="I2130" s="5">
        <v>7434121.96</v>
      </c>
      <c r="J2130" s="6">
        <v>0.0263</v>
      </c>
      <c r="K2130" s="6">
        <v>-0.0453</v>
      </c>
    </row>
    <row r="2131" ht="14.5" spans="1:11">
      <c r="A2131" s="3" t="str">
        <f t="shared" si="120"/>
        <v>2026年</v>
      </c>
      <c r="B2131" s="3" t="str">
        <f t="shared" si="121"/>
        <v>2月</v>
      </c>
      <c r="C2131" s="4" t="str">
        <f t="shared" si="122"/>
        <v>W9</v>
      </c>
      <c r="D2131" s="2" t="s">
        <v>794</v>
      </c>
      <c r="E2131" s="2" t="s">
        <v>805</v>
      </c>
      <c r="F2131" s="2" t="str" cm="1">
        <f t="array" ref="F2131">INDEX(_xlfn.TEXTSPLIT(E2131,"-"),2)</f>
        <v>男装</v>
      </c>
      <c r="G2131" s="2" t="str" cm="1">
        <f t="array" ref="G2131">INDEX(_xlfn.TEXTSPLIT(E2131,"-"),3)</f>
        <v>T恤</v>
      </c>
      <c r="H2131" s="5">
        <v>666197</v>
      </c>
      <c r="I2131" s="5">
        <v>42734175.12</v>
      </c>
      <c r="J2131" s="6">
        <v>0.151</v>
      </c>
      <c r="K2131" s="6">
        <v>0.0666</v>
      </c>
    </row>
    <row r="2132" ht="14.5" spans="1:11">
      <c r="A2132" s="3" t="str">
        <f t="shared" si="120"/>
        <v>2026年</v>
      </c>
      <c r="B2132" s="3" t="str">
        <f t="shared" si="121"/>
        <v>2月</v>
      </c>
      <c r="C2132" s="4" t="str">
        <f t="shared" si="122"/>
        <v>W9</v>
      </c>
      <c r="D2132" s="2" t="s">
        <v>794</v>
      </c>
      <c r="E2132" s="2" t="s">
        <v>806</v>
      </c>
      <c r="F2132" s="2" t="str" cm="1">
        <f t="array" ref="F2132">INDEX(_xlfn.TEXTSPLIT(E2132,"-"),2)</f>
        <v>男装</v>
      </c>
      <c r="G2132" s="2" t="str" cm="1">
        <f t="array" ref="G2132">INDEX(_xlfn.TEXTSPLIT(E2132,"-"),3)</f>
        <v>中老年男装</v>
      </c>
      <c r="H2132" s="5">
        <v>22750</v>
      </c>
      <c r="I2132" s="5">
        <v>1722696.71</v>
      </c>
      <c r="J2132" s="6">
        <v>0.0061</v>
      </c>
      <c r="K2132" s="6">
        <v>-0.0362</v>
      </c>
    </row>
    <row r="2133" ht="14.5" spans="1:11">
      <c r="A2133" s="3" t="str">
        <f t="shared" si="120"/>
        <v>2026年</v>
      </c>
      <c r="B2133" s="3" t="str">
        <f t="shared" si="121"/>
        <v>2月</v>
      </c>
      <c r="C2133" s="4" t="str">
        <f t="shared" si="122"/>
        <v>W9</v>
      </c>
      <c r="D2133" s="2" t="s">
        <v>794</v>
      </c>
      <c r="E2133" s="2" t="s">
        <v>807</v>
      </c>
      <c r="F2133" s="2" t="str" cm="1">
        <f t="array" ref="F2133">INDEX(_xlfn.TEXTSPLIT(E2133,"-"),2)</f>
        <v>男装</v>
      </c>
      <c r="G2133" s="2" t="str" cm="1">
        <f t="array" ref="G2133">INDEX(_xlfn.TEXTSPLIT(E2133,"-"),3)</f>
        <v>休闲裤</v>
      </c>
      <c r="H2133" s="5">
        <v>334390</v>
      </c>
      <c r="I2133" s="5">
        <v>34726071.01</v>
      </c>
      <c r="J2133" s="6">
        <v>0.1227</v>
      </c>
      <c r="K2133" s="6">
        <v>0.1158</v>
      </c>
    </row>
    <row r="2134" ht="14.5" spans="1:11">
      <c r="A2134" s="3" t="str">
        <f t="shared" si="120"/>
        <v>2026年</v>
      </c>
      <c r="B2134" s="3" t="str">
        <f t="shared" si="121"/>
        <v>2月</v>
      </c>
      <c r="C2134" s="4" t="str">
        <f t="shared" si="122"/>
        <v>W9</v>
      </c>
      <c r="D2134" s="2" t="s">
        <v>794</v>
      </c>
      <c r="E2134" s="2" t="s">
        <v>808</v>
      </c>
      <c r="F2134" s="2" t="str" cm="1">
        <f t="array" ref="F2134">INDEX(_xlfn.TEXTSPLIT(E2134,"-"),2)</f>
        <v>男装</v>
      </c>
      <c r="G2134" s="2" t="str" cm="1">
        <f t="array" ref="G2134">INDEX(_xlfn.TEXTSPLIT(E2134,"-"),3)</f>
        <v>卫衣</v>
      </c>
      <c r="H2134" s="5">
        <v>203534</v>
      </c>
      <c r="I2134" s="5">
        <v>19600182.23</v>
      </c>
      <c r="J2134" s="6">
        <v>0.0693</v>
      </c>
      <c r="K2134" s="6">
        <v>0.1329</v>
      </c>
    </row>
    <row r="2135" ht="14.5" spans="1:11">
      <c r="A2135" s="3" t="str">
        <f t="shared" si="120"/>
        <v>2026年</v>
      </c>
      <c r="B2135" s="3" t="str">
        <f t="shared" si="121"/>
        <v>2月</v>
      </c>
      <c r="C2135" s="4" t="str">
        <f t="shared" si="122"/>
        <v>W9</v>
      </c>
      <c r="D2135" s="2" t="s">
        <v>794</v>
      </c>
      <c r="E2135" s="2" t="s">
        <v>809</v>
      </c>
      <c r="F2135" s="2" t="str" cm="1">
        <f t="array" ref="F2135">INDEX(_xlfn.TEXTSPLIT(E2135,"-"),2)</f>
        <v>男装</v>
      </c>
      <c r="G2135" s="2" t="str" cm="1">
        <f t="array" ref="G2135">INDEX(_xlfn.TEXTSPLIT(E2135,"-"),3)</f>
        <v>卫裤</v>
      </c>
      <c r="H2135" s="5">
        <v>47573</v>
      </c>
      <c r="I2135" s="5">
        <v>4380649.73</v>
      </c>
      <c r="J2135" s="6">
        <v>0.0155</v>
      </c>
      <c r="K2135" s="6">
        <v>0.0756</v>
      </c>
    </row>
    <row r="2136" ht="14.5" spans="1:11">
      <c r="A2136" s="3" t="str">
        <f t="shared" si="120"/>
        <v>2026年</v>
      </c>
      <c r="B2136" s="3" t="str">
        <f t="shared" si="121"/>
        <v>2月</v>
      </c>
      <c r="C2136" s="4" t="str">
        <f t="shared" si="122"/>
        <v>W9</v>
      </c>
      <c r="D2136" s="2" t="s">
        <v>794</v>
      </c>
      <c r="E2136" s="2" t="s">
        <v>810</v>
      </c>
      <c r="F2136" s="2" t="str" cm="1">
        <f t="array" ref="F2136">INDEX(_xlfn.TEXTSPLIT(E2136,"-"),2)</f>
        <v>男装</v>
      </c>
      <c r="G2136" s="2" t="str" cm="1">
        <f t="array" ref="G2136">INDEX(_xlfn.TEXTSPLIT(E2136,"-"),3)</f>
        <v>大码男装</v>
      </c>
      <c r="H2136" s="5">
        <v>34988</v>
      </c>
      <c r="I2136" s="5">
        <v>2251798.23</v>
      </c>
      <c r="J2136" s="6">
        <v>0.008</v>
      </c>
      <c r="K2136" s="6">
        <v>-0.1543</v>
      </c>
    </row>
    <row r="2137" ht="14.5" spans="1:11">
      <c r="A2137" s="3" t="str">
        <f t="shared" si="120"/>
        <v>2026年</v>
      </c>
      <c r="B2137" s="3" t="str">
        <f t="shared" si="121"/>
        <v>2月</v>
      </c>
      <c r="C2137" s="4" t="str">
        <f t="shared" si="122"/>
        <v>W9</v>
      </c>
      <c r="D2137" s="2" t="s">
        <v>794</v>
      </c>
      <c r="E2137" s="2" t="s">
        <v>811</v>
      </c>
      <c r="F2137" s="2" t="str" cm="1">
        <f t="array" ref="F2137">INDEX(_xlfn.TEXTSPLIT(E2137,"-"),2)</f>
        <v>男装</v>
      </c>
      <c r="G2137" s="2" t="str" cm="1">
        <f t="array" ref="G2137">INDEX(_xlfn.TEXTSPLIT(E2137,"-"),3)</f>
        <v>夹克</v>
      </c>
      <c r="H2137" s="5">
        <v>310036</v>
      </c>
      <c r="I2137" s="5">
        <v>57009613.95</v>
      </c>
      <c r="J2137" s="6">
        <v>0.2015</v>
      </c>
      <c r="K2137" s="6">
        <v>0.0804</v>
      </c>
    </row>
    <row r="2138" ht="14.5" spans="1:11">
      <c r="A2138" s="3" t="str">
        <f t="shared" si="120"/>
        <v>2026年</v>
      </c>
      <c r="B2138" s="3" t="str">
        <f t="shared" si="121"/>
        <v>2月</v>
      </c>
      <c r="C2138" s="4" t="str">
        <f t="shared" si="122"/>
        <v>W9</v>
      </c>
      <c r="D2138" s="2" t="s">
        <v>794</v>
      </c>
      <c r="E2138" s="2" t="s">
        <v>812</v>
      </c>
      <c r="F2138" s="2" t="str" cm="1">
        <f t="array" ref="F2138">INDEX(_xlfn.TEXTSPLIT(E2138,"-"),2)</f>
        <v>男装</v>
      </c>
      <c r="G2138" s="2" t="str" cm="1">
        <f t="array" ref="G2138">INDEX(_xlfn.TEXTSPLIT(E2138,"-"),3)</f>
        <v>套装</v>
      </c>
      <c r="H2138" s="5">
        <v>39809</v>
      </c>
      <c r="I2138" s="5">
        <v>6364313.79</v>
      </c>
      <c r="J2138" s="6">
        <v>0.0225</v>
      </c>
      <c r="K2138" s="7">
        <v>-0.03</v>
      </c>
    </row>
    <row r="2139" ht="14.5" spans="1:11">
      <c r="A2139" s="3" t="str">
        <f t="shared" si="120"/>
        <v>2026年</v>
      </c>
      <c r="B2139" s="3" t="str">
        <f t="shared" si="121"/>
        <v>2月</v>
      </c>
      <c r="C2139" s="4" t="str">
        <f t="shared" si="122"/>
        <v>W9</v>
      </c>
      <c r="D2139" s="2" t="s">
        <v>794</v>
      </c>
      <c r="E2139" s="2" t="s">
        <v>813</v>
      </c>
      <c r="F2139" s="2" t="str" cm="1">
        <f t="array" ref="F2139">INDEX(_xlfn.TEXTSPLIT(E2139,"-"),2)</f>
        <v>男装</v>
      </c>
      <c r="G2139" s="2" t="str" cm="1">
        <f t="array" ref="G2139">INDEX(_xlfn.TEXTSPLIT(E2139,"-"),3)</f>
        <v>学生校服</v>
      </c>
      <c r="H2139" s="5">
        <v>3</v>
      </c>
      <c r="I2139" s="5">
        <v>88.64</v>
      </c>
      <c r="J2139" s="2" t="s">
        <v>713</v>
      </c>
      <c r="K2139" s="6">
        <v>-0.3129</v>
      </c>
    </row>
    <row r="2140" ht="14.5" spans="1:11">
      <c r="A2140" s="3" t="str">
        <f t="shared" si="120"/>
        <v>2026年</v>
      </c>
      <c r="B2140" s="3" t="str">
        <f t="shared" si="121"/>
        <v>2月</v>
      </c>
      <c r="C2140" s="4" t="str">
        <f t="shared" si="122"/>
        <v>W9</v>
      </c>
      <c r="D2140" s="2" t="s">
        <v>794</v>
      </c>
      <c r="E2140" s="2" t="s">
        <v>814</v>
      </c>
      <c r="F2140" s="2" t="str" cm="1">
        <f t="array" ref="F2140">INDEX(_xlfn.TEXTSPLIT(E2140,"-"),2)</f>
        <v>男装</v>
      </c>
      <c r="G2140" s="2" t="str" cm="1">
        <f t="array" ref="G2140">INDEX(_xlfn.TEXTSPLIT(E2140,"-"),3)</f>
        <v>打底衫</v>
      </c>
      <c r="H2140" s="5">
        <v>6759</v>
      </c>
      <c r="I2140" s="5">
        <v>361897.52</v>
      </c>
      <c r="J2140" s="6">
        <v>0.0013</v>
      </c>
      <c r="K2140" s="6">
        <v>-0.1243</v>
      </c>
    </row>
    <row r="2141" ht="14.5" spans="1:11">
      <c r="A2141" s="3" t="str">
        <f t="shared" si="120"/>
        <v>2026年</v>
      </c>
      <c r="B2141" s="3" t="str">
        <f t="shared" si="121"/>
        <v>2月</v>
      </c>
      <c r="C2141" s="4" t="str">
        <f t="shared" si="122"/>
        <v>W9</v>
      </c>
      <c r="D2141" s="2" t="s">
        <v>794</v>
      </c>
      <c r="E2141" s="2" t="s">
        <v>815</v>
      </c>
      <c r="F2141" s="2" t="str" cm="1">
        <f t="array" ref="F2141">INDEX(_xlfn.TEXTSPLIT(E2141,"-"),2)</f>
        <v>男装</v>
      </c>
      <c r="G2141" s="2" t="str" cm="1">
        <f t="array" ref="G2141">INDEX(_xlfn.TEXTSPLIT(E2141,"-"),3)</f>
        <v>新中式男装</v>
      </c>
      <c r="H2141" s="5">
        <v>361</v>
      </c>
      <c r="I2141" s="5">
        <v>78576.83</v>
      </c>
      <c r="J2141" s="6">
        <v>0.0003</v>
      </c>
      <c r="K2141" s="6">
        <v>0.802</v>
      </c>
    </row>
    <row r="2142" ht="14.5" spans="1:11">
      <c r="A2142" s="3" t="str">
        <f t="shared" si="120"/>
        <v>2026年</v>
      </c>
      <c r="B2142" s="3" t="str">
        <f t="shared" si="121"/>
        <v>2月</v>
      </c>
      <c r="C2142" s="4" t="str">
        <f t="shared" si="122"/>
        <v>W9</v>
      </c>
      <c r="D2142" s="2" t="s">
        <v>794</v>
      </c>
      <c r="E2142" s="2" t="s">
        <v>816</v>
      </c>
      <c r="F2142" s="2" t="str" cm="1">
        <f t="array" ref="F2142">INDEX(_xlfn.TEXTSPLIT(E2142,"-"),2)</f>
        <v>男装</v>
      </c>
      <c r="G2142" s="2" t="str" cm="1">
        <f t="array" ref="G2142">INDEX(_xlfn.TEXTSPLIT(E2142,"-"),3)</f>
        <v>棉衣</v>
      </c>
      <c r="H2142" s="5">
        <v>39479</v>
      </c>
      <c r="I2142" s="5">
        <v>4160968.22</v>
      </c>
      <c r="J2142" s="6">
        <v>0.0147</v>
      </c>
      <c r="K2142" s="6">
        <v>-0.0122</v>
      </c>
    </row>
    <row r="2143" ht="14.5" spans="1:11">
      <c r="A2143" s="3" t="str">
        <f t="shared" si="120"/>
        <v>2026年</v>
      </c>
      <c r="B2143" s="3" t="str">
        <f t="shared" si="121"/>
        <v>2月</v>
      </c>
      <c r="C2143" s="4" t="str">
        <f t="shared" si="122"/>
        <v>W9</v>
      </c>
      <c r="D2143" s="2" t="s">
        <v>794</v>
      </c>
      <c r="E2143" s="2" t="s">
        <v>817</v>
      </c>
      <c r="F2143" s="2" t="str" cm="1">
        <f t="array" ref="F2143">INDEX(_xlfn.TEXTSPLIT(E2143,"-"),2)</f>
        <v>男装</v>
      </c>
      <c r="G2143" s="2" t="str" cm="1">
        <f t="array" ref="G2143">INDEX(_xlfn.TEXTSPLIT(E2143,"-"),3)</f>
        <v>棉裤</v>
      </c>
      <c r="H2143" s="5">
        <v>1098</v>
      </c>
      <c r="I2143" s="5">
        <v>60670.27</v>
      </c>
      <c r="J2143" s="6">
        <v>0.0002</v>
      </c>
      <c r="K2143" s="6">
        <v>0.0425</v>
      </c>
    </row>
    <row r="2144" ht="14.5" spans="1:11">
      <c r="A2144" s="3" t="str">
        <f t="shared" ref="A2144:A2207" si="123">TEXT(YEAR(D2144),"0")&amp;"年"</f>
        <v>2026年</v>
      </c>
      <c r="B2144" s="3" t="str">
        <f t="shared" ref="B2144:B2207" si="124">TEXT(MONTH(D2144),"0")&amp;"月"</f>
        <v>2月</v>
      </c>
      <c r="C2144" s="4" t="str">
        <f t="shared" ref="C2144:C2207" si="125">"W"&amp;TEXT(WEEKNUM(D2144,2),"0")</f>
        <v>W9</v>
      </c>
      <c r="D2144" s="2" t="s">
        <v>794</v>
      </c>
      <c r="E2144" s="2" t="s">
        <v>818</v>
      </c>
      <c r="F2144" s="2" t="str" cm="1">
        <f t="array" ref="F2144">INDEX(_xlfn.TEXTSPLIT(E2144,"-"),2)</f>
        <v>男装</v>
      </c>
      <c r="G2144" s="2" t="str" cm="1">
        <f t="array" ref="G2144">INDEX(_xlfn.TEXTSPLIT(E2144,"-"),3)</f>
        <v>毛呢大衣</v>
      </c>
      <c r="H2144" s="5">
        <v>6878</v>
      </c>
      <c r="I2144" s="5">
        <v>1939426.01</v>
      </c>
      <c r="J2144" s="6">
        <v>0.0069</v>
      </c>
      <c r="K2144" s="6">
        <v>-0.0468</v>
      </c>
    </row>
    <row r="2145" ht="14.5" spans="1:11">
      <c r="A2145" s="3" t="str">
        <f t="shared" si="123"/>
        <v>2026年</v>
      </c>
      <c r="B2145" s="3" t="str">
        <f t="shared" si="124"/>
        <v>2月</v>
      </c>
      <c r="C2145" s="4" t="str">
        <f t="shared" si="125"/>
        <v>W9</v>
      </c>
      <c r="D2145" s="2" t="s">
        <v>794</v>
      </c>
      <c r="E2145" s="2" t="s">
        <v>819</v>
      </c>
      <c r="F2145" s="2" t="str" cm="1">
        <f t="array" ref="F2145">INDEX(_xlfn.TEXTSPLIT(E2145,"-"),2)</f>
        <v>男装</v>
      </c>
      <c r="G2145" s="2" t="str" cm="1">
        <f t="array" ref="G2145">INDEX(_xlfn.TEXTSPLIT(E2145,"-"),3)</f>
        <v>民族服装</v>
      </c>
      <c r="H2145" s="5">
        <v>4832</v>
      </c>
      <c r="I2145" s="5">
        <v>831445.36</v>
      </c>
      <c r="J2145" s="6">
        <v>0.0029</v>
      </c>
      <c r="K2145" s="6">
        <v>0.1393</v>
      </c>
    </row>
    <row r="2146" ht="14.5" spans="1:11">
      <c r="A2146" s="3" t="str">
        <f t="shared" si="123"/>
        <v>2026年</v>
      </c>
      <c r="B2146" s="3" t="str">
        <f t="shared" si="124"/>
        <v>2月</v>
      </c>
      <c r="C2146" s="4" t="str">
        <f t="shared" si="125"/>
        <v>W9</v>
      </c>
      <c r="D2146" s="2" t="s">
        <v>794</v>
      </c>
      <c r="E2146" s="2" t="s">
        <v>820</v>
      </c>
      <c r="F2146" s="2" t="str" cm="1">
        <f t="array" ref="F2146">INDEX(_xlfn.TEXTSPLIT(E2146,"-"),2)</f>
        <v>男装</v>
      </c>
      <c r="G2146" s="2" t="str" cm="1">
        <f t="array" ref="G2146">INDEX(_xlfn.TEXTSPLIT(E2146,"-"),3)</f>
        <v>派克服</v>
      </c>
      <c r="H2146" s="5">
        <v>947</v>
      </c>
      <c r="I2146" s="5">
        <v>217378.48</v>
      </c>
      <c r="J2146" s="6">
        <v>0.0008</v>
      </c>
      <c r="K2146" s="6">
        <v>0.2173</v>
      </c>
    </row>
    <row r="2147" ht="14.5" spans="1:11">
      <c r="A2147" s="3" t="str">
        <f t="shared" si="123"/>
        <v>2026年</v>
      </c>
      <c r="B2147" s="3" t="str">
        <f t="shared" si="124"/>
        <v>2月</v>
      </c>
      <c r="C2147" s="4" t="str">
        <f t="shared" si="125"/>
        <v>W9</v>
      </c>
      <c r="D2147" s="2" t="s">
        <v>794</v>
      </c>
      <c r="E2147" s="2" t="s">
        <v>821</v>
      </c>
      <c r="F2147" s="2" t="str" cm="1">
        <f t="array" ref="F2147">INDEX(_xlfn.TEXTSPLIT(E2147,"-"),2)</f>
        <v>男装</v>
      </c>
      <c r="G2147" s="2" t="str" cm="1">
        <f t="array" ref="G2147">INDEX(_xlfn.TEXTSPLIT(E2147,"-"),3)</f>
        <v>牛仔裤</v>
      </c>
      <c r="H2147" s="5">
        <v>234401</v>
      </c>
      <c r="I2147" s="5">
        <v>27326541.22</v>
      </c>
      <c r="J2147" s="6">
        <v>0.0966</v>
      </c>
      <c r="K2147" s="6">
        <v>0.1379</v>
      </c>
    </row>
    <row r="2148" ht="14.5" spans="1:11">
      <c r="A2148" s="3" t="str">
        <f t="shared" si="123"/>
        <v>2026年</v>
      </c>
      <c r="B2148" s="3" t="str">
        <f t="shared" si="124"/>
        <v>2月</v>
      </c>
      <c r="C2148" s="4" t="str">
        <f t="shared" si="125"/>
        <v>W9</v>
      </c>
      <c r="D2148" s="2" t="s">
        <v>794</v>
      </c>
      <c r="E2148" s="2" t="s">
        <v>822</v>
      </c>
      <c r="F2148" s="2" t="str" cm="1">
        <f t="array" ref="F2148">INDEX(_xlfn.TEXTSPLIT(E2148,"-"),2)</f>
        <v>男装</v>
      </c>
      <c r="G2148" s="2" t="str" cm="1">
        <f t="array" ref="G2148">INDEX(_xlfn.TEXTSPLIT(E2148,"-"),3)</f>
        <v>皮草</v>
      </c>
      <c r="H2148" s="5">
        <v>446</v>
      </c>
      <c r="I2148" s="5">
        <v>280577.17</v>
      </c>
      <c r="J2148" s="6">
        <v>0.001</v>
      </c>
      <c r="K2148" s="6">
        <v>0.3127</v>
      </c>
    </row>
    <row r="2149" ht="14.5" spans="1:11">
      <c r="A2149" s="3" t="str">
        <f t="shared" si="123"/>
        <v>2026年</v>
      </c>
      <c r="B2149" s="3" t="str">
        <f t="shared" si="124"/>
        <v>2月</v>
      </c>
      <c r="C2149" s="4" t="str">
        <f t="shared" si="125"/>
        <v>W9</v>
      </c>
      <c r="D2149" s="2" t="s">
        <v>794</v>
      </c>
      <c r="E2149" s="2" t="s">
        <v>823</v>
      </c>
      <c r="F2149" s="2" t="str" cm="1">
        <f t="array" ref="F2149">INDEX(_xlfn.TEXTSPLIT(E2149,"-"),2)</f>
        <v>男装</v>
      </c>
      <c r="G2149" s="2" t="str" cm="1">
        <f t="array" ref="G2149">INDEX(_xlfn.TEXTSPLIT(E2149,"-"),3)</f>
        <v>皮衣</v>
      </c>
      <c r="H2149" s="5">
        <v>27948</v>
      </c>
      <c r="I2149" s="5">
        <v>11786529.93</v>
      </c>
      <c r="J2149" s="6">
        <v>0.0417</v>
      </c>
      <c r="K2149" s="7">
        <v>0.12</v>
      </c>
    </row>
    <row r="2150" ht="14.5" spans="1:11">
      <c r="A2150" s="3" t="str">
        <f t="shared" si="123"/>
        <v>2026年</v>
      </c>
      <c r="B2150" s="3" t="str">
        <f t="shared" si="124"/>
        <v>2月</v>
      </c>
      <c r="C2150" s="4" t="str">
        <f t="shared" si="125"/>
        <v>W9</v>
      </c>
      <c r="D2150" s="2" t="s">
        <v>794</v>
      </c>
      <c r="E2150" s="2" t="s">
        <v>824</v>
      </c>
      <c r="F2150" s="2" t="str" cm="1">
        <f t="array" ref="F2150">INDEX(_xlfn.TEXTSPLIT(E2150,"-"),2)</f>
        <v>男装</v>
      </c>
      <c r="G2150" s="2" t="str" cm="1">
        <f t="array" ref="G2150">INDEX(_xlfn.TEXTSPLIT(E2150,"-"),3)</f>
        <v>皮裤</v>
      </c>
      <c r="H2150" s="5">
        <v>373</v>
      </c>
      <c r="I2150" s="5">
        <v>66521.58</v>
      </c>
      <c r="J2150" s="6">
        <v>0.0002</v>
      </c>
      <c r="K2150" s="6">
        <v>-0.2528</v>
      </c>
    </row>
    <row r="2151" ht="14.5" spans="1:11">
      <c r="A2151" s="3" t="str">
        <f t="shared" si="123"/>
        <v>2026年</v>
      </c>
      <c r="B2151" s="3" t="str">
        <f t="shared" si="124"/>
        <v>2月</v>
      </c>
      <c r="C2151" s="4" t="str">
        <f t="shared" si="125"/>
        <v>W9</v>
      </c>
      <c r="D2151" s="2" t="s">
        <v>794</v>
      </c>
      <c r="E2151" s="2" t="s">
        <v>825</v>
      </c>
      <c r="F2151" s="2" t="str" cm="1">
        <f t="array" ref="F2151">INDEX(_xlfn.TEXTSPLIT(E2151,"-"),2)</f>
        <v>男装</v>
      </c>
      <c r="G2151" s="2" t="str" cm="1">
        <f t="array" ref="G2151">INDEX(_xlfn.TEXTSPLIT(E2151,"-"),3)</f>
        <v>短外套</v>
      </c>
      <c r="H2151" s="5">
        <v>15935</v>
      </c>
      <c r="I2151" s="5">
        <v>1602070.04</v>
      </c>
      <c r="J2151" s="6">
        <v>0.0057</v>
      </c>
      <c r="K2151" s="6">
        <v>-0.2059</v>
      </c>
    </row>
    <row r="2152" ht="14.5" spans="1:11">
      <c r="A2152" s="3" t="str">
        <f t="shared" si="123"/>
        <v>2026年</v>
      </c>
      <c r="B2152" s="3" t="str">
        <f t="shared" si="124"/>
        <v>2月</v>
      </c>
      <c r="C2152" s="4" t="str">
        <f t="shared" si="125"/>
        <v>W9</v>
      </c>
      <c r="D2152" s="2" t="s">
        <v>794</v>
      </c>
      <c r="E2152" s="2" t="s">
        <v>826</v>
      </c>
      <c r="F2152" s="2" t="str" cm="1">
        <f t="array" ref="F2152">INDEX(_xlfn.TEXTSPLIT(E2152,"-"),2)</f>
        <v>男装</v>
      </c>
      <c r="G2152" s="2" t="str" cm="1">
        <f t="array" ref="G2152">INDEX(_xlfn.TEXTSPLIT(E2152,"-"),3)</f>
        <v>短裤</v>
      </c>
      <c r="H2152" s="5">
        <v>58926</v>
      </c>
      <c r="I2152" s="5">
        <v>2526736.7</v>
      </c>
      <c r="J2152" s="6">
        <v>0.0089</v>
      </c>
      <c r="K2152" s="6">
        <v>0.0443</v>
      </c>
    </row>
    <row r="2153" ht="14.5" spans="1:11">
      <c r="A2153" s="3" t="str">
        <f t="shared" si="123"/>
        <v>2026年</v>
      </c>
      <c r="B2153" s="3" t="str">
        <f t="shared" si="124"/>
        <v>2月</v>
      </c>
      <c r="C2153" s="4" t="str">
        <f t="shared" si="125"/>
        <v>W9</v>
      </c>
      <c r="D2153" s="2" t="s">
        <v>794</v>
      </c>
      <c r="E2153" s="2" t="s">
        <v>827</v>
      </c>
      <c r="F2153" s="2" t="str" cm="1">
        <f t="array" ref="F2153">INDEX(_xlfn.TEXTSPLIT(E2153,"-"),2)</f>
        <v>男装</v>
      </c>
      <c r="G2153" s="2" t="str" cm="1">
        <f t="array" ref="G2153">INDEX(_xlfn.TEXTSPLIT(E2153,"-"),3)</f>
        <v>紧身衣</v>
      </c>
      <c r="H2153" s="5">
        <v>376</v>
      </c>
      <c r="I2153" s="5">
        <v>11070.85</v>
      </c>
      <c r="J2153" s="2" t="s">
        <v>713</v>
      </c>
      <c r="K2153" s="6">
        <v>-0.2657</v>
      </c>
    </row>
    <row r="2154" ht="14.5" spans="1:11">
      <c r="A2154" s="3" t="str">
        <f t="shared" si="123"/>
        <v>2026年</v>
      </c>
      <c r="B2154" s="3" t="str">
        <f t="shared" si="124"/>
        <v>2月</v>
      </c>
      <c r="C2154" s="4" t="str">
        <f t="shared" si="125"/>
        <v>W9</v>
      </c>
      <c r="D2154" s="2" t="s">
        <v>794</v>
      </c>
      <c r="E2154" s="2" t="s">
        <v>828</v>
      </c>
      <c r="F2154" s="2" t="str" cm="1">
        <f t="array" ref="F2154">INDEX(_xlfn.TEXTSPLIT(E2154,"-"),2)</f>
        <v>男装</v>
      </c>
      <c r="G2154" s="2" t="str" cm="1">
        <f t="array" ref="G2154">INDEX(_xlfn.TEXTSPLIT(E2154,"-"),3)</f>
        <v>羊毛衫</v>
      </c>
      <c r="H2154" s="5">
        <v>26761</v>
      </c>
      <c r="I2154" s="5">
        <v>2770888.92</v>
      </c>
      <c r="J2154" s="6">
        <v>0.0098</v>
      </c>
      <c r="K2154" s="6">
        <v>0.248</v>
      </c>
    </row>
    <row r="2155" ht="14.5" spans="1:11">
      <c r="A2155" s="3" t="str">
        <f t="shared" si="123"/>
        <v>2026年</v>
      </c>
      <c r="B2155" s="3" t="str">
        <f t="shared" si="124"/>
        <v>2月</v>
      </c>
      <c r="C2155" s="4" t="str">
        <f t="shared" si="125"/>
        <v>W9</v>
      </c>
      <c r="D2155" s="2" t="s">
        <v>794</v>
      </c>
      <c r="E2155" s="2" t="s">
        <v>829</v>
      </c>
      <c r="F2155" s="2" t="str" cm="1">
        <f t="array" ref="F2155">INDEX(_xlfn.TEXTSPLIT(E2155,"-"),2)</f>
        <v>男装</v>
      </c>
      <c r="G2155" s="2" t="str" cm="1">
        <f t="array" ref="G2155">INDEX(_xlfn.TEXTSPLIT(E2155,"-"),3)</f>
        <v>羊绒衫</v>
      </c>
      <c r="H2155" s="5">
        <v>2545</v>
      </c>
      <c r="I2155" s="5">
        <v>685193.6</v>
      </c>
      <c r="J2155" s="6">
        <v>0.0024</v>
      </c>
      <c r="K2155" s="6">
        <v>-0.0154</v>
      </c>
    </row>
    <row r="2156" ht="14.5" spans="1:11">
      <c r="A2156" s="3" t="str">
        <f t="shared" si="123"/>
        <v>2026年</v>
      </c>
      <c r="B2156" s="3" t="str">
        <f t="shared" si="124"/>
        <v>2月</v>
      </c>
      <c r="C2156" s="4" t="str">
        <f t="shared" si="125"/>
        <v>W9</v>
      </c>
      <c r="D2156" s="2" t="s">
        <v>794</v>
      </c>
      <c r="E2156" s="2" t="s">
        <v>830</v>
      </c>
      <c r="F2156" s="2" t="str" cm="1">
        <f t="array" ref="F2156">INDEX(_xlfn.TEXTSPLIT(E2156,"-"),2)</f>
        <v>男装</v>
      </c>
      <c r="G2156" s="2" t="str" cm="1">
        <f t="array" ref="G2156">INDEX(_xlfn.TEXTSPLIT(E2156,"-"),3)</f>
        <v>羽绒服</v>
      </c>
      <c r="H2156" s="5">
        <v>50757</v>
      </c>
      <c r="I2156" s="5">
        <v>12236135.54</v>
      </c>
      <c r="J2156" s="6">
        <v>0.0432</v>
      </c>
      <c r="K2156" s="6">
        <v>0.1075</v>
      </c>
    </row>
    <row r="2157" ht="14.5" spans="1:11">
      <c r="A2157" s="3" t="str">
        <f t="shared" si="123"/>
        <v>2026年</v>
      </c>
      <c r="B2157" s="3" t="str">
        <f t="shared" si="124"/>
        <v>2月</v>
      </c>
      <c r="C2157" s="4" t="str">
        <f t="shared" si="125"/>
        <v>W9</v>
      </c>
      <c r="D2157" s="2" t="s">
        <v>794</v>
      </c>
      <c r="E2157" s="2" t="s">
        <v>831</v>
      </c>
      <c r="F2157" s="2" t="str" cm="1">
        <f t="array" ref="F2157">INDEX(_xlfn.TEXTSPLIT(E2157,"-"),2)</f>
        <v>男装</v>
      </c>
      <c r="G2157" s="2" t="str" cm="1">
        <f t="array" ref="G2157">INDEX(_xlfn.TEXTSPLIT(E2157,"-"),3)</f>
        <v>羽绒裤</v>
      </c>
      <c r="H2157" s="5">
        <v>354</v>
      </c>
      <c r="I2157" s="5">
        <v>37699.2</v>
      </c>
      <c r="J2157" s="6">
        <v>0.0001</v>
      </c>
      <c r="K2157" s="6">
        <v>0.2531</v>
      </c>
    </row>
    <row r="2158" ht="14.5" spans="1:11">
      <c r="A2158" s="3" t="str">
        <f t="shared" si="123"/>
        <v>2026年</v>
      </c>
      <c r="B2158" s="3" t="str">
        <f t="shared" si="124"/>
        <v>2月</v>
      </c>
      <c r="C2158" s="4" t="str">
        <f t="shared" si="125"/>
        <v>W9</v>
      </c>
      <c r="D2158" s="2" t="s">
        <v>794</v>
      </c>
      <c r="E2158" s="2" t="s">
        <v>832</v>
      </c>
      <c r="F2158" s="2" t="str" cm="1">
        <f t="array" ref="F2158">INDEX(_xlfn.TEXTSPLIT(E2158,"-"),2)</f>
        <v>男装</v>
      </c>
      <c r="G2158" s="2" t="str" cm="1">
        <f t="array" ref="G2158">INDEX(_xlfn.TEXTSPLIT(E2158,"-"),3)</f>
        <v>羽绒马甲</v>
      </c>
      <c r="H2158" s="5">
        <v>2010</v>
      </c>
      <c r="I2158" s="5">
        <v>384961.82</v>
      </c>
      <c r="J2158" s="6">
        <v>0.0014</v>
      </c>
      <c r="K2158" s="6">
        <v>-0.0152</v>
      </c>
    </row>
    <row r="2159" ht="14.5" spans="1:11">
      <c r="A2159" s="3" t="str">
        <f t="shared" si="123"/>
        <v>2026年</v>
      </c>
      <c r="B2159" s="3" t="str">
        <f t="shared" si="124"/>
        <v>2月</v>
      </c>
      <c r="C2159" s="4" t="str">
        <f t="shared" si="125"/>
        <v>W9</v>
      </c>
      <c r="D2159" s="2" t="s">
        <v>794</v>
      </c>
      <c r="E2159" s="2" t="s">
        <v>833</v>
      </c>
      <c r="F2159" s="2" t="str" cm="1">
        <f t="array" ref="F2159">INDEX(_xlfn.TEXTSPLIT(E2159,"-"),2)</f>
        <v>男装</v>
      </c>
      <c r="G2159" s="2" t="str" cm="1">
        <f t="array" ref="G2159">INDEX(_xlfn.TEXTSPLIT(E2159,"-"),3)</f>
        <v>背心</v>
      </c>
      <c r="H2159" s="5">
        <v>28955</v>
      </c>
      <c r="I2159" s="5">
        <v>1443120.25</v>
      </c>
      <c r="J2159" s="6">
        <v>0.0051</v>
      </c>
      <c r="K2159" s="6">
        <v>0.0257</v>
      </c>
    </row>
    <row r="2160" ht="14.5" spans="1:11">
      <c r="A2160" s="3" t="str">
        <f t="shared" si="123"/>
        <v>2026年</v>
      </c>
      <c r="B2160" s="3" t="str">
        <f t="shared" si="124"/>
        <v>2月</v>
      </c>
      <c r="C2160" s="4" t="str">
        <f t="shared" si="125"/>
        <v>W9</v>
      </c>
      <c r="D2160" s="2" t="s">
        <v>794</v>
      </c>
      <c r="E2160" s="2" t="s">
        <v>834</v>
      </c>
      <c r="F2160" s="2" t="str" cm="1">
        <f t="array" ref="F2160">INDEX(_xlfn.TEXTSPLIT(E2160,"-"),2)</f>
        <v>男装</v>
      </c>
      <c r="G2160" s="2" t="str" cm="1">
        <f t="array" ref="G2160">INDEX(_xlfn.TEXTSPLIT(E2160,"-"),3)</f>
        <v>衬衫</v>
      </c>
      <c r="H2160" s="5">
        <v>85828</v>
      </c>
      <c r="I2160" s="5">
        <v>10440268.05</v>
      </c>
      <c r="J2160" s="6">
        <v>0.0369</v>
      </c>
      <c r="K2160" s="6">
        <v>0.0566</v>
      </c>
    </row>
    <row r="2161" ht="14.5" spans="1:11">
      <c r="A2161" s="3" t="str">
        <f t="shared" si="123"/>
        <v>2026年</v>
      </c>
      <c r="B2161" s="3" t="str">
        <f t="shared" si="124"/>
        <v>2月</v>
      </c>
      <c r="C2161" s="4" t="str">
        <f t="shared" si="125"/>
        <v>W9</v>
      </c>
      <c r="D2161" s="2" t="s">
        <v>794</v>
      </c>
      <c r="E2161" s="2" t="s">
        <v>835</v>
      </c>
      <c r="F2161" s="2" t="str" cm="1">
        <f t="array" ref="F2161">INDEX(_xlfn.TEXTSPLIT(E2161,"-"),2)</f>
        <v>男装</v>
      </c>
      <c r="G2161" s="2" t="str" cm="1">
        <f t="array" ref="G2161">INDEX(_xlfn.TEXTSPLIT(E2161,"-"),3)</f>
        <v>西服</v>
      </c>
      <c r="H2161" s="5">
        <v>52689</v>
      </c>
      <c r="I2161" s="5">
        <v>12415124.4</v>
      </c>
      <c r="J2161" s="6">
        <v>0.0439</v>
      </c>
      <c r="K2161" s="6">
        <v>0.0246</v>
      </c>
    </row>
    <row r="2162" ht="14.5" spans="1:11">
      <c r="A2162" s="3" t="str">
        <f t="shared" si="123"/>
        <v>2026年</v>
      </c>
      <c r="B2162" s="3" t="str">
        <f t="shared" si="124"/>
        <v>2月</v>
      </c>
      <c r="C2162" s="4" t="str">
        <f t="shared" si="125"/>
        <v>W9</v>
      </c>
      <c r="D2162" s="2" t="s">
        <v>794</v>
      </c>
      <c r="E2162" s="2" t="s">
        <v>836</v>
      </c>
      <c r="F2162" s="2" t="str" cm="1">
        <f t="array" ref="F2162">INDEX(_xlfn.TEXTSPLIT(E2162,"-"),2)</f>
        <v>男装</v>
      </c>
      <c r="G2162" s="2" t="str" cm="1">
        <f t="array" ref="G2162">INDEX(_xlfn.TEXTSPLIT(E2162,"-"),3)</f>
        <v>连体衣/裤</v>
      </c>
      <c r="H2162" s="5">
        <v>764</v>
      </c>
      <c r="I2162" s="5">
        <v>78758.64</v>
      </c>
      <c r="J2162" s="6">
        <v>0.0003</v>
      </c>
      <c r="K2162" s="6">
        <v>6.5441</v>
      </c>
    </row>
    <row r="2163" ht="14.5" spans="1:11">
      <c r="A2163" s="3" t="str">
        <f t="shared" si="123"/>
        <v>2026年</v>
      </c>
      <c r="B2163" s="3" t="str">
        <f t="shared" si="124"/>
        <v>2月</v>
      </c>
      <c r="C2163" s="4" t="str">
        <f t="shared" si="125"/>
        <v>W9</v>
      </c>
      <c r="D2163" s="2" t="s">
        <v>794</v>
      </c>
      <c r="E2163" s="2" t="s">
        <v>837</v>
      </c>
      <c r="F2163" s="2" t="str" cm="1">
        <f t="array" ref="F2163">INDEX(_xlfn.TEXTSPLIT(E2163,"-"),2)</f>
        <v>男装</v>
      </c>
      <c r="G2163" s="2" t="str" cm="1">
        <f t="array" ref="G2163">INDEX(_xlfn.TEXTSPLIT(E2163,"-"),3)</f>
        <v>速干/三防T恤</v>
      </c>
      <c r="H2163" s="5">
        <v>1657</v>
      </c>
      <c r="I2163" s="5">
        <v>206974.58</v>
      </c>
      <c r="J2163" s="6">
        <v>0.0007</v>
      </c>
      <c r="K2163" s="6">
        <v>0.0833</v>
      </c>
    </row>
    <row r="2164" ht="14.5" spans="1:11">
      <c r="A2164" s="3" t="str">
        <f t="shared" si="123"/>
        <v>2026年</v>
      </c>
      <c r="B2164" s="3" t="str">
        <f t="shared" si="124"/>
        <v>2月</v>
      </c>
      <c r="C2164" s="4" t="str">
        <f t="shared" si="125"/>
        <v>W9</v>
      </c>
      <c r="D2164" s="2" t="s">
        <v>794</v>
      </c>
      <c r="E2164" s="2" t="s">
        <v>838</v>
      </c>
      <c r="F2164" s="2" t="str" cm="1">
        <f t="array" ref="F2164">INDEX(_xlfn.TEXTSPLIT(E2164,"-"),2)</f>
        <v>男装</v>
      </c>
      <c r="G2164" s="2" t="str" cm="1">
        <f t="array" ref="G2164">INDEX(_xlfn.TEXTSPLIT(E2164,"-"),3)</f>
        <v>针织衫/毛衣</v>
      </c>
      <c r="H2164" s="5">
        <v>77574</v>
      </c>
      <c r="I2164" s="5">
        <v>9236504.9</v>
      </c>
      <c r="J2164" s="6">
        <v>0.0326</v>
      </c>
      <c r="K2164" s="6">
        <v>0.1061</v>
      </c>
    </row>
    <row r="2165" ht="14.5" spans="1:11">
      <c r="A2165" s="3" t="str">
        <f t="shared" si="123"/>
        <v>2026年</v>
      </c>
      <c r="B2165" s="3" t="str">
        <f t="shared" si="124"/>
        <v>2月</v>
      </c>
      <c r="C2165" s="4" t="str">
        <f t="shared" si="125"/>
        <v>W9</v>
      </c>
      <c r="D2165" s="2" t="s">
        <v>794</v>
      </c>
      <c r="E2165" s="2" t="s">
        <v>839</v>
      </c>
      <c r="F2165" s="2" t="str" cm="1">
        <f t="array" ref="F2165">INDEX(_xlfn.TEXTSPLIT(E2165,"-"),2)</f>
        <v>男装</v>
      </c>
      <c r="G2165" s="2" t="str" cm="1">
        <f t="array" ref="G2165">INDEX(_xlfn.TEXTSPLIT(E2165,"-"),3)</f>
        <v>防晒服</v>
      </c>
      <c r="H2165" s="5">
        <v>10906</v>
      </c>
      <c r="I2165" s="5">
        <v>1392836.93</v>
      </c>
      <c r="J2165" s="6">
        <v>0.0049</v>
      </c>
      <c r="K2165" s="6">
        <v>6.1889</v>
      </c>
    </row>
    <row r="2166" ht="14.5" spans="1:11">
      <c r="A2166" s="3" t="str">
        <f t="shared" si="123"/>
        <v>2026年</v>
      </c>
      <c r="B2166" s="3" t="str">
        <f t="shared" si="124"/>
        <v>2月</v>
      </c>
      <c r="C2166" s="4" t="str">
        <f t="shared" si="125"/>
        <v>W9</v>
      </c>
      <c r="D2166" s="2" t="s">
        <v>794</v>
      </c>
      <c r="E2166" s="2" t="s">
        <v>840</v>
      </c>
      <c r="F2166" s="2" t="str" cm="1">
        <f t="array" ref="F2166">INDEX(_xlfn.TEXTSPLIT(E2166,"-"),2)</f>
        <v>男装</v>
      </c>
      <c r="G2166" s="2" t="str" cm="1">
        <f t="array" ref="G2166">INDEX(_xlfn.TEXTSPLIT(E2166,"-"),3)</f>
        <v>风衣</v>
      </c>
      <c r="H2166" s="5">
        <v>7759</v>
      </c>
      <c r="I2166" s="5">
        <v>2135918.15</v>
      </c>
      <c r="J2166" s="6">
        <v>0.0075</v>
      </c>
      <c r="K2166" s="6">
        <v>-0.1295</v>
      </c>
    </row>
    <row r="2167" ht="14.5" spans="1:11">
      <c r="A2167" s="3" t="str">
        <f t="shared" si="123"/>
        <v>2026年</v>
      </c>
      <c r="B2167" s="3" t="str">
        <f t="shared" si="124"/>
        <v>2月</v>
      </c>
      <c r="C2167" s="4" t="str">
        <f t="shared" si="125"/>
        <v>W9</v>
      </c>
      <c r="D2167" s="2" t="s">
        <v>794</v>
      </c>
      <c r="E2167" s="2" t="s">
        <v>841</v>
      </c>
      <c r="F2167" s="2" t="str" cm="1">
        <f t="array" ref="F2167">INDEX(_xlfn.TEXTSPLIT(E2167,"-"),2)</f>
        <v>男装</v>
      </c>
      <c r="G2167" s="2" t="str" cm="1">
        <f t="array" ref="G2167">INDEX(_xlfn.TEXTSPLIT(E2167,"-"),3)</f>
        <v>马甲</v>
      </c>
      <c r="H2167" s="5">
        <v>15601</v>
      </c>
      <c r="I2167" s="5">
        <v>2044514.17</v>
      </c>
      <c r="J2167" s="6">
        <v>0.0072</v>
      </c>
      <c r="K2167" s="6">
        <v>-0.0505</v>
      </c>
    </row>
    <row r="2168" ht="14.5" spans="1:11">
      <c r="A2168" s="3" t="str">
        <f t="shared" si="123"/>
        <v>2026年</v>
      </c>
      <c r="B2168" s="3" t="str">
        <f t="shared" si="124"/>
        <v>2月</v>
      </c>
      <c r="C2168" s="4" t="str">
        <f t="shared" si="125"/>
        <v>W9</v>
      </c>
      <c r="D2168" s="2" t="s">
        <v>795</v>
      </c>
      <c r="E2168" s="2" t="s">
        <v>804</v>
      </c>
      <c r="F2168" s="2" t="str" cm="1">
        <f t="array" ref="F2168">INDEX(_xlfn.TEXTSPLIT(E2168,"-"),2)</f>
        <v>男装</v>
      </c>
      <c r="G2168" s="2" t="str" cm="1">
        <f t="array" ref="G2168">INDEX(_xlfn.TEXTSPLIT(E2168,"-"),3)</f>
        <v>Polo衫</v>
      </c>
      <c r="H2168" s="5">
        <v>81582</v>
      </c>
      <c r="I2168" s="5">
        <v>7872063.49</v>
      </c>
      <c r="J2168" s="6">
        <v>0.0276</v>
      </c>
      <c r="K2168" s="6">
        <v>0.0589</v>
      </c>
    </row>
    <row r="2169" ht="14.5" spans="1:11">
      <c r="A2169" s="3" t="str">
        <f t="shared" si="123"/>
        <v>2026年</v>
      </c>
      <c r="B2169" s="3" t="str">
        <f t="shared" si="124"/>
        <v>2月</v>
      </c>
      <c r="C2169" s="4" t="str">
        <f t="shared" si="125"/>
        <v>W9</v>
      </c>
      <c r="D2169" s="2" t="s">
        <v>795</v>
      </c>
      <c r="E2169" s="2" t="s">
        <v>805</v>
      </c>
      <c r="F2169" s="2" t="str" cm="1">
        <f t="array" ref="F2169">INDEX(_xlfn.TEXTSPLIT(E2169,"-"),2)</f>
        <v>男装</v>
      </c>
      <c r="G2169" s="2" t="str" cm="1">
        <f t="array" ref="G2169">INDEX(_xlfn.TEXTSPLIT(E2169,"-"),3)</f>
        <v>T恤</v>
      </c>
      <c r="H2169" s="5">
        <v>634246</v>
      </c>
      <c r="I2169" s="5">
        <v>41083390.54</v>
      </c>
      <c r="J2169" s="6">
        <v>0.1438</v>
      </c>
      <c r="K2169" s="6">
        <v>-0.0386</v>
      </c>
    </row>
    <row r="2170" ht="14.5" spans="1:11">
      <c r="A2170" s="3" t="str">
        <f t="shared" si="123"/>
        <v>2026年</v>
      </c>
      <c r="B2170" s="3" t="str">
        <f t="shared" si="124"/>
        <v>2月</v>
      </c>
      <c r="C2170" s="4" t="str">
        <f t="shared" si="125"/>
        <v>W9</v>
      </c>
      <c r="D2170" s="2" t="s">
        <v>795</v>
      </c>
      <c r="E2170" s="2" t="s">
        <v>806</v>
      </c>
      <c r="F2170" s="2" t="str" cm="1">
        <f t="array" ref="F2170">INDEX(_xlfn.TEXTSPLIT(E2170,"-"),2)</f>
        <v>男装</v>
      </c>
      <c r="G2170" s="2" t="str" cm="1">
        <f t="array" ref="G2170">INDEX(_xlfn.TEXTSPLIT(E2170,"-"),3)</f>
        <v>中老年男装</v>
      </c>
      <c r="H2170" s="5">
        <v>19789</v>
      </c>
      <c r="I2170" s="5">
        <v>1601948.57</v>
      </c>
      <c r="J2170" s="6">
        <v>0.0056</v>
      </c>
      <c r="K2170" s="6">
        <v>-0.0701</v>
      </c>
    </row>
    <row r="2171" ht="14.5" spans="1:11">
      <c r="A2171" s="3" t="str">
        <f t="shared" si="123"/>
        <v>2026年</v>
      </c>
      <c r="B2171" s="3" t="str">
        <f t="shared" si="124"/>
        <v>2月</v>
      </c>
      <c r="C2171" s="4" t="str">
        <f t="shared" si="125"/>
        <v>W9</v>
      </c>
      <c r="D2171" s="2" t="s">
        <v>795</v>
      </c>
      <c r="E2171" s="2" t="s">
        <v>807</v>
      </c>
      <c r="F2171" s="2" t="str" cm="1">
        <f t="array" ref="F2171">INDEX(_xlfn.TEXTSPLIT(E2171,"-"),2)</f>
        <v>男装</v>
      </c>
      <c r="G2171" s="2" t="str" cm="1">
        <f t="array" ref="G2171">INDEX(_xlfn.TEXTSPLIT(E2171,"-"),3)</f>
        <v>休闲裤</v>
      </c>
      <c r="H2171" s="5">
        <v>336327</v>
      </c>
      <c r="I2171" s="5">
        <v>34168795.01</v>
      </c>
      <c r="J2171" s="6">
        <v>0.1196</v>
      </c>
      <c r="K2171" s="6">
        <v>-0.016</v>
      </c>
    </row>
    <row r="2172" ht="14.5" spans="1:11">
      <c r="A2172" s="3" t="str">
        <f t="shared" si="123"/>
        <v>2026年</v>
      </c>
      <c r="B2172" s="3" t="str">
        <f t="shared" si="124"/>
        <v>2月</v>
      </c>
      <c r="C2172" s="4" t="str">
        <f t="shared" si="125"/>
        <v>W9</v>
      </c>
      <c r="D2172" s="2" t="s">
        <v>795</v>
      </c>
      <c r="E2172" s="2" t="s">
        <v>808</v>
      </c>
      <c r="F2172" s="2" t="str" cm="1">
        <f t="array" ref="F2172">INDEX(_xlfn.TEXTSPLIT(E2172,"-"),2)</f>
        <v>男装</v>
      </c>
      <c r="G2172" s="2" t="str" cm="1">
        <f t="array" ref="G2172">INDEX(_xlfn.TEXTSPLIT(E2172,"-"),3)</f>
        <v>卫衣</v>
      </c>
      <c r="H2172" s="5">
        <v>194285</v>
      </c>
      <c r="I2172" s="5">
        <v>18317203.06</v>
      </c>
      <c r="J2172" s="6">
        <v>0.0641</v>
      </c>
      <c r="K2172" s="6">
        <v>-0.0655</v>
      </c>
    </row>
    <row r="2173" ht="14.5" spans="1:11">
      <c r="A2173" s="3" t="str">
        <f t="shared" si="123"/>
        <v>2026年</v>
      </c>
      <c r="B2173" s="3" t="str">
        <f t="shared" si="124"/>
        <v>2月</v>
      </c>
      <c r="C2173" s="4" t="str">
        <f t="shared" si="125"/>
        <v>W9</v>
      </c>
      <c r="D2173" s="2" t="s">
        <v>795</v>
      </c>
      <c r="E2173" s="2" t="s">
        <v>809</v>
      </c>
      <c r="F2173" s="2" t="str" cm="1">
        <f t="array" ref="F2173">INDEX(_xlfn.TEXTSPLIT(E2173,"-"),2)</f>
        <v>男装</v>
      </c>
      <c r="G2173" s="2" t="str" cm="1">
        <f t="array" ref="G2173">INDEX(_xlfn.TEXTSPLIT(E2173,"-"),3)</f>
        <v>卫裤</v>
      </c>
      <c r="H2173" s="5">
        <v>47316</v>
      </c>
      <c r="I2173" s="5">
        <v>4330975.69</v>
      </c>
      <c r="J2173" s="6">
        <v>0.0152</v>
      </c>
      <c r="K2173" s="6">
        <v>-0.0113</v>
      </c>
    </row>
    <row r="2174" ht="14.5" spans="1:11">
      <c r="A2174" s="3" t="str">
        <f t="shared" si="123"/>
        <v>2026年</v>
      </c>
      <c r="B2174" s="3" t="str">
        <f t="shared" si="124"/>
        <v>2月</v>
      </c>
      <c r="C2174" s="4" t="str">
        <f t="shared" si="125"/>
        <v>W9</v>
      </c>
      <c r="D2174" s="2" t="s">
        <v>795</v>
      </c>
      <c r="E2174" s="2" t="s">
        <v>810</v>
      </c>
      <c r="F2174" s="2" t="str" cm="1">
        <f t="array" ref="F2174">INDEX(_xlfn.TEXTSPLIT(E2174,"-"),2)</f>
        <v>男装</v>
      </c>
      <c r="G2174" s="2" t="str" cm="1">
        <f t="array" ref="G2174">INDEX(_xlfn.TEXTSPLIT(E2174,"-"),3)</f>
        <v>大码男装</v>
      </c>
      <c r="H2174" s="5">
        <v>31429</v>
      </c>
      <c r="I2174" s="5">
        <v>2513489.85</v>
      </c>
      <c r="J2174" s="6">
        <v>0.0088</v>
      </c>
      <c r="K2174" s="6">
        <v>0.1162</v>
      </c>
    </row>
    <row r="2175" ht="14.5" spans="1:11">
      <c r="A2175" s="3" t="str">
        <f t="shared" si="123"/>
        <v>2026年</v>
      </c>
      <c r="B2175" s="3" t="str">
        <f t="shared" si="124"/>
        <v>2月</v>
      </c>
      <c r="C2175" s="4" t="str">
        <f t="shared" si="125"/>
        <v>W9</v>
      </c>
      <c r="D2175" s="2" t="s">
        <v>795</v>
      </c>
      <c r="E2175" s="2" t="s">
        <v>811</v>
      </c>
      <c r="F2175" s="2" t="str" cm="1">
        <f t="array" ref="F2175">INDEX(_xlfn.TEXTSPLIT(E2175,"-"),2)</f>
        <v>男装</v>
      </c>
      <c r="G2175" s="2" t="str" cm="1">
        <f t="array" ref="G2175">INDEX(_xlfn.TEXTSPLIT(E2175,"-"),3)</f>
        <v>夹克</v>
      </c>
      <c r="H2175" s="5">
        <v>345044</v>
      </c>
      <c r="I2175" s="5">
        <v>62024897.31</v>
      </c>
      <c r="J2175" s="6">
        <v>0.2171</v>
      </c>
      <c r="K2175" s="6">
        <v>0.088</v>
      </c>
    </row>
    <row r="2176" ht="14.5" spans="1:11">
      <c r="A2176" s="3" t="str">
        <f t="shared" si="123"/>
        <v>2026年</v>
      </c>
      <c r="B2176" s="3" t="str">
        <f t="shared" si="124"/>
        <v>2月</v>
      </c>
      <c r="C2176" s="4" t="str">
        <f t="shared" si="125"/>
        <v>W9</v>
      </c>
      <c r="D2176" s="2" t="s">
        <v>795</v>
      </c>
      <c r="E2176" s="2" t="s">
        <v>812</v>
      </c>
      <c r="F2176" s="2" t="str" cm="1">
        <f t="array" ref="F2176">INDEX(_xlfn.TEXTSPLIT(E2176,"-"),2)</f>
        <v>男装</v>
      </c>
      <c r="G2176" s="2" t="str" cm="1">
        <f t="array" ref="G2176">INDEX(_xlfn.TEXTSPLIT(E2176,"-"),3)</f>
        <v>套装</v>
      </c>
      <c r="H2176" s="5">
        <v>41562</v>
      </c>
      <c r="I2176" s="5">
        <v>6128284.11</v>
      </c>
      <c r="J2176" s="6">
        <v>0.0215</v>
      </c>
      <c r="K2176" s="6">
        <v>-0.0371</v>
      </c>
    </row>
    <row r="2177" ht="14.5" spans="1:11">
      <c r="A2177" s="3" t="str">
        <f t="shared" si="123"/>
        <v>2026年</v>
      </c>
      <c r="B2177" s="3" t="str">
        <f t="shared" si="124"/>
        <v>2月</v>
      </c>
      <c r="C2177" s="4" t="str">
        <f t="shared" si="125"/>
        <v>W9</v>
      </c>
      <c r="D2177" s="2" t="s">
        <v>795</v>
      </c>
      <c r="E2177" s="2" t="s">
        <v>813</v>
      </c>
      <c r="F2177" s="2" t="str" cm="1">
        <f t="array" ref="F2177">INDEX(_xlfn.TEXTSPLIT(E2177,"-"),2)</f>
        <v>男装</v>
      </c>
      <c r="G2177" s="2" t="str" cm="1">
        <f t="array" ref="G2177">INDEX(_xlfn.TEXTSPLIT(E2177,"-"),3)</f>
        <v>学生校服</v>
      </c>
      <c r="H2177" s="5">
        <v>15</v>
      </c>
      <c r="I2177" s="5">
        <v>687.46</v>
      </c>
      <c r="J2177" s="2" t="s">
        <v>713</v>
      </c>
      <c r="K2177" s="6">
        <v>6.7556</v>
      </c>
    </row>
    <row r="2178" ht="14.5" spans="1:11">
      <c r="A2178" s="3" t="str">
        <f t="shared" si="123"/>
        <v>2026年</v>
      </c>
      <c r="B2178" s="3" t="str">
        <f t="shared" si="124"/>
        <v>2月</v>
      </c>
      <c r="C2178" s="4" t="str">
        <f t="shared" si="125"/>
        <v>W9</v>
      </c>
      <c r="D2178" s="2" t="s">
        <v>795</v>
      </c>
      <c r="E2178" s="2" t="s">
        <v>814</v>
      </c>
      <c r="F2178" s="2" t="str" cm="1">
        <f t="array" ref="F2178">INDEX(_xlfn.TEXTSPLIT(E2178,"-"),2)</f>
        <v>男装</v>
      </c>
      <c r="G2178" s="2" t="str" cm="1">
        <f t="array" ref="G2178">INDEX(_xlfn.TEXTSPLIT(E2178,"-"),3)</f>
        <v>打底衫</v>
      </c>
      <c r="H2178" s="5">
        <v>10277</v>
      </c>
      <c r="I2178" s="5">
        <v>438900.12</v>
      </c>
      <c r="J2178" s="6">
        <v>0.0015</v>
      </c>
      <c r="K2178" s="6">
        <v>0.2128</v>
      </c>
    </row>
    <row r="2179" ht="14.5" spans="1:11">
      <c r="A2179" s="3" t="str">
        <f t="shared" si="123"/>
        <v>2026年</v>
      </c>
      <c r="B2179" s="3" t="str">
        <f t="shared" si="124"/>
        <v>2月</v>
      </c>
      <c r="C2179" s="4" t="str">
        <f t="shared" si="125"/>
        <v>W9</v>
      </c>
      <c r="D2179" s="2" t="s">
        <v>795</v>
      </c>
      <c r="E2179" s="2" t="s">
        <v>815</v>
      </c>
      <c r="F2179" s="2" t="str" cm="1">
        <f t="array" ref="F2179">INDEX(_xlfn.TEXTSPLIT(E2179,"-"),2)</f>
        <v>男装</v>
      </c>
      <c r="G2179" s="2" t="str" cm="1">
        <f t="array" ref="G2179">INDEX(_xlfn.TEXTSPLIT(E2179,"-"),3)</f>
        <v>新中式男装</v>
      </c>
      <c r="H2179" s="5">
        <v>835</v>
      </c>
      <c r="I2179" s="5">
        <v>124765.17</v>
      </c>
      <c r="J2179" s="6">
        <v>0.0004</v>
      </c>
      <c r="K2179" s="6">
        <v>0.5878</v>
      </c>
    </row>
    <row r="2180" ht="14.5" spans="1:11">
      <c r="A2180" s="3" t="str">
        <f t="shared" si="123"/>
        <v>2026年</v>
      </c>
      <c r="B2180" s="3" t="str">
        <f t="shared" si="124"/>
        <v>2月</v>
      </c>
      <c r="C2180" s="4" t="str">
        <f t="shared" si="125"/>
        <v>W9</v>
      </c>
      <c r="D2180" s="2" t="s">
        <v>795</v>
      </c>
      <c r="E2180" s="2" t="s">
        <v>816</v>
      </c>
      <c r="F2180" s="2" t="str" cm="1">
        <f t="array" ref="F2180">INDEX(_xlfn.TEXTSPLIT(E2180,"-"),2)</f>
        <v>男装</v>
      </c>
      <c r="G2180" s="2" t="str" cm="1">
        <f t="array" ref="G2180">INDEX(_xlfn.TEXTSPLIT(E2180,"-"),3)</f>
        <v>棉衣</v>
      </c>
      <c r="H2180" s="5">
        <v>38652</v>
      </c>
      <c r="I2180" s="5">
        <v>4224683.87</v>
      </c>
      <c r="J2180" s="6">
        <v>0.0148</v>
      </c>
      <c r="K2180" s="6">
        <v>0.0153</v>
      </c>
    </row>
    <row r="2181" ht="14.5" spans="1:11">
      <c r="A2181" s="3" t="str">
        <f t="shared" si="123"/>
        <v>2026年</v>
      </c>
      <c r="B2181" s="3" t="str">
        <f t="shared" si="124"/>
        <v>2月</v>
      </c>
      <c r="C2181" s="4" t="str">
        <f t="shared" si="125"/>
        <v>W9</v>
      </c>
      <c r="D2181" s="2" t="s">
        <v>795</v>
      </c>
      <c r="E2181" s="2" t="s">
        <v>817</v>
      </c>
      <c r="F2181" s="2" t="str" cm="1">
        <f t="array" ref="F2181">INDEX(_xlfn.TEXTSPLIT(E2181,"-"),2)</f>
        <v>男装</v>
      </c>
      <c r="G2181" s="2" t="str" cm="1">
        <f t="array" ref="G2181">INDEX(_xlfn.TEXTSPLIT(E2181,"-"),3)</f>
        <v>棉裤</v>
      </c>
      <c r="H2181" s="5">
        <v>1479</v>
      </c>
      <c r="I2181" s="5">
        <v>74169.74</v>
      </c>
      <c r="J2181" s="6">
        <v>0.0003</v>
      </c>
      <c r="K2181" s="6">
        <v>0.2225</v>
      </c>
    </row>
    <row r="2182" ht="14.5" spans="1:11">
      <c r="A2182" s="3" t="str">
        <f t="shared" si="123"/>
        <v>2026年</v>
      </c>
      <c r="B2182" s="3" t="str">
        <f t="shared" si="124"/>
        <v>2月</v>
      </c>
      <c r="C2182" s="4" t="str">
        <f t="shared" si="125"/>
        <v>W9</v>
      </c>
      <c r="D2182" s="2" t="s">
        <v>795</v>
      </c>
      <c r="E2182" s="2" t="s">
        <v>818</v>
      </c>
      <c r="F2182" s="2" t="str" cm="1">
        <f t="array" ref="F2182">INDEX(_xlfn.TEXTSPLIT(E2182,"-"),2)</f>
        <v>男装</v>
      </c>
      <c r="G2182" s="2" t="str" cm="1">
        <f t="array" ref="G2182">INDEX(_xlfn.TEXTSPLIT(E2182,"-"),3)</f>
        <v>毛呢大衣</v>
      </c>
      <c r="H2182" s="5">
        <v>8943</v>
      </c>
      <c r="I2182" s="5">
        <v>2867899.22</v>
      </c>
      <c r="J2182" s="7">
        <v>0.01</v>
      </c>
      <c r="K2182" s="6">
        <v>0.4787</v>
      </c>
    </row>
    <row r="2183" ht="14.5" spans="1:11">
      <c r="A2183" s="3" t="str">
        <f t="shared" si="123"/>
        <v>2026年</v>
      </c>
      <c r="B2183" s="3" t="str">
        <f t="shared" si="124"/>
        <v>2月</v>
      </c>
      <c r="C2183" s="4" t="str">
        <f t="shared" si="125"/>
        <v>W9</v>
      </c>
      <c r="D2183" s="2" t="s">
        <v>795</v>
      </c>
      <c r="E2183" s="2" t="s">
        <v>819</v>
      </c>
      <c r="F2183" s="2" t="str" cm="1">
        <f t="array" ref="F2183">INDEX(_xlfn.TEXTSPLIT(E2183,"-"),2)</f>
        <v>男装</v>
      </c>
      <c r="G2183" s="2" t="str" cm="1">
        <f t="array" ref="G2183">INDEX(_xlfn.TEXTSPLIT(E2183,"-"),3)</f>
        <v>民族服装</v>
      </c>
      <c r="H2183" s="5">
        <v>4235</v>
      </c>
      <c r="I2183" s="5">
        <v>800514.45</v>
      </c>
      <c r="J2183" s="6">
        <v>0.0028</v>
      </c>
      <c r="K2183" s="6">
        <v>-0.0372</v>
      </c>
    </row>
    <row r="2184" ht="14.5" spans="1:11">
      <c r="A2184" s="3" t="str">
        <f t="shared" si="123"/>
        <v>2026年</v>
      </c>
      <c r="B2184" s="3" t="str">
        <f t="shared" si="124"/>
        <v>2月</v>
      </c>
      <c r="C2184" s="4" t="str">
        <f t="shared" si="125"/>
        <v>W9</v>
      </c>
      <c r="D2184" s="2" t="s">
        <v>795</v>
      </c>
      <c r="E2184" s="2" t="s">
        <v>820</v>
      </c>
      <c r="F2184" s="2" t="str" cm="1">
        <f t="array" ref="F2184">INDEX(_xlfn.TEXTSPLIT(E2184,"-"),2)</f>
        <v>男装</v>
      </c>
      <c r="G2184" s="2" t="str" cm="1">
        <f t="array" ref="G2184">INDEX(_xlfn.TEXTSPLIT(E2184,"-"),3)</f>
        <v>派克服</v>
      </c>
      <c r="H2184" s="5">
        <v>1081</v>
      </c>
      <c r="I2184" s="5">
        <v>269311.25</v>
      </c>
      <c r="J2184" s="6">
        <v>0.0009</v>
      </c>
      <c r="K2184" s="6">
        <v>0.2389</v>
      </c>
    </row>
    <row r="2185" ht="14.5" spans="1:11">
      <c r="A2185" s="3" t="str">
        <f t="shared" si="123"/>
        <v>2026年</v>
      </c>
      <c r="B2185" s="3" t="str">
        <f t="shared" si="124"/>
        <v>2月</v>
      </c>
      <c r="C2185" s="4" t="str">
        <f t="shared" si="125"/>
        <v>W9</v>
      </c>
      <c r="D2185" s="2" t="s">
        <v>795</v>
      </c>
      <c r="E2185" s="2" t="s">
        <v>821</v>
      </c>
      <c r="F2185" s="2" t="str" cm="1">
        <f t="array" ref="F2185">INDEX(_xlfn.TEXTSPLIT(E2185,"-"),2)</f>
        <v>男装</v>
      </c>
      <c r="G2185" s="2" t="str" cm="1">
        <f t="array" ref="G2185">INDEX(_xlfn.TEXTSPLIT(E2185,"-"),3)</f>
        <v>牛仔裤</v>
      </c>
      <c r="H2185" s="5">
        <v>246266</v>
      </c>
      <c r="I2185" s="5">
        <v>28682483.46</v>
      </c>
      <c r="J2185" s="6">
        <v>0.1004</v>
      </c>
      <c r="K2185" s="6">
        <v>0.0496</v>
      </c>
    </row>
    <row r="2186" ht="14.5" spans="1:11">
      <c r="A2186" s="3" t="str">
        <f t="shared" si="123"/>
        <v>2026年</v>
      </c>
      <c r="B2186" s="3" t="str">
        <f t="shared" si="124"/>
        <v>2月</v>
      </c>
      <c r="C2186" s="4" t="str">
        <f t="shared" si="125"/>
        <v>W9</v>
      </c>
      <c r="D2186" s="2" t="s">
        <v>795</v>
      </c>
      <c r="E2186" s="2" t="s">
        <v>822</v>
      </c>
      <c r="F2186" s="2" t="str" cm="1">
        <f t="array" ref="F2186">INDEX(_xlfn.TEXTSPLIT(E2186,"-"),2)</f>
        <v>男装</v>
      </c>
      <c r="G2186" s="2" t="str" cm="1">
        <f t="array" ref="G2186">INDEX(_xlfn.TEXTSPLIT(E2186,"-"),3)</f>
        <v>皮草</v>
      </c>
      <c r="H2186" s="5">
        <v>292</v>
      </c>
      <c r="I2186" s="5">
        <v>106391.91</v>
      </c>
      <c r="J2186" s="6">
        <v>0.0004</v>
      </c>
      <c r="K2186" s="6">
        <v>-0.6208</v>
      </c>
    </row>
    <row r="2187" ht="14.5" spans="1:11">
      <c r="A2187" s="3" t="str">
        <f t="shared" si="123"/>
        <v>2026年</v>
      </c>
      <c r="B2187" s="3" t="str">
        <f t="shared" si="124"/>
        <v>2月</v>
      </c>
      <c r="C2187" s="4" t="str">
        <f t="shared" si="125"/>
        <v>W9</v>
      </c>
      <c r="D2187" s="2" t="s">
        <v>795</v>
      </c>
      <c r="E2187" s="2" t="s">
        <v>823</v>
      </c>
      <c r="F2187" s="2" t="str" cm="1">
        <f t="array" ref="F2187">INDEX(_xlfn.TEXTSPLIT(E2187,"-"),2)</f>
        <v>男装</v>
      </c>
      <c r="G2187" s="2" t="str" cm="1">
        <f t="array" ref="G2187">INDEX(_xlfn.TEXTSPLIT(E2187,"-"),3)</f>
        <v>皮衣</v>
      </c>
      <c r="H2187" s="5">
        <v>27892</v>
      </c>
      <c r="I2187" s="5">
        <v>11063091.59</v>
      </c>
      <c r="J2187" s="6">
        <v>0.0387</v>
      </c>
      <c r="K2187" s="6">
        <v>-0.0614</v>
      </c>
    </row>
    <row r="2188" ht="14.5" spans="1:11">
      <c r="A2188" s="3" t="str">
        <f t="shared" si="123"/>
        <v>2026年</v>
      </c>
      <c r="B2188" s="3" t="str">
        <f t="shared" si="124"/>
        <v>2月</v>
      </c>
      <c r="C2188" s="4" t="str">
        <f t="shared" si="125"/>
        <v>W9</v>
      </c>
      <c r="D2188" s="2" t="s">
        <v>795</v>
      </c>
      <c r="E2188" s="2" t="s">
        <v>824</v>
      </c>
      <c r="F2188" s="2" t="str" cm="1">
        <f t="array" ref="F2188">INDEX(_xlfn.TEXTSPLIT(E2188,"-"),2)</f>
        <v>男装</v>
      </c>
      <c r="G2188" s="2" t="str" cm="1">
        <f t="array" ref="G2188">INDEX(_xlfn.TEXTSPLIT(E2188,"-"),3)</f>
        <v>皮裤</v>
      </c>
      <c r="H2188" s="5">
        <v>776</v>
      </c>
      <c r="I2188" s="5">
        <v>88197.99</v>
      </c>
      <c r="J2188" s="6">
        <v>0.0003</v>
      </c>
      <c r="K2188" s="6">
        <v>0.3259</v>
      </c>
    </row>
    <row r="2189" ht="14.5" spans="1:11">
      <c r="A2189" s="3" t="str">
        <f t="shared" si="123"/>
        <v>2026年</v>
      </c>
      <c r="B2189" s="3" t="str">
        <f t="shared" si="124"/>
        <v>2月</v>
      </c>
      <c r="C2189" s="4" t="str">
        <f t="shared" si="125"/>
        <v>W9</v>
      </c>
      <c r="D2189" s="2" t="s">
        <v>795</v>
      </c>
      <c r="E2189" s="2" t="s">
        <v>825</v>
      </c>
      <c r="F2189" s="2" t="str" cm="1">
        <f t="array" ref="F2189">INDEX(_xlfn.TEXTSPLIT(E2189,"-"),2)</f>
        <v>男装</v>
      </c>
      <c r="G2189" s="2" t="str" cm="1">
        <f t="array" ref="G2189">INDEX(_xlfn.TEXTSPLIT(E2189,"-"),3)</f>
        <v>短外套</v>
      </c>
      <c r="H2189" s="5">
        <v>16651</v>
      </c>
      <c r="I2189" s="5">
        <v>1427035.83</v>
      </c>
      <c r="J2189" s="6">
        <v>0.005</v>
      </c>
      <c r="K2189" s="6">
        <v>-0.1093</v>
      </c>
    </row>
    <row r="2190" ht="14.5" spans="1:11">
      <c r="A2190" s="3" t="str">
        <f t="shared" si="123"/>
        <v>2026年</v>
      </c>
      <c r="B2190" s="3" t="str">
        <f t="shared" si="124"/>
        <v>2月</v>
      </c>
      <c r="C2190" s="4" t="str">
        <f t="shared" si="125"/>
        <v>W9</v>
      </c>
      <c r="D2190" s="2" t="s">
        <v>795</v>
      </c>
      <c r="E2190" s="2" t="s">
        <v>826</v>
      </c>
      <c r="F2190" s="2" t="str" cm="1">
        <f t="array" ref="F2190">INDEX(_xlfn.TEXTSPLIT(E2190,"-"),2)</f>
        <v>男装</v>
      </c>
      <c r="G2190" s="2" t="str" cm="1">
        <f t="array" ref="G2190">INDEX(_xlfn.TEXTSPLIT(E2190,"-"),3)</f>
        <v>短裤</v>
      </c>
      <c r="H2190" s="5">
        <v>61644</v>
      </c>
      <c r="I2190" s="5">
        <v>2715085.45</v>
      </c>
      <c r="J2190" s="6">
        <v>0.0095</v>
      </c>
      <c r="K2190" s="6">
        <v>0.0745</v>
      </c>
    </row>
    <row r="2191" ht="14.5" spans="1:11">
      <c r="A2191" s="3" t="str">
        <f t="shared" si="123"/>
        <v>2026年</v>
      </c>
      <c r="B2191" s="3" t="str">
        <f t="shared" si="124"/>
        <v>2月</v>
      </c>
      <c r="C2191" s="4" t="str">
        <f t="shared" si="125"/>
        <v>W9</v>
      </c>
      <c r="D2191" s="2" t="s">
        <v>795</v>
      </c>
      <c r="E2191" s="2" t="s">
        <v>827</v>
      </c>
      <c r="F2191" s="2" t="str" cm="1">
        <f t="array" ref="F2191">INDEX(_xlfn.TEXTSPLIT(E2191,"-"),2)</f>
        <v>男装</v>
      </c>
      <c r="G2191" s="2" t="str" cm="1">
        <f t="array" ref="G2191">INDEX(_xlfn.TEXTSPLIT(E2191,"-"),3)</f>
        <v>紧身衣</v>
      </c>
      <c r="H2191" s="5">
        <v>287</v>
      </c>
      <c r="I2191" s="5">
        <v>8478.12</v>
      </c>
      <c r="J2191" s="2" t="s">
        <v>713</v>
      </c>
      <c r="K2191" s="6">
        <v>-0.2342</v>
      </c>
    </row>
    <row r="2192" ht="14.5" spans="1:11">
      <c r="A2192" s="3" t="str">
        <f t="shared" si="123"/>
        <v>2026年</v>
      </c>
      <c r="B2192" s="3" t="str">
        <f t="shared" si="124"/>
        <v>2月</v>
      </c>
      <c r="C2192" s="4" t="str">
        <f t="shared" si="125"/>
        <v>W9</v>
      </c>
      <c r="D2192" s="2" t="s">
        <v>795</v>
      </c>
      <c r="E2192" s="2" t="s">
        <v>828</v>
      </c>
      <c r="F2192" s="2" t="str" cm="1">
        <f t="array" ref="F2192">INDEX(_xlfn.TEXTSPLIT(E2192,"-"),2)</f>
        <v>男装</v>
      </c>
      <c r="G2192" s="2" t="str" cm="1">
        <f t="array" ref="G2192">INDEX(_xlfn.TEXTSPLIT(E2192,"-"),3)</f>
        <v>羊毛衫</v>
      </c>
      <c r="H2192" s="5">
        <v>23278</v>
      </c>
      <c r="I2192" s="5">
        <v>3029306.59</v>
      </c>
      <c r="J2192" s="6">
        <v>0.0106</v>
      </c>
      <c r="K2192" s="6">
        <v>0.0933</v>
      </c>
    </row>
    <row r="2193" ht="14.5" spans="1:11">
      <c r="A2193" s="3" t="str">
        <f t="shared" si="123"/>
        <v>2026年</v>
      </c>
      <c r="B2193" s="3" t="str">
        <f t="shared" si="124"/>
        <v>2月</v>
      </c>
      <c r="C2193" s="4" t="str">
        <f t="shared" si="125"/>
        <v>W9</v>
      </c>
      <c r="D2193" s="2" t="s">
        <v>795</v>
      </c>
      <c r="E2193" s="2" t="s">
        <v>829</v>
      </c>
      <c r="F2193" s="2" t="str" cm="1">
        <f t="array" ref="F2193">INDEX(_xlfn.TEXTSPLIT(E2193,"-"),2)</f>
        <v>男装</v>
      </c>
      <c r="G2193" s="2" t="str" cm="1">
        <f t="array" ref="G2193">INDEX(_xlfn.TEXTSPLIT(E2193,"-"),3)</f>
        <v>羊绒衫</v>
      </c>
      <c r="H2193" s="5">
        <v>3383</v>
      </c>
      <c r="I2193" s="5">
        <v>806570.29</v>
      </c>
      <c r="J2193" s="6">
        <v>0.0028</v>
      </c>
      <c r="K2193" s="6">
        <v>0.1771</v>
      </c>
    </row>
    <row r="2194" ht="14.5" spans="1:11">
      <c r="A2194" s="3" t="str">
        <f t="shared" si="123"/>
        <v>2026年</v>
      </c>
      <c r="B2194" s="3" t="str">
        <f t="shared" si="124"/>
        <v>2月</v>
      </c>
      <c r="C2194" s="4" t="str">
        <f t="shared" si="125"/>
        <v>W9</v>
      </c>
      <c r="D2194" s="2" t="s">
        <v>795</v>
      </c>
      <c r="E2194" s="2" t="s">
        <v>830</v>
      </c>
      <c r="F2194" s="2" t="str" cm="1">
        <f t="array" ref="F2194">INDEX(_xlfn.TEXTSPLIT(E2194,"-"),2)</f>
        <v>男装</v>
      </c>
      <c r="G2194" s="2" t="str" cm="1">
        <f t="array" ref="G2194">INDEX(_xlfn.TEXTSPLIT(E2194,"-"),3)</f>
        <v>羽绒服</v>
      </c>
      <c r="H2194" s="5">
        <v>44010</v>
      </c>
      <c r="I2194" s="5">
        <v>10271031.2</v>
      </c>
      <c r="J2194" s="6">
        <v>0.036</v>
      </c>
      <c r="K2194" s="6">
        <v>-0.1606</v>
      </c>
    </row>
    <row r="2195" ht="14.5" spans="1:11">
      <c r="A2195" s="3" t="str">
        <f t="shared" si="123"/>
        <v>2026年</v>
      </c>
      <c r="B2195" s="3" t="str">
        <f t="shared" si="124"/>
        <v>2月</v>
      </c>
      <c r="C2195" s="4" t="str">
        <f t="shared" si="125"/>
        <v>W9</v>
      </c>
      <c r="D2195" s="2" t="s">
        <v>795</v>
      </c>
      <c r="E2195" s="2" t="s">
        <v>831</v>
      </c>
      <c r="F2195" s="2" t="str" cm="1">
        <f t="array" ref="F2195">INDEX(_xlfn.TEXTSPLIT(E2195,"-"),2)</f>
        <v>男装</v>
      </c>
      <c r="G2195" s="2" t="str" cm="1">
        <f t="array" ref="G2195">INDEX(_xlfn.TEXTSPLIT(E2195,"-"),3)</f>
        <v>羽绒裤</v>
      </c>
      <c r="H2195" s="5">
        <v>339</v>
      </c>
      <c r="I2195" s="5">
        <v>34445.76</v>
      </c>
      <c r="J2195" s="6">
        <v>0.0001</v>
      </c>
      <c r="K2195" s="6">
        <v>-0.0863</v>
      </c>
    </row>
    <row r="2196" ht="14.5" spans="1:11">
      <c r="A2196" s="3" t="str">
        <f t="shared" si="123"/>
        <v>2026年</v>
      </c>
      <c r="B2196" s="3" t="str">
        <f t="shared" si="124"/>
        <v>2月</v>
      </c>
      <c r="C2196" s="4" t="str">
        <f t="shared" si="125"/>
        <v>W9</v>
      </c>
      <c r="D2196" s="2" t="s">
        <v>795</v>
      </c>
      <c r="E2196" s="2" t="s">
        <v>832</v>
      </c>
      <c r="F2196" s="2" t="str" cm="1">
        <f t="array" ref="F2196">INDEX(_xlfn.TEXTSPLIT(E2196,"-"),2)</f>
        <v>男装</v>
      </c>
      <c r="G2196" s="2" t="str" cm="1">
        <f t="array" ref="G2196">INDEX(_xlfn.TEXTSPLIT(E2196,"-"),3)</f>
        <v>羽绒马甲</v>
      </c>
      <c r="H2196" s="5">
        <v>2357</v>
      </c>
      <c r="I2196" s="5">
        <v>431322.56</v>
      </c>
      <c r="J2196" s="6">
        <v>0.0015</v>
      </c>
      <c r="K2196" s="6">
        <v>0.1204</v>
      </c>
    </row>
    <row r="2197" ht="14.5" spans="1:11">
      <c r="A2197" s="3" t="str">
        <f t="shared" si="123"/>
        <v>2026年</v>
      </c>
      <c r="B2197" s="3" t="str">
        <f t="shared" si="124"/>
        <v>2月</v>
      </c>
      <c r="C2197" s="4" t="str">
        <f t="shared" si="125"/>
        <v>W9</v>
      </c>
      <c r="D2197" s="2" t="s">
        <v>795</v>
      </c>
      <c r="E2197" s="2" t="s">
        <v>833</v>
      </c>
      <c r="F2197" s="2" t="str" cm="1">
        <f t="array" ref="F2197">INDEX(_xlfn.TEXTSPLIT(E2197,"-"),2)</f>
        <v>男装</v>
      </c>
      <c r="G2197" s="2" t="str" cm="1">
        <f t="array" ref="G2197">INDEX(_xlfn.TEXTSPLIT(E2197,"-"),3)</f>
        <v>背心</v>
      </c>
      <c r="H2197" s="5">
        <v>29197</v>
      </c>
      <c r="I2197" s="5">
        <v>1553823.09</v>
      </c>
      <c r="J2197" s="6">
        <v>0.0054</v>
      </c>
      <c r="K2197" s="6">
        <v>0.0767</v>
      </c>
    </row>
    <row r="2198" ht="14.5" spans="1:11">
      <c r="A2198" s="3" t="str">
        <f t="shared" si="123"/>
        <v>2026年</v>
      </c>
      <c r="B2198" s="3" t="str">
        <f t="shared" si="124"/>
        <v>2月</v>
      </c>
      <c r="C2198" s="4" t="str">
        <f t="shared" si="125"/>
        <v>W9</v>
      </c>
      <c r="D2198" s="2" t="s">
        <v>795</v>
      </c>
      <c r="E2198" s="2" t="s">
        <v>834</v>
      </c>
      <c r="F2198" s="2" t="str" cm="1">
        <f t="array" ref="F2198">INDEX(_xlfn.TEXTSPLIT(E2198,"-"),2)</f>
        <v>男装</v>
      </c>
      <c r="G2198" s="2" t="str" cm="1">
        <f t="array" ref="G2198">INDEX(_xlfn.TEXTSPLIT(E2198,"-"),3)</f>
        <v>衬衫</v>
      </c>
      <c r="H2198" s="5">
        <v>89646</v>
      </c>
      <c r="I2198" s="5">
        <v>10936138.2</v>
      </c>
      <c r="J2198" s="6">
        <v>0.0383</v>
      </c>
      <c r="K2198" s="6">
        <v>0.0475</v>
      </c>
    </row>
    <row r="2199" ht="14.5" spans="1:11">
      <c r="A2199" s="3" t="str">
        <f t="shared" si="123"/>
        <v>2026年</v>
      </c>
      <c r="B2199" s="3" t="str">
        <f t="shared" si="124"/>
        <v>2月</v>
      </c>
      <c r="C2199" s="4" t="str">
        <f t="shared" si="125"/>
        <v>W9</v>
      </c>
      <c r="D2199" s="2" t="s">
        <v>795</v>
      </c>
      <c r="E2199" s="2" t="s">
        <v>835</v>
      </c>
      <c r="F2199" s="2" t="str" cm="1">
        <f t="array" ref="F2199">INDEX(_xlfn.TEXTSPLIT(E2199,"-"),2)</f>
        <v>男装</v>
      </c>
      <c r="G2199" s="2" t="str" cm="1">
        <f t="array" ref="G2199">INDEX(_xlfn.TEXTSPLIT(E2199,"-"),3)</f>
        <v>西服</v>
      </c>
      <c r="H2199" s="5">
        <v>53824</v>
      </c>
      <c r="I2199" s="5">
        <v>12848250.96</v>
      </c>
      <c r="J2199" s="6">
        <v>0.045</v>
      </c>
      <c r="K2199" s="6">
        <v>0.0349</v>
      </c>
    </row>
    <row r="2200" ht="14.5" spans="1:11">
      <c r="A2200" s="3" t="str">
        <f t="shared" si="123"/>
        <v>2026年</v>
      </c>
      <c r="B2200" s="3" t="str">
        <f t="shared" si="124"/>
        <v>2月</v>
      </c>
      <c r="C2200" s="4" t="str">
        <f t="shared" si="125"/>
        <v>W9</v>
      </c>
      <c r="D2200" s="2" t="s">
        <v>795</v>
      </c>
      <c r="E2200" s="2" t="s">
        <v>836</v>
      </c>
      <c r="F2200" s="2" t="str" cm="1">
        <f t="array" ref="F2200">INDEX(_xlfn.TEXTSPLIT(E2200,"-"),2)</f>
        <v>男装</v>
      </c>
      <c r="G2200" s="2" t="str" cm="1">
        <f t="array" ref="G2200">INDEX(_xlfn.TEXTSPLIT(E2200,"-"),3)</f>
        <v>连体衣/裤</v>
      </c>
      <c r="H2200" s="5">
        <v>271</v>
      </c>
      <c r="I2200" s="5">
        <v>6595.79</v>
      </c>
      <c r="J2200" s="2" t="s">
        <v>713</v>
      </c>
      <c r="K2200" s="6">
        <v>-0.9163</v>
      </c>
    </row>
    <row r="2201" ht="14.5" spans="1:11">
      <c r="A2201" s="3" t="str">
        <f t="shared" si="123"/>
        <v>2026年</v>
      </c>
      <c r="B2201" s="3" t="str">
        <f t="shared" si="124"/>
        <v>2月</v>
      </c>
      <c r="C2201" s="4" t="str">
        <f t="shared" si="125"/>
        <v>W9</v>
      </c>
      <c r="D2201" s="2" t="s">
        <v>795</v>
      </c>
      <c r="E2201" s="2" t="s">
        <v>837</v>
      </c>
      <c r="F2201" s="2" t="str" cm="1">
        <f t="array" ref="F2201">INDEX(_xlfn.TEXTSPLIT(E2201,"-"),2)</f>
        <v>男装</v>
      </c>
      <c r="G2201" s="2" t="str" cm="1">
        <f t="array" ref="G2201">INDEX(_xlfn.TEXTSPLIT(E2201,"-"),3)</f>
        <v>速干/三防T恤</v>
      </c>
      <c r="H2201" s="5">
        <v>1622</v>
      </c>
      <c r="I2201" s="5">
        <v>216018.21</v>
      </c>
      <c r="J2201" s="6">
        <v>0.0008</v>
      </c>
      <c r="K2201" s="6">
        <v>0.0437</v>
      </c>
    </row>
    <row r="2202" ht="14.5" spans="1:11">
      <c r="A2202" s="3" t="str">
        <f t="shared" si="123"/>
        <v>2026年</v>
      </c>
      <c r="B2202" s="3" t="str">
        <f t="shared" si="124"/>
        <v>2月</v>
      </c>
      <c r="C2202" s="4" t="str">
        <f t="shared" si="125"/>
        <v>W9</v>
      </c>
      <c r="D2202" s="2" t="s">
        <v>795</v>
      </c>
      <c r="E2202" s="2" t="s">
        <v>838</v>
      </c>
      <c r="F2202" s="2" t="str" cm="1">
        <f t="array" ref="F2202">INDEX(_xlfn.TEXTSPLIT(E2202,"-"),2)</f>
        <v>男装</v>
      </c>
      <c r="G2202" s="2" t="str" cm="1">
        <f t="array" ref="G2202">INDEX(_xlfn.TEXTSPLIT(E2202,"-"),3)</f>
        <v>针织衫/毛衣</v>
      </c>
      <c r="H2202" s="5">
        <v>71969</v>
      </c>
      <c r="I2202" s="5">
        <v>9246442.85</v>
      </c>
      <c r="J2202" s="6">
        <v>0.0324</v>
      </c>
      <c r="K2202" s="6">
        <v>0.0011</v>
      </c>
    </row>
    <row r="2203" ht="14.5" spans="1:11">
      <c r="A2203" s="3" t="str">
        <f t="shared" si="123"/>
        <v>2026年</v>
      </c>
      <c r="B2203" s="3" t="str">
        <f t="shared" si="124"/>
        <v>2月</v>
      </c>
      <c r="C2203" s="4" t="str">
        <f t="shared" si="125"/>
        <v>W9</v>
      </c>
      <c r="D2203" s="2" t="s">
        <v>795</v>
      </c>
      <c r="E2203" s="2" t="s">
        <v>839</v>
      </c>
      <c r="F2203" s="2" t="str" cm="1">
        <f t="array" ref="F2203">INDEX(_xlfn.TEXTSPLIT(E2203,"-"),2)</f>
        <v>男装</v>
      </c>
      <c r="G2203" s="2" t="str" cm="1">
        <f t="array" ref="G2203">INDEX(_xlfn.TEXTSPLIT(E2203,"-"),3)</f>
        <v>防晒服</v>
      </c>
      <c r="H2203" s="5">
        <v>5669</v>
      </c>
      <c r="I2203" s="5">
        <v>773805.06</v>
      </c>
      <c r="J2203" s="6">
        <v>0.0027</v>
      </c>
      <c r="K2203" s="6">
        <v>-0.4444</v>
      </c>
    </row>
    <row r="2204" ht="14.5" spans="1:11">
      <c r="A2204" s="3" t="str">
        <f t="shared" si="123"/>
        <v>2026年</v>
      </c>
      <c r="B2204" s="3" t="str">
        <f t="shared" si="124"/>
        <v>2月</v>
      </c>
      <c r="C2204" s="4" t="str">
        <f t="shared" si="125"/>
        <v>W9</v>
      </c>
      <c r="D2204" s="2" t="s">
        <v>795</v>
      </c>
      <c r="E2204" s="2" t="s">
        <v>840</v>
      </c>
      <c r="F2204" s="2" t="str" cm="1">
        <f t="array" ref="F2204">INDEX(_xlfn.TEXTSPLIT(E2204,"-"),2)</f>
        <v>男装</v>
      </c>
      <c r="G2204" s="2" t="str" cm="1">
        <f t="array" ref="G2204">INDEX(_xlfn.TEXTSPLIT(E2204,"-"),3)</f>
        <v>风衣</v>
      </c>
      <c r="H2204" s="5">
        <v>8610</v>
      </c>
      <c r="I2204" s="5">
        <v>2267210.44</v>
      </c>
      <c r="J2204" s="6">
        <v>0.0079</v>
      </c>
      <c r="K2204" s="6">
        <v>0.0615</v>
      </c>
    </row>
    <row r="2205" ht="14.5" spans="1:11">
      <c r="A2205" s="3" t="str">
        <f t="shared" si="123"/>
        <v>2026年</v>
      </c>
      <c r="B2205" s="3" t="str">
        <f t="shared" si="124"/>
        <v>2月</v>
      </c>
      <c r="C2205" s="4" t="str">
        <f t="shared" si="125"/>
        <v>W9</v>
      </c>
      <c r="D2205" s="2" t="s">
        <v>795</v>
      </c>
      <c r="E2205" s="2" t="s">
        <v>841</v>
      </c>
      <c r="F2205" s="2" t="str" cm="1">
        <f t="array" ref="F2205">INDEX(_xlfn.TEXTSPLIT(E2205,"-"),2)</f>
        <v>男装</v>
      </c>
      <c r="G2205" s="2" t="str" cm="1">
        <f t="array" ref="G2205">INDEX(_xlfn.TEXTSPLIT(E2205,"-"),3)</f>
        <v>马甲</v>
      </c>
      <c r="H2205" s="5">
        <v>18160</v>
      </c>
      <c r="I2205" s="5">
        <v>2301002.55</v>
      </c>
      <c r="J2205" s="6">
        <v>0.0081</v>
      </c>
      <c r="K2205" s="6">
        <v>0.1255</v>
      </c>
    </row>
    <row r="2206" ht="14.5" spans="1:11">
      <c r="A2206" s="3" t="str">
        <f t="shared" si="123"/>
        <v>2026年</v>
      </c>
      <c r="B2206" s="3" t="str">
        <f t="shared" si="124"/>
        <v>2月</v>
      </c>
      <c r="C2206" s="4" t="str">
        <f t="shared" si="125"/>
        <v>W9</v>
      </c>
      <c r="D2206" s="2" t="s">
        <v>796</v>
      </c>
      <c r="E2206" s="2" t="s">
        <v>804</v>
      </c>
      <c r="F2206" s="2" t="str" cm="1">
        <f t="array" ref="F2206">INDEX(_xlfn.TEXTSPLIT(E2206,"-"),2)</f>
        <v>男装</v>
      </c>
      <c r="G2206" s="2" t="str" cm="1">
        <f t="array" ref="G2206">INDEX(_xlfn.TEXTSPLIT(E2206,"-"),3)</f>
        <v>Polo衫</v>
      </c>
      <c r="H2206" s="5">
        <v>56288</v>
      </c>
      <c r="I2206" s="5">
        <v>5937608.14</v>
      </c>
      <c r="J2206" s="6">
        <v>0.0275</v>
      </c>
      <c r="K2206" s="6">
        <v>-0.2457</v>
      </c>
    </row>
    <row r="2207" ht="14.5" spans="1:11">
      <c r="A2207" s="3" t="str">
        <f t="shared" si="123"/>
        <v>2026年</v>
      </c>
      <c r="B2207" s="3" t="str">
        <f t="shared" si="124"/>
        <v>2月</v>
      </c>
      <c r="C2207" s="4" t="str">
        <f t="shared" si="125"/>
        <v>W9</v>
      </c>
      <c r="D2207" s="2" t="s">
        <v>796</v>
      </c>
      <c r="E2207" s="2" t="s">
        <v>805</v>
      </c>
      <c r="F2207" s="2" t="str" cm="1">
        <f t="array" ref="F2207">INDEX(_xlfn.TEXTSPLIT(E2207,"-"),2)</f>
        <v>男装</v>
      </c>
      <c r="G2207" s="2" t="str" cm="1">
        <f t="array" ref="G2207">INDEX(_xlfn.TEXTSPLIT(E2207,"-"),3)</f>
        <v>T恤</v>
      </c>
      <c r="H2207" s="5">
        <v>437477</v>
      </c>
      <c r="I2207" s="5">
        <v>29230968.83</v>
      </c>
      <c r="J2207" s="6">
        <v>0.1352</v>
      </c>
      <c r="K2207" s="6">
        <v>-0.2885</v>
      </c>
    </row>
    <row r="2208" ht="14.5" spans="1:11">
      <c r="A2208" s="3" t="str">
        <f t="shared" ref="A2208:A2243" si="126">TEXT(YEAR(D2208),"0")&amp;"年"</f>
        <v>2026年</v>
      </c>
      <c r="B2208" s="3" t="str">
        <f t="shared" ref="B2208:B2243" si="127">TEXT(MONTH(D2208),"0")&amp;"月"</f>
        <v>2月</v>
      </c>
      <c r="C2208" s="4" t="str">
        <f t="shared" ref="C2208:C2243" si="128">"W"&amp;TEXT(WEEKNUM(D2208,2),"0")</f>
        <v>W9</v>
      </c>
      <c r="D2208" s="2" t="s">
        <v>796</v>
      </c>
      <c r="E2208" s="2" t="s">
        <v>806</v>
      </c>
      <c r="F2208" s="2" t="str" cm="1">
        <f t="array" ref="F2208">INDEX(_xlfn.TEXTSPLIT(E2208,"-"),2)</f>
        <v>男装</v>
      </c>
      <c r="G2208" s="2" t="str" cm="1">
        <f t="array" ref="G2208">INDEX(_xlfn.TEXTSPLIT(E2208,"-"),3)</f>
        <v>中老年男装</v>
      </c>
      <c r="H2208" s="5">
        <v>15457</v>
      </c>
      <c r="I2208" s="5">
        <v>1241409.58</v>
      </c>
      <c r="J2208" s="6">
        <v>0.0057</v>
      </c>
      <c r="K2208" s="6">
        <v>-0.2251</v>
      </c>
    </row>
    <row r="2209" ht="14.5" spans="1:11">
      <c r="A2209" s="3" t="str">
        <f t="shared" si="126"/>
        <v>2026年</v>
      </c>
      <c r="B2209" s="3" t="str">
        <f t="shared" si="127"/>
        <v>2月</v>
      </c>
      <c r="C2209" s="4" t="str">
        <f t="shared" si="128"/>
        <v>W9</v>
      </c>
      <c r="D2209" s="2" t="s">
        <v>796</v>
      </c>
      <c r="E2209" s="2" t="s">
        <v>807</v>
      </c>
      <c r="F2209" s="2" t="str" cm="1">
        <f t="array" ref="F2209">INDEX(_xlfn.TEXTSPLIT(E2209,"-"),2)</f>
        <v>男装</v>
      </c>
      <c r="G2209" s="2" t="str" cm="1">
        <f t="array" ref="G2209">INDEX(_xlfn.TEXTSPLIT(E2209,"-"),3)</f>
        <v>休闲裤</v>
      </c>
      <c r="H2209" s="5">
        <v>273707</v>
      </c>
      <c r="I2209" s="5">
        <v>27406098.41</v>
      </c>
      <c r="J2209" s="6">
        <v>0.1267</v>
      </c>
      <c r="K2209" s="6">
        <v>-0.1979</v>
      </c>
    </row>
    <row r="2210" ht="14.5" spans="1:11">
      <c r="A2210" s="3" t="str">
        <f t="shared" si="126"/>
        <v>2026年</v>
      </c>
      <c r="B2210" s="3" t="str">
        <f t="shared" si="127"/>
        <v>2月</v>
      </c>
      <c r="C2210" s="4" t="str">
        <f t="shared" si="128"/>
        <v>W9</v>
      </c>
      <c r="D2210" s="2" t="s">
        <v>796</v>
      </c>
      <c r="E2210" s="2" t="s">
        <v>808</v>
      </c>
      <c r="F2210" s="2" t="str" cm="1">
        <f t="array" ref="F2210">INDEX(_xlfn.TEXTSPLIT(E2210,"-"),2)</f>
        <v>男装</v>
      </c>
      <c r="G2210" s="2" t="str" cm="1">
        <f t="array" ref="G2210">INDEX(_xlfn.TEXTSPLIT(E2210,"-"),3)</f>
        <v>卫衣</v>
      </c>
      <c r="H2210" s="5">
        <v>137876</v>
      </c>
      <c r="I2210" s="5">
        <v>14343071.42</v>
      </c>
      <c r="J2210" s="6">
        <v>0.0663</v>
      </c>
      <c r="K2210" s="6">
        <v>-0.217</v>
      </c>
    </row>
    <row r="2211" ht="14.5" spans="1:11">
      <c r="A2211" s="3" t="str">
        <f t="shared" si="126"/>
        <v>2026年</v>
      </c>
      <c r="B2211" s="3" t="str">
        <f t="shared" si="127"/>
        <v>2月</v>
      </c>
      <c r="C2211" s="4" t="str">
        <f t="shared" si="128"/>
        <v>W9</v>
      </c>
      <c r="D2211" s="2" t="s">
        <v>796</v>
      </c>
      <c r="E2211" s="2" t="s">
        <v>809</v>
      </c>
      <c r="F2211" s="2" t="str" cm="1">
        <f t="array" ref="F2211">INDEX(_xlfn.TEXTSPLIT(E2211,"-"),2)</f>
        <v>男装</v>
      </c>
      <c r="G2211" s="2" t="str" cm="1">
        <f t="array" ref="G2211">INDEX(_xlfn.TEXTSPLIT(E2211,"-"),3)</f>
        <v>卫裤</v>
      </c>
      <c r="H2211" s="5">
        <v>38663</v>
      </c>
      <c r="I2211" s="5">
        <v>3686301.04</v>
      </c>
      <c r="J2211" s="6">
        <v>0.017</v>
      </c>
      <c r="K2211" s="6">
        <v>-0.1489</v>
      </c>
    </row>
    <row r="2212" ht="14.5" spans="1:11">
      <c r="A2212" s="3" t="str">
        <f t="shared" si="126"/>
        <v>2026年</v>
      </c>
      <c r="B2212" s="3" t="str">
        <f t="shared" si="127"/>
        <v>2月</v>
      </c>
      <c r="C2212" s="4" t="str">
        <f t="shared" si="128"/>
        <v>W9</v>
      </c>
      <c r="D2212" s="2" t="s">
        <v>796</v>
      </c>
      <c r="E2212" s="2" t="s">
        <v>810</v>
      </c>
      <c r="F2212" s="2" t="str" cm="1">
        <f t="array" ref="F2212">INDEX(_xlfn.TEXTSPLIT(E2212,"-"),2)</f>
        <v>男装</v>
      </c>
      <c r="G2212" s="2" t="str" cm="1">
        <f t="array" ref="G2212">INDEX(_xlfn.TEXTSPLIT(E2212,"-"),3)</f>
        <v>大码男装</v>
      </c>
      <c r="H2212" s="5">
        <v>16501</v>
      </c>
      <c r="I2212" s="5">
        <v>1277393.68</v>
      </c>
      <c r="J2212" s="6">
        <v>0.0059</v>
      </c>
      <c r="K2212" s="6">
        <v>-0.4918</v>
      </c>
    </row>
    <row r="2213" ht="14.5" spans="1:11">
      <c r="A2213" s="3" t="str">
        <f t="shared" si="126"/>
        <v>2026年</v>
      </c>
      <c r="B2213" s="3" t="str">
        <f t="shared" si="127"/>
        <v>2月</v>
      </c>
      <c r="C2213" s="4" t="str">
        <f t="shared" si="128"/>
        <v>W9</v>
      </c>
      <c r="D2213" s="2" t="s">
        <v>796</v>
      </c>
      <c r="E2213" s="2" t="s">
        <v>811</v>
      </c>
      <c r="F2213" s="2" t="str" cm="1">
        <f t="array" ref="F2213">INDEX(_xlfn.TEXTSPLIT(E2213,"-"),2)</f>
        <v>男装</v>
      </c>
      <c r="G2213" s="2" t="str" cm="1">
        <f t="array" ref="G2213">INDEX(_xlfn.TEXTSPLIT(E2213,"-"),3)</f>
        <v>夹克</v>
      </c>
      <c r="H2213" s="5">
        <v>270399</v>
      </c>
      <c r="I2213" s="5">
        <v>50441879.21</v>
      </c>
      <c r="J2213" s="6">
        <v>0.2332</v>
      </c>
      <c r="K2213" s="6">
        <v>-0.1867</v>
      </c>
    </row>
    <row r="2214" ht="14.5" spans="1:11">
      <c r="A2214" s="3" t="str">
        <f t="shared" si="126"/>
        <v>2026年</v>
      </c>
      <c r="B2214" s="3" t="str">
        <f t="shared" si="127"/>
        <v>2月</v>
      </c>
      <c r="C2214" s="4" t="str">
        <f t="shared" si="128"/>
        <v>W9</v>
      </c>
      <c r="D2214" s="2" t="s">
        <v>796</v>
      </c>
      <c r="E2214" s="2" t="s">
        <v>812</v>
      </c>
      <c r="F2214" s="2" t="str" cm="1">
        <f t="array" ref="F2214">INDEX(_xlfn.TEXTSPLIT(E2214,"-"),2)</f>
        <v>男装</v>
      </c>
      <c r="G2214" s="2" t="str" cm="1">
        <f t="array" ref="G2214">INDEX(_xlfn.TEXTSPLIT(E2214,"-"),3)</f>
        <v>套装</v>
      </c>
      <c r="H2214" s="5">
        <v>28901</v>
      </c>
      <c r="I2214" s="5">
        <v>4466584.8</v>
      </c>
      <c r="J2214" s="6">
        <v>0.0207</v>
      </c>
      <c r="K2214" s="6">
        <v>-0.2712</v>
      </c>
    </row>
    <row r="2215" ht="14.5" spans="1:11">
      <c r="A2215" s="3" t="str">
        <f t="shared" si="126"/>
        <v>2026年</v>
      </c>
      <c r="B2215" s="3" t="str">
        <f t="shared" si="127"/>
        <v>2月</v>
      </c>
      <c r="C2215" s="4" t="str">
        <f t="shared" si="128"/>
        <v>W9</v>
      </c>
      <c r="D2215" s="2" t="s">
        <v>796</v>
      </c>
      <c r="E2215" s="2" t="s">
        <v>813</v>
      </c>
      <c r="F2215" s="2" t="str" cm="1">
        <f t="array" ref="F2215">INDEX(_xlfn.TEXTSPLIT(E2215,"-"),2)</f>
        <v>男装</v>
      </c>
      <c r="G2215" s="2" t="str" cm="1">
        <f t="array" ref="G2215">INDEX(_xlfn.TEXTSPLIT(E2215,"-"),3)</f>
        <v>学生校服</v>
      </c>
      <c r="H2215" s="5">
        <v>49</v>
      </c>
      <c r="I2215" s="5">
        <v>1967.76</v>
      </c>
      <c r="J2215" s="2" t="s">
        <v>713</v>
      </c>
      <c r="K2215" s="6">
        <v>1.8624</v>
      </c>
    </row>
    <row r="2216" ht="14.5" spans="1:11">
      <c r="A2216" s="3" t="str">
        <f t="shared" si="126"/>
        <v>2026年</v>
      </c>
      <c r="B2216" s="3" t="str">
        <f t="shared" si="127"/>
        <v>2月</v>
      </c>
      <c r="C2216" s="4" t="str">
        <f t="shared" si="128"/>
        <v>W9</v>
      </c>
      <c r="D2216" s="2" t="s">
        <v>796</v>
      </c>
      <c r="E2216" s="2" t="s">
        <v>814</v>
      </c>
      <c r="F2216" s="2" t="str" cm="1">
        <f t="array" ref="F2216">INDEX(_xlfn.TEXTSPLIT(E2216,"-"),2)</f>
        <v>男装</v>
      </c>
      <c r="G2216" s="2" t="str" cm="1">
        <f t="array" ref="G2216">INDEX(_xlfn.TEXTSPLIT(E2216,"-"),3)</f>
        <v>打底衫</v>
      </c>
      <c r="H2216" s="5">
        <v>3674</v>
      </c>
      <c r="I2216" s="5">
        <v>134334.02</v>
      </c>
      <c r="J2216" s="6">
        <v>0.0006</v>
      </c>
      <c r="K2216" s="6">
        <v>-0.6939</v>
      </c>
    </row>
    <row r="2217" ht="14.5" spans="1:11">
      <c r="A2217" s="3" t="str">
        <f t="shared" si="126"/>
        <v>2026年</v>
      </c>
      <c r="B2217" s="3" t="str">
        <f t="shared" si="127"/>
        <v>2月</v>
      </c>
      <c r="C2217" s="4" t="str">
        <f t="shared" si="128"/>
        <v>W9</v>
      </c>
      <c r="D2217" s="2" t="s">
        <v>796</v>
      </c>
      <c r="E2217" s="2" t="s">
        <v>815</v>
      </c>
      <c r="F2217" s="2" t="str" cm="1">
        <f t="array" ref="F2217">INDEX(_xlfn.TEXTSPLIT(E2217,"-"),2)</f>
        <v>男装</v>
      </c>
      <c r="G2217" s="2" t="str" cm="1">
        <f t="array" ref="G2217">INDEX(_xlfn.TEXTSPLIT(E2217,"-"),3)</f>
        <v>新中式男装</v>
      </c>
      <c r="H2217" s="5">
        <v>271</v>
      </c>
      <c r="I2217" s="5">
        <v>70640.67</v>
      </c>
      <c r="J2217" s="6">
        <v>0.0003</v>
      </c>
      <c r="K2217" s="6">
        <v>-0.4338</v>
      </c>
    </row>
    <row r="2218" ht="14.5" spans="1:11">
      <c r="A2218" s="3" t="str">
        <f t="shared" si="126"/>
        <v>2026年</v>
      </c>
      <c r="B2218" s="3" t="str">
        <f t="shared" si="127"/>
        <v>2月</v>
      </c>
      <c r="C2218" s="4" t="str">
        <f t="shared" si="128"/>
        <v>W9</v>
      </c>
      <c r="D2218" s="2" t="s">
        <v>796</v>
      </c>
      <c r="E2218" s="2" t="s">
        <v>816</v>
      </c>
      <c r="F2218" s="2" t="str" cm="1">
        <f t="array" ref="F2218">INDEX(_xlfn.TEXTSPLIT(E2218,"-"),2)</f>
        <v>男装</v>
      </c>
      <c r="G2218" s="2" t="str" cm="1">
        <f t="array" ref="G2218">INDEX(_xlfn.TEXTSPLIT(E2218,"-"),3)</f>
        <v>棉衣</v>
      </c>
      <c r="H2218" s="5">
        <v>31630</v>
      </c>
      <c r="I2218" s="5">
        <v>3178870.58</v>
      </c>
      <c r="J2218" s="6">
        <v>0.0147</v>
      </c>
      <c r="K2218" s="6">
        <v>-0.2475</v>
      </c>
    </row>
    <row r="2219" ht="14.5" spans="1:11">
      <c r="A2219" s="3" t="str">
        <f t="shared" si="126"/>
        <v>2026年</v>
      </c>
      <c r="B2219" s="3" t="str">
        <f t="shared" si="127"/>
        <v>2月</v>
      </c>
      <c r="C2219" s="4" t="str">
        <f t="shared" si="128"/>
        <v>W9</v>
      </c>
      <c r="D2219" s="2" t="s">
        <v>796</v>
      </c>
      <c r="E2219" s="2" t="s">
        <v>817</v>
      </c>
      <c r="F2219" s="2" t="str" cm="1">
        <f t="array" ref="F2219">INDEX(_xlfn.TEXTSPLIT(E2219,"-"),2)</f>
        <v>男装</v>
      </c>
      <c r="G2219" s="2" t="str" cm="1">
        <f t="array" ref="G2219">INDEX(_xlfn.TEXTSPLIT(E2219,"-"),3)</f>
        <v>棉裤</v>
      </c>
      <c r="H2219" s="5">
        <v>830</v>
      </c>
      <c r="I2219" s="5">
        <v>55059.51</v>
      </c>
      <c r="J2219" s="6">
        <v>0.0003</v>
      </c>
      <c r="K2219" s="6">
        <v>-0.2577</v>
      </c>
    </row>
    <row r="2220" ht="14.5" spans="1:11">
      <c r="A2220" s="3" t="str">
        <f t="shared" si="126"/>
        <v>2026年</v>
      </c>
      <c r="B2220" s="3" t="str">
        <f t="shared" si="127"/>
        <v>2月</v>
      </c>
      <c r="C2220" s="4" t="str">
        <f t="shared" si="128"/>
        <v>W9</v>
      </c>
      <c r="D2220" s="2" t="s">
        <v>796</v>
      </c>
      <c r="E2220" s="2" t="s">
        <v>818</v>
      </c>
      <c r="F2220" s="2" t="str" cm="1">
        <f t="array" ref="F2220">INDEX(_xlfn.TEXTSPLIT(E2220,"-"),2)</f>
        <v>男装</v>
      </c>
      <c r="G2220" s="2" t="str" cm="1">
        <f t="array" ref="G2220">INDEX(_xlfn.TEXTSPLIT(E2220,"-"),3)</f>
        <v>毛呢大衣</v>
      </c>
      <c r="H2220" s="5">
        <v>5638</v>
      </c>
      <c r="I2220" s="5">
        <v>1568511.51</v>
      </c>
      <c r="J2220" s="6">
        <v>0.0073</v>
      </c>
      <c r="K2220" s="6">
        <v>-0.4531</v>
      </c>
    </row>
    <row r="2221" ht="14.5" spans="1:11">
      <c r="A2221" s="3" t="str">
        <f t="shared" si="126"/>
        <v>2026年</v>
      </c>
      <c r="B2221" s="3" t="str">
        <f t="shared" si="127"/>
        <v>2月</v>
      </c>
      <c r="C2221" s="4" t="str">
        <f t="shared" si="128"/>
        <v>W9</v>
      </c>
      <c r="D2221" s="2" t="s">
        <v>796</v>
      </c>
      <c r="E2221" s="2" t="s">
        <v>819</v>
      </c>
      <c r="F2221" s="2" t="str" cm="1">
        <f t="array" ref="F2221">INDEX(_xlfn.TEXTSPLIT(E2221,"-"),2)</f>
        <v>男装</v>
      </c>
      <c r="G2221" s="2" t="str" cm="1">
        <f t="array" ref="G2221">INDEX(_xlfn.TEXTSPLIT(E2221,"-"),3)</f>
        <v>民族服装</v>
      </c>
      <c r="H2221" s="5">
        <v>2443</v>
      </c>
      <c r="I2221" s="5">
        <v>462445.64</v>
      </c>
      <c r="J2221" s="6">
        <v>0.0021</v>
      </c>
      <c r="K2221" s="6">
        <v>-0.4223</v>
      </c>
    </row>
    <row r="2222" ht="14.5" spans="1:11">
      <c r="A2222" s="3" t="str">
        <f t="shared" si="126"/>
        <v>2026年</v>
      </c>
      <c r="B2222" s="3" t="str">
        <f t="shared" si="127"/>
        <v>2月</v>
      </c>
      <c r="C2222" s="4" t="str">
        <f t="shared" si="128"/>
        <v>W9</v>
      </c>
      <c r="D2222" s="2" t="s">
        <v>796</v>
      </c>
      <c r="E2222" s="2" t="s">
        <v>820</v>
      </c>
      <c r="F2222" s="2" t="str" cm="1">
        <f t="array" ref="F2222">INDEX(_xlfn.TEXTSPLIT(E2222,"-"),2)</f>
        <v>男装</v>
      </c>
      <c r="G2222" s="2" t="str" cm="1">
        <f t="array" ref="G2222">INDEX(_xlfn.TEXTSPLIT(E2222,"-"),3)</f>
        <v>派克服</v>
      </c>
      <c r="H2222" s="5">
        <v>875</v>
      </c>
      <c r="I2222" s="5">
        <v>227299.24</v>
      </c>
      <c r="J2222" s="6">
        <v>0.0011</v>
      </c>
      <c r="K2222" s="6">
        <v>-0.156</v>
      </c>
    </row>
    <row r="2223" ht="14.5" spans="1:11">
      <c r="A2223" s="3" t="str">
        <f t="shared" si="126"/>
        <v>2026年</v>
      </c>
      <c r="B2223" s="3" t="str">
        <f t="shared" si="127"/>
        <v>2月</v>
      </c>
      <c r="C2223" s="4" t="str">
        <f t="shared" si="128"/>
        <v>W9</v>
      </c>
      <c r="D2223" s="2" t="s">
        <v>796</v>
      </c>
      <c r="E2223" s="2" t="s">
        <v>821</v>
      </c>
      <c r="F2223" s="2" t="str" cm="1">
        <f t="array" ref="F2223">INDEX(_xlfn.TEXTSPLIT(E2223,"-"),2)</f>
        <v>男装</v>
      </c>
      <c r="G2223" s="2" t="str" cm="1">
        <f t="array" ref="G2223">INDEX(_xlfn.TEXTSPLIT(E2223,"-"),3)</f>
        <v>牛仔裤</v>
      </c>
      <c r="H2223" s="5">
        <v>178549</v>
      </c>
      <c r="I2223" s="5">
        <v>20570550.97</v>
      </c>
      <c r="J2223" s="6">
        <v>0.0951</v>
      </c>
      <c r="K2223" s="6">
        <v>-0.2828</v>
      </c>
    </row>
    <row r="2224" ht="14.5" spans="1:11">
      <c r="A2224" s="3" t="str">
        <f t="shared" si="126"/>
        <v>2026年</v>
      </c>
      <c r="B2224" s="3" t="str">
        <f t="shared" si="127"/>
        <v>2月</v>
      </c>
      <c r="C2224" s="4" t="str">
        <f t="shared" si="128"/>
        <v>W9</v>
      </c>
      <c r="D2224" s="2" t="s">
        <v>796</v>
      </c>
      <c r="E2224" s="2" t="s">
        <v>822</v>
      </c>
      <c r="F2224" s="2" t="str" cm="1">
        <f t="array" ref="F2224">INDEX(_xlfn.TEXTSPLIT(E2224,"-"),2)</f>
        <v>男装</v>
      </c>
      <c r="G2224" s="2" t="str" cm="1">
        <f t="array" ref="G2224">INDEX(_xlfn.TEXTSPLIT(E2224,"-"),3)</f>
        <v>皮草</v>
      </c>
      <c r="H2224" s="5">
        <v>222</v>
      </c>
      <c r="I2224" s="5">
        <v>111815.53</v>
      </c>
      <c r="J2224" s="6">
        <v>0.0005</v>
      </c>
      <c r="K2224" s="6">
        <v>0.051</v>
      </c>
    </row>
    <row r="2225" ht="14.5" spans="1:11">
      <c r="A2225" s="3" t="str">
        <f t="shared" si="126"/>
        <v>2026年</v>
      </c>
      <c r="B2225" s="3" t="str">
        <f t="shared" si="127"/>
        <v>2月</v>
      </c>
      <c r="C2225" s="4" t="str">
        <f t="shared" si="128"/>
        <v>W9</v>
      </c>
      <c r="D2225" s="2" t="s">
        <v>796</v>
      </c>
      <c r="E2225" s="2" t="s">
        <v>823</v>
      </c>
      <c r="F2225" s="2" t="str" cm="1">
        <f t="array" ref="F2225">INDEX(_xlfn.TEXTSPLIT(E2225,"-"),2)</f>
        <v>男装</v>
      </c>
      <c r="G2225" s="2" t="str" cm="1">
        <f t="array" ref="G2225">INDEX(_xlfn.TEXTSPLIT(E2225,"-"),3)</f>
        <v>皮衣</v>
      </c>
      <c r="H2225" s="5">
        <v>18882</v>
      </c>
      <c r="I2225" s="5">
        <v>8230550.12</v>
      </c>
      <c r="J2225" s="6">
        <v>0.0381</v>
      </c>
      <c r="K2225" s="6">
        <v>-0.256</v>
      </c>
    </row>
    <row r="2226" ht="14.5" spans="1:11">
      <c r="A2226" s="3" t="str">
        <f t="shared" si="126"/>
        <v>2026年</v>
      </c>
      <c r="B2226" s="3" t="str">
        <f t="shared" si="127"/>
        <v>2月</v>
      </c>
      <c r="C2226" s="4" t="str">
        <f t="shared" si="128"/>
        <v>W9</v>
      </c>
      <c r="D2226" s="2" t="s">
        <v>796</v>
      </c>
      <c r="E2226" s="2" t="s">
        <v>824</v>
      </c>
      <c r="F2226" s="2" t="str" cm="1">
        <f t="array" ref="F2226">INDEX(_xlfn.TEXTSPLIT(E2226,"-"),2)</f>
        <v>男装</v>
      </c>
      <c r="G2226" s="2" t="str" cm="1">
        <f t="array" ref="G2226">INDEX(_xlfn.TEXTSPLIT(E2226,"-"),3)</f>
        <v>皮裤</v>
      </c>
      <c r="H2226" s="5">
        <v>468</v>
      </c>
      <c r="I2226" s="5">
        <v>43521.58</v>
      </c>
      <c r="J2226" s="6">
        <v>0.0002</v>
      </c>
      <c r="K2226" s="6">
        <v>-0.5065</v>
      </c>
    </row>
    <row r="2227" ht="14.5" spans="1:11">
      <c r="A2227" s="3" t="str">
        <f t="shared" si="126"/>
        <v>2026年</v>
      </c>
      <c r="B2227" s="3" t="str">
        <f t="shared" si="127"/>
        <v>2月</v>
      </c>
      <c r="C2227" s="4" t="str">
        <f t="shared" si="128"/>
        <v>W9</v>
      </c>
      <c r="D2227" s="2" t="s">
        <v>796</v>
      </c>
      <c r="E2227" s="2" t="s">
        <v>825</v>
      </c>
      <c r="F2227" s="2" t="str" cm="1">
        <f t="array" ref="F2227">INDEX(_xlfn.TEXTSPLIT(E2227,"-"),2)</f>
        <v>男装</v>
      </c>
      <c r="G2227" s="2" t="str" cm="1">
        <f t="array" ref="G2227">INDEX(_xlfn.TEXTSPLIT(E2227,"-"),3)</f>
        <v>短外套</v>
      </c>
      <c r="H2227" s="5">
        <v>11263</v>
      </c>
      <c r="I2227" s="5">
        <v>1224508.34</v>
      </c>
      <c r="J2227" s="6">
        <v>0.0057</v>
      </c>
      <c r="K2227" s="6">
        <v>-0.1419</v>
      </c>
    </row>
    <row r="2228" ht="14.5" spans="1:11">
      <c r="A2228" s="3" t="str">
        <f t="shared" si="126"/>
        <v>2026年</v>
      </c>
      <c r="B2228" s="3" t="str">
        <f t="shared" si="127"/>
        <v>2月</v>
      </c>
      <c r="C2228" s="4" t="str">
        <f t="shared" si="128"/>
        <v>W9</v>
      </c>
      <c r="D2228" s="2" t="s">
        <v>796</v>
      </c>
      <c r="E2228" s="2" t="s">
        <v>826</v>
      </c>
      <c r="F2228" s="2" t="str" cm="1">
        <f t="array" ref="F2228">INDEX(_xlfn.TEXTSPLIT(E2228,"-"),2)</f>
        <v>男装</v>
      </c>
      <c r="G2228" s="2" t="str" cm="1">
        <f t="array" ref="G2228">INDEX(_xlfn.TEXTSPLIT(E2228,"-"),3)</f>
        <v>短裤</v>
      </c>
      <c r="H2228" s="5">
        <v>48434</v>
      </c>
      <c r="I2228" s="5">
        <v>2107203.75</v>
      </c>
      <c r="J2228" s="6">
        <v>0.0097</v>
      </c>
      <c r="K2228" s="6">
        <v>-0.2239</v>
      </c>
    </row>
    <row r="2229" ht="14.5" spans="1:11">
      <c r="A2229" s="3" t="str">
        <f t="shared" si="126"/>
        <v>2026年</v>
      </c>
      <c r="B2229" s="3" t="str">
        <f t="shared" si="127"/>
        <v>2月</v>
      </c>
      <c r="C2229" s="4" t="str">
        <f t="shared" si="128"/>
        <v>W9</v>
      </c>
      <c r="D2229" s="2" t="s">
        <v>796</v>
      </c>
      <c r="E2229" s="2" t="s">
        <v>827</v>
      </c>
      <c r="F2229" s="2" t="str" cm="1">
        <f t="array" ref="F2229">INDEX(_xlfn.TEXTSPLIT(E2229,"-"),2)</f>
        <v>男装</v>
      </c>
      <c r="G2229" s="2" t="str" cm="1">
        <f t="array" ref="G2229">INDEX(_xlfn.TEXTSPLIT(E2229,"-"),3)</f>
        <v>紧身衣</v>
      </c>
      <c r="H2229" s="5">
        <v>294</v>
      </c>
      <c r="I2229" s="5">
        <v>8695.3</v>
      </c>
      <c r="J2229" s="2" t="s">
        <v>713</v>
      </c>
      <c r="K2229" s="6">
        <v>0.0256</v>
      </c>
    </row>
    <row r="2230" ht="14.5" spans="1:11">
      <c r="A2230" s="3" t="str">
        <f t="shared" si="126"/>
        <v>2026年</v>
      </c>
      <c r="B2230" s="3" t="str">
        <f t="shared" si="127"/>
        <v>2月</v>
      </c>
      <c r="C2230" s="4" t="str">
        <f t="shared" si="128"/>
        <v>W9</v>
      </c>
      <c r="D2230" s="2" t="s">
        <v>796</v>
      </c>
      <c r="E2230" s="2" t="s">
        <v>828</v>
      </c>
      <c r="F2230" s="2" t="str" cm="1">
        <f t="array" ref="F2230">INDEX(_xlfn.TEXTSPLIT(E2230,"-"),2)</f>
        <v>男装</v>
      </c>
      <c r="G2230" s="2" t="str" cm="1">
        <f t="array" ref="G2230">INDEX(_xlfn.TEXTSPLIT(E2230,"-"),3)</f>
        <v>羊毛衫</v>
      </c>
      <c r="H2230" s="5">
        <v>17923</v>
      </c>
      <c r="I2230" s="5">
        <v>2098994.69</v>
      </c>
      <c r="J2230" s="6">
        <v>0.0097</v>
      </c>
      <c r="K2230" s="6">
        <v>-0.3071</v>
      </c>
    </row>
    <row r="2231" ht="14.5" spans="1:11">
      <c r="A2231" s="3" t="str">
        <f t="shared" si="126"/>
        <v>2026年</v>
      </c>
      <c r="B2231" s="3" t="str">
        <f t="shared" si="127"/>
        <v>2月</v>
      </c>
      <c r="C2231" s="4" t="str">
        <f t="shared" si="128"/>
        <v>W9</v>
      </c>
      <c r="D2231" s="2" t="s">
        <v>796</v>
      </c>
      <c r="E2231" s="2" t="s">
        <v>829</v>
      </c>
      <c r="F2231" s="2" t="str" cm="1">
        <f t="array" ref="F2231">INDEX(_xlfn.TEXTSPLIT(E2231,"-"),2)</f>
        <v>男装</v>
      </c>
      <c r="G2231" s="2" t="str" cm="1">
        <f t="array" ref="G2231">INDEX(_xlfn.TEXTSPLIT(E2231,"-"),3)</f>
        <v>羊绒衫</v>
      </c>
      <c r="H2231" s="5">
        <v>1887</v>
      </c>
      <c r="I2231" s="5">
        <v>505583.71</v>
      </c>
      <c r="J2231" s="6">
        <v>0.0023</v>
      </c>
      <c r="K2231" s="6">
        <v>-0.3732</v>
      </c>
    </row>
    <row r="2232" ht="14.5" spans="1:11">
      <c r="A2232" s="3" t="str">
        <f t="shared" si="126"/>
        <v>2026年</v>
      </c>
      <c r="B2232" s="3" t="str">
        <f t="shared" si="127"/>
        <v>2月</v>
      </c>
      <c r="C2232" s="4" t="str">
        <f t="shared" si="128"/>
        <v>W9</v>
      </c>
      <c r="D2232" s="2" t="s">
        <v>796</v>
      </c>
      <c r="E2232" s="2" t="s">
        <v>830</v>
      </c>
      <c r="F2232" s="2" t="str" cm="1">
        <f t="array" ref="F2232">INDEX(_xlfn.TEXTSPLIT(E2232,"-"),2)</f>
        <v>男装</v>
      </c>
      <c r="G2232" s="2" t="str" cm="1">
        <f t="array" ref="G2232">INDEX(_xlfn.TEXTSPLIT(E2232,"-"),3)</f>
        <v>羽绒服</v>
      </c>
      <c r="H2232" s="5">
        <v>35922</v>
      </c>
      <c r="I2232" s="5">
        <v>9210102.05</v>
      </c>
      <c r="J2232" s="6">
        <v>0.0426</v>
      </c>
      <c r="K2232" s="6">
        <v>-0.1033</v>
      </c>
    </row>
    <row r="2233" ht="14.5" spans="1:11">
      <c r="A2233" s="3" t="str">
        <f t="shared" si="126"/>
        <v>2026年</v>
      </c>
      <c r="B2233" s="3" t="str">
        <f t="shared" si="127"/>
        <v>2月</v>
      </c>
      <c r="C2233" s="4" t="str">
        <f t="shared" si="128"/>
        <v>W9</v>
      </c>
      <c r="D2233" s="2" t="s">
        <v>796</v>
      </c>
      <c r="E2233" s="2" t="s">
        <v>831</v>
      </c>
      <c r="F2233" s="2" t="str" cm="1">
        <f t="array" ref="F2233">INDEX(_xlfn.TEXTSPLIT(E2233,"-"),2)</f>
        <v>男装</v>
      </c>
      <c r="G2233" s="2" t="str" cm="1">
        <f t="array" ref="G2233">INDEX(_xlfn.TEXTSPLIT(E2233,"-"),3)</f>
        <v>羽绒裤</v>
      </c>
      <c r="H2233" s="5">
        <v>201</v>
      </c>
      <c r="I2233" s="5">
        <v>45905.28</v>
      </c>
      <c r="J2233" s="6">
        <v>0.0002</v>
      </c>
      <c r="K2233" s="6">
        <v>0.3327</v>
      </c>
    </row>
    <row r="2234" ht="14.5" spans="1:11">
      <c r="A2234" s="3" t="str">
        <f t="shared" si="126"/>
        <v>2026年</v>
      </c>
      <c r="B2234" s="3" t="str">
        <f t="shared" si="127"/>
        <v>2月</v>
      </c>
      <c r="C2234" s="4" t="str">
        <f t="shared" si="128"/>
        <v>W9</v>
      </c>
      <c r="D2234" s="2" t="s">
        <v>796</v>
      </c>
      <c r="E2234" s="2" t="s">
        <v>832</v>
      </c>
      <c r="F2234" s="2" t="str" cm="1">
        <f t="array" ref="F2234">INDEX(_xlfn.TEXTSPLIT(E2234,"-"),2)</f>
        <v>男装</v>
      </c>
      <c r="G2234" s="2" t="str" cm="1">
        <f t="array" ref="G2234">INDEX(_xlfn.TEXTSPLIT(E2234,"-"),3)</f>
        <v>羽绒马甲</v>
      </c>
      <c r="H2234" s="5">
        <v>1408</v>
      </c>
      <c r="I2234" s="5">
        <v>268200.69</v>
      </c>
      <c r="J2234" s="6">
        <v>0.0012</v>
      </c>
      <c r="K2234" s="6">
        <v>-0.3782</v>
      </c>
    </row>
    <row r="2235" ht="14.5" spans="1:11">
      <c r="A2235" s="3" t="str">
        <f t="shared" si="126"/>
        <v>2026年</v>
      </c>
      <c r="B2235" s="3" t="str">
        <f t="shared" si="127"/>
        <v>2月</v>
      </c>
      <c r="C2235" s="4" t="str">
        <f t="shared" si="128"/>
        <v>W9</v>
      </c>
      <c r="D2235" s="2" t="s">
        <v>796</v>
      </c>
      <c r="E2235" s="2" t="s">
        <v>833</v>
      </c>
      <c r="F2235" s="2" t="str" cm="1">
        <f t="array" ref="F2235">INDEX(_xlfn.TEXTSPLIT(E2235,"-"),2)</f>
        <v>男装</v>
      </c>
      <c r="G2235" s="2" t="str" cm="1">
        <f t="array" ref="G2235">INDEX(_xlfn.TEXTSPLIT(E2235,"-"),3)</f>
        <v>背心</v>
      </c>
      <c r="H2235" s="5">
        <v>22838</v>
      </c>
      <c r="I2235" s="5">
        <v>1266253.94</v>
      </c>
      <c r="J2235" s="6">
        <v>0.0059</v>
      </c>
      <c r="K2235" s="6">
        <v>-0.1851</v>
      </c>
    </row>
    <row r="2236" ht="14.5" spans="1:11">
      <c r="A2236" s="3" t="str">
        <f t="shared" si="126"/>
        <v>2026年</v>
      </c>
      <c r="B2236" s="3" t="str">
        <f t="shared" si="127"/>
        <v>2月</v>
      </c>
      <c r="C2236" s="4" t="str">
        <f t="shared" si="128"/>
        <v>W9</v>
      </c>
      <c r="D2236" s="2" t="s">
        <v>796</v>
      </c>
      <c r="E2236" s="2" t="s">
        <v>834</v>
      </c>
      <c r="F2236" s="2" t="str" cm="1">
        <f t="array" ref="F2236">INDEX(_xlfn.TEXTSPLIT(E2236,"-"),2)</f>
        <v>男装</v>
      </c>
      <c r="G2236" s="2" t="str" cm="1">
        <f t="array" ref="G2236">INDEX(_xlfn.TEXTSPLIT(E2236,"-"),3)</f>
        <v>衬衫</v>
      </c>
      <c r="H2236" s="5">
        <v>63184</v>
      </c>
      <c r="I2236" s="5">
        <v>7458217.07</v>
      </c>
      <c r="J2236" s="6">
        <v>0.0345</v>
      </c>
      <c r="K2236" s="6">
        <v>-0.318</v>
      </c>
    </row>
    <row r="2237" ht="14.5" spans="1:11">
      <c r="A2237" s="3" t="str">
        <f t="shared" si="126"/>
        <v>2026年</v>
      </c>
      <c r="B2237" s="3" t="str">
        <f t="shared" si="127"/>
        <v>2月</v>
      </c>
      <c r="C2237" s="4" t="str">
        <f t="shared" si="128"/>
        <v>W9</v>
      </c>
      <c r="D2237" s="2" t="s">
        <v>796</v>
      </c>
      <c r="E2237" s="2" t="s">
        <v>835</v>
      </c>
      <c r="F2237" s="2" t="str" cm="1">
        <f t="array" ref="F2237">INDEX(_xlfn.TEXTSPLIT(E2237,"-"),2)</f>
        <v>男装</v>
      </c>
      <c r="G2237" s="2" t="str" cm="1">
        <f t="array" ref="G2237">INDEX(_xlfn.TEXTSPLIT(E2237,"-"),3)</f>
        <v>西服</v>
      </c>
      <c r="H2237" s="5">
        <v>37218</v>
      </c>
      <c r="I2237" s="5">
        <v>9232493.88</v>
      </c>
      <c r="J2237" s="6">
        <v>0.0427</v>
      </c>
      <c r="K2237" s="6">
        <v>-0.2814</v>
      </c>
    </row>
    <row r="2238" ht="14.5" spans="1:11">
      <c r="A2238" s="3" t="str">
        <f t="shared" si="126"/>
        <v>2026年</v>
      </c>
      <c r="B2238" s="3" t="str">
        <f t="shared" si="127"/>
        <v>2月</v>
      </c>
      <c r="C2238" s="4" t="str">
        <f t="shared" si="128"/>
        <v>W9</v>
      </c>
      <c r="D2238" s="2" t="s">
        <v>796</v>
      </c>
      <c r="E2238" s="2" t="s">
        <v>836</v>
      </c>
      <c r="F2238" s="2" t="str" cm="1">
        <f t="array" ref="F2238">INDEX(_xlfn.TEXTSPLIT(E2238,"-"),2)</f>
        <v>男装</v>
      </c>
      <c r="G2238" s="2" t="str" cm="1">
        <f t="array" ref="G2238">INDEX(_xlfn.TEXTSPLIT(E2238,"-"),3)</f>
        <v>连体衣/裤</v>
      </c>
      <c r="H2238" s="5">
        <v>88</v>
      </c>
      <c r="I2238" s="5">
        <v>2266.12</v>
      </c>
      <c r="J2238" s="2" t="s">
        <v>713</v>
      </c>
      <c r="K2238" s="6">
        <v>-0.6564</v>
      </c>
    </row>
    <row r="2239" ht="14.5" spans="1:11">
      <c r="A2239" s="3" t="str">
        <f t="shared" si="126"/>
        <v>2026年</v>
      </c>
      <c r="B2239" s="3" t="str">
        <f t="shared" si="127"/>
        <v>2月</v>
      </c>
      <c r="C2239" s="4" t="str">
        <f t="shared" si="128"/>
        <v>W9</v>
      </c>
      <c r="D2239" s="2" t="s">
        <v>796</v>
      </c>
      <c r="E2239" s="2" t="s">
        <v>837</v>
      </c>
      <c r="F2239" s="2" t="str" cm="1">
        <f t="array" ref="F2239">INDEX(_xlfn.TEXTSPLIT(E2239,"-"),2)</f>
        <v>男装</v>
      </c>
      <c r="G2239" s="2" t="str" cm="1">
        <f t="array" ref="G2239">INDEX(_xlfn.TEXTSPLIT(E2239,"-"),3)</f>
        <v>速干/三防T恤</v>
      </c>
      <c r="H2239" s="5">
        <v>1390</v>
      </c>
      <c r="I2239" s="5">
        <v>205932.12</v>
      </c>
      <c r="J2239" s="6">
        <v>0.001</v>
      </c>
      <c r="K2239" s="6">
        <v>-0.0467</v>
      </c>
    </row>
    <row r="2240" ht="14.5" spans="1:11">
      <c r="A2240" s="3" t="str">
        <f t="shared" si="126"/>
        <v>2026年</v>
      </c>
      <c r="B2240" s="3" t="str">
        <f t="shared" si="127"/>
        <v>2月</v>
      </c>
      <c r="C2240" s="4" t="str">
        <f t="shared" si="128"/>
        <v>W9</v>
      </c>
      <c r="D2240" s="2" t="s">
        <v>796</v>
      </c>
      <c r="E2240" s="2" t="s">
        <v>838</v>
      </c>
      <c r="F2240" s="2" t="str" cm="1">
        <f t="array" ref="F2240">INDEX(_xlfn.TEXTSPLIT(E2240,"-"),2)</f>
        <v>男装</v>
      </c>
      <c r="G2240" s="2" t="str" cm="1">
        <f t="array" ref="G2240">INDEX(_xlfn.TEXTSPLIT(E2240,"-"),3)</f>
        <v>针织衫/毛衣</v>
      </c>
      <c r="H2240" s="5">
        <v>55909</v>
      </c>
      <c r="I2240" s="5">
        <v>6317021.41</v>
      </c>
      <c r="J2240" s="6">
        <v>0.0292</v>
      </c>
      <c r="K2240" s="6">
        <v>-0.3168</v>
      </c>
    </row>
    <row r="2241" ht="14.5" spans="1:11">
      <c r="A2241" s="3" t="str">
        <f t="shared" si="126"/>
        <v>2026年</v>
      </c>
      <c r="B2241" s="3" t="str">
        <f t="shared" si="127"/>
        <v>2月</v>
      </c>
      <c r="C2241" s="4" t="str">
        <f t="shared" si="128"/>
        <v>W9</v>
      </c>
      <c r="D2241" s="2" t="s">
        <v>796</v>
      </c>
      <c r="E2241" s="2" t="s">
        <v>839</v>
      </c>
      <c r="F2241" s="2" t="str" cm="1">
        <f t="array" ref="F2241">INDEX(_xlfn.TEXTSPLIT(E2241,"-"),2)</f>
        <v>男装</v>
      </c>
      <c r="G2241" s="2" t="str" cm="1">
        <f t="array" ref="G2241">INDEX(_xlfn.TEXTSPLIT(E2241,"-"),3)</f>
        <v>防晒服</v>
      </c>
      <c r="H2241" s="5">
        <v>3575</v>
      </c>
      <c r="I2241" s="5">
        <v>500405</v>
      </c>
      <c r="J2241" s="6">
        <v>0.0023</v>
      </c>
      <c r="K2241" s="6">
        <v>-0.3533</v>
      </c>
    </row>
    <row r="2242" ht="14.5" spans="1:11">
      <c r="A2242" s="3" t="str">
        <f t="shared" si="126"/>
        <v>2026年</v>
      </c>
      <c r="B2242" s="3" t="str">
        <f t="shared" si="127"/>
        <v>2月</v>
      </c>
      <c r="C2242" s="4" t="str">
        <f t="shared" si="128"/>
        <v>W9</v>
      </c>
      <c r="D2242" s="2" t="s">
        <v>796</v>
      </c>
      <c r="E2242" s="2" t="s">
        <v>840</v>
      </c>
      <c r="F2242" s="2" t="str" cm="1">
        <f t="array" ref="F2242">INDEX(_xlfn.TEXTSPLIT(E2242,"-"),2)</f>
        <v>男装</v>
      </c>
      <c r="G2242" s="2" t="str" cm="1">
        <f t="array" ref="G2242">INDEX(_xlfn.TEXTSPLIT(E2242,"-"),3)</f>
        <v>风衣</v>
      </c>
      <c r="H2242" s="5">
        <v>6224</v>
      </c>
      <c r="I2242" s="5">
        <v>1722235.75</v>
      </c>
      <c r="J2242" s="6">
        <v>0.008</v>
      </c>
      <c r="K2242" s="6">
        <v>-0.2404</v>
      </c>
    </row>
    <row r="2243" ht="14.5" spans="1:11">
      <c r="A2243" s="3" t="str">
        <f t="shared" si="126"/>
        <v>2026年</v>
      </c>
      <c r="B2243" s="3" t="str">
        <f t="shared" si="127"/>
        <v>2月</v>
      </c>
      <c r="C2243" s="4" t="str">
        <f t="shared" si="128"/>
        <v>W9</v>
      </c>
      <c r="D2243" s="2" t="s">
        <v>796</v>
      </c>
      <c r="E2243" s="2" t="s">
        <v>841</v>
      </c>
      <c r="F2243" s="2" t="str" cm="1">
        <f t="array" ref="F2243">INDEX(_xlfn.TEXTSPLIT(E2243,"-"),2)</f>
        <v>男装</v>
      </c>
      <c r="G2243" s="2" t="str" cm="1">
        <f t="array" ref="G2243">INDEX(_xlfn.TEXTSPLIT(E2243,"-"),3)</f>
        <v>马甲</v>
      </c>
      <c r="H2243" s="5">
        <v>11823</v>
      </c>
      <c r="I2243" s="5">
        <v>1398705.05</v>
      </c>
      <c r="J2243" s="6">
        <v>0.0065</v>
      </c>
      <c r="K2243" s="6">
        <v>-0.3921</v>
      </c>
    </row>
    <row r="2244" ht="14.5" spans="1:11">
      <c r="A2244" s="3" t="str">
        <f t="shared" ref="A2244:A2307" si="129">TEXT(YEAR(D2244),"0")&amp;"年"</f>
        <v>2026年</v>
      </c>
      <c r="B2244" s="3" t="str">
        <f t="shared" ref="B2244:B2307" si="130">TEXT(MONTH(D2244),"0")&amp;"月"</f>
        <v>3月</v>
      </c>
      <c r="C2244" s="4" t="str">
        <f t="shared" ref="C2244:C2307" si="131">"W"&amp;TEXT(WEEKNUM(D2244,2),"0")</f>
        <v>W9</v>
      </c>
      <c r="D2244" s="11" t="s">
        <v>797</v>
      </c>
      <c r="E2244" s="11" t="s">
        <v>804</v>
      </c>
      <c r="F2244" s="2" t="str" cm="1">
        <f t="array" ref="F2244">INDEX(_xlfn.TEXTSPLIT(E2244,"-"),2)</f>
        <v>男装</v>
      </c>
      <c r="G2244" s="2" t="str" cm="1">
        <f t="array" ref="G2244">INDEX(_xlfn.TEXTSPLIT(E2244,"-"),3)</f>
        <v>Polo衫</v>
      </c>
      <c r="H2244" s="12">
        <v>96543</v>
      </c>
      <c r="I2244" s="12">
        <v>9514061.68</v>
      </c>
      <c r="J2244" s="13">
        <v>0.0275</v>
      </c>
      <c r="K2244" s="13">
        <v>0.1549</v>
      </c>
    </row>
    <row r="2245" ht="14.5" spans="1:11">
      <c r="A2245" s="3" t="str">
        <f t="shared" si="129"/>
        <v>2026年</v>
      </c>
      <c r="B2245" s="3" t="str">
        <f t="shared" si="130"/>
        <v>3月</v>
      </c>
      <c r="C2245" s="4" t="str">
        <f t="shared" si="131"/>
        <v>W9</v>
      </c>
      <c r="D2245" s="11" t="s">
        <v>797</v>
      </c>
      <c r="E2245" s="11" t="s">
        <v>805</v>
      </c>
      <c r="F2245" s="2" t="str" cm="1">
        <f t="array" ref="F2245">INDEX(_xlfn.TEXTSPLIT(E2245,"-"),2)</f>
        <v>男装</v>
      </c>
      <c r="G2245" s="2" t="str" cm="1">
        <f t="array" ref="G2245">INDEX(_xlfn.TEXTSPLIT(E2245,"-"),3)</f>
        <v>T恤</v>
      </c>
      <c r="H2245" s="12">
        <v>745442</v>
      </c>
      <c r="I2245" s="12">
        <v>49507998.13</v>
      </c>
      <c r="J2245" s="13">
        <v>0.1433</v>
      </c>
      <c r="K2245" s="13">
        <v>0.0608</v>
      </c>
    </row>
    <row r="2246" ht="14.5" spans="1:11">
      <c r="A2246" s="3" t="str">
        <f t="shared" si="129"/>
        <v>2026年</v>
      </c>
      <c r="B2246" s="3" t="str">
        <f t="shared" si="130"/>
        <v>3月</v>
      </c>
      <c r="C2246" s="4" t="str">
        <f t="shared" si="131"/>
        <v>W9</v>
      </c>
      <c r="D2246" s="11" t="s">
        <v>797</v>
      </c>
      <c r="E2246" s="11" t="s">
        <v>806</v>
      </c>
      <c r="F2246" s="2" t="str" cm="1">
        <f t="array" ref="F2246">INDEX(_xlfn.TEXTSPLIT(E2246,"-"),2)</f>
        <v>男装</v>
      </c>
      <c r="G2246" s="2" t="str" cm="1">
        <f t="array" ref="G2246">INDEX(_xlfn.TEXTSPLIT(E2246,"-"),3)</f>
        <v>中老年男装</v>
      </c>
      <c r="H2246" s="12">
        <v>31576</v>
      </c>
      <c r="I2246" s="12">
        <v>2457663.29</v>
      </c>
      <c r="J2246" s="13">
        <v>0.0071</v>
      </c>
      <c r="K2246" s="13">
        <v>-0.019</v>
      </c>
    </row>
    <row r="2247" ht="14.5" spans="1:11">
      <c r="A2247" s="3" t="str">
        <f t="shared" si="129"/>
        <v>2026年</v>
      </c>
      <c r="B2247" s="3" t="str">
        <f t="shared" si="130"/>
        <v>3月</v>
      </c>
      <c r="C2247" s="4" t="str">
        <f t="shared" si="131"/>
        <v>W9</v>
      </c>
      <c r="D2247" s="11" t="s">
        <v>797</v>
      </c>
      <c r="E2247" s="11" t="s">
        <v>807</v>
      </c>
      <c r="F2247" s="2" t="str" cm="1">
        <f t="array" ref="F2247">INDEX(_xlfn.TEXTSPLIT(E2247,"-"),2)</f>
        <v>男装</v>
      </c>
      <c r="G2247" s="2" t="str" cm="1">
        <f t="array" ref="G2247">INDEX(_xlfn.TEXTSPLIT(E2247,"-"),3)</f>
        <v>休闲裤</v>
      </c>
      <c r="H2247" s="12">
        <v>418206</v>
      </c>
      <c r="I2247" s="12">
        <v>42291465.15</v>
      </c>
      <c r="J2247" s="13">
        <v>0.1224</v>
      </c>
      <c r="K2247" s="13">
        <v>0.0815</v>
      </c>
    </row>
    <row r="2248" ht="14.5" spans="1:11">
      <c r="A2248" s="3" t="str">
        <f t="shared" si="129"/>
        <v>2026年</v>
      </c>
      <c r="B2248" s="3" t="str">
        <f t="shared" si="130"/>
        <v>3月</v>
      </c>
      <c r="C2248" s="4" t="str">
        <f t="shared" si="131"/>
        <v>W9</v>
      </c>
      <c r="D2248" s="11" t="s">
        <v>797</v>
      </c>
      <c r="E2248" s="11" t="s">
        <v>808</v>
      </c>
      <c r="F2248" s="2" t="str" cm="1">
        <f t="array" ref="F2248">INDEX(_xlfn.TEXTSPLIT(E2248,"-"),2)</f>
        <v>男装</v>
      </c>
      <c r="G2248" s="2" t="str" cm="1">
        <f t="array" ref="G2248">INDEX(_xlfn.TEXTSPLIT(E2248,"-"),3)</f>
        <v>卫衣</v>
      </c>
      <c r="H2248" s="12">
        <v>225630</v>
      </c>
      <c r="I2248" s="12">
        <v>22042877.62</v>
      </c>
      <c r="J2248" s="13">
        <v>0.0638</v>
      </c>
      <c r="K2248" s="13">
        <v>0.0502</v>
      </c>
    </row>
    <row r="2249" ht="14.5" spans="1:11">
      <c r="A2249" s="3" t="str">
        <f t="shared" si="129"/>
        <v>2026年</v>
      </c>
      <c r="B2249" s="3" t="str">
        <f t="shared" si="130"/>
        <v>3月</v>
      </c>
      <c r="C2249" s="4" t="str">
        <f t="shared" si="131"/>
        <v>W9</v>
      </c>
      <c r="D2249" s="11" t="s">
        <v>797</v>
      </c>
      <c r="E2249" s="11" t="s">
        <v>809</v>
      </c>
      <c r="F2249" s="2" t="str" cm="1">
        <f t="array" ref="F2249">INDEX(_xlfn.TEXTSPLIT(E2249,"-"),2)</f>
        <v>男装</v>
      </c>
      <c r="G2249" s="2" t="str" cm="1">
        <f t="array" ref="G2249">INDEX(_xlfn.TEXTSPLIT(E2249,"-"),3)</f>
        <v>卫裤</v>
      </c>
      <c r="H2249" s="12">
        <v>58561</v>
      </c>
      <c r="I2249" s="12">
        <v>5234268.22</v>
      </c>
      <c r="J2249" s="13">
        <v>0.0152</v>
      </c>
      <c r="K2249" s="13">
        <v>-0.0749</v>
      </c>
    </row>
    <row r="2250" ht="14.5" spans="1:11">
      <c r="A2250" s="3" t="str">
        <f t="shared" si="129"/>
        <v>2026年</v>
      </c>
      <c r="B2250" s="3" t="str">
        <f t="shared" si="130"/>
        <v>3月</v>
      </c>
      <c r="C2250" s="4" t="str">
        <f t="shared" si="131"/>
        <v>W9</v>
      </c>
      <c r="D2250" s="11" t="s">
        <v>797</v>
      </c>
      <c r="E2250" s="11" t="s">
        <v>810</v>
      </c>
      <c r="F2250" s="2" t="str" cm="1">
        <f t="array" ref="F2250">INDEX(_xlfn.TEXTSPLIT(E2250,"-"),2)</f>
        <v>男装</v>
      </c>
      <c r="G2250" s="2" t="str" cm="1">
        <f t="array" ref="G2250">INDEX(_xlfn.TEXTSPLIT(E2250,"-"),3)</f>
        <v>大码男装</v>
      </c>
      <c r="H2250" s="12">
        <v>42416</v>
      </c>
      <c r="I2250" s="12">
        <v>3041031.13</v>
      </c>
      <c r="J2250" s="13">
        <v>0.0088</v>
      </c>
      <c r="K2250" s="13">
        <v>0.194</v>
      </c>
    </row>
    <row r="2251" ht="14.5" spans="1:11">
      <c r="A2251" s="3" t="str">
        <f t="shared" si="129"/>
        <v>2026年</v>
      </c>
      <c r="B2251" s="3" t="str">
        <f t="shared" si="130"/>
        <v>3月</v>
      </c>
      <c r="C2251" s="4" t="str">
        <f t="shared" si="131"/>
        <v>W9</v>
      </c>
      <c r="D2251" s="11" t="s">
        <v>797</v>
      </c>
      <c r="E2251" s="11" t="s">
        <v>811</v>
      </c>
      <c r="F2251" s="2" t="str" cm="1">
        <f t="array" ref="F2251">INDEX(_xlfn.TEXTSPLIT(E2251,"-"),2)</f>
        <v>男装</v>
      </c>
      <c r="G2251" s="2" t="str" cm="1">
        <f t="array" ref="G2251">INDEX(_xlfn.TEXTSPLIT(E2251,"-"),3)</f>
        <v>夹克</v>
      </c>
      <c r="H2251" s="12">
        <v>443156</v>
      </c>
      <c r="I2251" s="12">
        <v>74920980.79</v>
      </c>
      <c r="J2251" s="13">
        <v>0.2169</v>
      </c>
      <c r="K2251" s="13">
        <v>0.0621</v>
      </c>
    </row>
    <row r="2252" ht="14.5" spans="1:11">
      <c r="A2252" s="3" t="str">
        <f t="shared" si="129"/>
        <v>2026年</v>
      </c>
      <c r="B2252" s="3" t="str">
        <f t="shared" si="130"/>
        <v>3月</v>
      </c>
      <c r="C2252" s="4" t="str">
        <f t="shared" si="131"/>
        <v>W9</v>
      </c>
      <c r="D2252" s="11" t="s">
        <v>797</v>
      </c>
      <c r="E2252" s="11" t="s">
        <v>812</v>
      </c>
      <c r="F2252" s="2" t="str" cm="1">
        <f t="array" ref="F2252">INDEX(_xlfn.TEXTSPLIT(E2252,"-"),2)</f>
        <v>男装</v>
      </c>
      <c r="G2252" s="2" t="str" cm="1">
        <f t="array" ref="G2252">INDEX(_xlfn.TEXTSPLIT(E2252,"-"),3)</f>
        <v>套装</v>
      </c>
      <c r="H2252" s="12">
        <v>58535</v>
      </c>
      <c r="I2252" s="12">
        <v>8129387.1</v>
      </c>
      <c r="J2252" s="13">
        <v>0.0235</v>
      </c>
      <c r="K2252" s="13">
        <v>0.1066</v>
      </c>
    </row>
    <row r="2253" ht="14.5" spans="1:11">
      <c r="A2253" s="3" t="str">
        <f t="shared" si="129"/>
        <v>2026年</v>
      </c>
      <c r="B2253" s="3" t="str">
        <f t="shared" si="130"/>
        <v>3月</v>
      </c>
      <c r="C2253" s="4" t="str">
        <f t="shared" si="131"/>
        <v>W9</v>
      </c>
      <c r="D2253" s="11" t="s">
        <v>797</v>
      </c>
      <c r="E2253" s="11" t="s">
        <v>813</v>
      </c>
      <c r="F2253" s="2" t="str" cm="1">
        <f t="array" ref="F2253">INDEX(_xlfn.TEXTSPLIT(E2253,"-"),2)</f>
        <v>男装</v>
      </c>
      <c r="G2253" s="2" t="str" cm="1">
        <f t="array" ref="G2253">INDEX(_xlfn.TEXTSPLIT(E2253,"-"),3)</f>
        <v>学生校服</v>
      </c>
      <c r="H2253" s="12">
        <v>101</v>
      </c>
      <c r="I2253" s="12">
        <v>4985.73</v>
      </c>
      <c r="J2253" s="11" t="s">
        <v>713</v>
      </c>
      <c r="K2253" s="13">
        <v>0.6719</v>
      </c>
    </row>
    <row r="2254" ht="14.5" spans="1:11">
      <c r="A2254" s="3" t="str">
        <f t="shared" si="129"/>
        <v>2026年</v>
      </c>
      <c r="B2254" s="3" t="str">
        <f t="shared" si="130"/>
        <v>3月</v>
      </c>
      <c r="C2254" s="4" t="str">
        <f t="shared" si="131"/>
        <v>W9</v>
      </c>
      <c r="D2254" s="11" t="s">
        <v>797</v>
      </c>
      <c r="E2254" s="11" t="s">
        <v>814</v>
      </c>
      <c r="F2254" s="2" t="str" cm="1">
        <f t="array" ref="F2254">INDEX(_xlfn.TEXTSPLIT(E2254,"-"),2)</f>
        <v>男装</v>
      </c>
      <c r="G2254" s="2" t="str" cm="1">
        <f t="array" ref="G2254">INDEX(_xlfn.TEXTSPLIT(E2254,"-"),3)</f>
        <v>打底衫</v>
      </c>
      <c r="H2254" s="12">
        <v>9716</v>
      </c>
      <c r="I2254" s="12">
        <v>438473.42</v>
      </c>
      <c r="J2254" s="13">
        <v>0.0013</v>
      </c>
      <c r="K2254" s="13">
        <v>-0.0992</v>
      </c>
    </row>
    <row r="2255" ht="14.5" spans="1:11">
      <c r="A2255" s="3" t="str">
        <f t="shared" si="129"/>
        <v>2026年</v>
      </c>
      <c r="B2255" s="3" t="str">
        <f t="shared" si="130"/>
        <v>3月</v>
      </c>
      <c r="C2255" s="4" t="str">
        <f t="shared" si="131"/>
        <v>W9</v>
      </c>
      <c r="D2255" s="11" t="s">
        <v>797</v>
      </c>
      <c r="E2255" s="11" t="s">
        <v>815</v>
      </c>
      <c r="F2255" s="2" t="str" cm="1">
        <f t="array" ref="F2255">INDEX(_xlfn.TEXTSPLIT(E2255,"-"),2)</f>
        <v>男装</v>
      </c>
      <c r="G2255" s="2" t="str" cm="1">
        <f t="array" ref="G2255">INDEX(_xlfn.TEXTSPLIT(E2255,"-"),3)</f>
        <v>新中式男装</v>
      </c>
      <c r="H2255" s="12">
        <v>406</v>
      </c>
      <c r="I2255" s="12">
        <v>100505.3</v>
      </c>
      <c r="J2255" s="13">
        <v>0.0003</v>
      </c>
      <c r="K2255" s="13">
        <v>-0.1484</v>
      </c>
    </row>
    <row r="2256" ht="14.5" spans="1:11">
      <c r="A2256" s="3" t="str">
        <f t="shared" si="129"/>
        <v>2026年</v>
      </c>
      <c r="B2256" s="3" t="str">
        <f t="shared" si="130"/>
        <v>3月</v>
      </c>
      <c r="C2256" s="4" t="str">
        <f t="shared" si="131"/>
        <v>W9</v>
      </c>
      <c r="D2256" s="11" t="s">
        <v>797</v>
      </c>
      <c r="E2256" s="11" t="s">
        <v>816</v>
      </c>
      <c r="F2256" s="2" t="str" cm="1">
        <f t="array" ref="F2256">INDEX(_xlfn.TEXTSPLIT(E2256,"-"),2)</f>
        <v>男装</v>
      </c>
      <c r="G2256" s="2" t="str" cm="1">
        <f t="array" ref="G2256">INDEX(_xlfn.TEXTSPLIT(E2256,"-"),3)</f>
        <v>棉衣</v>
      </c>
      <c r="H2256" s="12">
        <v>42000</v>
      </c>
      <c r="I2256" s="12">
        <v>4957030.7</v>
      </c>
      <c r="J2256" s="13">
        <v>0.0144</v>
      </c>
      <c r="K2256" s="13">
        <v>0.0347</v>
      </c>
    </row>
    <row r="2257" ht="14.5" spans="1:11">
      <c r="A2257" s="3" t="str">
        <f t="shared" si="129"/>
        <v>2026年</v>
      </c>
      <c r="B2257" s="3" t="str">
        <f t="shared" si="130"/>
        <v>3月</v>
      </c>
      <c r="C2257" s="4" t="str">
        <f t="shared" si="131"/>
        <v>W9</v>
      </c>
      <c r="D2257" s="11" t="s">
        <v>797</v>
      </c>
      <c r="E2257" s="11" t="s">
        <v>817</v>
      </c>
      <c r="F2257" s="2" t="str" cm="1">
        <f t="array" ref="F2257">INDEX(_xlfn.TEXTSPLIT(E2257,"-"),2)</f>
        <v>男装</v>
      </c>
      <c r="G2257" s="2" t="str" cm="1">
        <f t="array" ref="G2257">INDEX(_xlfn.TEXTSPLIT(E2257,"-"),3)</f>
        <v>棉裤</v>
      </c>
      <c r="H2257" s="12">
        <v>1726</v>
      </c>
      <c r="I2257" s="12">
        <v>107942.33</v>
      </c>
      <c r="J2257" s="13">
        <v>0.0003</v>
      </c>
      <c r="K2257" s="13">
        <v>0.3326</v>
      </c>
    </row>
    <row r="2258" ht="14.5" spans="1:11">
      <c r="A2258" s="3" t="str">
        <f t="shared" si="129"/>
        <v>2026年</v>
      </c>
      <c r="B2258" s="3" t="str">
        <f t="shared" si="130"/>
        <v>3月</v>
      </c>
      <c r="C2258" s="4" t="str">
        <f t="shared" si="131"/>
        <v>W9</v>
      </c>
      <c r="D2258" s="11" t="s">
        <v>797</v>
      </c>
      <c r="E2258" s="11" t="s">
        <v>818</v>
      </c>
      <c r="F2258" s="2" t="str" cm="1">
        <f t="array" ref="F2258">INDEX(_xlfn.TEXTSPLIT(E2258,"-"),2)</f>
        <v>男装</v>
      </c>
      <c r="G2258" s="2" t="str" cm="1">
        <f t="array" ref="G2258">INDEX(_xlfn.TEXTSPLIT(E2258,"-"),3)</f>
        <v>毛呢大衣</v>
      </c>
      <c r="H2258" s="12">
        <v>10261</v>
      </c>
      <c r="I2258" s="12">
        <v>3273190.79</v>
      </c>
      <c r="J2258" s="13">
        <v>0.0095</v>
      </c>
      <c r="K2258" s="13">
        <v>0.5105</v>
      </c>
    </row>
    <row r="2259" ht="14.5" spans="1:11">
      <c r="A2259" s="3" t="str">
        <f t="shared" si="129"/>
        <v>2026年</v>
      </c>
      <c r="B2259" s="3" t="str">
        <f t="shared" si="130"/>
        <v>3月</v>
      </c>
      <c r="C2259" s="4" t="str">
        <f t="shared" si="131"/>
        <v>W9</v>
      </c>
      <c r="D2259" s="11" t="s">
        <v>797</v>
      </c>
      <c r="E2259" s="11" t="s">
        <v>819</v>
      </c>
      <c r="F2259" s="2" t="str" cm="1">
        <f t="array" ref="F2259">INDEX(_xlfn.TEXTSPLIT(E2259,"-"),2)</f>
        <v>男装</v>
      </c>
      <c r="G2259" s="2" t="str" cm="1">
        <f t="array" ref="G2259">INDEX(_xlfn.TEXTSPLIT(E2259,"-"),3)</f>
        <v>民族服装</v>
      </c>
      <c r="H2259" s="12">
        <v>4653</v>
      </c>
      <c r="I2259" s="12">
        <v>894082.78</v>
      </c>
      <c r="J2259" s="13">
        <v>0.0026</v>
      </c>
      <c r="K2259" s="13">
        <v>-0.1243</v>
      </c>
    </row>
    <row r="2260" ht="14.5" spans="1:11">
      <c r="A2260" s="3" t="str">
        <f t="shared" si="129"/>
        <v>2026年</v>
      </c>
      <c r="B2260" s="3" t="str">
        <f t="shared" si="130"/>
        <v>3月</v>
      </c>
      <c r="C2260" s="4" t="str">
        <f t="shared" si="131"/>
        <v>W9</v>
      </c>
      <c r="D2260" s="11" t="s">
        <v>797</v>
      </c>
      <c r="E2260" s="11" t="s">
        <v>820</v>
      </c>
      <c r="F2260" s="2" t="str" cm="1">
        <f t="array" ref="F2260">INDEX(_xlfn.TEXTSPLIT(E2260,"-"),2)</f>
        <v>男装</v>
      </c>
      <c r="G2260" s="2" t="str" cm="1">
        <f t="array" ref="G2260">INDEX(_xlfn.TEXTSPLIT(E2260,"-"),3)</f>
        <v>派克服</v>
      </c>
      <c r="H2260" s="12">
        <v>904</v>
      </c>
      <c r="I2260" s="12">
        <v>219018.01</v>
      </c>
      <c r="J2260" s="13">
        <v>0.0006</v>
      </c>
      <c r="K2260" s="13">
        <v>-0.0795</v>
      </c>
    </row>
    <row r="2261" ht="14.5" spans="1:11">
      <c r="A2261" s="3" t="str">
        <f t="shared" si="129"/>
        <v>2026年</v>
      </c>
      <c r="B2261" s="3" t="str">
        <f t="shared" si="130"/>
        <v>3月</v>
      </c>
      <c r="C2261" s="4" t="str">
        <f t="shared" si="131"/>
        <v>W9</v>
      </c>
      <c r="D2261" s="11" t="s">
        <v>797</v>
      </c>
      <c r="E2261" s="11" t="s">
        <v>821</v>
      </c>
      <c r="F2261" s="2" t="str" cm="1">
        <f t="array" ref="F2261">INDEX(_xlfn.TEXTSPLIT(E2261,"-"),2)</f>
        <v>男装</v>
      </c>
      <c r="G2261" s="2" t="str" cm="1">
        <f t="array" ref="G2261">INDEX(_xlfn.TEXTSPLIT(E2261,"-"),3)</f>
        <v>牛仔裤</v>
      </c>
      <c r="H2261" s="12">
        <v>289720</v>
      </c>
      <c r="I2261" s="12">
        <v>32975604.36</v>
      </c>
      <c r="J2261" s="13">
        <v>0.0955</v>
      </c>
      <c r="K2261" s="13">
        <v>0.0841</v>
      </c>
    </row>
    <row r="2262" ht="14.5" spans="1:11">
      <c r="A2262" s="3" t="str">
        <f t="shared" si="129"/>
        <v>2026年</v>
      </c>
      <c r="B2262" s="3" t="str">
        <f t="shared" si="130"/>
        <v>3月</v>
      </c>
      <c r="C2262" s="4" t="str">
        <f t="shared" si="131"/>
        <v>W9</v>
      </c>
      <c r="D2262" s="11" t="s">
        <v>797</v>
      </c>
      <c r="E2262" s="11" t="s">
        <v>822</v>
      </c>
      <c r="F2262" s="2" t="str" cm="1">
        <f t="array" ref="F2262">INDEX(_xlfn.TEXTSPLIT(E2262,"-"),2)</f>
        <v>男装</v>
      </c>
      <c r="G2262" s="2" t="str" cm="1">
        <f t="array" ref="G2262">INDEX(_xlfn.TEXTSPLIT(E2262,"-"),3)</f>
        <v>皮草</v>
      </c>
      <c r="H2262" s="12">
        <v>378</v>
      </c>
      <c r="I2262" s="12">
        <v>328745.36</v>
      </c>
      <c r="J2262" s="13">
        <v>0.001</v>
      </c>
      <c r="K2262" s="14">
        <v>0.56</v>
      </c>
    </row>
    <row r="2263" ht="14.5" spans="1:11">
      <c r="A2263" s="3" t="str">
        <f t="shared" si="129"/>
        <v>2026年</v>
      </c>
      <c r="B2263" s="3" t="str">
        <f t="shared" si="130"/>
        <v>3月</v>
      </c>
      <c r="C2263" s="4" t="str">
        <f t="shared" si="131"/>
        <v>W9</v>
      </c>
      <c r="D2263" s="11" t="s">
        <v>797</v>
      </c>
      <c r="E2263" s="11" t="s">
        <v>823</v>
      </c>
      <c r="F2263" s="2" t="str" cm="1">
        <f t="array" ref="F2263">INDEX(_xlfn.TEXTSPLIT(E2263,"-"),2)</f>
        <v>男装</v>
      </c>
      <c r="G2263" s="2" t="str" cm="1">
        <f t="array" ref="G2263">INDEX(_xlfn.TEXTSPLIT(E2263,"-"),3)</f>
        <v>皮衣</v>
      </c>
      <c r="H2263" s="12">
        <v>29573</v>
      </c>
      <c r="I2263" s="12">
        <v>10829156.89</v>
      </c>
      <c r="J2263" s="13">
        <v>0.0314</v>
      </c>
      <c r="K2263" s="13">
        <v>-0.0419</v>
      </c>
    </row>
    <row r="2264" ht="14.5" spans="1:11">
      <c r="A2264" s="3" t="str">
        <f t="shared" si="129"/>
        <v>2026年</v>
      </c>
      <c r="B2264" s="3" t="str">
        <f t="shared" si="130"/>
        <v>3月</v>
      </c>
      <c r="C2264" s="4" t="str">
        <f t="shared" si="131"/>
        <v>W9</v>
      </c>
      <c r="D2264" s="11" t="s">
        <v>797</v>
      </c>
      <c r="E2264" s="11" t="s">
        <v>824</v>
      </c>
      <c r="F2264" s="2" t="str" cm="1">
        <f t="array" ref="F2264">INDEX(_xlfn.TEXTSPLIT(E2264,"-"),2)</f>
        <v>男装</v>
      </c>
      <c r="G2264" s="2" t="str" cm="1">
        <f t="array" ref="G2264">INDEX(_xlfn.TEXTSPLIT(E2264,"-"),3)</f>
        <v>皮裤</v>
      </c>
      <c r="H2264" s="12">
        <v>457</v>
      </c>
      <c r="I2264" s="12">
        <v>76041.31</v>
      </c>
      <c r="J2264" s="13">
        <v>0.0002</v>
      </c>
      <c r="K2264" s="13">
        <v>0.1118</v>
      </c>
    </row>
    <row r="2265" ht="14.5" spans="1:11">
      <c r="A2265" s="3" t="str">
        <f t="shared" si="129"/>
        <v>2026年</v>
      </c>
      <c r="B2265" s="3" t="str">
        <f t="shared" si="130"/>
        <v>3月</v>
      </c>
      <c r="C2265" s="4" t="str">
        <f t="shared" si="131"/>
        <v>W9</v>
      </c>
      <c r="D2265" s="11" t="s">
        <v>797</v>
      </c>
      <c r="E2265" s="11" t="s">
        <v>825</v>
      </c>
      <c r="F2265" s="2" t="str" cm="1">
        <f t="array" ref="F2265">INDEX(_xlfn.TEXTSPLIT(E2265,"-"),2)</f>
        <v>男装</v>
      </c>
      <c r="G2265" s="2" t="str" cm="1">
        <f t="array" ref="G2265">INDEX(_xlfn.TEXTSPLIT(E2265,"-"),3)</f>
        <v>短外套</v>
      </c>
      <c r="H2265" s="12">
        <v>20325</v>
      </c>
      <c r="I2265" s="12">
        <v>1883038.52</v>
      </c>
      <c r="J2265" s="13">
        <v>0.0055</v>
      </c>
      <c r="K2265" s="13">
        <v>-0.1739</v>
      </c>
    </row>
    <row r="2266" ht="14.5" spans="1:11">
      <c r="A2266" s="3" t="str">
        <f t="shared" si="129"/>
        <v>2026年</v>
      </c>
      <c r="B2266" s="3" t="str">
        <f t="shared" si="130"/>
        <v>3月</v>
      </c>
      <c r="C2266" s="4" t="str">
        <f t="shared" si="131"/>
        <v>W9</v>
      </c>
      <c r="D2266" s="11" t="s">
        <v>797</v>
      </c>
      <c r="E2266" s="11" t="s">
        <v>826</v>
      </c>
      <c r="F2266" s="2" t="str" cm="1">
        <f t="array" ref="F2266">INDEX(_xlfn.TEXTSPLIT(E2266,"-"),2)</f>
        <v>男装</v>
      </c>
      <c r="G2266" s="2" t="str" cm="1">
        <f t="array" ref="G2266">INDEX(_xlfn.TEXTSPLIT(E2266,"-"),3)</f>
        <v>短裤</v>
      </c>
      <c r="H2266" s="12">
        <v>71256</v>
      </c>
      <c r="I2266" s="12">
        <v>3192888.36</v>
      </c>
      <c r="J2266" s="13">
        <v>0.0092</v>
      </c>
      <c r="K2266" s="13">
        <v>0.137</v>
      </c>
    </row>
    <row r="2267" ht="14.5" spans="1:11">
      <c r="A2267" s="3" t="str">
        <f t="shared" si="129"/>
        <v>2026年</v>
      </c>
      <c r="B2267" s="3" t="str">
        <f t="shared" si="130"/>
        <v>3月</v>
      </c>
      <c r="C2267" s="4" t="str">
        <f t="shared" si="131"/>
        <v>W9</v>
      </c>
      <c r="D2267" s="11" t="s">
        <v>797</v>
      </c>
      <c r="E2267" s="11" t="s">
        <v>827</v>
      </c>
      <c r="F2267" s="2" t="str" cm="1">
        <f t="array" ref="F2267">INDEX(_xlfn.TEXTSPLIT(E2267,"-"),2)</f>
        <v>男装</v>
      </c>
      <c r="G2267" s="2" t="str" cm="1">
        <f t="array" ref="G2267">INDEX(_xlfn.TEXTSPLIT(E2267,"-"),3)</f>
        <v>紧身衣</v>
      </c>
      <c r="H2267" s="12">
        <v>374</v>
      </c>
      <c r="I2267" s="12">
        <v>10962.82</v>
      </c>
      <c r="J2267" s="11" t="s">
        <v>713</v>
      </c>
      <c r="K2267" s="13">
        <v>0.0133</v>
      </c>
    </row>
    <row r="2268" ht="14.5" spans="1:11">
      <c r="A2268" s="3" t="str">
        <f t="shared" si="129"/>
        <v>2026年</v>
      </c>
      <c r="B2268" s="3" t="str">
        <f t="shared" si="130"/>
        <v>3月</v>
      </c>
      <c r="C2268" s="4" t="str">
        <f t="shared" si="131"/>
        <v>W9</v>
      </c>
      <c r="D2268" s="11" t="s">
        <v>797</v>
      </c>
      <c r="E2268" s="11" t="s">
        <v>828</v>
      </c>
      <c r="F2268" s="2" t="str" cm="1">
        <f t="array" ref="F2268">INDEX(_xlfn.TEXTSPLIT(E2268,"-"),2)</f>
        <v>男装</v>
      </c>
      <c r="G2268" s="2" t="str" cm="1">
        <f t="array" ref="G2268">INDEX(_xlfn.TEXTSPLIT(E2268,"-"),3)</f>
        <v>羊毛衫</v>
      </c>
      <c r="H2268" s="12">
        <v>23161</v>
      </c>
      <c r="I2268" s="12">
        <v>3096262.31</v>
      </c>
      <c r="J2268" s="13">
        <v>0.009</v>
      </c>
      <c r="K2268" s="13">
        <v>0.1547</v>
      </c>
    </row>
    <row r="2269" ht="14.5" spans="1:11">
      <c r="A2269" s="3" t="str">
        <f t="shared" si="129"/>
        <v>2026年</v>
      </c>
      <c r="B2269" s="3" t="str">
        <f t="shared" si="130"/>
        <v>3月</v>
      </c>
      <c r="C2269" s="4" t="str">
        <f t="shared" si="131"/>
        <v>W9</v>
      </c>
      <c r="D2269" s="11" t="s">
        <v>797</v>
      </c>
      <c r="E2269" s="11" t="s">
        <v>829</v>
      </c>
      <c r="F2269" s="2" t="str" cm="1">
        <f t="array" ref="F2269">INDEX(_xlfn.TEXTSPLIT(E2269,"-"),2)</f>
        <v>男装</v>
      </c>
      <c r="G2269" s="2" t="str" cm="1">
        <f t="array" ref="G2269">INDEX(_xlfn.TEXTSPLIT(E2269,"-"),3)</f>
        <v>羊绒衫</v>
      </c>
      <c r="H2269" s="12">
        <v>3230</v>
      </c>
      <c r="I2269" s="12">
        <v>957423.32</v>
      </c>
      <c r="J2269" s="13">
        <v>0.0028</v>
      </c>
      <c r="K2269" s="13">
        <v>0.2274</v>
      </c>
    </row>
    <row r="2270" ht="14.5" spans="1:11">
      <c r="A2270" s="3" t="str">
        <f t="shared" si="129"/>
        <v>2026年</v>
      </c>
      <c r="B2270" s="3" t="str">
        <f t="shared" si="130"/>
        <v>3月</v>
      </c>
      <c r="C2270" s="4" t="str">
        <f t="shared" si="131"/>
        <v>W9</v>
      </c>
      <c r="D2270" s="11" t="s">
        <v>797</v>
      </c>
      <c r="E2270" s="11" t="s">
        <v>830</v>
      </c>
      <c r="F2270" s="2" t="str" cm="1">
        <f t="array" ref="F2270">INDEX(_xlfn.TEXTSPLIT(E2270,"-"),2)</f>
        <v>男装</v>
      </c>
      <c r="G2270" s="2" t="str" cm="1">
        <f t="array" ref="G2270">INDEX(_xlfn.TEXTSPLIT(E2270,"-"),3)</f>
        <v>羽绒服</v>
      </c>
      <c r="H2270" s="12">
        <v>74079</v>
      </c>
      <c r="I2270" s="12">
        <v>17414842.45</v>
      </c>
      <c r="J2270" s="13">
        <v>0.0504</v>
      </c>
      <c r="K2270" s="13">
        <v>0.4246</v>
      </c>
    </row>
    <row r="2271" ht="14.5" spans="1:11">
      <c r="A2271" s="3" t="str">
        <f t="shared" si="129"/>
        <v>2026年</v>
      </c>
      <c r="B2271" s="3" t="str">
        <f t="shared" si="130"/>
        <v>3月</v>
      </c>
      <c r="C2271" s="4" t="str">
        <f t="shared" si="131"/>
        <v>W9</v>
      </c>
      <c r="D2271" s="11" t="s">
        <v>797</v>
      </c>
      <c r="E2271" s="11" t="s">
        <v>831</v>
      </c>
      <c r="F2271" s="2" t="str" cm="1">
        <f t="array" ref="F2271">INDEX(_xlfn.TEXTSPLIT(E2271,"-"),2)</f>
        <v>男装</v>
      </c>
      <c r="G2271" s="2" t="str" cm="1">
        <f t="array" ref="G2271">INDEX(_xlfn.TEXTSPLIT(E2271,"-"),3)</f>
        <v>羽绒裤</v>
      </c>
      <c r="H2271" s="12">
        <v>406</v>
      </c>
      <c r="I2271" s="12">
        <v>52538.36</v>
      </c>
      <c r="J2271" s="13">
        <v>0.0002</v>
      </c>
      <c r="K2271" s="13">
        <v>-0.2234</v>
      </c>
    </row>
    <row r="2272" ht="14.5" spans="1:11">
      <c r="A2272" s="3" t="str">
        <f t="shared" si="129"/>
        <v>2026年</v>
      </c>
      <c r="B2272" s="3" t="str">
        <f t="shared" si="130"/>
        <v>3月</v>
      </c>
      <c r="C2272" s="4" t="str">
        <f t="shared" si="131"/>
        <v>W9</v>
      </c>
      <c r="D2272" s="11" t="s">
        <v>797</v>
      </c>
      <c r="E2272" s="11" t="s">
        <v>832</v>
      </c>
      <c r="F2272" s="2" t="str" cm="1">
        <f t="array" ref="F2272">INDEX(_xlfn.TEXTSPLIT(E2272,"-"),2)</f>
        <v>男装</v>
      </c>
      <c r="G2272" s="2" t="str" cm="1">
        <f t="array" ref="G2272">INDEX(_xlfn.TEXTSPLIT(E2272,"-"),3)</f>
        <v>羽绒马甲</v>
      </c>
      <c r="H2272" s="12">
        <v>2719</v>
      </c>
      <c r="I2272" s="12">
        <v>483492.01</v>
      </c>
      <c r="J2272" s="13">
        <v>0.0014</v>
      </c>
      <c r="K2272" s="13">
        <v>-0.1123</v>
      </c>
    </row>
    <row r="2273" ht="14.5" spans="1:11">
      <c r="A2273" s="3" t="str">
        <f t="shared" si="129"/>
        <v>2026年</v>
      </c>
      <c r="B2273" s="3" t="str">
        <f t="shared" si="130"/>
        <v>3月</v>
      </c>
      <c r="C2273" s="4" t="str">
        <f t="shared" si="131"/>
        <v>W9</v>
      </c>
      <c r="D2273" s="11" t="s">
        <v>797</v>
      </c>
      <c r="E2273" s="11" t="s">
        <v>833</v>
      </c>
      <c r="F2273" s="2" t="str" cm="1">
        <f t="array" ref="F2273">INDEX(_xlfn.TEXTSPLIT(E2273,"-"),2)</f>
        <v>男装</v>
      </c>
      <c r="G2273" s="2" t="str" cm="1">
        <f t="array" ref="G2273">INDEX(_xlfn.TEXTSPLIT(E2273,"-"),3)</f>
        <v>背心</v>
      </c>
      <c r="H2273" s="12">
        <v>36010</v>
      </c>
      <c r="I2273" s="12">
        <v>1962996.93</v>
      </c>
      <c r="J2273" s="13">
        <v>0.0057</v>
      </c>
      <c r="K2273" s="13">
        <v>0.0786</v>
      </c>
    </row>
    <row r="2274" ht="14.5" spans="1:11">
      <c r="A2274" s="3" t="str">
        <f t="shared" si="129"/>
        <v>2026年</v>
      </c>
      <c r="B2274" s="3" t="str">
        <f t="shared" si="130"/>
        <v>3月</v>
      </c>
      <c r="C2274" s="4" t="str">
        <f t="shared" si="131"/>
        <v>W9</v>
      </c>
      <c r="D2274" s="11" t="s">
        <v>797</v>
      </c>
      <c r="E2274" s="11" t="s">
        <v>834</v>
      </c>
      <c r="F2274" s="2" t="str" cm="1">
        <f t="array" ref="F2274">INDEX(_xlfn.TEXTSPLIT(E2274,"-"),2)</f>
        <v>男装</v>
      </c>
      <c r="G2274" s="2" t="str" cm="1">
        <f t="array" ref="G2274">INDEX(_xlfn.TEXTSPLIT(E2274,"-"),3)</f>
        <v>衬衫</v>
      </c>
      <c r="H2274" s="12">
        <v>107766</v>
      </c>
      <c r="I2274" s="12">
        <v>12467162.79</v>
      </c>
      <c r="J2274" s="13">
        <v>0.0361</v>
      </c>
      <c r="K2274" s="13">
        <v>0.0579</v>
      </c>
    </row>
    <row r="2275" ht="14.5" spans="1:11">
      <c r="A2275" s="3" t="str">
        <f t="shared" si="129"/>
        <v>2026年</v>
      </c>
      <c r="B2275" s="3" t="str">
        <f t="shared" si="130"/>
        <v>3月</v>
      </c>
      <c r="C2275" s="4" t="str">
        <f t="shared" si="131"/>
        <v>W9</v>
      </c>
      <c r="D2275" s="11" t="s">
        <v>797</v>
      </c>
      <c r="E2275" s="11" t="s">
        <v>835</v>
      </c>
      <c r="F2275" s="2" t="str" cm="1">
        <f t="array" ref="F2275">INDEX(_xlfn.TEXTSPLIT(E2275,"-"),2)</f>
        <v>男装</v>
      </c>
      <c r="G2275" s="2" t="str" cm="1">
        <f t="array" ref="G2275">INDEX(_xlfn.TEXTSPLIT(E2275,"-"),3)</f>
        <v>西服</v>
      </c>
      <c r="H2275" s="12">
        <v>63643</v>
      </c>
      <c r="I2275" s="12">
        <v>14798294.98</v>
      </c>
      <c r="J2275" s="13">
        <v>0.0428</v>
      </c>
      <c r="K2275" s="13">
        <v>0.1022</v>
      </c>
    </row>
    <row r="2276" ht="14.5" spans="1:11">
      <c r="A2276" s="3" t="str">
        <f t="shared" si="129"/>
        <v>2026年</v>
      </c>
      <c r="B2276" s="3" t="str">
        <f t="shared" si="130"/>
        <v>3月</v>
      </c>
      <c r="C2276" s="4" t="str">
        <f t="shared" si="131"/>
        <v>W9</v>
      </c>
      <c r="D2276" s="11" t="s">
        <v>797</v>
      </c>
      <c r="E2276" s="11" t="s">
        <v>836</v>
      </c>
      <c r="F2276" s="2" t="str" cm="1">
        <f t="array" ref="F2276">INDEX(_xlfn.TEXTSPLIT(E2276,"-"),2)</f>
        <v>男装</v>
      </c>
      <c r="G2276" s="2" t="str" cm="1">
        <f t="array" ref="G2276">INDEX(_xlfn.TEXTSPLIT(E2276,"-"),3)</f>
        <v>连体衣/裤</v>
      </c>
      <c r="H2276" s="12">
        <v>276</v>
      </c>
      <c r="I2276" s="12">
        <v>6939.01</v>
      </c>
      <c r="J2276" s="11" t="s">
        <v>713</v>
      </c>
      <c r="K2276" s="13">
        <v>0.3048</v>
      </c>
    </row>
    <row r="2277" ht="14.5" spans="1:11">
      <c r="A2277" s="3" t="str">
        <f t="shared" si="129"/>
        <v>2026年</v>
      </c>
      <c r="B2277" s="3" t="str">
        <f t="shared" si="130"/>
        <v>3月</v>
      </c>
      <c r="C2277" s="4" t="str">
        <f t="shared" si="131"/>
        <v>W9</v>
      </c>
      <c r="D2277" s="11" t="s">
        <v>797</v>
      </c>
      <c r="E2277" s="11" t="s">
        <v>837</v>
      </c>
      <c r="F2277" s="2" t="str" cm="1">
        <f t="array" ref="F2277">INDEX(_xlfn.TEXTSPLIT(E2277,"-"),2)</f>
        <v>男装</v>
      </c>
      <c r="G2277" s="2" t="str" cm="1">
        <f t="array" ref="G2277">INDEX(_xlfn.TEXTSPLIT(E2277,"-"),3)</f>
        <v>速干/三防T恤</v>
      </c>
      <c r="H2277" s="12">
        <v>1554</v>
      </c>
      <c r="I2277" s="12">
        <v>233506.62</v>
      </c>
      <c r="J2277" s="13">
        <v>0.0007</v>
      </c>
      <c r="K2277" s="13">
        <v>-0.1484</v>
      </c>
    </row>
    <row r="2278" ht="14.5" spans="1:11">
      <c r="A2278" s="3" t="str">
        <f t="shared" si="129"/>
        <v>2026年</v>
      </c>
      <c r="B2278" s="3" t="str">
        <f t="shared" si="130"/>
        <v>3月</v>
      </c>
      <c r="C2278" s="4" t="str">
        <f t="shared" si="131"/>
        <v>W9</v>
      </c>
      <c r="D2278" s="11" t="s">
        <v>797</v>
      </c>
      <c r="E2278" s="11" t="s">
        <v>838</v>
      </c>
      <c r="F2278" s="2" t="str" cm="1">
        <f t="array" ref="F2278">INDEX(_xlfn.TEXTSPLIT(E2278,"-"),2)</f>
        <v>男装</v>
      </c>
      <c r="G2278" s="2" t="str" cm="1">
        <f t="array" ref="G2278">INDEX(_xlfn.TEXTSPLIT(E2278,"-"),3)</f>
        <v>针织衫/毛衣</v>
      </c>
      <c r="H2278" s="12">
        <v>87472</v>
      </c>
      <c r="I2278" s="12">
        <v>11398234.39</v>
      </c>
      <c r="J2278" s="13">
        <v>0.033</v>
      </c>
      <c r="K2278" s="13">
        <v>0.0036</v>
      </c>
    </row>
    <row r="2279" ht="14.5" spans="1:11">
      <c r="A2279" s="3" t="str">
        <f t="shared" si="129"/>
        <v>2026年</v>
      </c>
      <c r="B2279" s="3" t="str">
        <f t="shared" si="130"/>
        <v>3月</v>
      </c>
      <c r="C2279" s="4" t="str">
        <f t="shared" si="131"/>
        <v>W9</v>
      </c>
      <c r="D2279" s="11" t="s">
        <v>797</v>
      </c>
      <c r="E2279" s="11" t="s">
        <v>839</v>
      </c>
      <c r="F2279" s="2" t="str" cm="1">
        <f t="array" ref="F2279">INDEX(_xlfn.TEXTSPLIT(E2279,"-"),2)</f>
        <v>男装</v>
      </c>
      <c r="G2279" s="2" t="str" cm="1">
        <f t="array" ref="G2279">INDEX(_xlfn.TEXTSPLIT(E2279,"-"),3)</f>
        <v>防晒服</v>
      </c>
      <c r="H2279" s="12">
        <v>5235</v>
      </c>
      <c r="I2279" s="12">
        <v>632085.53</v>
      </c>
      <c r="J2279" s="13">
        <v>0.0018</v>
      </c>
      <c r="K2279" s="13">
        <v>-0.052</v>
      </c>
    </row>
    <row r="2280" ht="14.5" spans="1:11">
      <c r="A2280" s="3" t="str">
        <f t="shared" si="129"/>
        <v>2026年</v>
      </c>
      <c r="B2280" s="3" t="str">
        <f t="shared" si="130"/>
        <v>3月</v>
      </c>
      <c r="C2280" s="4" t="str">
        <f t="shared" si="131"/>
        <v>W9</v>
      </c>
      <c r="D2280" s="11" t="s">
        <v>797</v>
      </c>
      <c r="E2280" s="11" t="s">
        <v>840</v>
      </c>
      <c r="F2280" s="2" t="str" cm="1">
        <f t="array" ref="F2280">INDEX(_xlfn.TEXTSPLIT(E2280,"-"),2)</f>
        <v>男装</v>
      </c>
      <c r="G2280" s="2" t="str" cm="1">
        <f t="array" ref="G2280">INDEX(_xlfn.TEXTSPLIT(E2280,"-"),3)</f>
        <v>风衣</v>
      </c>
      <c r="H2280" s="12">
        <v>12023</v>
      </c>
      <c r="I2280" s="12">
        <v>2865409.45</v>
      </c>
      <c r="J2280" s="13">
        <v>0.0083</v>
      </c>
      <c r="K2280" s="13">
        <v>0.1756</v>
      </c>
    </row>
    <row r="2281" ht="14.5" spans="1:11">
      <c r="A2281" s="3" t="str">
        <f t="shared" si="129"/>
        <v>2026年</v>
      </c>
      <c r="B2281" s="3" t="str">
        <f t="shared" si="130"/>
        <v>3月</v>
      </c>
      <c r="C2281" s="4" t="str">
        <f t="shared" si="131"/>
        <v>W9</v>
      </c>
      <c r="D2281" s="11" t="s">
        <v>797</v>
      </c>
      <c r="E2281" s="11" t="s">
        <v>841</v>
      </c>
      <c r="F2281" s="2" t="str" cm="1">
        <f t="array" ref="F2281">INDEX(_xlfn.TEXTSPLIT(E2281,"-"),2)</f>
        <v>男装</v>
      </c>
      <c r="G2281" s="2" t="str" cm="1">
        <f t="array" ref="G2281">INDEX(_xlfn.TEXTSPLIT(E2281,"-"),3)</f>
        <v>马甲</v>
      </c>
      <c r="H2281" s="12">
        <v>19600</v>
      </c>
      <c r="I2281" s="12">
        <v>2588367.96</v>
      </c>
      <c r="J2281" s="13">
        <v>0.0075</v>
      </c>
      <c r="K2281" s="13">
        <v>0.0379</v>
      </c>
    </row>
    <row r="2282" ht="14.5" spans="1:11">
      <c r="A2282" s="3" t="str">
        <f t="shared" si="129"/>
        <v>2026年</v>
      </c>
      <c r="B2282" s="3" t="str">
        <f t="shared" si="130"/>
        <v>3月</v>
      </c>
      <c r="C2282" s="4" t="str">
        <f t="shared" si="131"/>
        <v>W10</v>
      </c>
      <c r="D2282" s="11" t="s">
        <v>798</v>
      </c>
      <c r="E2282" s="11" t="s">
        <v>804</v>
      </c>
      <c r="F2282" s="2" t="str" cm="1">
        <f t="array" ref="F2282">INDEX(_xlfn.TEXTSPLIT(E2282,"-"),2)</f>
        <v>男装</v>
      </c>
      <c r="G2282" s="2" t="str" cm="1">
        <f t="array" ref="G2282">INDEX(_xlfn.TEXTSPLIT(E2282,"-"),3)</f>
        <v>Polo衫</v>
      </c>
      <c r="H2282" s="12">
        <v>101110</v>
      </c>
      <c r="I2282" s="12">
        <v>10483829.92</v>
      </c>
      <c r="J2282" s="13">
        <v>0.0331</v>
      </c>
      <c r="K2282" s="13">
        <v>0.1019</v>
      </c>
    </row>
    <row r="2283" ht="14.5" spans="1:11">
      <c r="A2283" s="3" t="str">
        <f t="shared" si="129"/>
        <v>2026年</v>
      </c>
      <c r="B2283" s="3" t="str">
        <f t="shared" si="130"/>
        <v>3月</v>
      </c>
      <c r="C2283" s="4" t="str">
        <f t="shared" si="131"/>
        <v>W10</v>
      </c>
      <c r="D2283" s="11" t="s">
        <v>798</v>
      </c>
      <c r="E2283" s="11" t="s">
        <v>805</v>
      </c>
      <c r="F2283" s="2" t="str" cm="1">
        <f t="array" ref="F2283">INDEX(_xlfn.TEXTSPLIT(E2283,"-"),2)</f>
        <v>男装</v>
      </c>
      <c r="G2283" s="2" t="str" cm="1">
        <f t="array" ref="G2283">INDEX(_xlfn.TEXTSPLIT(E2283,"-"),3)</f>
        <v>T恤</v>
      </c>
      <c r="H2283" s="12">
        <v>750990</v>
      </c>
      <c r="I2283" s="12">
        <v>49387515.78</v>
      </c>
      <c r="J2283" s="13">
        <v>0.1557</v>
      </c>
      <c r="K2283" s="13">
        <v>-0.0024</v>
      </c>
    </row>
    <row r="2284" ht="14.5" spans="1:11">
      <c r="A2284" s="3" t="str">
        <f t="shared" si="129"/>
        <v>2026年</v>
      </c>
      <c r="B2284" s="3" t="str">
        <f t="shared" si="130"/>
        <v>3月</v>
      </c>
      <c r="C2284" s="4" t="str">
        <f t="shared" si="131"/>
        <v>W10</v>
      </c>
      <c r="D2284" s="11" t="s">
        <v>798</v>
      </c>
      <c r="E2284" s="11" t="s">
        <v>806</v>
      </c>
      <c r="F2284" s="2" t="str" cm="1">
        <f t="array" ref="F2284">INDEX(_xlfn.TEXTSPLIT(E2284,"-"),2)</f>
        <v>男装</v>
      </c>
      <c r="G2284" s="2" t="str" cm="1">
        <f t="array" ref="G2284">INDEX(_xlfn.TEXTSPLIT(E2284,"-"),3)</f>
        <v>中老年男装</v>
      </c>
      <c r="H2284" s="12">
        <v>28903</v>
      </c>
      <c r="I2284" s="12">
        <v>2228898.09</v>
      </c>
      <c r="J2284" s="13">
        <v>0.007</v>
      </c>
      <c r="K2284" s="13">
        <v>-0.0931</v>
      </c>
    </row>
    <row r="2285" ht="14.5" spans="1:11">
      <c r="A2285" s="3" t="str">
        <f t="shared" si="129"/>
        <v>2026年</v>
      </c>
      <c r="B2285" s="3" t="str">
        <f t="shared" si="130"/>
        <v>3月</v>
      </c>
      <c r="C2285" s="4" t="str">
        <f t="shared" si="131"/>
        <v>W10</v>
      </c>
      <c r="D2285" s="11" t="s">
        <v>798</v>
      </c>
      <c r="E2285" s="11" t="s">
        <v>807</v>
      </c>
      <c r="F2285" s="2" t="str" cm="1">
        <f t="array" ref="F2285">INDEX(_xlfn.TEXTSPLIT(E2285,"-"),2)</f>
        <v>男装</v>
      </c>
      <c r="G2285" s="2" t="str" cm="1">
        <f t="array" ref="G2285">INDEX(_xlfn.TEXTSPLIT(E2285,"-"),3)</f>
        <v>休闲裤</v>
      </c>
      <c r="H2285" s="12">
        <v>390891</v>
      </c>
      <c r="I2285" s="12">
        <v>39498167.85</v>
      </c>
      <c r="J2285" s="13">
        <v>0.1245</v>
      </c>
      <c r="K2285" s="13">
        <v>-0.066</v>
      </c>
    </row>
    <row r="2286" ht="14.5" spans="1:11">
      <c r="A2286" s="3" t="str">
        <f t="shared" si="129"/>
        <v>2026年</v>
      </c>
      <c r="B2286" s="3" t="str">
        <f t="shared" si="130"/>
        <v>3月</v>
      </c>
      <c r="C2286" s="4" t="str">
        <f t="shared" si="131"/>
        <v>W10</v>
      </c>
      <c r="D2286" s="11" t="s">
        <v>798</v>
      </c>
      <c r="E2286" s="11" t="s">
        <v>808</v>
      </c>
      <c r="F2286" s="2" t="str" cm="1">
        <f t="array" ref="F2286">INDEX(_xlfn.TEXTSPLIT(E2286,"-"),2)</f>
        <v>男装</v>
      </c>
      <c r="G2286" s="2" t="str" cm="1">
        <f t="array" ref="G2286">INDEX(_xlfn.TEXTSPLIT(E2286,"-"),3)</f>
        <v>卫衣</v>
      </c>
      <c r="H2286" s="12">
        <v>205625</v>
      </c>
      <c r="I2286" s="12">
        <v>19010774.63</v>
      </c>
      <c r="J2286" s="13">
        <v>0.0599</v>
      </c>
      <c r="K2286" s="13">
        <v>-0.1376</v>
      </c>
    </row>
    <row r="2287" ht="14.5" spans="1:11">
      <c r="A2287" s="3" t="str">
        <f t="shared" si="129"/>
        <v>2026年</v>
      </c>
      <c r="B2287" s="3" t="str">
        <f t="shared" si="130"/>
        <v>3月</v>
      </c>
      <c r="C2287" s="4" t="str">
        <f t="shared" si="131"/>
        <v>W10</v>
      </c>
      <c r="D2287" s="11" t="s">
        <v>798</v>
      </c>
      <c r="E2287" s="11" t="s">
        <v>809</v>
      </c>
      <c r="F2287" s="2" t="str" cm="1">
        <f t="array" ref="F2287">INDEX(_xlfn.TEXTSPLIT(E2287,"-"),2)</f>
        <v>男装</v>
      </c>
      <c r="G2287" s="2" t="str" cm="1">
        <f t="array" ref="G2287">INDEX(_xlfn.TEXTSPLIT(E2287,"-"),3)</f>
        <v>卫裤</v>
      </c>
      <c r="H2287" s="12">
        <v>54669</v>
      </c>
      <c r="I2287" s="12">
        <v>4589120.41</v>
      </c>
      <c r="J2287" s="13">
        <v>0.0145</v>
      </c>
      <c r="K2287" s="13">
        <v>-0.1233</v>
      </c>
    </row>
    <row r="2288" ht="14.5" spans="1:11">
      <c r="A2288" s="3" t="str">
        <f t="shared" si="129"/>
        <v>2026年</v>
      </c>
      <c r="B2288" s="3" t="str">
        <f t="shared" si="130"/>
        <v>3月</v>
      </c>
      <c r="C2288" s="4" t="str">
        <f t="shared" si="131"/>
        <v>W10</v>
      </c>
      <c r="D2288" s="11" t="s">
        <v>798</v>
      </c>
      <c r="E2288" s="11" t="s">
        <v>810</v>
      </c>
      <c r="F2288" s="2" t="str" cm="1">
        <f t="array" ref="F2288">INDEX(_xlfn.TEXTSPLIT(E2288,"-"),2)</f>
        <v>男装</v>
      </c>
      <c r="G2288" s="2" t="str" cm="1">
        <f t="array" ref="G2288">INDEX(_xlfn.TEXTSPLIT(E2288,"-"),3)</f>
        <v>大码男装</v>
      </c>
      <c r="H2288" s="12">
        <v>37110</v>
      </c>
      <c r="I2288" s="12">
        <v>2717410.12</v>
      </c>
      <c r="J2288" s="13">
        <v>0.0086</v>
      </c>
      <c r="K2288" s="13">
        <v>-0.1064</v>
      </c>
    </row>
    <row r="2289" ht="14.5" spans="1:11">
      <c r="A2289" s="3" t="str">
        <f t="shared" si="129"/>
        <v>2026年</v>
      </c>
      <c r="B2289" s="3" t="str">
        <f t="shared" si="130"/>
        <v>3月</v>
      </c>
      <c r="C2289" s="4" t="str">
        <f t="shared" si="131"/>
        <v>W10</v>
      </c>
      <c r="D2289" s="11" t="s">
        <v>798</v>
      </c>
      <c r="E2289" s="11" t="s">
        <v>811</v>
      </c>
      <c r="F2289" s="2" t="str" cm="1">
        <f t="array" ref="F2289">INDEX(_xlfn.TEXTSPLIT(E2289,"-"),2)</f>
        <v>男装</v>
      </c>
      <c r="G2289" s="2" t="str" cm="1">
        <f t="array" ref="G2289">INDEX(_xlfn.TEXTSPLIT(E2289,"-"),3)</f>
        <v>夹克</v>
      </c>
      <c r="H2289" s="12">
        <v>367865</v>
      </c>
      <c r="I2289" s="12">
        <v>62955765.53</v>
      </c>
      <c r="J2289" s="13">
        <v>0.1985</v>
      </c>
      <c r="K2289" s="13">
        <v>-0.1597</v>
      </c>
    </row>
    <row r="2290" ht="14.5" spans="1:11">
      <c r="A2290" s="3" t="str">
        <f t="shared" si="129"/>
        <v>2026年</v>
      </c>
      <c r="B2290" s="3" t="str">
        <f t="shared" si="130"/>
        <v>3月</v>
      </c>
      <c r="C2290" s="4" t="str">
        <f t="shared" si="131"/>
        <v>W10</v>
      </c>
      <c r="D2290" s="11" t="s">
        <v>798</v>
      </c>
      <c r="E2290" s="11" t="s">
        <v>812</v>
      </c>
      <c r="F2290" s="2" t="str" cm="1">
        <f t="array" ref="F2290">INDEX(_xlfn.TEXTSPLIT(E2290,"-"),2)</f>
        <v>男装</v>
      </c>
      <c r="G2290" s="2" t="str" cm="1">
        <f t="array" ref="G2290">INDEX(_xlfn.TEXTSPLIT(E2290,"-"),3)</f>
        <v>套装</v>
      </c>
      <c r="H2290" s="12">
        <v>59427</v>
      </c>
      <c r="I2290" s="12">
        <v>8021734.98</v>
      </c>
      <c r="J2290" s="13">
        <v>0.0253</v>
      </c>
      <c r="K2290" s="13">
        <v>-0.0132</v>
      </c>
    </row>
    <row r="2291" ht="14.5" spans="1:11">
      <c r="A2291" s="3" t="str">
        <f t="shared" si="129"/>
        <v>2026年</v>
      </c>
      <c r="B2291" s="3" t="str">
        <f t="shared" si="130"/>
        <v>3月</v>
      </c>
      <c r="C2291" s="4" t="str">
        <f t="shared" si="131"/>
        <v>W10</v>
      </c>
      <c r="D2291" s="11" t="s">
        <v>798</v>
      </c>
      <c r="E2291" s="11" t="s">
        <v>813</v>
      </c>
      <c r="F2291" s="2" t="str" cm="1">
        <f t="array" ref="F2291">INDEX(_xlfn.TEXTSPLIT(E2291,"-"),2)</f>
        <v>男装</v>
      </c>
      <c r="G2291" s="2" t="str" cm="1">
        <f t="array" ref="G2291">INDEX(_xlfn.TEXTSPLIT(E2291,"-"),3)</f>
        <v>学生校服</v>
      </c>
      <c r="H2291" s="12">
        <v>198</v>
      </c>
      <c r="I2291" s="12">
        <v>10938.51</v>
      </c>
      <c r="J2291" s="11" t="s">
        <v>713</v>
      </c>
      <c r="K2291" s="13">
        <v>1.194</v>
      </c>
    </row>
    <row r="2292" ht="14.5" spans="1:11">
      <c r="A2292" s="3" t="str">
        <f t="shared" si="129"/>
        <v>2026年</v>
      </c>
      <c r="B2292" s="3" t="str">
        <f t="shared" si="130"/>
        <v>3月</v>
      </c>
      <c r="C2292" s="4" t="str">
        <f t="shared" si="131"/>
        <v>W10</v>
      </c>
      <c r="D2292" s="11" t="s">
        <v>798</v>
      </c>
      <c r="E2292" s="11" t="s">
        <v>814</v>
      </c>
      <c r="F2292" s="2" t="str" cm="1">
        <f t="array" ref="F2292">INDEX(_xlfn.TEXTSPLIT(E2292,"-"),2)</f>
        <v>男装</v>
      </c>
      <c r="G2292" s="2" t="str" cm="1">
        <f t="array" ref="G2292">INDEX(_xlfn.TEXTSPLIT(E2292,"-"),3)</f>
        <v>打底衫</v>
      </c>
      <c r="H2292" s="12">
        <v>5886</v>
      </c>
      <c r="I2292" s="12">
        <v>558191.5</v>
      </c>
      <c r="J2292" s="13">
        <v>0.0018</v>
      </c>
      <c r="K2292" s="13">
        <v>0.273</v>
      </c>
    </row>
    <row r="2293" ht="14.5" spans="1:11">
      <c r="A2293" s="3" t="str">
        <f t="shared" si="129"/>
        <v>2026年</v>
      </c>
      <c r="B2293" s="3" t="str">
        <f t="shared" si="130"/>
        <v>3月</v>
      </c>
      <c r="C2293" s="4" t="str">
        <f t="shared" si="131"/>
        <v>W10</v>
      </c>
      <c r="D2293" s="11" t="s">
        <v>798</v>
      </c>
      <c r="E2293" s="11" t="s">
        <v>815</v>
      </c>
      <c r="F2293" s="2" t="str" cm="1">
        <f t="array" ref="F2293">INDEX(_xlfn.TEXTSPLIT(E2293,"-"),2)</f>
        <v>男装</v>
      </c>
      <c r="G2293" s="2" t="str" cm="1">
        <f t="array" ref="G2293">INDEX(_xlfn.TEXTSPLIT(E2293,"-"),3)</f>
        <v>新中式男装</v>
      </c>
      <c r="H2293" s="12">
        <v>389</v>
      </c>
      <c r="I2293" s="12">
        <v>30387.42</v>
      </c>
      <c r="J2293" s="13">
        <v>0.0001</v>
      </c>
      <c r="K2293" s="13">
        <v>-0.6977</v>
      </c>
    </row>
    <row r="2294" ht="14.5" spans="1:11">
      <c r="A2294" s="3" t="str">
        <f t="shared" si="129"/>
        <v>2026年</v>
      </c>
      <c r="B2294" s="3" t="str">
        <f t="shared" si="130"/>
        <v>3月</v>
      </c>
      <c r="C2294" s="4" t="str">
        <f t="shared" si="131"/>
        <v>W10</v>
      </c>
      <c r="D2294" s="11" t="s">
        <v>798</v>
      </c>
      <c r="E2294" s="11" t="s">
        <v>816</v>
      </c>
      <c r="F2294" s="2" t="str" cm="1">
        <f t="array" ref="F2294">INDEX(_xlfn.TEXTSPLIT(E2294,"-"),2)</f>
        <v>男装</v>
      </c>
      <c r="G2294" s="2" t="str" cm="1">
        <f t="array" ref="G2294">INDEX(_xlfn.TEXTSPLIT(E2294,"-"),3)</f>
        <v>棉衣</v>
      </c>
      <c r="H2294" s="12">
        <v>41542</v>
      </c>
      <c r="I2294" s="12">
        <v>4522182.09</v>
      </c>
      <c r="J2294" s="13">
        <v>0.0143</v>
      </c>
      <c r="K2294" s="13">
        <v>-0.0877</v>
      </c>
    </row>
    <row r="2295" ht="14.5" spans="1:11">
      <c r="A2295" s="3" t="str">
        <f t="shared" si="129"/>
        <v>2026年</v>
      </c>
      <c r="B2295" s="3" t="str">
        <f t="shared" si="130"/>
        <v>3月</v>
      </c>
      <c r="C2295" s="4" t="str">
        <f t="shared" si="131"/>
        <v>W10</v>
      </c>
      <c r="D2295" s="11" t="s">
        <v>798</v>
      </c>
      <c r="E2295" s="11" t="s">
        <v>817</v>
      </c>
      <c r="F2295" s="2" t="str" cm="1">
        <f t="array" ref="F2295">INDEX(_xlfn.TEXTSPLIT(E2295,"-"),2)</f>
        <v>男装</v>
      </c>
      <c r="G2295" s="2" t="str" cm="1">
        <f t="array" ref="G2295">INDEX(_xlfn.TEXTSPLIT(E2295,"-"),3)</f>
        <v>棉裤</v>
      </c>
      <c r="H2295" s="12">
        <v>1601</v>
      </c>
      <c r="I2295" s="12">
        <v>111238.26</v>
      </c>
      <c r="J2295" s="13">
        <v>0.0004</v>
      </c>
      <c r="K2295" s="13">
        <v>0.0305</v>
      </c>
    </row>
    <row r="2296" ht="14.5" spans="1:11">
      <c r="A2296" s="3" t="str">
        <f t="shared" si="129"/>
        <v>2026年</v>
      </c>
      <c r="B2296" s="3" t="str">
        <f t="shared" si="130"/>
        <v>3月</v>
      </c>
      <c r="C2296" s="4" t="str">
        <f t="shared" si="131"/>
        <v>W10</v>
      </c>
      <c r="D2296" s="11" t="s">
        <v>798</v>
      </c>
      <c r="E2296" s="11" t="s">
        <v>818</v>
      </c>
      <c r="F2296" s="2" t="str" cm="1">
        <f t="array" ref="F2296">INDEX(_xlfn.TEXTSPLIT(E2296,"-"),2)</f>
        <v>男装</v>
      </c>
      <c r="G2296" s="2" t="str" cm="1">
        <f t="array" ref="G2296">INDEX(_xlfn.TEXTSPLIT(E2296,"-"),3)</f>
        <v>毛呢大衣</v>
      </c>
      <c r="H2296" s="12">
        <v>6854</v>
      </c>
      <c r="I2296" s="12">
        <v>2110454.74</v>
      </c>
      <c r="J2296" s="13">
        <v>0.0067</v>
      </c>
      <c r="K2296" s="13">
        <v>-0.3552</v>
      </c>
    </row>
    <row r="2297" ht="14.5" spans="1:11">
      <c r="A2297" s="3" t="str">
        <f t="shared" si="129"/>
        <v>2026年</v>
      </c>
      <c r="B2297" s="3" t="str">
        <f t="shared" si="130"/>
        <v>3月</v>
      </c>
      <c r="C2297" s="4" t="str">
        <f t="shared" si="131"/>
        <v>W10</v>
      </c>
      <c r="D2297" s="11" t="s">
        <v>798</v>
      </c>
      <c r="E2297" s="11" t="s">
        <v>819</v>
      </c>
      <c r="F2297" s="2" t="str" cm="1">
        <f t="array" ref="F2297">INDEX(_xlfn.TEXTSPLIT(E2297,"-"),2)</f>
        <v>男装</v>
      </c>
      <c r="G2297" s="2" t="str" cm="1">
        <f t="array" ref="G2297">INDEX(_xlfn.TEXTSPLIT(E2297,"-"),3)</f>
        <v>民族服装</v>
      </c>
      <c r="H2297" s="12">
        <v>6081</v>
      </c>
      <c r="I2297" s="12">
        <v>1116418.59</v>
      </c>
      <c r="J2297" s="13">
        <v>0.0035</v>
      </c>
      <c r="K2297" s="13">
        <v>0.2487</v>
      </c>
    </row>
    <row r="2298" ht="14.5" spans="1:11">
      <c r="A2298" s="3" t="str">
        <f t="shared" si="129"/>
        <v>2026年</v>
      </c>
      <c r="B2298" s="3" t="str">
        <f t="shared" si="130"/>
        <v>3月</v>
      </c>
      <c r="C2298" s="4" t="str">
        <f t="shared" si="131"/>
        <v>W10</v>
      </c>
      <c r="D2298" s="11" t="s">
        <v>798</v>
      </c>
      <c r="E2298" s="11" t="s">
        <v>820</v>
      </c>
      <c r="F2298" s="2" t="str" cm="1">
        <f t="array" ref="F2298">INDEX(_xlfn.TEXTSPLIT(E2298,"-"),2)</f>
        <v>男装</v>
      </c>
      <c r="G2298" s="2" t="str" cm="1">
        <f t="array" ref="G2298">INDEX(_xlfn.TEXTSPLIT(E2298,"-"),3)</f>
        <v>派克服</v>
      </c>
      <c r="H2298" s="12">
        <v>763</v>
      </c>
      <c r="I2298" s="12">
        <v>174337.42</v>
      </c>
      <c r="J2298" s="13">
        <v>0.0005</v>
      </c>
      <c r="K2298" s="13">
        <v>-0.204</v>
      </c>
    </row>
    <row r="2299" ht="14.5" spans="1:11">
      <c r="A2299" s="3" t="str">
        <f t="shared" si="129"/>
        <v>2026年</v>
      </c>
      <c r="B2299" s="3" t="str">
        <f t="shared" si="130"/>
        <v>3月</v>
      </c>
      <c r="C2299" s="4" t="str">
        <f t="shared" si="131"/>
        <v>W10</v>
      </c>
      <c r="D2299" s="11" t="s">
        <v>798</v>
      </c>
      <c r="E2299" s="11" t="s">
        <v>821</v>
      </c>
      <c r="F2299" s="2" t="str" cm="1">
        <f t="array" ref="F2299">INDEX(_xlfn.TEXTSPLIT(E2299,"-"),2)</f>
        <v>男装</v>
      </c>
      <c r="G2299" s="2" t="str" cm="1">
        <f t="array" ref="G2299">INDEX(_xlfn.TEXTSPLIT(E2299,"-"),3)</f>
        <v>牛仔裤</v>
      </c>
      <c r="H2299" s="12">
        <v>271009</v>
      </c>
      <c r="I2299" s="12">
        <v>31193188.17</v>
      </c>
      <c r="J2299" s="13">
        <v>0.0984</v>
      </c>
      <c r="K2299" s="13">
        <v>-0.0541</v>
      </c>
    </row>
    <row r="2300" ht="14.5" spans="1:11">
      <c r="A2300" s="3" t="str">
        <f t="shared" si="129"/>
        <v>2026年</v>
      </c>
      <c r="B2300" s="3" t="str">
        <f t="shared" si="130"/>
        <v>3月</v>
      </c>
      <c r="C2300" s="4" t="str">
        <f t="shared" si="131"/>
        <v>W10</v>
      </c>
      <c r="D2300" s="11" t="s">
        <v>798</v>
      </c>
      <c r="E2300" s="11" t="s">
        <v>822</v>
      </c>
      <c r="F2300" s="2" t="str" cm="1">
        <f t="array" ref="F2300">INDEX(_xlfn.TEXTSPLIT(E2300,"-"),2)</f>
        <v>男装</v>
      </c>
      <c r="G2300" s="2" t="str" cm="1">
        <f t="array" ref="G2300">INDEX(_xlfn.TEXTSPLIT(E2300,"-"),3)</f>
        <v>皮草</v>
      </c>
      <c r="H2300" s="12">
        <v>617</v>
      </c>
      <c r="I2300" s="12">
        <v>257822.73</v>
      </c>
      <c r="J2300" s="13">
        <v>0.0008</v>
      </c>
      <c r="K2300" s="13">
        <v>-0.2157</v>
      </c>
    </row>
    <row r="2301" ht="14.5" spans="1:11">
      <c r="A2301" s="3" t="str">
        <f t="shared" si="129"/>
        <v>2026年</v>
      </c>
      <c r="B2301" s="3" t="str">
        <f t="shared" si="130"/>
        <v>3月</v>
      </c>
      <c r="C2301" s="4" t="str">
        <f t="shared" si="131"/>
        <v>W10</v>
      </c>
      <c r="D2301" s="11" t="s">
        <v>798</v>
      </c>
      <c r="E2301" s="11" t="s">
        <v>823</v>
      </c>
      <c r="F2301" s="2" t="str" cm="1">
        <f t="array" ref="F2301">INDEX(_xlfn.TEXTSPLIT(E2301,"-"),2)</f>
        <v>男装</v>
      </c>
      <c r="G2301" s="2" t="str" cm="1">
        <f t="array" ref="G2301">INDEX(_xlfn.TEXTSPLIT(E2301,"-"),3)</f>
        <v>皮衣</v>
      </c>
      <c r="H2301" s="12">
        <v>30606</v>
      </c>
      <c r="I2301" s="12">
        <v>11041447.38</v>
      </c>
      <c r="J2301" s="13">
        <v>0.0348</v>
      </c>
      <c r="K2301" s="13">
        <v>0.0196</v>
      </c>
    </row>
    <row r="2302" ht="14.5" spans="1:11">
      <c r="A2302" s="3" t="str">
        <f t="shared" si="129"/>
        <v>2026年</v>
      </c>
      <c r="B2302" s="3" t="str">
        <f t="shared" si="130"/>
        <v>3月</v>
      </c>
      <c r="C2302" s="4" t="str">
        <f t="shared" si="131"/>
        <v>W10</v>
      </c>
      <c r="D2302" s="11" t="s">
        <v>798</v>
      </c>
      <c r="E2302" s="11" t="s">
        <v>824</v>
      </c>
      <c r="F2302" s="2" t="str" cm="1">
        <f t="array" ref="F2302">INDEX(_xlfn.TEXTSPLIT(E2302,"-"),2)</f>
        <v>男装</v>
      </c>
      <c r="G2302" s="2" t="str" cm="1">
        <f t="array" ref="G2302">INDEX(_xlfn.TEXTSPLIT(E2302,"-"),3)</f>
        <v>皮裤</v>
      </c>
      <c r="H2302" s="12">
        <v>332</v>
      </c>
      <c r="I2302" s="12">
        <v>48533.5</v>
      </c>
      <c r="J2302" s="13">
        <v>0.0002</v>
      </c>
      <c r="K2302" s="13">
        <v>-0.3617</v>
      </c>
    </row>
    <row r="2303" ht="14.5" spans="1:11">
      <c r="A2303" s="3" t="str">
        <f t="shared" si="129"/>
        <v>2026年</v>
      </c>
      <c r="B2303" s="3" t="str">
        <f t="shared" si="130"/>
        <v>3月</v>
      </c>
      <c r="C2303" s="4" t="str">
        <f t="shared" si="131"/>
        <v>W10</v>
      </c>
      <c r="D2303" s="11" t="s">
        <v>798</v>
      </c>
      <c r="E2303" s="11" t="s">
        <v>825</v>
      </c>
      <c r="F2303" s="2" t="str" cm="1">
        <f t="array" ref="F2303">INDEX(_xlfn.TEXTSPLIT(E2303,"-"),2)</f>
        <v>男装</v>
      </c>
      <c r="G2303" s="2" t="str" cm="1">
        <f t="array" ref="G2303">INDEX(_xlfn.TEXTSPLIT(E2303,"-"),3)</f>
        <v>短外套</v>
      </c>
      <c r="H2303" s="12">
        <v>24825</v>
      </c>
      <c r="I2303" s="12">
        <v>2125127.04</v>
      </c>
      <c r="J2303" s="13">
        <v>0.0067</v>
      </c>
      <c r="K2303" s="13">
        <v>0.1286</v>
      </c>
    </row>
    <row r="2304" ht="14.5" spans="1:11">
      <c r="A2304" s="3" t="str">
        <f t="shared" si="129"/>
        <v>2026年</v>
      </c>
      <c r="B2304" s="3" t="str">
        <f t="shared" si="130"/>
        <v>3月</v>
      </c>
      <c r="C2304" s="4" t="str">
        <f t="shared" si="131"/>
        <v>W10</v>
      </c>
      <c r="D2304" s="11" t="s">
        <v>798</v>
      </c>
      <c r="E2304" s="11" t="s">
        <v>826</v>
      </c>
      <c r="F2304" s="2" t="str" cm="1">
        <f t="array" ref="F2304">INDEX(_xlfn.TEXTSPLIT(E2304,"-"),2)</f>
        <v>男装</v>
      </c>
      <c r="G2304" s="2" t="str" cm="1">
        <f t="array" ref="G2304">INDEX(_xlfn.TEXTSPLIT(E2304,"-"),3)</f>
        <v>短裤</v>
      </c>
      <c r="H2304" s="12">
        <v>72337</v>
      </c>
      <c r="I2304" s="12">
        <v>3208251.43</v>
      </c>
      <c r="J2304" s="13">
        <v>0.0101</v>
      </c>
      <c r="K2304" s="13">
        <v>0.0048</v>
      </c>
    </row>
    <row r="2305" ht="14.5" spans="1:11">
      <c r="A2305" s="3" t="str">
        <f t="shared" si="129"/>
        <v>2026年</v>
      </c>
      <c r="B2305" s="3" t="str">
        <f t="shared" si="130"/>
        <v>3月</v>
      </c>
      <c r="C2305" s="4" t="str">
        <f t="shared" si="131"/>
        <v>W10</v>
      </c>
      <c r="D2305" s="11" t="s">
        <v>798</v>
      </c>
      <c r="E2305" s="11" t="s">
        <v>827</v>
      </c>
      <c r="F2305" s="2" t="str" cm="1">
        <f t="array" ref="F2305">INDEX(_xlfn.TEXTSPLIT(E2305,"-"),2)</f>
        <v>男装</v>
      </c>
      <c r="G2305" s="2" t="str" cm="1">
        <f t="array" ref="G2305">INDEX(_xlfn.TEXTSPLIT(E2305,"-"),3)</f>
        <v>紧身衣</v>
      </c>
      <c r="H2305" s="12">
        <v>317</v>
      </c>
      <c r="I2305" s="12">
        <v>9514.3</v>
      </c>
      <c r="J2305" s="11" t="s">
        <v>713</v>
      </c>
      <c r="K2305" s="13">
        <v>-0.1321</v>
      </c>
    </row>
    <row r="2306" ht="14.5" spans="1:11">
      <c r="A2306" s="3" t="str">
        <f t="shared" si="129"/>
        <v>2026年</v>
      </c>
      <c r="B2306" s="3" t="str">
        <f t="shared" si="130"/>
        <v>3月</v>
      </c>
      <c r="C2306" s="4" t="str">
        <f t="shared" si="131"/>
        <v>W10</v>
      </c>
      <c r="D2306" s="11" t="s">
        <v>798</v>
      </c>
      <c r="E2306" s="11" t="s">
        <v>828</v>
      </c>
      <c r="F2306" s="2" t="str" cm="1">
        <f t="array" ref="F2306">INDEX(_xlfn.TEXTSPLIT(E2306,"-"),2)</f>
        <v>男装</v>
      </c>
      <c r="G2306" s="2" t="str" cm="1">
        <f t="array" ref="G2306">INDEX(_xlfn.TEXTSPLIT(E2306,"-"),3)</f>
        <v>羊毛衫</v>
      </c>
      <c r="H2306" s="12">
        <v>23961</v>
      </c>
      <c r="I2306" s="12">
        <v>2881170.82</v>
      </c>
      <c r="J2306" s="13">
        <v>0.0091</v>
      </c>
      <c r="K2306" s="13">
        <v>-0.0695</v>
      </c>
    </row>
    <row r="2307" ht="14.5" spans="1:11">
      <c r="A2307" s="3" t="str">
        <f t="shared" si="129"/>
        <v>2026年</v>
      </c>
      <c r="B2307" s="3" t="str">
        <f t="shared" si="130"/>
        <v>3月</v>
      </c>
      <c r="C2307" s="4" t="str">
        <f t="shared" si="131"/>
        <v>W10</v>
      </c>
      <c r="D2307" s="11" t="s">
        <v>798</v>
      </c>
      <c r="E2307" s="11" t="s">
        <v>829</v>
      </c>
      <c r="F2307" s="2" t="str" cm="1">
        <f t="array" ref="F2307">INDEX(_xlfn.TEXTSPLIT(E2307,"-"),2)</f>
        <v>男装</v>
      </c>
      <c r="G2307" s="2" t="str" cm="1">
        <f t="array" ref="G2307">INDEX(_xlfn.TEXTSPLIT(E2307,"-"),3)</f>
        <v>羊绒衫</v>
      </c>
      <c r="H2307" s="12">
        <v>3598</v>
      </c>
      <c r="I2307" s="12">
        <v>807472.95</v>
      </c>
      <c r="J2307" s="13">
        <v>0.0025</v>
      </c>
      <c r="K2307" s="13">
        <v>-0.1566</v>
      </c>
    </row>
    <row r="2308" ht="14.5" spans="1:11">
      <c r="A2308" s="3" t="str">
        <f t="shared" ref="A2308:A2371" si="132">TEXT(YEAR(D2308),"0")&amp;"年"</f>
        <v>2026年</v>
      </c>
      <c r="B2308" s="3" t="str">
        <f t="shared" ref="B2308:B2371" si="133">TEXT(MONTH(D2308),"0")&amp;"月"</f>
        <v>3月</v>
      </c>
      <c r="C2308" s="4" t="str">
        <f t="shared" ref="C2308:C2371" si="134">"W"&amp;TEXT(WEEKNUM(D2308,2),"0")</f>
        <v>W10</v>
      </c>
      <c r="D2308" s="11" t="s">
        <v>798</v>
      </c>
      <c r="E2308" s="11" t="s">
        <v>830</v>
      </c>
      <c r="F2308" s="2" t="str" cm="1">
        <f t="array" ref="F2308">INDEX(_xlfn.TEXTSPLIT(E2308,"-"),2)</f>
        <v>男装</v>
      </c>
      <c r="G2308" s="2" t="str" cm="1">
        <f t="array" ref="G2308">INDEX(_xlfn.TEXTSPLIT(E2308,"-"),3)</f>
        <v>羽绒服</v>
      </c>
      <c r="H2308" s="12">
        <v>52609</v>
      </c>
      <c r="I2308" s="12">
        <v>12285074.95</v>
      </c>
      <c r="J2308" s="13">
        <v>0.0387</v>
      </c>
      <c r="K2308" s="13">
        <v>-0.2946</v>
      </c>
    </row>
    <row r="2309" ht="14.5" spans="1:11">
      <c r="A2309" s="3" t="str">
        <f t="shared" si="132"/>
        <v>2026年</v>
      </c>
      <c r="B2309" s="3" t="str">
        <f t="shared" si="133"/>
        <v>3月</v>
      </c>
      <c r="C2309" s="4" t="str">
        <f t="shared" si="134"/>
        <v>W10</v>
      </c>
      <c r="D2309" s="11" t="s">
        <v>798</v>
      </c>
      <c r="E2309" s="11" t="s">
        <v>831</v>
      </c>
      <c r="F2309" s="2" t="str" cm="1">
        <f t="array" ref="F2309">INDEX(_xlfn.TEXTSPLIT(E2309,"-"),2)</f>
        <v>男装</v>
      </c>
      <c r="G2309" s="2" t="str" cm="1">
        <f t="array" ref="G2309">INDEX(_xlfn.TEXTSPLIT(E2309,"-"),3)</f>
        <v>羽绒裤</v>
      </c>
      <c r="H2309" s="12">
        <v>329</v>
      </c>
      <c r="I2309" s="12">
        <v>43012.78</v>
      </c>
      <c r="J2309" s="13">
        <v>0.0001</v>
      </c>
      <c r="K2309" s="13">
        <v>-0.1813</v>
      </c>
    </row>
    <row r="2310" ht="14.5" spans="1:11">
      <c r="A2310" s="3" t="str">
        <f t="shared" si="132"/>
        <v>2026年</v>
      </c>
      <c r="B2310" s="3" t="str">
        <f t="shared" si="133"/>
        <v>3月</v>
      </c>
      <c r="C2310" s="4" t="str">
        <f t="shared" si="134"/>
        <v>W10</v>
      </c>
      <c r="D2310" s="11" t="s">
        <v>798</v>
      </c>
      <c r="E2310" s="11" t="s">
        <v>832</v>
      </c>
      <c r="F2310" s="2" t="str" cm="1">
        <f t="array" ref="F2310">INDEX(_xlfn.TEXTSPLIT(E2310,"-"),2)</f>
        <v>男装</v>
      </c>
      <c r="G2310" s="2" t="str" cm="1">
        <f t="array" ref="G2310">INDEX(_xlfn.TEXTSPLIT(E2310,"-"),3)</f>
        <v>羽绒马甲</v>
      </c>
      <c r="H2310" s="12">
        <v>3406</v>
      </c>
      <c r="I2310" s="12">
        <v>759261.35</v>
      </c>
      <c r="J2310" s="13">
        <v>0.0024</v>
      </c>
      <c r="K2310" s="13">
        <v>0.5704</v>
      </c>
    </row>
    <row r="2311" ht="14.5" spans="1:11">
      <c r="A2311" s="3" t="str">
        <f t="shared" si="132"/>
        <v>2026年</v>
      </c>
      <c r="B2311" s="3" t="str">
        <f t="shared" si="133"/>
        <v>3月</v>
      </c>
      <c r="C2311" s="4" t="str">
        <f t="shared" si="134"/>
        <v>W10</v>
      </c>
      <c r="D2311" s="11" t="s">
        <v>798</v>
      </c>
      <c r="E2311" s="11" t="s">
        <v>833</v>
      </c>
      <c r="F2311" s="2" t="str" cm="1">
        <f t="array" ref="F2311">INDEX(_xlfn.TEXTSPLIT(E2311,"-"),2)</f>
        <v>男装</v>
      </c>
      <c r="G2311" s="2" t="str" cm="1">
        <f t="array" ref="G2311">INDEX(_xlfn.TEXTSPLIT(E2311,"-"),3)</f>
        <v>背心</v>
      </c>
      <c r="H2311" s="12">
        <v>33857</v>
      </c>
      <c r="I2311" s="12">
        <v>1809452.08</v>
      </c>
      <c r="J2311" s="13">
        <v>0.0057</v>
      </c>
      <c r="K2311" s="13">
        <v>-0.0782</v>
      </c>
    </row>
    <row r="2312" ht="14.5" spans="1:11">
      <c r="A2312" s="3" t="str">
        <f t="shared" si="132"/>
        <v>2026年</v>
      </c>
      <c r="B2312" s="3" t="str">
        <f t="shared" si="133"/>
        <v>3月</v>
      </c>
      <c r="C2312" s="4" t="str">
        <f t="shared" si="134"/>
        <v>W10</v>
      </c>
      <c r="D2312" s="11" t="s">
        <v>798</v>
      </c>
      <c r="E2312" s="11" t="s">
        <v>834</v>
      </c>
      <c r="F2312" s="2" t="str" cm="1">
        <f t="array" ref="F2312">INDEX(_xlfn.TEXTSPLIT(E2312,"-"),2)</f>
        <v>男装</v>
      </c>
      <c r="G2312" s="2" t="str" cm="1">
        <f t="array" ref="G2312">INDEX(_xlfn.TEXTSPLIT(E2312,"-"),3)</f>
        <v>衬衫</v>
      </c>
      <c r="H2312" s="12">
        <v>103137</v>
      </c>
      <c r="I2312" s="12">
        <v>12339641.39</v>
      </c>
      <c r="J2312" s="13">
        <v>0.0389</v>
      </c>
      <c r="K2312" s="13">
        <v>-0.0102</v>
      </c>
    </row>
    <row r="2313" ht="14.5" spans="1:11">
      <c r="A2313" s="3" t="str">
        <f t="shared" si="132"/>
        <v>2026年</v>
      </c>
      <c r="B2313" s="3" t="str">
        <f t="shared" si="133"/>
        <v>3月</v>
      </c>
      <c r="C2313" s="4" t="str">
        <f t="shared" si="134"/>
        <v>W10</v>
      </c>
      <c r="D2313" s="11" t="s">
        <v>798</v>
      </c>
      <c r="E2313" s="11" t="s">
        <v>835</v>
      </c>
      <c r="F2313" s="2" t="str" cm="1">
        <f t="array" ref="F2313">INDEX(_xlfn.TEXTSPLIT(E2313,"-"),2)</f>
        <v>男装</v>
      </c>
      <c r="G2313" s="2" t="str" cm="1">
        <f t="array" ref="G2313">INDEX(_xlfn.TEXTSPLIT(E2313,"-"),3)</f>
        <v>西服</v>
      </c>
      <c r="H2313" s="12">
        <v>61555</v>
      </c>
      <c r="I2313" s="12">
        <v>14460425.66</v>
      </c>
      <c r="J2313" s="13">
        <v>0.0456</v>
      </c>
      <c r="K2313" s="13">
        <v>-0.0228</v>
      </c>
    </row>
    <row r="2314" ht="14.5" spans="1:11">
      <c r="A2314" s="3" t="str">
        <f t="shared" si="132"/>
        <v>2026年</v>
      </c>
      <c r="B2314" s="3" t="str">
        <f t="shared" si="133"/>
        <v>3月</v>
      </c>
      <c r="C2314" s="4" t="str">
        <f t="shared" si="134"/>
        <v>W10</v>
      </c>
      <c r="D2314" s="11" t="s">
        <v>798</v>
      </c>
      <c r="E2314" s="11" t="s">
        <v>836</v>
      </c>
      <c r="F2314" s="2" t="str" cm="1">
        <f t="array" ref="F2314">INDEX(_xlfn.TEXTSPLIT(E2314,"-"),2)</f>
        <v>男装</v>
      </c>
      <c r="G2314" s="2" t="str" cm="1">
        <f t="array" ref="G2314">INDEX(_xlfn.TEXTSPLIT(E2314,"-"),3)</f>
        <v>连体衣/裤</v>
      </c>
      <c r="H2314" s="12">
        <v>303</v>
      </c>
      <c r="I2314" s="12">
        <v>11941.1</v>
      </c>
      <c r="J2314" s="11" t="s">
        <v>713</v>
      </c>
      <c r="K2314" s="13">
        <v>0.7209</v>
      </c>
    </row>
    <row r="2315" ht="14.5" spans="1:11">
      <c r="A2315" s="3" t="str">
        <f t="shared" si="132"/>
        <v>2026年</v>
      </c>
      <c r="B2315" s="3" t="str">
        <f t="shared" si="133"/>
        <v>3月</v>
      </c>
      <c r="C2315" s="4" t="str">
        <f t="shared" si="134"/>
        <v>W10</v>
      </c>
      <c r="D2315" s="11" t="s">
        <v>798</v>
      </c>
      <c r="E2315" s="11" t="s">
        <v>837</v>
      </c>
      <c r="F2315" s="2" t="str" cm="1">
        <f t="array" ref="F2315">INDEX(_xlfn.TEXTSPLIT(E2315,"-"),2)</f>
        <v>男装</v>
      </c>
      <c r="G2315" s="2" t="str" cm="1">
        <f t="array" ref="G2315">INDEX(_xlfn.TEXTSPLIT(E2315,"-"),3)</f>
        <v>速干/三防T恤</v>
      </c>
      <c r="H2315" s="12">
        <v>1262</v>
      </c>
      <c r="I2315" s="12">
        <v>185337.77</v>
      </c>
      <c r="J2315" s="13">
        <v>0.0006</v>
      </c>
      <c r="K2315" s="13">
        <v>-0.2063</v>
      </c>
    </row>
    <row r="2316" ht="14.5" spans="1:11">
      <c r="A2316" s="3" t="str">
        <f t="shared" si="132"/>
        <v>2026年</v>
      </c>
      <c r="B2316" s="3" t="str">
        <f t="shared" si="133"/>
        <v>3月</v>
      </c>
      <c r="C2316" s="4" t="str">
        <f t="shared" si="134"/>
        <v>W10</v>
      </c>
      <c r="D2316" s="11" t="s">
        <v>798</v>
      </c>
      <c r="E2316" s="11" t="s">
        <v>838</v>
      </c>
      <c r="F2316" s="2" t="str" cm="1">
        <f t="array" ref="F2316">INDEX(_xlfn.TEXTSPLIT(E2316,"-"),2)</f>
        <v>男装</v>
      </c>
      <c r="G2316" s="2" t="str" cm="1">
        <f t="array" ref="G2316">INDEX(_xlfn.TEXTSPLIT(E2316,"-"),3)</f>
        <v>针织衫/毛衣</v>
      </c>
      <c r="H2316" s="12">
        <v>81692</v>
      </c>
      <c r="I2316" s="12">
        <v>10821803.6</v>
      </c>
      <c r="J2316" s="13">
        <v>0.0341</v>
      </c>
      <c r="K2316" s="13">
        <v>-0.0506</v>
      </c>
    </row>
    <row r="2317" ht="14.5" spans="1:11">
      <c r="A2317" s="3" t="str">
        <f t="shared" si="132"/>
        <v>2026年</v>
      </c>
      <c r="B2317" s="3" t="str">
        <f t="shared" si="133"/>
        <v>3月</v>
      </c>
      <c r="C2317" s="4" t="str">
        <f t="shared" si="134"/>
        <v>W10</v>
      </c>
      <c r="D2317" s="11" t="s">
        <v>798</v>
      </c>
      <c r="E2317" s="11" t="s">
        <v>839</v>
      </c>
      <c r="F2317" s="2" t="str" cm="1">
        <f t="array" ref="F2317">INDEX(_xlfn.TEXTSPLIT(E2317,"-"),2)</f>
        <v>男装</v>
      </c>
      <c r="G2317" s="2" t="str" cm="1">
        <f t="array" ref="G2317">INDEX(_xlfn.TEXTSPLIT(E2317,"-"),3)</f>
        <v>防晒服</v>
      </c>
      <c r="H2317" s="12">
        <v>4571</v>
      </c>
      <c r="I2317" s="12">
        <v>528427.97</v>
      </c>
      <c r="J2317" s="13">
        <v>0.0017</v>
      </c>
      <c r="K2317" s="13">
        <v>-0.164</v>
      </c>
    </row>
    <row r="2318" ht="14.5" spans="1:11">
      <c r="A2318" s="3" t="str">
        <f t="shared" si="132"/>
        <v>2026年</v>
      </c>
      <c r="B2318" s="3" t="str">
        <f t="shared" si="133"/>
        <v>3月</v>
      </c>
      <c r="C2318" s="4" t="str">
        <f t="shared" si="134"/>
        <v>W10</v>
      </c>
      <c r="D2318" s="11" t="s">
        <v>798</v>
      </c>
      <c r="E2318" s="11" t="s">
        <v>840</v>
      </c>
      <c r="F2318" s="2" t="str" cm="1">
        <f t="array" ref="F2318">INDEX(_xlfn.TEXTSPLIT(E2318,"-"),2)</f>
        <v>男装</v>
      </c>
      <c r="G2318" s="2" t="str" cm="1">
        <f t="array" ref="G2318">INDEX(_xlfn.TEXTSPLIT(E2318,"-"),3)</f>
        <v>风衣</v>
      </c>
      <c r="H2318" s="12">
        <v>11291</v>
      </c>
      <c r="I2318" s="12">
        <v>2475489.51</v>
      </c>
      <c r="J2318" s="13">
        <v>0.0078</v>
      </c>
      <c r="K2318" s="13">
        <v>-0.1361</v>
      </c>
    </row>
    <row r="2319" ht="14.5" spans="1:11">
      <c r="A2319" s="3" t="str">
        <f t="shared" si="132"/>
        <v>2026年</v>
      </c>
      <c r="B2319" s="3" t="str">
        <f t="shared" si="133"/>
        <v>3月</v>
      </c>
      <c r="C2319" s="4" t="str">
        <f t="shared" si="134"/>
        <v>W10</v>
      </c>
      <c r="D2319" s="11" t="s">
        <v>798</v>
      </c>
      <c r="E2319" s="11" t="s">
        <v>841</v>
      </c>
      <c r="F2319" s="2" t="str" cm="1">
        <f t="array" ref="F2319">INDEX(_xlfn.TEXTSPLIT(E2319,"-"),2)</f>
        <v>男装</v>
      </c>
      <c r="G2319" s="2" t="str" cm="1">
        <f t="array" ref="G2319">INDEX(_xlfn.TEXTSPLIT(E2319,"-"),3)</f>
        <v>马甲</v>
      </c>
      <c r="H2319" s="12">
        <v>21790</v>
      </c>
      <c r="I2319" s="12">
        <v>2317690.21</v>
      </c>
      <c r="J2319" s="13">
        <v>0.0073</v>
      </c>
      <c r="K2319" s="13">
        <v>-0.1046</v>
      </c>
    </row>
    <row r="2320" ht="14.5" spans="1:11">
      <c r="A2320" s="3" t="str">
        <f t="shared" si="132"/>
        <v>2026年</v>
      </c>
      <c r="B2320" s="3" t="str">
        <f t="shared" si="133"/>
        <v>3月</v>
      </c>
      <c r="C2320" s="4" t="str">
        <f t="shared" si="134"/>
        <v>W10</v>
      </c>
      <c r="D2320" s="11" t="s">
        <v>799</v>
      </c>
      <c r="E2320" s="11" t="s">
        <v>804</v>
      </c>
      <c r="F2320" s="2" t="str" cm="1">
        <f t="array" ref="F2320">INDEX(_xlfn.TEXTSPLIT(E2320,"-"),2)</f>
        <v>男装</v>
      </c>
      <c r="G2320" s="2" t="str" cm="1">
        <f t="array" ref="G2320">INDEX(_xlfn.TEXTSPLIT(E2320,"-"),3)</f>
        <v>Polo衫</v>
      </c>
      <c r="H2320" s="12">
        <v>80727</v>
      </c>
      <c r="I2320" s="12">
        <v>8528122.04</v>
      </c>
      <c r="J2320" s="13">
        <v>0.0263</v>
      </c>
      <c r="K2320" s="13">
        <v>-0.1865</v>
      </c>
    </row>
    <row r="2321" ht="14.5" spans="1:11">
      <c r="A2321" s="3" t="str">
        <f t="shared" si="132"/>
        <v>2026年</v>
      </c>
      <c r="B2321" s="3" t="str">
        <f t="shared" si="133"/>
        <v>3月</v>
      </c>
      <c r="C2321" s="4" t="str">
        <f t="shared" si="134"/>
        <v>W10</v>
      </c>
      <c r="D2321" s="11" t="s">
        <v>799</v>
      </c>
      <c r="E2321" s="11" t="s">
        <v>805</v>
      </c>
      <c r="F2321" s="2" t="str" cm="1">
        <f t="array" ref="F2321">INDEX(_xlfn.TEXTSPLIT(E2321,"-"),2)</f>
        <v>男装</v>
      </c>
      <c r="G2321" s="2" t="str" cm="1">
        <f t="array" ref="G2321">INDEX(_xlfn.TEXTSPLIT(E2321,"-"),3)</f>
        <v>T恤</v>
      </c>
      <c r="H2321" s="12">
        <v>639878</v>
      </c>
      <c r="I2321" s="12">
        <v>46034253.16</v>
      </c>
      <c r="J2321" s="13">
        <v>0.1419</v>
      </c>
      <c r="K2321" s="13">
        <v>-0.0679</v>
      </c>
    </row>
    <row r="2322" ht="14.5" spans="1:11">
      <c r="A2322" s="3" t="str">
        <f t="shared" si="132"/>
        <v>2026年</v>
      </c>
      <c r="B2322" s="3" t="str">
        <f t="shared" si="133"/>
        <v>3月</v>
      </c>
      <c r="C2322" s="4" t="str">
        <f t="shared" si="134"/>
        <v>W10</v>
      </c>
      <c r="D2322" s="11" t="s">
        <v>799</v>
      </c>
      <c r="E2322" s="11" t="s">
        <v>806</v>
      </c>
      <c r="F2322" s="2" t="str" cm="1">
        <f t="array" ref="F2322">INDEX(_xlfn.TEXTSPLIT(E2322,"-"),2)</f>
        <v>男装</v>
      </c>
      <c r="G2322" s="2" t="str" cm="1">
        <f t="array" ref="G2322">INDEX(_xlfn.TEXTSPLIT(E2322,"-"),3)</f>
        <v>中老年男装</v>
      </c>
      <c r="H2322" s="12">
        <v>25759</v>
      </c>
      <c r="I2322" s="12">
        <v>2029119.9</v>
      </c>
      <c r="J2322" s="13">
        <v>0.0063</v>
      </c>
      <c r="K2322" s="13">
        <v>-0.0896</v>
      </c>
    </row>
    <row r="2323" ht="14.5" spans="1:11">
      <c r="A2323" s="3" t="str">
        <f t="shared" si="132"/>
        <v>2026年</v>
      </c>
      <c r="B2323" s="3" t="str">
        <f t="shared" si="133"/>
        <v>3月</v>
      </c>
      <c r="C2323" s="4" t="str">
        <f t="shared" si="134"/>
        <v>W10</v>
      </c>
      <c r="D2323" s="11" t="s">
        <v>799</v>
      </c>
      <c r="E2323" s="11" t="s">
        <v>807</v>
      </c>
      <c r="F2323" s="2" t="str" cm="1">
        <f t="array" ref="F2323">INDEX(_xlfn.TEXTSPLIT(E2323,"-"),2)</f>
        <v>男装</v>
      </c>
      <c r="G2323" s="2" t="str" cm="1">
        <f t="array" ref="G2323">INDEX(_xlfn.TEXTSPLIT(E2323,"-"),3)</f>
        <v>休闲裤</v>
      </c>
      <c r="H2323" s="12">
        <v>406157</v>
      </c>
      <c r="I2323" s="12">
        <v>41386829.93</v>
      </c>
      <c r="J2323" s="13">
        <v>0.1275</v>
      </c>
      <c r="K2323" s="13">
        <v>0.0478</v>
      </c>
    </row>
    <row r="2324" ht="14.5" spans="1:11">
      <c r="A2324" s="3" t="str">
        <f t="shared" si="132"/>
        <v>2026年</v>
      </c>
      <c r="B2324" s="3" t="str">
        <f t="shared" si="133"/>
        <v>3月</v>
      </c>
      <c r="C2324" s="4" t="str">
        <f t="shared" si="134"/>
        <v>W10</v>
      </c>
      <c r="D2324" s="11" t="s">
        <v>799</v>
      </c>
      <c r="E2324" s="11" t="s">
        <v>808</v>
      </c>
      <c r="F2324" s="2" t="str" cm="1">
        <f t="array" ref="F2324">INDEX(_xlfn.TEXTSPLIT(E2324,"-"),2)</f>
        <v>男装</v>
      </c>
      <c r="G2324" s="2" t="str" cm="1">
        <f t="array" ref="G2324">INDEX(_xlfn.TEXTSPLIT(E2324,"-"),3)</f>
        <v>卫衣</v>
      </c>
      <c r="H2324" s="12">
        <v>206095</v>
      </c>
      <c r="I2324" s="12">
        <v>19611349.4</v>
      </c>
      <c r="J2324" s="13">
        <v>0.0604</v>
      </c>
      <c r="K2324" s="13">
        <v>0.0316</v>
      </c>
    </row>
    <row r="2325" ht="14.5" spans="1:11">
      <c r="A2325" s="3" t="str">
        <f t="shared" si="132"/>
        <v>2026年</v>
      </c>
      <c r="B2325" s="3" t="str">
        <f t="shared" si="133"/>
        <v>3月</v>
      </c>
      <c r="C2325" s="4" t="str">
        <f t="shared" si="134"/>
        <v>W10</v>
      </c>
      <c r="D2325" s="11" t="s">
        <v>799</v>
      </c>
      <c r="E2325" s="11" t="s">
        <v>809</v>
      </c>
      <c r="F2325" s="2" t="str" cm="1">
        <f t="array" ref="F2325">INDEX(_xlfn.TEXTSPLIT(E2325,"-"),2)</f>
        <v>男装</v>
      </c>
      <c r="G2325" s="2" t="str" cm="1">
        <f t="array" ref="G2325">INDEX(_xlfn.TEXTSPLIT(E2325,"-"),3)</f>
        <v>卫裤</v>
      </c>
      <c r="H2325" s="12">
        <v>55721</v>
      </c>
      <c r="I2325" s="12">
        <v>5316728.6</v>
      </c>
      <c r="J2325" s="13">
        <v>0.0164</v>
      </c>
      <c r="K2325" s="13">
        <v>0.1586</v>
      </c>
    </row>
    <row r="2326" ht="14.5" spans="1:11">
      <c r="A2326" s="3" t="str">
        <f t="shared" si="132"/>
        <v>2026年</v>
      </c>
      <c r="B2326" s="3" t="str">
        <f t="shared" si="133"/>
        <v>3月</v>
      </c>
      <c r="C2326" s="4" t="str">
        <f t="shared" si="134"/>
        <v>W10</v>
      </c>
      <c r="D2326" s="11" t="s">
        <v>799</v>
      </c>
      <c r="E2326" s="11" t="s">
        <v>810</v>
      </c>
      <c r="F2326" s="2" t="str" cm="1">
        <f t="array" ref="F2326">INDEX(_xlfn.TEXTSPLIT(E2326,"-"),2)</f>
        <v>男装</v>
      </c>
      <c r="G2326" s="2" t="str" cm="1">
        <f t="array" ref="G2326">INDEX(_xlfn.TEXTSPLIT(E2326,"-"),3)</f>
        <v>大码男装</v>
      </c>
      <c r="H2326" s="12">
        <v>34648</v>
      </c>
      <c r="I2326" s="12">
        <v>2460377.83</v>
      </c>
      <c r="J2326" s="13">
        <v>0.0076</v>
      </c>
      <c r="K2326" s="13">
        <v>-0.0946</v>
      </c>
    </row>
    <row r="2327" ht="14.5" spans="1:11">
      <c r="A2327" s="3" t="str">
        <f t="shared" si="132"/>
        <v>2026年</v>
      </c>
      <c r="B2327" s="3" t="str">
        <f t="shared" si="133"/>
        <v>3月</v>
      </c>
      <c r="C2327" s="4" t="str">
        <f t="shared" si="134"/>
        <v>W10</v>
      </c>
      <c r="D2327" s="11" t="s">
        <v>799</v>
      </c>
      <c r="E2327" s="11" t="s">
        <v>811</v>
      </c>
      <c r="F2327" s="2" t="str" cm="1">
        <f t="array" ref="F2327">INDEX(_xlfn.TEXTSPLIT(E2327,"-"),2)</f>
        <v>男装</v>
      </c>
      <c r="G2327" s="2" t="str" cm="1">
        <f t="array" ref="G2327">INDEX(_xlfn.TEXTSPLIT(E2327,"-"),3)</f>
        <v>夹克</v>
      </c>
      <c r="H2327" s="12">
        <v>405871</v>
      </c>
      <c r="I2327" s="12">
        <v>70967641.94</v>
      </c>
      <c r="J2327" s="13">
        <v>0.2187</v>
      </c>
      <c r="K2327" s="13">
        <v>0.1273</v>
      </c>
    </row>
    <row r="2328" ht="14.5" spans="1:11">
      <c r="A2328" s="3" t="str">
        <f t="shared" si="132"/>
        <v>2026年</v>
      </c>
      <c r="B2328" s="3" t="str">
        <f t="shared" si="133"/>
        <v>3月</v>
      </c>
      <c r="C2328" s="4" t="str">
        <f t="shared" si="134"/>
        <v>W10</v>
      </c>
      <c r="D2328" s="11" t="s">
        <v>799</v>
      </c>
      <c r="E2328" s="11" t="s">
        <v>812</v>
      </c>
      <c r="F2328" s="2" t="str" cm="1">
        <f t="array" ref="F2328">INDEX(_xlfn.TEXTSPLIT(E2328,"-"),2)</f>
        <v>男装</v>
      </c>
      <c r="G2328" s="2" t="str" cm="1">
        <f t="array" ref="G2328">INDEX(_xlfn.TEXTSPLIT(E2328,"-"),3)</f>
        <v>套装</v>
      </c>
      <c r="H2328" s="12">
        <v>65048</v>
      </c>
      <c r="I2328" s="12">
        <v>8648964.55</v>
      </c>
      <c r="J2328" s="13">
        <v>0.0267</v>
      </c>
      <c r="K2328" s="13">
        <v>0.0782</v>
      </c>
    </row>
    <row r="2329" ht="14.5" spans="1:11">
      <c r="A2329" s="3" t="str">
        <f t="shared" si="132"/>
        <v>2026年</v>
      </c>
      <c r="B2329" s="3" t="str">
        <f t="shared" si="133"/>
        <v>3月</v>
      </c>
      <c r="C2329" s="4" t="str">
        <f t="shared" si="134"/>
        <v>W10</v>
      </c>
      <c r="D2329" s="11" t="s">
        <v>799</v>
      </c>
      <c r="E2329" s="11" t="s">
        <v>813</v>
      </c>
      <c r="F2329" s="2" t="str" cm="1">
        <f t="array" ref="F2329">INDEX(_xlfn.TEXTSPLIT(E2329,"-"),2)</f>
        <v>男装</v>
      </c>
      <c r="G2329" s="2" t="str" cm="1">
        <f t="array" ref="G2329">INDEX(_xlfn.TEXTSPLIT(E2329,"-"),3)</f>
        <v>学生校服</v>
      </c>
      <c r="H2329" s="12">
        <v>107</v>
      </c>
      <c r="I2329" s="12">
        <v>4932.3</v>
      </c>
      <c r="J2329" s="11" t="s">
        <v>713</v>
      </c>
      <c r="K2329" s="13">
        <v>-0.5491</v>
      </c>
    </row>
    <row r="2330" ht="14.5" spans="1:11">
      <c r="A2330" s="3" t="str">
        <f t="shared" si="132"/>
        <v>2026年</v>
      </c>
      <c r="B2330" s="3" t="str">
        <f t="shared" si="133"/>
        <v>3月</v>
      </c>
      <c r="C2330" s="4" t="str">
        <f t="shared" si="134"/>
        <v>W10</v>
      </c>
      <c r="D2330" s="11" t="s">
        <v>799</v>
      </c>
      <c r="E2330" s="11" t="s">
        <v>814</v>
      </c>
      <c r="F2330" s="2" t="str" cm="1">
        <f t="array" ref="F2330">INDEX(_xlfn.TEXTSPLIT(E2330,"-"),2)</f>
        <v>男装</v>
      </c>
      <c r="G2330" s="2" t="str" cm="1">
        <f t="array" ref="G2330">INDEX(_xlfn.TEXTSPLIT(E2330,"-"),3)</f>
        <v>打底衫</v>
      </c>
      <c r="H2330" s="12">
        <v>4473</v>
      </c>
      <c r="I2330" s="12">
        <v>383437.44</v>
      </c>
      <c r="J2330" s="13">
        <v>0.0012</v>
      </c>
      <c r="K2330" s="13">
        <v>-0.3131</v>
      </c>
    </row>
    <row r="2331" ht="14.5" spans="1:11">
      <c r="A2331" s="3" t="str">
        <f t="shared" si="132"/>
        <v>2026年</v>
      </c>
      <c r="B2331" s="3" t="str">
        <f t="shared" si="133"/>
        <v>3月</v>
      </c>
      <c r="C2331" s="4" t="str">
        <f t="shared" si="134"/>
        <v>W10</v>
      </c>
      <c r="D2331" s="11" t="s">
        <v>799</v>
      </c>
      <c r="E2331" s="11" t="s">
        <v>815</v>
      </c>
      <c r="F2331" s="2" t="str" cm="1">
        <f t="array" ref="F2331">INDEX(_xlfn.TEXTSPLIT(E2331,"-"),2)</f>
        <v>男装</v>
      </c>
      <c r="G2331" s="2" t="str" cm="1">
        <f t="array" ref="G2331">INDEX(_xlfn.TEXTSPLIT(E2331,"-"),3)</f>
        <v>新中式男装</v>
      </c>
      <c r="H2331" s="12">
        <v>383</v>
      </c>
      <c r="I2331" s="12">
        <v>81416.56</v>
      </c>
      <c r="J2331" s="13">
        <v>0.0003</v>
      </c>
      <c r="K2331" s="13">
        <v>1.6793</v>
      </c>
    </row>
    <row r="2332" ht="14.5" spans="1:11">
      <c r="A2332" s="3" t="str">
        <f t="shared" si="132"/>
        <v>2026年</v>
      </c>
      <c r="B2332" s="3" t="str">
        <f t="shared" si="133"/>
        <v>3月</v>
      </c>
      <c r="C2332" s="4" t="str">
        <f t="shared" si="134"/>
        <v>W10</v>
      </c>
      <c r="D2332" s="11" t="s">
        <v>799</v>
      </c>
      <c r="E2332" s="11" t="s">
        <v>816</v>
      </c>
      <c r="F2332" s="2" t="str" cm="1">
        <f t="array" ref="F2332">INDEX(_xlfn.TEXTSPLIT(E2332,"-"),2)</f>
        <v>男装</v>
      </c>
      <c r="G2332" s="2" t="str" cm="1">
        <f t="array" ref="G2332">INDEX(_xlfn.TEXTSPLIT(E2332,"-"),3)</f>
        <v>棉衣</v>
      </c>
      <c r="H2332" s="12">
        <v>36430</v>
      </c>
      <c r="I2332" s="12">
        <v>4107869.68</v>
      </c>
      <c r="J2332" s="13">
        <v>0.0127</v>
      </c>
      <c r="K2332" s="13">
        <v>-0.0916</v>
      </c>
    </row>
    <row r="2333" ht="14.5" spans="1:11">
      <c r="A2333" s="3" t="str">
        <f t="shared" si="132"/>
        <v>2026年</v>
      </c>
      <c r="B2333" s="3" t="str">
        <f t="shared" si="133"/>
        <v>3月</v>
      </c>
      <c r="C2333" s="4" t="str">
        <f t="shared" si="134"/>
        <v>W10</v>
      </c>
      <c r="D2333" s="11" t="s">
        <v>799</v>
      </c>
      <c r="E2333" s="11" t="s">
        <v>817</v>
      </c>
      <c r="F2333" s="2" t="str" cm="1">
        <f t="array" ref="F2333">INDEX(_xlfn.TEXTSPLIT(E2333,"-"),2)</f>
        <v>男装</v>
      </c>
      <c r="G2333" s="2" t="str" cm="1">
        <f t="array" ref="G2333">INDEX(_xlfn.TEXTSPLIT(E2333,"-"),3)</f>
        <v>棉裤</v>
      </c>
      <c r="H2333" s="12">
        <v>1391</v>
      </c>
      <c r="I2333" s="12">
        <v>75931.14</v>
      </c>
      <c r="J2333" s="13">
        <v>0.0002</v>
      </c>
      <c r="K2333" s="13">
        <v>-0.3174</v>
      </c>
    </row>
    <row r="2334" ht="14.5" spans="1:11">
      <c r="A2334" s="3" t="str">
        <f t="shared" si="132"/>
        <v>2026年</v>
      </c>
      <c r="B2334" s="3" t="str">
        <f t="shared" si="133"/>
        <v>3月</v>
      </c>
      <c r="C2334" s="4" t="str">
        <f t="shared" si="134"/>
        <v>W10</v>
      </c>
      <c r="D2334" s="11" t="s">
        <v>799</v>
      </c>
      <c r="E2334" s="11" t="s">
        <v>818</v>
      </c>
      <c r="F2334" s="2" t="str" cm="1">
        <f t="array" ref="F2334">INDEX(_xlfn.TEXTSPLIT(E2334,"-"),2)</f>
        <v>男装</v>
      </c>
      <c r="G2334" s="2" t="str" cm="1">
        <f t="array" ref="G2334">INDEX(_xlfn.TEXTSPLIT(E2334,"-"),3)</f>
        <v>毛呢大衣</v>
      </c>
      <c r="H2334" s="12">
        <v>6118</v>
      </c>
      <c r="I2334" s="12">
        <v>2093009.24</v>
      </c>
      <c r="J2334" s="13">
        <v>0.0065</v>
      </c>
      <c r="K2334" s="13">
        <v>-0.0083</v>
      </c>
    </row>
    <row r="2335" ht="14.5" spans="1:11">
      <c r="A2335" s="3" t="str">
        <f t="shared" si="132"/>
        <v>2026年</v>
      </c>
      <c r="B2335" s="3" t="str">
        <f t="shared" si="133"/>
        <v>3月</v>
      </c>
      <c r="C2335" s="4" t="str">
        <f t="shared" si="134"/>
        <v>W10</v>
      </c>
      <c r="D2335" s="11" t="s">
        <v>799</v>
      </c>
      <c r="E2335" s="11" t="s">
        <v>819</v>
      </c>
      <c r="F2335" s="2" t="str" cm="1">
        <f t="array" ref="F2335">INDEX(_xlfn.TEXTSPLIT(E2335,"-"),2)</f>
        <v>男装</v>
      </c>
      <c r="G2335" s="2" t="str" cm="1">
        <f t="array" ref="G2335">INDEX(_xlfn.TEXTSPLIT(E2335,"-"),3)</f>
        <v>民族服装</v>
      </c>
      <c r="H2335" s="12">
        <v>4876</v>
      </c>
      <c r="I2335" s="12">
        <v>929146.9</v>
      </c>
      <c r="J2335" s="13">
        <v>0.0029</v>
      </c>
      <c r="K2335" s="13">
        <v>-0.1677</v>
      </c>
    </row>
    <row r="2336" ht="14.5" spans="1:11">
      <c r="A2336" s="3" t="str">
        <f t="shared" si="132"/>
        <v>2026年</v>
      </c>
      <c r="B2336" s="3" t="str">
        <f t="shared" si="133"/>
        <v>3月</v>
      </c>
      <c r="C2336" s="4" t="str">
        <f t="shared" si="134"/>
        <v>W10</v>
      </c>
      <c r="D2336" s="11" t="s">
        <v>799</v>
      </c>
      <c r="E2336" s="11" t="s">
        <v>820</v>
      </c>
      <c r="F2336" s="2" t="str" cm="1">
        <f t="array" ref="F2336">INDEX(_xlfn.TEXTSPLIT(E2336,"-"),2)</f>
        <v>男装</v>
      </c>
      <c r="G2336" s="2" t="str" cm="1">
        <f t="array" ref="G2336">INDEX(_xlfn.TEXTSPLIT(E2336,"-"),3)</f>
        <v>派克服</v>
      </c>
      <c r="H2336" s="12">
        <v>972</v>
      </c>
      <c r="I2336" s="12">
        <v>252075.08</v>
      </c>
      <c r="J2336" s="13">
        <v>0.0008</v>
      </c>
      <c r="K2336" s="13">
        <v>0.4459</v>
      </c>
    </row>
    <row r="2337" ht="14.5" spans="1:11">
      <c r="A2337" s="3" t="str">
        <f t="shared" si="132"/>
        <v>2026年</v>
      </c>
      <c r="B2337" s="3" t="str">
        <f t="shared" si="133"/>
        <v>3月</v>
      </c>
      <c r="C2337" s="4" t="str">
        <f t="shared" si="134"/>
        <v>W10</v>
      </c>
      <c r="D2337" s="11" t="s">
        <v>799</v>
      </c>
      <c r="E2337" s="11" t="s">
        <v>821</v>
      </c>
      <c r="F2337" s="2" t="str" cm="1">
        <f t="array" ref="F2337">INDEX(_xlfn.TEXTSPLIT(E2337,"-"),2)</f>
        <v>男装</v>
      </c>
      <c r="G2337" s="2" t="str" cm="1">
        <f t="array" ref="G2337">INDEX(_xlfn.TEXTSPLIT(E2337,"-"),3)</f>
        <v>牛仔裤</v>
      </c>
      <c r="H2337" s="12">
        <v>275303</v>
      </c>
      <c r="I2337" s="12">
        <v>32070263</v>
      </c>
      <c r="J2337" s="13">
        <v>0.0988</v>
      </c>
      <c r="K2337" s="13">
        <v>0.0281</v>
      </c>
    </row>
    <row r="2338" ht="14.5" spans="1:11">
      <c r="A2338" s="3" t="str">
        <f t="shared" si="132"/>
        <v>2026年</v>
      </c>
      <c r="B2338" s="3" t="str">
        <f t="shared" si="133"/>
        <v>3月</v>
      </c>
      <c r="C2338" s="4" t="str">
        <f t="shared" si="134"/>
        <v>W10</v>
      </c>
      <c r="D2338" s="11" t="s">
        <v>799</v>
      </c>
      <c r="E2338" s="11" t="s">
        <v>822</v>
      </c>
      <c r="F2338" s="2" t="str" cm="1">
        <f t="array" ref="F2338">INDEX(_xlfn.TEXTSPLIT(E2338,"-"),2)</f>
        <v>男装</v>
      </c>
      <c r="G2338" s="2" t="str" cm="1">
        <f t="array" ref="G2338">INDEX(_xlfn.TEXTSPLIT(E2338,"-"),3)</f>
        <v>皮草</v>
      </c>
      <c r="H2338" s="12">
        <v>319</v>
      </c>
      <c r="I2338" s="12">
        <v>252745.83</v>
      </c>
      <c r="J2338" s="13">
        <v>0.0008</v>
      </c>
      <c r="K2338" s="13">
        <v>-0.0197</v>
      </c>
    </row>
    <row r="2339" ht="14.5" spans="1:11">
      <c r="A2339" s="3" t="str">
        <f t="shared" si="132"/>
        <v>2026年</v>
      </c>
      <c r="B2339" s="3" t="str">
        <f t="shared" si="133"/>
        <v>3月</v>
      </c>
      <c r="C2339" s="4" t="str">
        <f t="shared" si="134"/>
        <v>W10</v>
      </c>
      <c r="D2339" s="11" t="s">
        <v>799</v>
      </c>
      <c r="E2339" s="11" t="s">
        <v>823</v>
      </c>
      <c r="F2339" s="2" t="str" cm="1">
        <f t="array" ref="F2339">INDEX(_xlfn.TEXTSPLIT(E2339,"-"),2)</f>
        <v>男装</v>
      </c>
      <c r="G2339" s="2" t="str" cm="1">
        <f t="array" ref="G2339">INDEX(_xlfn.TEXTSPLIT(E2339,"-"),3)</f>
        <v>皮衣</v>
      </c>
      <c r="H2339" s="12">
        <v>28897</v>
      </c>
      <c r="I2339" s="12">
        <v>11420063.26</v>
      </c>
      <c r="J2339" s="13">
        <v>0.0352</v>
      </c>
      <c r="K2339" s="13">
        <v>0.0343</v>
      </c>
    </row>
    <row r="2340" ht="14.5" spans="1:11">
      <c r="A2340" s="3" t="str">
        <f t="shared" si="132"/>
        <v>2026年</v>
      </c>
      <c r="B2340" s="3" t="str">
        <f t="shared" si="133"/>
        <v>3月</v>
      </c>
      <c r="C2340" s="4" t="str">
        <f t="shared" si="134"/>
        <v>W10</v>
      </c>
      <c r="D2340" s="11" t="s">
        <v>799</v>
      </c>
      <c r="E2340" s="11" t="s">
        <v>824</v>
      </c>
      <c r="F2340" s="2" t="str" cm="1">
        <f t="array" ref="F2340">INDEX(_xlfn.TEXTSPLIT(E2340,"-"),2)</f>
        <v>男装</v>
      </c>
      <c r="G2340" s="2" t="str" cm="1">
        <f t="array" ref="G2340">INDEX(_xlfn.TEXTSPLIT(E2340,"-"),3)</f>
        <v>皮裤</v>
      </c>
      <c r="H2340" s="12">
        <v>376</v>
      </c>
      <c r="I2340" s="12">
        <v>58606.99</v>
      </c>
      <c r="J2340" s="13">
        <v>0.0002</v>
      </c>
      <c r="K2340" s="13">
        <v>0.2076</v>
      </c>
    </row>
    <row r="2341" ht="14.5" spans="1:11">
      <c r="A2341" s="3" t="str">
        <f t="shared" si="132"/>
        <v>2026年</v>
      </c>
      <c r="B2341" s="3" t="str">
        <f t="shared" si="133"/>
        <v>3月</v>
      </c>
      <c r="C2341" s="4" t="str">
        <f t="shared" si="134"/>
        <v>W10</v>
      </c>
      <c r="D2341" s="11" t="s">
        <v>799</v>
      </c>
      <c r="E2341" s="11" t="s">
        <v>825</v>
      </c>
      <c r="F2341" s="2" t="str" cm="1">
        <f t="array" ref="F2341">INDEX(_xlfn.TEXTSPLIT(E2341,"-"),2)</f>
        <v>男装</v>
      </c>
      <c r="G2341" s="2" t="str" cm="1">
        <f t="array" ref="G2341">INDEX(_xlfn.TEXTSPLIT(E2341,"-"),3)</f>
        <v>短外套</v>
      </c>
      <c r="H2341" s="12">
        <v>31254</v>
      </c>
      <c r="I2341" s="12">
        <v>2502273.47</v>
      </c>
      <c r="J2341" s="13">
        <v>0.0077</v>
      </c>
      <c r="K2341" s="13">
        <v>0.1775</v>
      </c>
    </row>
    <row r="2342" ht="14.5" spans="1:11">
      <c r="A2342" s="3" t="str">
        <f t="shared" si="132"/>
        <v>2026年</v>
      </c>
      <c r="B2342" s="3" t="str">
        <f t="shared" si="133"/>
        <v>3月</v>
      </c>
      <c r="C2342" s="4" t="str">
        <f t="shared" si="134"/>
        <v>W10</v>
      </c>
      <c r="D2342" s="11" t="s">
        <v>799</v>
      </c>
      <c r="E2342" s="11" t="s">
        <v>826</v>
      </c>
      <c r="F2342" s="2" t="str" cm="1">
        <f t="array" ref="F2342">INDEX(_xlfn.TEXTSPLIT(E2342,"-"),2)</f>
        <v>男装</v>
      </c>
      <c r="G2342" s="2" t="str" cm="1">
        <f t="array" ref="G2342">INDEX(_xlfn.TEXTSPLIT(E2342,"-"),3)</f>
        <v>短裤</v>
      </c>
      <c r="H2342" s="12">
        <v>61419</v>
      </c>
      <c r="I2342" s="12">
        <v>2815647.98</v>
      </c>
      <c r="J2342" s="13">
        <v>0.0087</v>
      </c>
      <c r="K2342" s="13">
        <v>-0.1224</v>
      </c>
    </row>
    <row r="2343" ht="14.5" spans="1:11">
      <c r="A2343" s="3" t="str">
        <f t="shared" si="132"/>
        <v>2026年</v>
      </c>
      <c r="B2343" s="3" t="str">
        <f t="shared" si="133"/>
        <v>3月</v>
      </c>
      <c r="C2343" s="4" t="str">
        <f t="shared" si="134"/>
        <v>W10</v>
      </c>
      <c r="D2343" s="11" t="s">
        <v>799</v>
      </c>
      <c r="E2343" s="11" t="s">
        <v>827</v>
      </c>
      <c r="F2343" s="2" t="str" cm="1">
        <f t="array" ref="F2343">INDEX(_xlfn.TEXTSPLIT(E2343,"-"),2)</f>
        <v>男装</v>
      </c>
      <c r="G2343" s="2" t="str" cm="1">
        <f t="array" ref="G2343">INDEX(_xlfn.TEXTSPLIT(E2343,"-"),3)</f>
        <v>紧身衣</v>
      </c>
      <c r="H2343" s="12">
        <v>281</v>
      </c>
      <c r="I2343" s="12">
        <v>9726.74</v>
      </c>
      <c r="J2343" s="11" t="s">
        <v>713</v>
      </c>
      <c r="K2343" s="13">
        <v>0.0223</v>
      </c>
    </row>
    <row r="2344" ht="14.5" spans="1:11">
      <c r="A2344" s="3" t="str">
        <f t="shared" si="132"/>
        <v>2026年</v>
      </c>
      <c r="B2344" s="3" t="str">
        <f t="shared" si="133"/>
        <v>3月</v>
      </c>
      <c r="C2344" s="4" t="str">
        <f t="shared" si="134"/>
        <v>W10</v>
      </c>
      <c r="D2344" s="11" t="s">
        <v>799</v>
      </c>
      <c r="E2344" s="11" t="s">
        <v>828</v>
      </c>
      <c r="F2344" s="2" t="str" cm="1">
        <f t="array" ref="F2344">INDEX(_xlfn.TEXTSPLIT(E2344,"-"),2)</f>
        <v>男装</v>
      </c>
      <c r="G2344" s="2" t="str" cm="1">
        <f t="array" ref="G2344">INDEX(_xlfn.TEXTSPLIT(E2344,"-"),3)</f>
        <v>羊毛衫</v>
      </c>
      <c r="H2344" s="12">
        <v>17414</v>
      </c>
      <c r="I2344" s="12">
        <v>2753364.99</v>
      </c>
      <c r="J2344" s="13">
        <v>0.0085</v>
      </c>
      <c r="K2344" s="13">
        <v>-0.0444</v>
      </c>
    </row>
    <row r="2345" ht="14.5" spans="1:11">
      <c r="A2345" s="3" t="str">
        <f t="shared" si="132"/>
        <v>2026年</v>
      </c>
      <c r="B2345" s="3" t="str">
        <f t="shared" si="133"/>
        <v>3月</v>
      </c>
      <c r="C2345" s="4" t="str">
        <f t="shared" si="134"/>
        <v>W10</v>
      </c>
      <c r="D2345" s="11" t="s">
        <v>799</v>
      </c>
      <c r="E2345" s="11" t="s">
        <v>829</v>
      </c>
      <c r="F2345" s="2" t="str" cm="1">
        <f t="array" ref="F2345">INDEX(_xlfn.TEXTSPLIT(E2345,"-"),2)</f>
        <v>男装</v>
      </c>
      <c r="G2345" s="2" t="str" cm="1">
        <f t="array" ref="G2345">INDEX(_xlfn.TEXTSPLIT(E2345,"-"),3)</f>
        <v>羊绒衫</v>
      </c>
      <c r="H2345" s="12">
        <v>3005</v>
      </c>
      <c r="I2345" s="12">
        <v>694116.07</v>
      </c>
      <c r="J2345" s="13">
        <v>0.0021</v>
      </c>
      <c r="K2345" s="13">
        <v>-0.1404</v>
      </c>
    </row>
    <row r="2346" ht="14.5" spans="1:11">
      <c r="A2346" s="3" t="str">
        <f t="shared" si="132"/>
        <v>2026年</v>
      </c>
      <c r="B2346" s="3" t="str">
        <f t="shared" si="133"/>
        <v>3月</v>
      </c>
      <c r="C2346" s="4" t="str">
        <f t="shared" si="134"/>
        <v>W10</v>
      </c>
      <c r="D2346" s="11" t="s">
        <v>799</v>
      </c>
      <c r="E2346" s="11" t="s">
        <v>830</v>
      </c>
      <c r="F2346" s="2" t="str" cm="1">
        <f t="array" ref="F2346">INDEX(_xlfn.TEXTSPLIT(E2346,"-"),2)</f>
        <v>男装</v>
      </c>
      <c r="G2346" s="2" t="str" cm="1">
        <f t="array" ref="G2346">INDEX(_xlfn.TEXTSPLIT(E2346,"-"),3)</f>
        <v>羽绒服</v>
      </c>
      <c r="H2346" s="12">
        <v>48039</v>
      </c>
      <c r="I2346" s="12">
        <v>11366619.49</v>
      </c>
      <c r="J2346" s="13">
        <v>0.035</v>
      </c>
      <c r="K2346" s="13">
        <v>-0.0748</v>
      </c>
    </row>
    <row r="2347" ht="14.5" spans="1:11">
      <c r="A2347" s="3" t="str">
        <f t="shared" si="132"/>
        <v>2026年</v>
      </c>
      <c r="B2347" s="3" t="str">
        <f t="shared" si="133"/>
        <v>3月</v>
      </c>
      <c r="C2347" s="4" t="str">
        <f t="shared" si="134"/>
        <v>W10</v>
      </c>
      <c r="D2347" s="11" t="s">
        <v>799</v>
      </c>
      <c r="E2347" s="11" t="s">
        <v>831</v>
      </c>
      <c r="F2347" s="2" t="str" cm="1">
        <f t="array" ref="F2347">INDEX(_xlfn.TEXTSPLIT(E2347,"-"),2)</f>
        <v>男装</v>
      </c>
      <c r="G2347" s="2" t="str" cm="1">
        <f t="array" ref="G2347">INDEX(_xlfn.TEXTSPLIT(E2347,"-"),3)</f>
        <v>羽绒裤</v>
      </c>
      <c r="H2347" s="12">
        <v>354</v>
      </c>
      <c r="I2347" s="12">
        <v>45656.16</v>
      </c>
      <c r="J2347" s="13">
        <v>0.0001</v>
      </c>
      <c r="K2347" s="13">
        <v>0.0615</v>
      </c>
    </row>
    <row r="2348" ht="14.5" spans="1:11">
      <c r="A2348" s="3" t="str">
        <f t="shared" si="132"/>
        <v>2026年</v>
      </c>
      <c r="B2348" s="3" t="str">
        <f t="shared" si="133"/>
        <v>3月</v>
      </c>
      <c r="C2348" s="4" t="str">
        <f t="shared" si="134"/>
        <v>W10</v>
      </c>
      <c r="D2348" s="11" t="s">
        <v>799</v>
      </c>
      <c r="E2348" s="11" t="s">
        <v>832</v>
      </c>
      <c r="F2348" s="2" t="str" cm="1">
        <f t="array" ref="F2348">INDEX(_xlfn.TEXTSPLIT(E2348,"-"),2)</f>
        <v>男装</v>
      </c>
      <c r="G2348" s="2" t="str" cm="1">
        <f t="array" ref="G2348">INDEX(_xlfn.TEXTSPLIT(E2348,"-"),3)</f>
        <v>羽绒马甲</v>
      </c>
      <c r="H2348" s="12">
        <v>2532</v>
      </c>
      <c r="I2348" s="12">
        <v>457643.89</v>
      </c>
      <c r="J2348" s="13">
        <v>0.0014</v>
      </c>
      <c r="K2348" s="13">
        <v>-0.3973</v>
      </c>
    </row>
    <row r="2349" ht="14.5" spans="1:11">
      <c r="A2349" s="3" t="str">
        <f t="shared" si="132"/>
        <v>2026年</v>
      </c>
      <c r="B2349" s="3" t="str">
        <f t="shared" si="133"/>
        <v>3月</v>
      </c>
      <c r="C2349" s="4" t="str">
        <f t="shared" si="134"/>
        <v>W10</v>
      </c>
      <c r="D2349" s="11" t="s">
        <v>799</v>
      </c>
      <c r="E2349" s="11" t="s">
        <v>833</v>
      </c>
      <c r="F2349" s="2" t="str" cm="1">
        <f t="array" ref="F2349">INDEX(_xlfn.TEXTSPLIT(E2349,"-"),2)</f>
        <v>男装</v>
      </c>
      <c r="G2349" s="2" t="str" cm="1">
        <f t="array" ref="G2349">INDEX(_xlfn.TEXTSPLIT(E2349,"-"),3)</f>
        <v>背心</v>
      </c>
      <c r="H2349" s="12">
        <v>32047</v>
      </c>
      <c r="I2349" s="12">
        <v>1793394.69</v>
      </c>
      <c r="J2349" s="13">
        <v>0.0055</v>
      </c>
      <c r="K2349" s="13">
        <v>-0.0089</v>
      </c>
    </row>
    <row r="2350" ht="14.5" spans="1:11">
      <c r="A2350" s="3" t="str">
        <f t="shared" si="132"/>
        <v>2026年</v>
      </c>
      <c r="B2350" s="3" t="str">
        <f t="shared" si="133"/>
        <v>3月</v>
      </c>
      <c r="C2350" s="4" t="str">
        <f t="shared" si="134"/>
        <v>W10</v>
      </c>
      <c r="D2350" s="11" t="s">
        <v>799</v>
      </c>
      <c r="E2350" s="11" t="s">
        <v>834</v>
      </c>
      <c r="F2350" s="2" t="str" cm="1">
        <f t="array" ref="F2350">INDEX(_xlfn.TEXTSPLIT(E2350,"-"),2)</f>
        <v>男装</v>
      </c>
      <c r="G2350" s="2" t="str" cm="1">
        <f t="array" ref="G2350">INDEX(_xlfn.TEXTSPLIT(E2350,"-"),3)</f>
        <v>衬衫</v>
      </c>
      <c r="H2350" s="12">
        <v>104247</v>
      </c>
      <c r="I2350" s="12">
        <v>12804038.8</v>
      </c>
      <c r="J2350" s="13">
        <v>0.0395</v>
      </c>
      <c r="K2350" s="13">
        <v>0.0376</v>
      </c>
    </row>
    <row r="2351" ht="14.5" spans="1:11">
      <c r="A2351" s="3" t="str">
        <f t="shared" si="132"/>
        <v>2026年</v>
      </c>
      <c r="B2351" s="3" t="str">
        <f t="shared" si="133"/>
        <v>3月</v>
      </c>
      <c r="C2351" s="4" t="str">
        <f t="shared" si="134"/>
        <v>W10</v>
      </c>
      <c r="D2351" s="11" t="s">
        <v>799</v>
      </c>
      <c r="E2351" s="11" t="s">
        <v>835</v>
      </c>
      <c r="F2351" s="2" t="str" cm="1">
        <f t="array" ref="F2351">INDEX(_xlfn.TEXTSPLIT(E2351,"-"),2)</f>
        <v>男装</v>
      </c>
      <c r="G2351" s="2" t="str" cm="1">
        <f t="array" ref="G2351">INDEX(_xlfn.TEXTSPLIT(E2351,"-"),3)</f>
        <v>西服</v>
      </c>
      <c r="H2351" s="12">
        <v>65889</v>
      </c>
      <c r="I2351" s="12">
        <v>15255314.53</v>
      </c>
      <c r="J2351" s="13">
        <v>0.047</v>
      </c>
      <c r="K2351" s="13">
        <v>0.055</v>
      </c>
    </row>
    <row r="2352" ht="14.5" spans="1:11">
      <c r="A2352" s="3" t="str">
        <f t="shared" si="132"/>
        <v>2026年</v>
      </c>
      <c r="B2352" s="3" t="str">
        <f t="shared" si="133"/>
        <v>3月</v>
      </c>
      <c r="C2352" s="4" t="str">
        <f t="shared" si="134"/>
        <v>W10</v>
      </c>
      <c r="D2352" s="11" t="s">
        <v>799</v>
      </c>
      <c r="E2352" s="11" t="s">
        <v>836</v>
      </c>
      <c r="F2352" s="2" t="str" cm="1">
        <f t="array" ref="F2352">INDEX(_xlfn.TEXTSPLIT(E2352,"-"),2)</f>
        <v>男装</v>
      </c>
      <c r="G2352" s="2" t="str" cm="1">
        <f t="array" ref="G2352">INDEX(_xlfn.TEXTSPLIT(E2352,"-"),3)</f>
        <v>连体衣/裤</v>
      </c>
      <c r="H2352" s="12">
        <v>199</v>
      </c>
      <c r="I2352" s="12">
        <v>4703.65</v>
      </c>
      <c r="J2352" s="11" t="s">
        <v>713</v>
      </c>
      <c r="K2352" s="13">
        <v>-0.6061</v>
      </c>
    </row>
    <row r="2353" ht="14.5" spans="1:11">
      <c r="A2353" s="3" t="str">
        <f t="shared" si="132"/>
        <v>2026年</v>
      </c>
      <c r="B2353" s="3" t="str">
        <f t="shared" si="133"/>
        <v>3月</v>
      </c>
      <c r="C2353" s="4" t="str">
        <f t="shared" si="134"/>
        <v>W10</v>
      </c>
      <c r="D2353" s="11" t="s">
        <v>799</v>
      </c>
      <c r="E2353" s="11" t="s">
        <v>837</v>
      </c>
      <c r="F2353" s="2" t="str" cm="1">
        <f t="array" ref="F2353">INDEX(_xlfn.TEXTSPLIT(E2353,"-"),2)</f>
        <v>男装</v>
      </c>
      <c r="G2353" s="2" t="str" cm="1">
        <f t="array" ref="G2353">INDEX(_xlfn.TEXTSPLIT(E2353,"-"),3)</f>
        <v>速干/三防T恤</v>
      </c>
      <c r="H2353" s="12">
        <v>1946</v>
      </c>
      <c r="I2353" s="12">
        <v>265303.15</v>
      </c>
      <c r="J2353" s="13">
        <v>0.0008</v>
      </c>
      <c r="K2353" s="13">
        <v>0.4315</v>
      </c>
    </row>
    <row r="2354" ht="14.5" spans="1:11">
      <c r="A2354" s="3" t="str">
        <f t="shared" si="132"/>
        <v>2026年</v>
      </c>
      <c r="B2354" s="3" t="str">
        <f t="shared" si="133"/>
        <v>3月</v>
      </c>
      <c r="C2354" s="4" t="str">
        <f t="shared" si="134"/>
        <v>W10</v>
      </c>
      <c r="D2354" s="11" t="s">
        <v>799</v>
      </c>
      <c r="E2354" s="11" t="s">
        <v>838</v>
      </c>
      <c r="F2354" s="2" t="str" cm="1">
        <f t="array" ref="F2354">INDEX(_xlfn.TEXTSPLIT(E2354,"-"),2)</f>
        <v>男装</v>
      </c>
      <c r="G2354" s="2" t="str" cm="1">
        <f t="array" ref="G2354">INDEX(_xlfn.TEXTSPLIT(E2354,"-"),3)</f>
        <v>针织衫/毛衣</v>
      </c>
      <c r="H2354" s="12">
        <v>85627</v>
      </c>
      <c r="I2354" s="12">
        <v>11650789.56</v>
      </c>
      <c r="J2354" s="13">
        <v>0.0359</v>
      </c>
      <c r="K2354" s="13">
        <v>0.0766</v>
      </c>
    </row>
    <row r="2355" ht="14.5" spans="1:11">
      <c r="A2355" s="3" t="str">
        <f t="shared" si="132"/>
        <v>2026年</v>
      </c>
      <c r="B2355" s="3" t="str">
        <f t="shared" si="133"/>
        <v>3月</v>
      </c>
      <c r="C2355" s="4" t="str">
        <f t="shared" si="134"/>
        <v>W10</v>
      </c>
      <c r="D2355" s="11" t="s">
        <v>799</v>
      </c>
      <c r="E2355" s="11" t="s">
        <v>839</v>
      </c>
      <c r="F2355" s="2" t="str" cm="1">
        <f t="array" ref="F2355">INDEX(_xlfn.TEXTSPLIT(E2355,"-"),2)</f>
        <v>男装</v>
      </c>
      <c r="G2355" s="2" t="str" cm="1">
        <f t="array" ref="G2355">INDEX(_xlfn.TEXTSPLIT(E2355,"-"),3)</f>
        <v>防晒服</v>
      </c>
      <c r="H2355" s="12">
        <v>4510</v>
      </c>
      <c r="I2355" s="12">
        <v>508090.2</v>
      </c>
      <c r="J2355" s="13">
        <v>0.0016</v>
      </c>
      <c r="K2355" s="13">
        <v>-0.0385</v>
      </c>
    </row>
    <row r="2356" ht="14.5" spans="1:11">
      <c r="A2356" s="3" t="str">
        <f t="shared" si="132"/>
        <v>2026年</v>
      </c>
      <c r="B2356" s="3" t="str">
        <f t="shared" si="133"/>
        <v>3月</v>
      </c>
      <c r="C2356" s="4" t="str">
        <f t="shared" si="134"/>
        <v>W10</v>
      </c>
      <c r="D2356" s="11" t="s">
        <v>799</v>
      </c>
      <c r="E2356" s="11" t="s">
        <v>840</v>
      </c>
      <c r="F2356" s="2" t="str" cm="1">
        <f t="array" ref="F2356">INDEX(_xlfn.TEXTSPLIT(E2356,"-"),2)</f>
        <v>男装</v>
      </c>
      <c r="G2356" s="2" t="str" cm="1">
        <f t="array" ref="G2356">INDEX(_xlfn.TEXTSPLIT(E2356,"-"),3)</f>
        <v>风衣</v>
      </c>
      <c r="H2356" s="12">
        <v>10461</v>
      </c>
      <c r="I2356" s="12">
        <v>2325261.44</v>
      </c>
      <c r="J2356" s="13">
        <v>0.0072</v>
      </c>
      <c r="K2356" s="13">
        <v>-0.0607</v>
      </c>
    </row>
    <row r="2357" ht="14.5" spans="1:11">
      <c r="A2357" s="3" t="str">
        <f t="shared" si="132"/>
        <v>2026年</v>
      </c>
      <c r="B2357" s="3" t="str">
        <f t="shared" si="133"/>
        <v>3月</v>
      </c>
      <c r="C2357" s="4" t="str">
        <f t="shared" si="134"/>
        <v>W10</v>
      </c>
      <c r="D2357" s="11" t="s">
        <v>799</v>
      </c>
      <c r="E2357" s="11" t="s">
        <v>841</v>
      </c>
      <c r="F2357" s="2" t="str" cm="1">
        <f t="array" ref="F2357">INDEX(_xlfn.TEXTSPLIT(E2357,"-"),2)</f>
        <v>男装</v>
      </c>
      <c r="G2357" s="2" t="str" cm="1">
        <f t="array" ref="G2357">INDEX(_xlfn.TEXTSPLIT(E2357,"-"),3)</f>
        <v>马甲</v>
      </c>
      <c r="H2357" s="12">
        <v>23464</v>
      </c>
      <c r="I2357" s="12">
        <v>2519459.29</v>
      </c>
      <c r="J2357" s="13">
        <v>0.0078</v>
      </c>
      <c r="K2357" s="13">
        <v>0.0871</v>
      </c>
    </row>
    <row r="2358" ht="14.5" spans="1:11">
      <c r="A2358" s="3" t="str">
        <f t="shared" si="132"/>
        <v>2026年</v>
      </c>
      <c r="B2358" s="3" t="str">
        <f t="shared" si="133"/>
        <v>3月</v>
      </c>
      <c r="C2358" s="4" t="str">
        <f t="shared" si="134"/>
        <v>W10</v>
      </c>
      <c r="D2358" s="11" t="s">
        <v>800</v>
      </c>
      <c r="E2358" s="11" t="s">
        <v>804</v>
      </c>
      <c r="F2358" s="2" t="str" cm="1">
        <f t="array" ref="F2358">INDEX(_xlfn.TEXTSPLIT(E2358,"-"),2)</f>
        <v>男装</v>
      </c>
      <c r="G2358" s="2" t="str" cm="1">
        <f t="array" ref="G2358">INDEX(_xlfn.TEXTSPLIT(E2358,"-"),3)</f>
        <v>Polo衫</v>
      </c>
      <c r="H2358" s="12">
        <v>72773</v>
      </c>
      <c r="I2358" s="12">
        <v>7762511.62</v>
      </c>
      <c r="J2358" s="13">
        <v>0.0247</v>
      </c>
      <c r="K2358" s="13">
        <v>-0.0898</v>
      </c>
    </row>
    <row r="2359" ht="14.5" spans="1:11">
      <c r="A2359" s="3" t="str">
        <f t="shared" si="132"/>
        <v>2026年</v>
      </c>
      <c r="B2359" s="3" t="str">
        <f t="shared" si="133"/>
        <v>3月</v>
      </c>
      <c r="C2359" s="4" t="str">
        <f t="shared" si="134"/>
        <v>W10</v>
      </c>
      <c r="D2359" s="11" t="s">
        <v>800</v>
      </c>
      <c r="E2359" s="11" t="s">
        <v>805</v>
      </c>
      <c r="F2359" s="2" t="str" cm="1">
        <f t="array" ref="F2359">INDEX(_xlfn.TEXTSPLIT(E2359,"-"),2)</f>
        <v>男装</v>
      </c>
      <c r="G2359" s="2" t="str" cm="1">
        <f t="array" ref="G2359">INDEX(_xlfn.TEXTSPLIT(E2359,"-"),3)</f>
        <v>T恤</v>
      </c>
      <c r="H2359" s="12">
        <v>579196</v>
      </c>
      <c r="I2359" s="12">
        <v>41347091.52</v>
      </c>
      <c r="J2359" s="13">
        <v>0.1316</v>
      </c>
      <c r="K2359" s="13">
        <v>-0.1018</v>
      </c>
    </row>
    <row r="2360" ht="14.5" spans="1:11">
      <c r="A2360" s="3" t="str">
        <f t="shared" si="132"/>
        <v>2026年</v>
      </c>
      <c r="B2360" s="3" t="str">
        <f t="shared" si="133"/>
        <v>3月</v>
      </c>
      <c r="C2360" s="4" t="str">
        <f t="shared" si="134"/>
        <v>W10</v>
      </c>
      <c r="D2360" s="11" t="s">
        <v>800</v>
      </c>
      <c r="E2360" s="11" t="s">
        <v>806</v>
      </c>
      <c r="F2360" s="2" t="str" cm="1">
        <f t="array" ref="F2360">INDEX(_xlfn.TEXTSPLIT(E2360,"-"),2)</f>
        <v>男装</v>
      </c>
      <c r="G2360" s="2" t="str" cm="1">
        <f t="array" ref="G2360">INDEX(_xlfn.TEXTSPLIT(E2360,"-"),3)</f>
        <v>中老年男装</v>
      </c>
      <c r="H2360" s="12">
        <v>24198</v>
      </c>
      <c r="I2360" s="12">
        <v>1894308.38</v>
      </c>
      <c r="J2360" s="13">
        <v>0.006</v>
      </c>
      <c r="K2360" s="13">
        <v>-0.0664</v>
      </c>
    </row>
    <row r="2361" ht="14.5" spans="1:11">
      <c r="A2361" s="3" t="str">
        <f t="shared" si="132"/>
        <v>2026年</v>
      </c>
      <c r="B2361" s="3" t="str">
        <f t="shared" si="133"/>
        <v>3月</v>
      </c>
      <c r="C2361" s="4" t="str">
        <f t="shared" si="134"/>
        <v>W10</v>
      </c>
      <c r="D2361" s="11" t="s">
        <v>800</v>
      </c>
      <c r="E2361" s="11" t="s">
        <v>807</v>
      </c>
      <c r="F2361" s="2" t="str" cm="1">
        <f t="array" ref="F2361">INDEX(_xlfn.TEXTSPLIT(E2361,"-"),2)</f>
        <v>男装</v>
      </c>
      <c r="G2361" s="2" t="str" cm="1">
        <f t="array" ref="G2361">INDEX(_xlfn.TEXTSPLIT(E2361,"-"),3)</f>
        <v>休闲裤</v>
      </c>
      <c r="H2361" s="12">
        <v>366094</v>
      </c>
      <c r="I2361" s="12">
        <v>38867337.2</v>
      </c>
      <c r="J2361" s="13">
        <v>0.1237</v>
      </c>
      <c r="K2361" s="13">
        <v>-0.0609</v>
      </c>
    </row>
    <row r="2362" ht="14.5" spans="1:11">
      <c r="A2362" s="3" t="str">
        <f t="shared" si="132"/>
        <v>2026年</v>
      </c>
      <c r="B2362" s="3" t="str">
        <f t="shared" si="133"/>
        <v>3月</v>
      </c>
      <c r="C2362" s="4" t="str">
        <f t="shared" si="134"/>
        <v>W10</v>
      </c>
      <c r="D2362" s="11" t="s">
        <v>800</v>
      </c>
      <c r="E2362" s="11" t="s">
        <v>808</v>
      </c>
      <c r="F2362" s="2" t="str" cm="1">
        <f t="array" ref="F2362">INDEX(_xlfn.TEXTSPLIT(E2362,"-"),2)</f>
        <v>男装</v>
      </c>
      <c r="G2362" s="2" t="str" cm="1">
        <f t="array" ref="G2362">INDEX(_xlfn.TEXTSPLIT(E2362,"-"),3)</f>
        <v>卫衣</v>
      </c>
      <c r="H2362" s="12">
        <v>197068</v>
      </c>
      <c r="I2362" s="12">
        <v>18319644.31</v>
      </c>
      <c r="J2362" s="13">
        <v>0.0583</v>
      </c>
      <c r="K2362" s="13">
        <v>-0.0659</v>
      </c>
    </row>
    <row r="2363" ht="14.5" spans="1:11">
      <c r="A2363" s="3" t="str">
        <f t="shared" si="132"/>
        <v>2026年</v>
      </c>
      <c r="B2363" s="3" t="str">
        <f t="shared" si="133"/>
        <v>3月</v>
      </c>
      <c r="C2363" s="4" t="str">
        <f t="shared" si="134"/>
        <v>W10</v>
      </c>
      <c r="D2363" s="11" t="s">
        <v>800</v>
      </c>
      <c r="E2363" s="11" t="s">
        <v>809</v>
      </c>
      <c r="F2363" s="2" t="str" cm="1">
        <f t="array" ref="F2363">INDEX(_xlfn.TEXTSPLIT(E2363,"-"),2)</f>
        <v>男装</v>
      </c>
      <c r="G2363" s="2" t="str" cm="1">
        <f t="array" ref="G2363">INDEX(_xlfn.TEXTSPLIT(E2363,"-"),3)</f>
        <v>卫裤</v>
      </c>
      <c r="H2363" s="12">
        <v>52036</v>
      </c>
      <c r="I2363" s="12">
        <v>4800455.68</v>
      </c>
      <c r="J2363" s="13">
        <v>0.0153</v>
      </c>
      <c r="K2363" s="13">
        <v>-0.0971</v>
      </c>
    </row>
    <row r="2364" ht="14.5" spans="1:11">
      <c r="A2364" s="3" t="str">
        <f t="shared" si="132"/>
        <v>2026年</v>
      </c>
      <c r="B2364" s="3" t="str">
        <f t="shared" si="133"/>
        <v>3月</v>
      </c>
      <c r="C2364" s="4" t="str">
        <f t="shared" si="134"/>
        <v>W10</v>
      </c>
      <c r="D2364" s="11" t="s">
        <v>800</v>
      </c>
      <c r="E2364" s="11" t="s">
        <v>810</v>
      </c>
      <c r="F2364" s="2" t="str" cm="1">
        <f t="array" ref="F2364">INDEX(_xlfn.TEXTSPLIT(E2364,"-"),2)</f>
        <v>男装</v>
      </c>
      <c r="G2364" s="2" t="str" cm="1">
        <f t="array" ref="G2364">INDEX(_xlfn.TEXTSPLIT(E2364,"-"),3)</f>
        <v>大码男装</v>
      </c>
      <c r="H2364" s="12">
        <v>27487</v>
      </c>
      <c r="I2364" s="12">
        <v>1958470.19</v>
      </c>
      <c r="J2364" s="13">
        <v>0.0062</v>
      </c>
      <c r="K2364" s="13">
        <v>-0.204</v>
      </c>
    </row>
    <row r="2365" ht="14.5" spans="1:11">
      <c r="A2365" s="3" t="str">
        <f t="shared" si="132"/>
        <v>2026年</v>
      </c>
      <c r="B2365" s="3" t="str">
        <f t="shared" si="133"/>
        <v>3月</v>
      </c>
      <c r="C2365" s="4" t="str">
        <f t="shared" si="134"/>
        <v>W10</v>
      </c>
      <c r="D2365" s="11" t="s">
        <v>800</v>
      </c>
      <c r="E2365" s="11" t="s">
        <v>811</v>
      </c>
      <c r="F2365" s="2" t="str" cm="1">
        <f t="array" ref="F2365">INDEX(_xlfn.TEXTSPLIT(E2365,"-"),2)</f>
        <v>男装</v>
      </c>
      <c r="G2365" s="2" t="str" cm="1">
        <f t="array" ref="G2365">INDEX(_xlfn.TEXTSPLIT(E2365,"-"),3)</f>
        <v>夹克</v>
      </c>
      <c r="H2365" s="12">
        <v>432618</v>
      </c>
      <c r="I2365" s="12">
        <v>74367656.07</v>
      </c>
      <c r="J2365" s="13">
        <v>0.2366</v>
      </c>
      <c r="K2365" s="13">
        <v>0.0479</v>
      </c>
    </row>
    <row r="2366" ht="14.5" spans="1:11">
      <c r="A2366" s="3" t="str">
        <f t="shared" si="132"/>
        <v>2026年</v>
      </c>
      <c r="B2366" s="3" t="str">
        <f t="shared" si="133"/>
        <v>3月</v>
      </c>
      <c r="C2366" s="4" t="str">
        <f t="shared" si="134"/>
        <v>W10</v>
      </c>
      <c r="D2366" s="11" t="s">
        <v>800</v>
      </c>
      <c r="E2366" s="11" t="s">
        <v>812</v>
      </c>
      <c r="F2366" s="2" t="str" cm="1">
        <f t="array" ref="F2366">INDEX(_xlfn.TEXTSPLIT(E2366,"-"),2)</f>
        <v>男装</v>
      </c>
      <c r="G2366" s="2" t="str" cm="1">
        <f t="array" ref="G2366">INDEX(_xlfn.TEXTSPLIT(E2366,"-"),3)</f>
        <v>套装</v>
      </c>
      <c r="H2366" s="12">
        <v>71089</v>
      </c>
      <c r="I2366" s="12">
        <v>9759852.52</v>
      </c>
      <c r="J2366" s="13">
        <v>0.0311</v>
      </c>
      <c r="K2366" s="13">
        <v>0.1284</v>
      </c>
    </row>
    <row r="2367" ht="14.5" spans="1:11">
      <c r="A2367" s="3" t="str">
        <f t="shared" si="132"/>
        <v>2026年</v>
      </c>
      <c r="B2367" s="3" t="str">
        <f t="shared" si="133"/>
        <v>3月</v>
      </c>
      <c r="C2367" s="4" t="str">
        <f t="shared" si="134"/>
        <v>W10</v>
      </c>
      <c r="D2367" s="11" t="s">
        <v>800</v>
      </c>
      <c r="E2367" s="11" t="s">
        <v>813</v>
      </c>
      <c r="F2367" s="2" t="str" cm="1">
        <f t="array" ref="F2367">INDEX(_xlfn.TEXTSPLIT(E2367,"-"),2)</f>
        <v>男装</v>
      </c>
      <c r="G2367" s="2" t="str" cm="1">
        <f t="array" ref="G2367">INDEX(_xlfn.TEXTSPLIT(E2367,"-"),3)</f>
        <v>学生校服</v>
      </c>
      <c r="H2367" s="12">
        <v>233</v>
      </c>
      <c r="I2367" s="12">
        <v>12522</v>
      </c>
      <c r="J2367" s="11" t="s">
        <v>713</v>
      </c>
      <c r="K2367" s="13">
        <v>1.5388</v>
      </c>
    </row>
    <row r="2368" ht="14.5" spans="1:11">
      <c r="A2368" s="3" t="str">
        <f t="shared" si="132"/>
        <v>2026年</v>
      </c>
      <c r="B2368" s="3" t="str">
        <f t="shared" si="133"/>
        <v>3月</v>
      </c>
      <c r="C2368" s="4" t="str">
        <f t="shared" si="134"/>
        <v>W10</v>
      </c>
      <c r="D2368" s="11" t="s">
        <v>800</v>
      </c>
      <c r="E2368" s="11" t="s">
        <v>814</v>
      </c>
      <c r="F2368" s="2" t="str" cm="1">
        <f t="array" ref="F2368">INDEX(_xlfn.TEXTSPLIT(E2368,"-"),2)</f>
        <v>男装</v>
      </c>
      <c r="G2368" s="2" t="str" cm="1">
        <f t="array" ref="G2368">INDEX(_xlfn.TEXTSPLIT(E2368,"-"),3)</f>
        <v>打底衫</v>
      </c>
      <c r="H2368" s="12">
        <v>4176</v>
      </c>
      <c r="I2368" s="12">
        <v>338545.34</v>
      </c>
      <c r="J2368" s="13">
        <v>0.0011</v>
      </c>
      <c r="K2368" s="13">
        <v>-0.1171</v>
      </c>
    </row>
    <row r="2369" ht="14.5" spans="1:11">
      <c r="A2369" s="3" t="str">
        <f t="shared" si="132"/>
        <v>2026年</v>
      </c>
      <c r="B2369" s="3" t="str">
        <f t="shared" si="133"/>
        <v>3月</v>
      </c>
      <c r="C2369" s="4" t="str">
        <f t="shared" si="134"/>
        <v>W10</v>
      </c>
      <c r="D2369" s="11" t="s">
        <v>800</v>
      </c>
      <c r="E2369" s="11" t="s">
        <v>815</v>
      </c>
      <c r="F2369" s="2" t="str" cm="1">
        <f t="array" ref="F2369">INDEX(_xlfn.TEXTSPLIT(E2369,"-"),2)</f>
        <v>男装</v>
      </c>
      <c r="G2369" s="2" t="str" cm="1">
        <f t="array" ref="G2369">INDEX(_xlfn.TEXTSPLIT(E2369,"-"),3)</f>
        <v>新中式男装</v>
      </c>
      <c r="H2369" s="12">
        <v>322</v>
      </c>
      <c r="I2369" s="12">
        <v>81329.68</v>
      </c>
      <c r="J2369" s="13">
        <v>0.0003</v>
      </c>
      <c r="K2369" s="13">
        <v>-0.0011</v>
      </c>
    </row>
    <row r="2370" ht="14.5" spans="1:11">
      <c r="A2370" s="3" t="str">
        <f t="shared" si="132"/>
        <v>2026年</v>
      </c>
      <c r="B2370" s="3" t="str">
        <f t="shared" si="133"/>
        <v>3月</v>
      </c>
      <c r="C2370" s="4" t="str">
        <f t="shared" si="134"/>
        <v>W10</v>
      </c>
      <c r="D2370" s="11" t="s">
        <v>800</v>
      </c>
      <c r="E2370" s="11" t="s">
        <v>816</v>
      </c>
      <c r="F2370" s="2" t="str" cm="1">
        <f t="array" ref="F2370">INDEX(_xlfn.TEXTSPLIT(E2370,"-"),2)</f>
        <v>男装</v>
      </c>
      <c r="G2370" s="2" t="str" cm="1">
        <f t="array" ref="G2370">INDEX(_xlfn.TEXTSPLIT(E2370,"-"),3)</f>
        <v>棉衣</v>
      </c>
      <c r="H2370" s="12">
        <v>39516</v>
      </c>
      <c r="I2370" s="12">
        <v>4715586.16</v>
      </c>
      <c r="J2370" s="13">
        <v>0.015</v>
      </c>
      <c r="K2370" s="13">
        <v>0.1479</v>
      </c>
    </row>
    <row r="2371" ht="14.5" spans="1:11">
      <c r="A2371" s="3" t="str">
        <f t="shared" si="132"/>
        <v>2026年</v>
      </c>
      <c r="B2371" s="3" t="str">
        <f t="shared" si="133"/>
        <v>3月</v>
      </c>
      <c r="C2371" s="4" t="str">
        <f t="shared" si="134"/>
        <v>W10</v>
      </c>
      <c r="D2371" s="11" t="s">
        <v>800</v>
      </c>
      <c r="E2371" s="11" t="s">
        <v>817</v>
      </c>
      <c r="F2371" s="2" t="str" cm="1">
        <f t="array" ref="F2371">INDEX(_xlfn.TEXTSPLIT(E2371,"-"),2)</f>
        <v>男装</v>
      </c>
      <c r="G2371" s="2" t="str" cm="1">
        <f t="array" ref="G2371">INDEX(_xlfn.TEXTSPLIT(E2371,"-"),3)</f>
        <v>棉裤</v>
      </c>
      <c r="H2371" s="12">
        <v>2595</v>
      </c>
      <c r="I2371" s="12">
        <v>134753.1</v>
      </c>
      <c r="J2371" s="13">
        <v>0.0004</v>
      </c>
      <c r="K2371" s="13">
        <v>0.7747</v>
      </c>
    </row>
    <row r="2372" ht="14.5" spans="1:11">
      <c r="A2372" s="3" t="str">
        <f t="shared" ref="A2372:A2435" si="135">TEXT(YEAR(D2372),"0")&amp;"年"</f>
        <v>2026年</v>
      </c>
      <c r="B2372" s="3" t="str">
        <f t="shared" ref="B2372:B2435" si="136">TEXT(MONTH(D2372),"0")&amp;"月"</f>
        <v>3月</v>
      </c>
      <c r="C2372" s="4" t="str">
        <f t="shared" ref="C2372:C2435" si="137">"W"&amp;TEXT(WEEKNUM(D2372,2),"0")</f>
        <v>W10</v>
      </c>
      <c r="D2372" s="11" t="s">
        <v>800</v>
      </c>
      <c r="E2372" s="11" t="s">
        <v>818</v>
      </c>
      <c r="F2372" s="2" t="str" cm="1">
        <f t="array" ref="F2372">INDEX(_xlfn.TEXTSPLIT(E2372,"-"),2)</f>
        <v>男装</v>
      </c>
      <c r="G2372" s="2" t="str" cm="1">
        <f t="array" ref="G2372">INDEX(_xlfn.TEXTSPLIT(E2372,"-"),3)</f>
        <v>毛呢大衣</v>
      </c>
      <c r="H2372" s="12">
        <v>6020</v>
      </c>
      <c r="I2372" s="12">
        <v>1610983.83</v>
      </c>
      <c r="J2372" s="13">
        <v>0.0051</v>
      </c>
      <c r="K2372" s="13">
        <v>-0.2303</v>
      </c>
    </row>
    <row r="2373" ht="14.5" spans="1:11">
      <c r="A2373" s="3" t="str">
        <f t="shared" si="135"/>
        <v>2026年</v>
      </c>
      <c r="B2373" s="3" t="str">
        <f t="shared" si="136"/>
        <v>3月</v>
      </c>
      <c r="C2373" s="4" t="str">
        <f t="shared" si="137"/>
        <v>W10</v>
      </c>
      <c r="D2373" s="11" t="s">
        <v>800</v>
      </c>
      <c r="E2373" s="11" t="s">
        <v>819</v>
      </c>
      <c r="F2373" s="2" t="str" cm="1">
        <f t="array" ref="F2373">INDEX(_xlfn.TEXTSPLIT(E2373,"-"),2)</f>
        <v>男装</v>
      </c>
      <c r="G2373" s="2" t="str" cm="1">
        <f t="array" ref="G2373">INDEX(_xlfn.TEXTSPLIT(E2373,"-"),3)</f>
        <v>民族服装</v>
      </c>
      <c r="H2373" s="12">
        <v>3792</v>
      </c>
      <c r="I2373" s="12">
        <v>691644.5</v>
      </c>
      <c r="J2373" s="13">
        <v>0.0022</v>
      </c>
      <c r="K2373" s="13">
        <v>-0.2556</v>
      </c>
    </row>
    <row r="2374" ht="14.5" spans="1:11">
      <c r="A2374" s="3" t="str">
        <f t="shared" si="135"/>
        <v>2026年</v>
      </c>
      <c r="B2374" s="3" t="str">
        <f t="shared" si="136"/>
        <v>3月</v>
      </c>
      <c r="C2374" s="4" t="str">
        <f t="shared" si="137"/>
        <v>W10</v>
      </c>
      <c r="D2374" s="11" t="s">
        <v>800</v>
      </c>
      <c r="E2374" s="11" t="s">
        <v>820</v>
      </c>
      <c r="F2374" s="2" t="str" cm="1">
        <f t="array" ref="F2374">INDEX(_xlfn.TEXTSPLIT(E2374,"-"),2)</f>
        <v>男装</v>
      </c>
      <c r="G2374" s="2" t="str" cm="1">
        <f t="array" ref="G2374">INDEX(_xlfn.TEXTSPLIT(E2374,"-"),3)</f>
        <v>派克服</v>
      </c>
      <c r="H2374" s="12">
        <v>1051</v>
      </c>
      <c r="I2374" s="12">
        <v>227386.92</v>
      </c>
      <c r="J2374" s="13">
        <v>0.0007</v>
      </c>
      <c r="K2374" s="13">
        <v>-0.0979</v>
      </c>
    </row>
    <row r="2375" ht="14.5" spans="1:11">
      <c r="A2375" s="3" t="str">
        <f t="shared" si="135"/>
        <v>2026年</v>
      </c>
      <c r="B2375" s="3" t="str">
        <f t="shared" si="136"/>
        <v>3月</v>
      </c>
      <c r="C2375" s="4" t="str">
        <f t="shared" si="137"/>
        <v>W10</v>
      </c>
      <c r="D2375" s="11" t="s">
        <v>800</v>
      </c>
      <c r="E2375" s="11" t="s">
        <v>821</v>
      </c>
      <c r="F2375" s="2" t="str" cm="1">
        <f t="array" ref="F2375">INDEX(_xlfn.TEXTSPLIT(E2375,"-"),2)</f>
        <v>男装</v>
      </c>
      <c r="G2375" s="2" t="str" cm="1">
        <f t="array" ref="G2375">INDEX(_xlfn.TEXTSPLIT(E2375,"-"),3)</f>
        <v>牛仔裤</v>
      </c>
      <c r="H2375" s="12">
        <v>247884</v>
      </c>
      <c r="I2375" s="12">
        <v>28931620.11</v>
      </c>
      <c r="J2375" s="13">
        <v>0.0921</v>
      </c>
      <c r="K2375" s="13">
        <v>-0.0979</v>
      </c>
    </row>
    <row r="2376" ht="14.5" spans="1:11">
      <c r="A2376" s="3" t="str">
        <f t="shared" si="135"/>
        <v>2026年</v>
      </c>
      <c r="B2376" s="3" t="str">
        <f t="shared" si="136"/>
        <v>3月</v>
      </c>
      <c r="C2376" s="4" t="str">
        <f t="shared" si="137"/>
        <v>W10</v>
      </c>
      <c r="D2376" s="11" t="s">
        <v>800</v>
      </c>
      <c r="E2376" s="11" t="s">
        <v>822</v>
      </c>
      <c r="F2376" s="2" t="str" cm="1">
        <f t="array" ref="F2376">INDEX(_xlfn.TEXTSPLIT(E2376,"-"),2)</f>
        <v>男装</v>
      </c>
      <c r="G2376" s="2" t="str" cm="1">
        <f t="array" ref="G2376">INDEX(_xlfn.TEXTSPLIT(E2376,"-"),3)</f>
        <v>皮草</v>
      </c>
      <c r="H2376" s="12">
        <v>527</v>
      </c>
      <c r="I2376" s="12">
        <v>358119.45</v>
      </c>
      <c r="J2376" s="13">
        <v>0.0011</v>
      </c>
      <c r="K2376" s="13">
        <v>0.4169</v>
      </c>
    </row>
    <row r="2377" ht="14.5" spans="1:11">
      <c r="A2377" s="3" t="str">
        <f t="shared" si="135"/>
        <v>2026年</v>
      </c>
      <c r="B2377" s="3" t="str">
        <f t="shared" si="136"/>
        <v>3月</v>
      </c>
      <c r="C2377" s="4" t="str">
        <f t="shared" si="137"/>
        <v>W10</v>
      </c>
      <c r="D2377" s="11" t="s">
        <v>800</v>
      </c>
      <c r="E2377" s="11" t="s">
        <v>823</v>
      </c>
      <c r="F2377" s="2" t="str" cm="1">
        <f t="array" ref="F2377">INDEX(_xlfn.TEXTSPLIT(E2377,"-"),2)</f>
        <v>男装</v>
      </c>
      <c r="G2377" s="2" t="str" cm="1">
        <f t="array" ref="G2377">INDEX(_xlfn.TEXTSPLIT(E2377,"-"),3)</f>
        <v>皮衣</v>
      </c>
      <c r="H2377" s="12">
        <v>28783</v>
      </c>
      <c r="I2377" s="12">
        <v>11314377.12</v>
      </c>
      <c r="J2377" s="13">
        <v>0.036</v>
      </c>
      <c r="K2377" s="13">
        <v>-0.0093</v>
      </c>
    </row>
    <row r="2378" ht="14.5" spans="1:11">
      <c r="A2378" s="3" t="str">
        <f t="shared" si="135"/>
        <v>2026年</v>
      </c>
      <c r="B2378" s="3" t="str">
        <f t="shared" si="136"/>
        <v>3月</v>
      </c>
      <c r="C2378" s="4" t="str">
        <f t="shared" si="137"/>
        <v>W10</v>
      </c>
      <c r="D2378" s="11" t="s">
        <v>800</v>
      </c>
      <c r="E2378" s="11" t="s">
        <v>824</v>
      </c>
      <c r="F2378" s="2" t="str" cm="1">
        <f t="array" ref="F2378">INDEX(_xlfn.TEXTSPLIT(E2378,"-"),2)</f>
        <v>男装</v>
      </c>
      <c r="G2378" s="2" t="str" cm="1">
        <f t="array" ref="G2378">INDEX(_xlfn.TEXTSPLIT(E2378,"-"),3)</f>
        <v>皮裤</v>
      </c>
      <c r="H2378" s="12">
        <v>415</v>
      </c>
      <c r="I2378" s="12">
        <v>49882.95</v>
      </c>
      <c r="J2378" s="13">
        <v>0.0002</v>
      </c>
      <c r="K2378" s="13">
        <v>-0.1489</v>
      </c>
    </row>
    <row r="2379" ht="14.5" spans="1:11">
      <c r="A2379" s="3" t="str">
        <f t="shared" si="135"/>
        <v>2026年</v>
      </c>
      <c r="B2379" s="3" t="str">
        <f t="shared" si="136"/>
        <v>3月</v>
      </c>
      <c r="C2379" s="4" t="str">
        <f t="shared" si="137"/>
        <v>W10</v>
      </c>
      <c r="D2379" s="11" t="s">
        <v>800</v>
      </c>
      <c r="E2379" s="11" t="s">
        <v>825</v>
      </c>
      <c r="F2379" s="2" t="str" cm="1">
        <f t="array" ref="F2379">INDEX(_xlfn.TEXTSPLIT(E2379,"-"),2)</f>
        <v>男装</v>
      </c>
      <c r="G2379" s="2" t="str" cm="1">
        <f t="array" ref="G2379">INDEX(_xlfn.TEXTSPLIT(E2379,"-"),3)</f>
        <v>短外套</v>
      </c>
      <c r="H2379" s="12">
        <v>34632</v>
      </c>
      <c r="I2379" s="12">
        <v>2422574.33</v>
      </c>
      <c r="J2379" s="13">
        <v>0.0077</v>
      </c>
      <c r="K2379" s="13">
        <v>-0.0319</v>
      </c>
    </row>
    <row r="2380" ht="14.5" spans="1:11">
      <c r="A2380" s="3" t="str">
        <f t="shared" si="135"/>
        <v>2026年</v>
      </c>
      <c r="B2380" s="3" t="str">
        <f t="shared" si="136"/>
        <v>3月</v>
      </c>
      <c r="C2380" s="4" t="str">
        <f t="shared" si="137"/>
        <v>W10</v>
      </c>
      <c r="D2380" s="11" t="s">
        <v>800</v>
      </c>
      <c r="E2380" s="11" t="s">
        <v>826</v>
      </c>
      <c r="F2380" s="2" t="str" cm="1">
        <f t="array" ref="F2380">INDEX(_xlfn.TEXTSPLIT(E2380,"-"),2)</f>
        <v>男装</v>
      </c>
      <c r="G2380" s="2" t="str" cm="1">
        <f t="array" ref="G2380">INDEX(_xlfn.TEXTSPLIT(E2380,"-"),3)</f>
        <v>短裤</v>
      </c>
      <c r="H2380" s="12">
        <v>57535</v>
      </c>
      <c r="I2380" s="12">
        <v>2792080.34</v>
      </c>
      <c r="J2380" s="13">
        <v>0.0089</v>
      </c>
      <c r="K2380" s="13">
        <v>-0.0084</v>
      </c>
    </row>
    <row r="2381" ht="14.5" spans="1:11">
      <c r="A2381" s="3" t="str">
        <f t="shared" si="135"/>
        <v>2026年</v>
      </c>
      <c r="B2381" s="3" t="str">
        <f t="shared" si="136"/>
        <v>3月</v>
      </c>
      <c r="C2381" s="4" t="str">
        <f t="shared" si="137"/>
        <v>W10</v>
      </c>
      <c r="D2381" s="11" t="s">
        <v>800</v>
      </c>
      <c r="E2381" s="11" t="s">
        <v>827</v>
      </c>
      <c r="F2381" s="2" t="str" cm="1">
        <f t="array" ref="F2381">INDEX(_xlfn.TEXTSPLIT(E2381,"-"),2)</f>
        <v>男装</v>
      </c>
      <c r="G2381" s="2" t="str" cm="1">
        <f t="array" ref="G2381">INDEX(_xlfn.TEXTSPLIT(E2381,"-"),3)</f>
        <v>紧身衣</v>
      </c>
      <c r="H2381" s="12">
        <v>343</v>
      </c>
      <c r="I2381" s="12">
        <v>10142</v>
      </c>
      <c r="J2381" s="11" t="s">
        <v>713</v>
      </c>
      <c r="K2381" s="13">
        <v>0.0427</v>
      </c>
    </row>
    <row r="2382" ht="14.5" spans="1:11">
      <c r="A2382" s="3" t="str">
        <f t="shared" si="135"/>
        <v>2026年</v>
      </c>
      <c r="B2382" s="3" t="str">
        <f t="shared" si="136"/>
        <v>3月</v>
      </c>
      <c r="C2382" s="4" t="str">
        <f t="shared" si="137"/>
        <v>W10</v>
      </c>
      <c r="D2382" s="11" t="s">
        <v>800</v>
      </c>
      <c r="E2382" s="11" t="s">
        <v>828</v>
      </c>
      <c r="F2382" s="2" t="str" cm="1">
        <f t="array" ref="F2382">INDEX(_xlfn.TEXTSPLIT(E2382,"-"),2)</f>
        <v>男装</v>
      </c>
      <c r="G2382" s="2" t="str" cm="1">
        <f t="array" ref="G2382">INDEX(_xlfn.TEXTSPLIT(E2382,"-"),3)</f>
        <v>羊毛衫</v>
      </c>
      <c r="H2382" s="12">
        <v>18360</v>
      </c>
      <c r="I2382" s="12">
        <v>2685195.46</v>
      </c>
      <c r="J2382" s="13">
        <v>0.0085</v>
      </c>
      <c r="K2382" s="13">
        <v>-0.0248</v>
      </c>
    </row>
    <row r="2383" ht="14.5" spans="1:11">
      <c r="A2383" s="3" t="str">
        <f t="shared" si="135"/>
        <v>2026年</v>
      </c>
      <c r="B2383" s="3" t="str">
        <f t="shared" si="136"/>
        <v>3月</v>
      </c>
      <c r="C2383" s="4" t="str">
        <f t="shared" si="137"/>
        <v>W10</v>
      </c>
      <c r="D2383" s="11" t="s">
        <v>800</v>
      </c>
      <c r="E2383" s="11" t="s">
        <v>829</v>
      </c>
      <c r="F2383" s="2" t="str" cm="1">
        <f t="array" ref="F2383">INDEX(_xlfn.TEXTSPLIT(E2383,"-"),2)</f>
        <v>男装</v>
      </c>
      <c r="G2383" s="2" t="str" cm="1">
        <f t="array" ref="G2383">INDEX(_xlfn.TEXTSPLIT(E2383,"-"),3)</f>
        <v>羊绒衫</v>
      </c>
      <c r="H2383" s="12">
        <v>3019</v>
      </c>
      <c r="I2383" s="12">
        <v>752014.5</v>
      </c>
      <c r="J2383" s="13">
        <v>0.0024</v>
      </c>
      <c r="K2383" s="13">
        <v>0.0834</v>
      </c>
    </row>
    <row r="2384" ht="14.5" spans="1:11">
      <c r="A2384" s="3" t="str">
        <f t="shared" si="135"/>
        <v>2026年</v>
      </c>
      <c r="B2384" s="3" t="str">
        <f t="shared" si="136"/>
        <v>3月</v>
      </c>
      <c r="C2384" s="4" t="str">
        <f t="shared" si="137"/>
        <v>W10</v>
      </c>
      <c r="D2384" s="11" t="s">
        <v>800</v>
      </c>
      <c r="E2384" s="11" t="s">
        <v>830</v>
      </c>
      <c r="F2384" s="2" t="str" cm="1">
        <f t="array" ref="F2384">INDEX(_xlfn.TEXTSPLIT(E2384,"-"),2)</f>
        <v>男装</v>
      </c>
      <c r="G2384" s="2" t="str" cm="1">
        <f t="array" ref="G2384">INDEX(_xlfn.TEXTSPLIT(E2384,"-"),3)</f>
        <v>羽绒服</v>
      </c>
      <c r="H2384" s="12">
        <v>52215</v>
      </c>
      <c r="I2384" s="12">
        <v>13101759.83</v>
      </c>
      <c r="J2384" s="13">
        <v>0.0417</v>
      </c>
      <c r="K2384" s="13">
        <v>0.1527</v>
      </c>
    </row>
    <row r="2385" ht="14.5" spans="1:11">
      <c r="A2385" s="3" t="str">
        <f t="shared" si="135"/>
        <v>2026年</v>
      </c>
      <c r="B2385" s="3" t="str">
        <f t="shared" si="136"/>
        <v>3月</v>
      </c>
      <c r="C2385" s="4" t="str">
        <f t="shared" si="137"/>
        <v>W10</v>
      </c>
      <c r="D2385" s="11" t="s">
        <v>800</v>
      </c>
      <c r="E2385" s="11" t="s">
        <v>831</v>
      </c>
      <c r="F2385" s="2" t="str" cm="1">
        <f t="array" ref="F2385">INDEX(_xlfn.TEXTSPLIT(E2385,"-"),2)</f>
        <v>男装</v>
      </c>
      <c r="G2385" s="2" t="str" cm="1">
        <f t="array" ref="G2385">INDEX(_xlfn.TEXTSPLIT(E2385,"-"),3)</f>
        <v>羽绒裤</v>
      </c>
      <c r="H2385" s="12">
        <v>324</v>
      </c>
      <c r="I2385" s="12">
        <v>40563.49</v>
      </c>
      <c r="J2385" s="13">
        <v>0.0001</v>
      </c>
      <c r="K2385" s="13">
        <v>-0.1115</v>
      </c>
    </row>
    <row r="2386" ht="14.5" spans="1:11">
      <c r="A2386" s="3" t="str">
        <f t="shared" si="135"/>
        <v>2026年</v>
      </c>
      <c r="B2386" s="3" t="str">
        <f t="shared" si="136"/>
        <v>3月</v>
      </c>
      <c r="C2386" s="4" t="str">
        <f t="shared" si="137"/>
        <v>W10</v>
      </c>
      <c r="D2386" s="11" t="s">
        <v>800</v>
      </c>
      <c r="E2386" s="11" t="s">
        <v>832</v>
      </c>
      <c r="F2386" s="2" t="str" cm="1">
        <f t="array" ref="F2386">INDEX(_xlfn.TEXTSPLIT(E2386,"-"),2)</f>
        <v>男装</v>
      </c>
      <c r="G2386" s="2" t="str" cm="1">
        <f t="array" ref="G2386">INDEX(_xlfn.TEXTSPLIT(E2386,"-"),3)</f>
        <v>羽绒马甲</v>
      </c>
      <c r="H2386" s="12">
        <v>2292</v>
      </c>
      <c r="I2386" s="12">
        <v>407080.81</v>
      </c>
      <c r="J2386" s="13">
        <v>0.0013</v>
      </c>
      <c r="K2386" s="13">
        <v>-0.1105</v>
      </c>
    </row>
    <row r="2387" ht="14.5" spans="1:11">
      <c r="A2387" s="3" t="str">
        <f t="shared" si="135"/>
        <v>2026年</v>
      </c>
      <c r="B2387" s="3" t="str">
        <f t="shared" si="136"/>
        <v>3月</v>
      </c>
      <c r="C2387" s="4" t="str">
        <f t="shared" si="137"/>
        <v>W10</v>
      </c>
      <c r="D2387" s="11" t="s">
        <v>800</v>
      </c>
      <c r="E2387" s="11" t="s">
        <v>833</v>
      </c>
      <c r="F2387" s="2" t="str" cm="1">
        <f t="array" ref="F2387">INDEX(_xlfn.TEXTSPLIT(E2387,"-"),2)</f>
        <v>男装</v>
      </c>
      <c r="G2387" s="2" t="str" cm="1">
        <f t="array" ref="G2387">INDEX(_xlfn.TEXTSPLIT(E2387,"-"),3)</f>
        <v>背心</v>
      </c>
      <c r="H2387" s="12">
        <v>30484</v>
      </c>
      <c r="I2387" s="12">
        <v>1658616.09</v>
      </c>
      <c r="J2387" s="13">
        <v>0.0053</v>
      </c>
      <c r="K2387" s="13">
        <v>-0.0752</v>
      </c>
    </row>
    <row r="2388" ht="14.5" spans="1:11">
      <c r="A2388" s="3" t="str">
        <f t="shared" si="135"/>
        <v>2026年</v>
      </c>
      <c r="B2388" s="3" t="str">
        <f t="shared" si="136"/>
        <v>3月</v>
      </c>
      <c r="C2388" s="4" t="str">
        <f t="shared" si="137"/>
        <v>W10</v>
      </c>
      <c r="D2388" s="11" t="s">
        <v>800</v>
      </c>
      <c r="E2388" s="11" t="s">
        <v>834</v>
      </c>
      <c r="F2388" s="2" t="str" cm="1">
        <f t="array" ref="F2388">INDEX(_xlfn.TEXTSPLIT(E2388,"-"),2)</f>
        <v>男装</v>
      </c>
      <c r="G2388" s="2" t="str" cm="1">
        <f t="array" ref="G2388">INDEX(_xlfn.TEXTSPLIT(E2388,"-"),3)</f>
        <v>衬衫</v>
      </c>
      <c r="H2388" s="12">
        <v>98166</v>
      </c>
      <c r="I2388" s="12">
        <v>12290483.64</v>
      </c>
      <c r="J2388" s="13">
        <v>0.0391</v>
      </c>
      <c r="K2388" s="13">
        <v>-0.0401</v>
      </c>
    </row>
    <row r="2389" ht="14.5" spans="1:11">
      <c r="A2389" s="3" t="str">
        <f t="shared" si="135"/>
        <v>2026年</v>
      </c>
      <c r="B2389" s="3" t="str">
        <f t="shared" si="136"/>
        <v>3月</v>
      </c>
      <c r="C2389" s="4" t="str">
        <f t="shared" si="137"/>
        <v>W10</v>
      </c>
      <c r="D2389" s="11" t="s">
        <v>800</v>
      </c>
      <c r="E2389" s="11" t="s">
        <v>835</v>
      </c>
      <c r="F2389" s="2" t="str" cm="1">
        <f t="array" ref="F2389">INDEX(_xlfn.TEXTSPLIT(E2389,"-"),2)</f>
        <v>男装</v>
      </c>
      <c r="G2389" s="2" t="str" cm="1">
        <f t="array" ref="G2389">INDEX(_xlfn.TEXTSPLIT(E2389,"-"),3)</f>
        <v>西服</v>
      </c>
      <c r="H2389" s="12">
        <v>59586</v>
      </c>
      <c r="I2389" s="12">
        <v>14793809.98</v>
      </c>
      <c r="J2389" s="13">
        <v>0.0471</v>
      </c>
      <c r="K2389" s="13">
        <v>-0.0303</v>
      </c>
    </row>
    <row r="2390" ht="14.5" spans="1:11">
      <c r="A2390" s="3" t="str">
        <f t="shared" si="135"/>
        <v>2026年</v>
      </c>
      <c r="B2390" s="3" t="str">
        <f t="shared" si="136"/>
        <v>3月</v>
      </c>
      <c r="C2390" s="4" t="str">
        <f t="shared" si="137"/>
        <v>W10</v>
      </c>
      <c r="D2390" s="11" t="s">
        <v>800</v>
      </c>
      <c r="E2390" s="11" t="s">
        <v>836</v>
      </c>
      <c r="F2390" s="2" t="str" cm="1">
        <f t="array" ref="F2390">INDEX(_xlfn.TEXTSPLIT(E2390,"-"),2)</f>
        <v>男装</v>
      </c>
      <c r="G2390" s="2" t="str" cm="1">
        <f t="array" ref="G2390">INDEX(_xlfn.TEXTSPLIT(E2390,"-"),3)</f>
        <v>连体衣/裤</v>
      </c>
      <c r="H2390" s="12">
        <v>263</v>
      </c>
      <c r="I2390" s="12">
        <v>6486.18</v>
      </c>
      <c r="J2390" s="11" t="s">
        <v>713</v>
      </c>
      <c r="K2390" s="13">
        <v>0.379</v>
      </c>
    </row>
    <row r="2391" ht="14.5" spans="1:11">
      <c r="A2391" s="3" t="str">
        <f t="shared" si="135"/>
        <v>2026年</v>
      </c>
      <c r="B2391" s="3" t="str">
        <f t="shared" si="136"/>
        <v>3月</v>
      </c>
      <c r="C2391" s="4" t="str">
        <f t="shared" si="137"/>
        <v>W10</v>
      </c>
      <c r="D2391" s="11" t="s">
        <v>800</v>
      </c>
      <c r="E2391" s="11" t="s">
        <v>837</v>
      </c>
      <c r="F2391" s="2" t="str" cm="1">
        <f t="array" ref="F2391">INDEX(_xlfn.TEXTSPLIT(E2391,"-"),2)</f>
        <v>男装</v>
      </c>
      <c r="G2391" s="2" t="str" cm="1">
        <f t="array" ref="G2391">INDEX(_xlfn.TEXTSPLIT(E2391,"-"),3)</f>
        <v>速干/三防T恤</v>
      </c>
      <c r="H2391" s="12">
        <v>1889</v>
      </c>
      <c r="I2391" s="12">
        <v>260709.29</v>
      </c>
      <c r="J2391" s="13">
        <v>0.0008</v>
      </c>
      <c r="K2391" s="13">
        <v>-0.0173</v>
      </c>
    </row>
    <row r="2392" ht="14.5" spans="1:11">
      <c r="A2392" s="3" t="str">
        <f t="shared" si="135"/>
        <v>2026年</v>
      </c>
      <c r="B2392" s="3" t="str">
        <f t="shared" si="136"/>
        <v>3月</v>
      </c>
      <c r="C2392" s="4" t="str">
        <f t="shared" si="137"/>
        <v>W10</v>
      </c>
      <c r="D2392" s="11" t="s">
        <v>800</v>
      </c>
      <c r="E2392" s="11" t="s">
        <v>838</v>
      </c>
      <c r="F2392" s="2" t="str" cm="1">
        <f t="array" ref="F2392">INDEX(_xlfn.TEXTSPLIT(E2392,"-"),2)</f>
        <v>男装</v>
      </c>
      <c r="G2392" s="2" t="str" cm="1">
        <f t="array" ref="G2392">INDEX(_xlfn.TEXTSPLIT(E2392,"-"),3)</f>
        <v>针织衫/毛衣</v>
      </c>
      <c r="H2392" s="12">
        <v>81222</v>
      </c>
      <c r="I2392" s="12">
        <v>10104368.75</v>
      </c>
      <c r="J2392" s="13">
        <v>0.0321</v>
      </c>
      <c r="K2392" s="13">
        <v>-0.1327</v>
      </c>
    </row>
    <row r="2393" ht="14.5" spans="1:11">
      <c r="A2393" s="3" t="str">
        <f t="shared" si="135"/>
        <v>2026年</v>
      </c>
      <c r="B2393" s="3" t="str">
        <f t="shared" si="136"/>
        <v>3月</v>
      </c>
      <c r="C2393" s="4" t="str">
        <f t="shared" si="137"/>
        <v>W10</v>
      </c>
      <c r="D2393" s="11" t="s">
        <v>800</v>
      </c>
      <c r="E2393" s="11" t="s">
        <v>839</v>
      </c>
      <c r="F2393" s="2" t="str" cm="1">
        <f t="array" ref="F2393">INDEX(_xlfn.TEXTSPLIT(E2393,"-"),2)</f>
        <v>男装</v>
      </c>
      <c r="G2393" s="2" t="str" cm="1">
        <f t="array" ref="G2393">INDEX(_xlfn.TEXTSPLIT(E2393,"-"),3)</f>
        <v>防晒服</v>
      </c>
      <c r="H2393" s="12">
        <v>4667</v>
      </c>
      <c r="I2393" s="12">
        <v>519003.06</v>
      </c>
      <c r="J2393" s="13">
        <v>0.0017</v>
      </c>
      <c r="K2393" s="13">
        <v>0.0215</v>
      </c>
    </row>
    <row r="2394" ht="14.5" spans="1:11">
      <c r="A2394" s="3" t="str">
        <f t="shared" si="135"/>
        <v>2026年</v>
      </c>
      <c r="B2394" s="3" t="str">
        <f t="shared" si="136"/>
        <v>3月</v>
      </c>
      <c r="C2394" s="4" t="str">
        <f t="shared" si="137"/>
        <v>W10</v>
      </c>
      <c r="D2394" s="11" t="s">
        <v>800</v>
      </c>
      <c r="E2394" s="11" t="s">
        <v>840</v>
      </c>
      <c r="F2394" s="2" t="str" cm="1">
        <f t="array" ref="F2394">INDEX(_xlfn.TEXTSPLIT(E2394,"-"),2)</f>
        <v>男装</v>
      </c>
      <c r="G2394" s="2" t="str" cm="1">
        <f t="array" ref="G2394">INDEX(_xlfn.TEXTSPLIT(E2394,"-"),3)</f>
        <v>风衣</v>
      </c>
      <c r="H2394" s="12">
        <v>11406</v>
      </c>
      <c r="I2394" s="12">
        <v>2415922.54</v>
      </c>
      <c r="J2394" s="13">
        <v>0.0077</v>
      </c>
      <c r="K2394" s="13">
        <v>0.039</v>
      </c>
    </row>
    <row r="2395" ht="14.5" spans="1:11">
      <c r="A2395" s="3" t="str">
        <f t="shared" si="135"/>
        <v>2026年</v>
      </c>
      <c r="B2395" s="3" t="str">
        <f t="shared" si="136"/>
        <v>3月</v>
      </c>
      <c r="C2395" s="4" t="str">
        <f t="shared" si="137"/>
        <v>W10</v>
      </c>
      <c r="D2395" s="11" t="s">
        <v>800</v>
      </c>
      <c r="E2395" s="11" t="s">
        <v>841</v>
      </c>
      <c r="F2395" s="2" t="str" cm="1">
        <f t="array" ref="F2395">INDEX(_xlfn.TEXTSPLIT(E2395,"-"),2)</f>
        <v>男装</v>
      </c>
      <c r="G2395" s="2" t="str" cm="1">
        <f t="array" ref="G2395">INDEX(_xlfn.TEXTSPLIT(E2395,"-"),3)</f>
        <v>马甲</v>
      </c>
      <c r="H2395" s="12">
        <v>24030</v>
      </c>
      <c r="I2395" s="12">
        <v>2497839.24</v>
      </c>
      <c r="J2395" s="13">
        <v>0.0079</v>
      </c>
      <c r="K2395" s="13">
        <v>-0.0086</v>
      </c>
    </row>
    <row r="2396" ht="14.5" spans="1:11">
      <c r="A2396" s="3" t="str">
        <f t="shared" si="135"/>
        <v>2026年</v>
      </c>
      <c r="B2396" s="3" t="str">
        <f t="shared" si="136"/>
        <v>3月</v>
      </c>
      <c r="C2396" s="4" t="str">
        <f t="shared" si="137"/>
        <v>W10</v>
      </c>
      <c r="D2396" s="11" t="s">
        <v>801</v>
      </c>
      <c r="E2396" s="11" t="s">
        <v>804</v>
      </c>
      <c r="F2396" s="2" t="str" cm="1">
        <f t="array" ref="F2396">INDEX(_xlfn.TEXTSPLIT(E2396,"-"),2)</f>
        <v>男装</v>
      </c>
      <c r="G2396" s="2" t="str" cm="1">
        <f t="array" ref="G2396">INDEX(_xlfn.TEXTSPLIT(E2396,"-"),3)</f>
        <v>Polo衫</v>
      </c>
      <c r="H2396" s="12">
        <v>76104</v>
      </c>
      <c r="I2396" s="12">
        <v>7894767.51</v>
      </c>
      <c r="J2396" s="13">
        <v>0.025</v>
      </c>
      <c r="K2396" s="13">
        <v>0.017</v>
      </c>
    </row>
    <row r="2397" ht="14.5" spans="1:11">
      <c r="A2397" s="3" t="str">
        <f t="shared" si="135"/>
        <v>2026年</v>
      </c>
      <c r="B2397" s="3" t="str">
        <f t="shared" si="136"/>
        <v>3月</v>
      </c>
      <c r="C2397" s="4" t="str">
        <f t="shared" si="137"/>
        <v>W10</v>
      </c>
      <c r="D2397" s="11" t="s">
        <v>801</v>
      </c>
      <c r="E2397" s="11" t="s">
        <v>805</v>
      </c>
      <c r="F2397" s="2" t="str" cm="1">
        <f t="array" ref="F2397">INDEX(_xlfn.TEXTSPLIT(E2397,"-"),2)</f>
        <v>男装</v>
      </c>
      <c r="G2397" s="2" t="str" cm="1">
        <f t="array" ref="G2397">INDEX(_xlfn.TEXTSPLIT(E2397,"-"),3)</f>
        <v>T恤</v>
      </c>
      <c r="H2397" s="12">
        <v>642159</v>
      </c>
      <c r="I2397" s="12">
        <v>45244080.37</v>
      </c>
      <c r="J2397" s="13">
        <v>0.1433</v>
      </c>
      <c r="K2397" s="13">
        <v>0.0943</v>
      </c>
    </row>
    <row r="2398" ht="14.5" spans="1:11">
      <c r="A2398" s="3" t="str">
        <f t="shared" si="135"/>
        <v>2026年</v>
      </c>
      <c r="B2398" s="3" t="str">
        <f t="shared" si="136"/>
        <v>3月</v>
      </c>
      <c r="C2398" s="4" t="str">
        <f t="shared" si="137"/>
        <v>W10</v>
      </c>
      <c r="D2398" s="11" t="s">
        <v>801</v>
      </c>
      <c r="E2398" s="11" t="s">
        <v>806</v>
      </c>
      <c r="F2398" s="2" t="str" cm="1">
        <f t="array" ref="F2398">INDEX(_xlfn.TEXTSPLIT(E2398,"-"),2)</f>
        <v>男装</v>
      </c>
      <c r="G2398" s="2" t="str" cm="1">
        <f t="array" ref="G2398">INDEX(_xlfn.TEXTSPLIT(E2398,"-"),3)</f>
        <v>中老年男装</v>
      </c>
      <c r="H2398" s="12">
        <v>25620</v>
      </c>
      <c r="I2398" s="12">
        <v>2085960.28</v>
      </c>
      <c r="J2398" s="13">
        <v>0.0066</v>
      </c>
      <c r="K2398" s="13">
        <v>0.1012</v>
      </c>
    </row>
    <row r="2399" ht="14.5" spans="1:11">
      <c r="A2399" s="3" t="str">
        <f t="shared" si="135"/>
        <v>2026年</v>
      </c>
      <c r="B2399" s="3" t="str">
        <f t="shared" si="136"/>
        <v>3月</v>
      </c>
      <c r="C2399" s="4" t="str">
        <f t="shared" si="137"/>
        <v>W10</v>
      </c>
      <c r="D2399" s="11" t="s">
        <v>801</v>
      </c>
      <c r="E2399" s="11" t="s">
        <v>807</v>
      </c>
      <c r="F2399" s="2" t="str" cm="1">
        <f t="array" ref="F2399">INDEX(_xlfn.TEXTSPLIT(E2399,"-"),2)</f>
        <v>男装</v>
      </c>
      <c r="G2399" s="2" t="str" cm="1">
        <f t="array" ref="G2399">INDEX(_xlfn.TEXTSPLIT(E2399,"-"),3)</f>
        <v>休闲裤</v>
      </c>
      <c r="H2399" s="12">
        <v>398277</v>
      </c>
      <c r="I2399" s="12">
        <v>39661192.61</v>
      </c>
      <c r="J2399" s="13">
        <v>0.1256</v>
      </c>
      <c r="K2399" s="13">
        <v>0.0204</v>
      </c>
    </row>
    <row r="2400" ht="14.5" spans="1:11">
      <c r="A2400" s="3" t="str">
        <f t="shared" si="135"/>
        <v>2026年</v>
      </c>
      <c r="B2400" s="3" t="str">
        <f t="shared" si="136"/>
        <v>3月</v>
      </c>
      <c r="C2400" s="4" t="str">
        <f t="shared" si="137"/>
        <v>W10</v>
      </c>
      <c r="D2400" s="11" t="s">
        <v>801</v>
      </c>
      <c r="E2400" s="11" t="s">
        <v>808</v>
      </c>
      <c r="F2400" s="2" t="str" cm="1">
        <f t="array" ref="F2400">INDEX(_xlfn.TEXTSPLIT(E2400,"-"),2)</f>
        <v>男装</v>
      </c>
      <c r="G2400" s="2" t="str" cm="1">
        <f t="array" ref="G2400">INDEX(_xlfn.TEXTSPLIT(E2400,"-"),3)</f>
        <v>卫衣</v>
      </c>
      <c r="H2400" s="12">
        <v>201404</v>
      </c>
      <c r="I2400" s="12">
        <v>18058232.57</v>
      </c>
      <c r="J2400" s="13">
        <v>0.0572</v>
      </c>
      <c r="K2400" s="13">
        <v>-0.0143</v>
      </c>
    </row>
    <row r="2401" ht="14.5" spans="1:11">
      <c r="A2401" s="3" t="str">
        <f t="shared" si="135"/>
        <v>2026年</v>
      </c>
      <c r="B2401" s="3" t="str">
        <f t="shared" si="136"/>
        <v>3月</v>
      </c>
      <c r="C2401" s="4" t="str">
        <f t="shared" si="137"/>
        <v>W10</v>
      </c>
      <c r="D2401" s="11" t="s">
        <v>801</v>
      </c>
      <c r="E2401" s="11" t="s">
        <v>809</v>
      </c>
      <c r="F2401" s="2" t="str" cm="1">
        <f t="array" ref="F2401">INDEX(_xlfn.TEXTSPLIT(E2401,"-"),2)</f>
        <v>男装</v>
      </c>
      <c r="G2401" s="2" t="str" cm="1">
        <f t="array" ref="G2401">INDEX(_xlfn.TEXTSPLIT(E2401,"-"),3)</f>
        <v>卫裤</v>
      </c>
      <c r="H2401" s="12">
        <v>58655</v>
      </c>
      <c r="I2401" s="12">
        <v>5040034.7</v>
      </c>
      <c r="J2401" s="13">
        <v>0.016</v>
      </c>
      <c r="K2401" s="13">
        <v>0.0499</v>
      </c>
    </row>
    <row r="2402" ht="14.5" spans="1:11">
      <c r="A2402" s="3" t="str">
        <f t="shared" si="135"/>
        <v>2026年</v>
      </c>
      <c r="B2402" s="3" t="str">
        <f t="shared" si="136"/>
        <v>3月</v>
      </c>
      <c r="C2402" s="4" t="str">
        <f t="shared" si="137"/>
        <v>W10</v>
      </c>
      <c r="D2402" s="11" t="s">
        <v>801</v>
      </c>
      <c r="E2402" s="11" t="s">
        <v>810</v>
      </c>
      <c r="F2402" s="2" t="str" cm="1">
        <f t="array" ref="F2402">INDEX(_xlfn.TEXTSPLIT(E2402,"-"),2)</f>
        <v>男装</v>
      </c>
      <c r="G2402" s="2" t="str" cm="1">
        <f t="array" ref="G2402">INDEX(_xlfn.TEXTSPLIT(E2402,"-"),3)</f>
        <v>大码男装</v>
      </c>
      <c r="H2402" s="12">
        <v>33499</v>
      </c>
      <c r="I2402" s="12">
        <v>2212644.76</v>
      </c>
      <c r="J2402" s="13">
        <v>0.007</v>
      </c>
      <c r="K2402" s="13">
        <v>0.1298</v>
      </c>
    </row>
    <row r="2403" ht="14.5" spans="1:11">
      <c r="A2403" s="3" t="str">
        <f t="shared" si="135"/>
        <v>2026年</v>
      </c>
      <c r="B2403" s="3" t="str">
        <f t="shared" si="136"/>
        <v>3月</v>
      </c>
      <c r="C2403" s="4" t="str">
        <f t="shared" si="137"/>
        <v>W10</v>
      </c>
      <c r="D2403" s="11" t="s">
        <v>801</v>
      </c>
      <c r="E2403" s="11" t="s">
        <v>811</v>
      </c>
      <c r="F2403" s="2" t="str" cm="1">
        <f t="array" ref="F2403">INDEX(_xlfn.TEXTSPLIT(E2403,"-"),2)</f>
        <v>男装</v>
      </c>
      <c r="G2403" s="2" t="str" cm="1">
        <f t="array" ref="G2403">INDEX(_xlfn.TEXTSPLIT(E2403,"-"),3)</f>
        <v>夹克</v>
      </c>
      <c r="H2403" s="12">
        <v>427237</v>
      </c>
      <c r="I2403" s="12">
        <v>69401810.95</v>
      </c>
      <c r="J2403" s="13">
        <v>0.2198</v>
      </c>
      <c r="K2403" s="13">
        <v>-0.0668</v>
      </c>
    </row>
    <row r="2404" ht="14.5" spans="1:11">
      <c r="A2404" s="3" t="str">
        <f t="shared" si="135"/>
        <v>2026年</v>
      </c>
      <c r="B2404" s="3" t="str">
        <f t="shared" si="136"/>
        <v>3月</v>
      </c>
      <c r="C2404" s="4" t="str">
        <f t="shared" si="137"/>
        <v>W10</v>
      </c>
      <c r="D2404" s="11" t="s">
        <v>801</v>
      </c>
      <c r="E2404" s="11" t="s">
        <v>812</v>
      </c>
      <c r="F2404" s="2" t="str" cm="1">
        <f t="array" ref="F2404">INDEX(_xlfn.TEXTSPLIT(E2404,"-"),2)</f>
        <v>男装</v>
      </c>
      <c r="G2404" s="2" t="str" cm="1">
        <f t="array" ref="G2404">INDEX(_xlfn.TEXTSPLIT(E2404,"-"),3)</f>
        <v>套装</v>
      </c>
      <c r="H2404" s="12">
        <v>70549</v>
      </c>
      <c r="I2404" s="12">
        <v>9443569.17</v>
      </c>
      <c r="J2404" s="13">
        <v>0.0299</v>
      </c>
      <c r="K2404" s="13">
        <v>-0.0324</v>
      </c>
    </row>
    <row r="2405" ht="14.5" spans="1:11">
      <c r="A2405" s="3" t="str">
        <f t="shared" si="135"/>
        <v>2026年</v>
      </c>
      <c r="B2405" s="3" t="str">
        <f t="shared" si="136"/>
        <v>3月</v>
      </c>
      <c r="C2405" s="4" t="str">
        <f t="shared" si="137"/>
        <v>W10</v>
      </c>
      <c r="D2405" s="11" t="s">
        <v>801</v>
      </c>
      <c r="E2405" s="11" t="s">
        <v>813</v>
      </c>
      <c r="F2405" s="2" t="str" cm="1">
        <f t="array" ref="F2405">INDEX(_xlfn.TEXTSPLIT(E2405,"-"),2)</f>
        <v>男装</v>
      </c>
      <c r="G2405" s="2" t="str" cm="1">
        <f t="array" ref="G2405">INDEX(_xlfn.TEXTSPLIT(E2405,"-"),3)</f>
        <v>学生校服</v>
      </c>
      <c r="H2405" s="12">
        <v>171</v>
      </c>
      <c r="I2405" s="12">
        <v>9489.67</v>
      </c>
      <c r="J2405" s="11" t="s">
        <v>713</v>
      </c>
      <c r="K2405" s="13">
        <v>-0.2422</v>
      </c>
    </row>
    <row r="2406" ht="14.5" spans="1:11">
      <c r="A2406" s="3" t="str">
        <f t="shared" si="135"/>
        <v>2026年</v>
      </c>
      <c r="B2406" s="3" t="str">
        <f t="shared" si="136"/>
        <v>3月</v>
      </c>
      <c r="C2406" s="4" t="str">
        <f t="shared" si="137"/>
        <v>W10</v>
      </c>
      <c r="D2406" s="11" t="s">
        <v>801</v>
      </c>
      <c r="E2406" s="11" t="s">
        <v>814</v>
      </c>
      <c r="F2406" s="2" t="str" cm="1">
        <f t="array" ref="F2406">INDEX(_xlfn.TEXTSPLIT(E2406,"-"),2)</f>
        <v>男装</v>
      </c>
      <c r="G2406" s="2" t="str" cm="1">
        <f t="array" ref="G2406">INDEX(_xlfn.TEXTSPLIT(E2406,"-"),3)</f>
        <v>打底衫</v>
      </c>
      <c r="H2406" s="12">
        <v>4348</v>
      </c>
      <c r="I2406" s="12">
        <v>289490.97</v>
      </c>
      <c r="J2406" s="13">
        <v>0.0009</v>
      </c>
      <c r="K2406" s="13">
        <v>-0.1449</v>
      </c>
    </row>
    <row r="2407" ht="14.5" spans="1:11">
      <c r="A2407" s="3" t="str">
        <f t="shared" si="135"/>
        <v>2026年</v>
      </c>
      <c r="B2407" s="3" t="str">
        <f t="shared" si="136"/>
        <v>3月</v>
      </c>
      <c r="C2407" s="4" t="str">
        <f t="shared" si="137"/>
        <v>W10</v>
      </c>
      <c r="D2407" s="11" t="s">
        <v>801</v>
      </c>
      <c r="E2407" s="11" t="s">
        <v>815</v>
      </c>
      <c r="F2407" s="2" t="str" cm="1">
        <f t="array" ref="F2407">INDEX(_xlfn.TEXTSPLIT(E2407,"-"),2)</f>
        <v>男装</v>
      </c>
      <c r="G2407" s="2" t="str" cm="1">
        <f t="array" ref="G2407">INDEX(_xlfn.TEXTSPLIT(E2407,"-"),3)</f>
        <v>新中式男装</v>
      </c>
      <c r="H2407" s="12">
        <v>266</v>
      </c>
      <c r="I2407" s="12">
        <v>74441.72</v>
      </c>
      <c r="J2407" s="13">
        <v>0.0002</v>
      </c>
      <c r="K2407" s="13">
        <v>-0.0847</v>
      </c>
    </row>
    <row r="2408" ht="14.5" spans="1:11">
      <c r="A2408" s="3" t="str">
        <f t="shared" si="135"/>
        <v>2026年</v>
      </c>
      <c r="B2408" s="3" t="str">
        <f t="shared" si="136"/>
        <v>3月</v>
      </c>
      <c r="C2408" s="4" t="str">
        <f t="shared" si="137"/>
        <v>W10</v>
      </c>
      <c r="D2408" s="11" t="s">
        <v>801</v>
      </c>
      <c r="E2408" s="11" t="s">
        <v>816</v>
      </c>
      <c r="F2408" s="2" t="str" cm="1">
        <f t="array" ref="F2408">INDEX(_xlfn.TEXTSPLIT(E2408,"-"),2)</f>
        <v>男装</v>
      </c>
      <c r="G2408" s="2" t="str" cm="1">
        <f t="array" ref="G2408">INDEX(_xlfn.TEXTSPLIT(E2408,"-"),3)</f>
        <v>棉衣</v>
      </c>
      <c r="H2408" s="12">
        <v>41198</v>
      </c>
      <c r="I2408" s="12">
        <v>4418392.99</v>
      </c>
      <c r="J2408" s="13">
        <v>0.014</v>
      </c>
      <c r="K2408" s="13">
        <v>-0.063</v>
      </c>
    </row>
    <row r="2409" ht="14.5" spans="1:11">
      <c r="A2409" s="3" t="str">
        <f t="shared" si="135"/>
        <v>2026年</v>
      </c>
      <c r="B2409" s="3" t="str">
        <f t="shared" si="136"/>
        <v>3月</v>
      </c>
      <c r="C2409" s="4" t="str">
        <f t="shared" si="137"/>
        <v>W10</v>
      </c>
      <c r="D2409" s="11" t="s">
        <v>801</v>
      </c>
      <c r="E2409" s="11" t="s">
        <v>817</v>
      </c>
      <c r="F2409" s="2" t="str" cm="1">
        <f t="array" ref="F2409">INDEX(_xlfn.TEXTSPLIT(E2409,"-"),2)</f>
        <v>男装</v>
      </c>
      <c r="G2409" s="2" t="str" cm="1">
        <f t="array" ref="G2409">INDEX(_xlfn.TEXTSPLIT(E2409,"-"),3)</f>
        <v>棉裤</v>
      </c>
      <c r="H2409" s="12">
        <v>2215</v>
      </c>
      <c r="I2409" s="12">
        <v>107127.76</v>
      </c>
      <c r="J2409" s="13">
        <v>0.0003</v>
      </c>
      <c r="K2409" s="13">
        <v>-0.205</v>
      </c>
    </row>
    <row r="2410" ht="14.5" spans="1:11">
      <c r="A2410" s="3" t="str">
        <f t="shared" si="135"/>
        <v>2026年</v>
      </c>
      <c r="B2410" s="3" t="str">
        <f t="shared" si="136"/>
        <v>3月</v>
      </c>
      <c r="C2410" s="4" t="str">
        <f t="shared" si="137"/>
        <v>W10</v>
      </c>
      <c r="D2410" s="11" t="s">
        <v>801</v>
      </c>
      <c r="E2410" s="11" t="s">
        <v>818</v>
      </c>
      <c r="F2410" s="2" t="str" cm="1">
        <f t="array" ref="F2410">INDEX(_xlfn.TEXTSPLIT(E2410,"-"),2)</f>
        <v>男装</v>
      </c>
      <c r="G2410" s="2" t="str" cm="1">
        <f t="array" ref="G2410">INDEX(_xlfn.TEXTSPLIT(E2410,"-"),3)</f>
        <v>毛呢大衣</v>
      </c>
      <c r="H2410" s="12">
        <v>6840</v>
      </c>
      <c r="I2410" s="12">
        <v>1860451.22</v>
      </c>
      <c r="J2410" s="13">
        <v>0.0059</v>
      </c>
      <c r="K2410" s="13">
        <v>0.1549</v>
      </c>
    </row>
    <row r="2411" ht="14.5" spans="1:11">
      <c r="A2411" s="3" t="str">
        <f t="shared" si="135"/>
        <v>2026年</v>
      </c>
      <c r="B2411" s="3" t="str">
        <f t="shared" si="136"/>
        <v>3月</v>
      </c>
      <c r="C2411" s="4" t="str">
        <f t="shared" si="137"/>
        <v>W10</v>
      </c>
      <c r="D2411" s="11" t="s">
        <v>801</v>
      </c>
      <c r="E2411" s="11" t="s">
        <v>819</v>
      </c>
      <c r="F2411" s="2" t="str" cm="1">
        <f t="array" ref="F2411">INDEX(_xlfn.TEXTSPLIT(E2411,"-"),2)</f>
        <v>男装</v>
      </c>
      <c r="G2411" s="2" t="str" cm="1">
        <f t="array" ref="G2411">INDEX(_xlfn.TEXTSPLIT(E2411,"-"),3)</f>
        <v>民族服装</v>
      </c>
      <c r="H2411" s="12">
        <v>3686</v>
      </c>
      <c r="I2411" s="12">
        <v>726663.26</v>
      </c>
      <c r="J2411" s="13">
        <v>0.0023</v>
      </c>
      <c r="K2411" s="13">
        <v>0.0506</v>
      </c>
    </row>
    <row r="2412" ht="14.5" spans="1:11">
      <c r="A2412" s="3" t="str">
        <f t="shared" si="135"/>
        <v>2026年</v>
      </c>
      <c r="B2412" s="3" t="str">
        <f t="shared" si="136"/>
        <v>3月</v>
      </c>
      <c r="C2412" s="4" t="str">
        <f t="shared" si="137"/>
        <v>W10</v>
      </c>
      <c r="D2412" s="11" t="s">
        <v>801</v>
      </c>
      <c r="E2412" s="11" t="s">
        <v>820</v>
      </c>
      <c r="F2412" s="2" t="str" cm="1">
        <f t="array" ref="F2412">INDEX(_xlfn.TEXTSPLIT(E2412,"-"),2)</f>
        <v>男装</v>
      </c>
      <c r="G2412" s="2" t="str" cm="1">
        <f t="array" ref="G2412">INDEX(_xlfn.TEXTSPLIT(E2412,"-"),3)</f>
        <v>派克服</v>
      </c>
      <c r="H2412" s="12">
        <v>700</v>
      </c>
      <c r="I2412" s="12">
        <v>139220.34</v>
      </c>
      <c r="J2412" s="13">
        <v>0.0004</v>
      </c>
      <c r="K2412" s="13">
        <v>-0.3877</v>
      </c>
    </row>
    <row r="2413" ht="14.5" spans="1:11">
      <c r="A2413" s="3" t="str">
        <f t="shared" si="135"/>
        <v>2026年</v>
      </c>
      <c r="B2413" s="3" t="str">
        <f t="shared" si="136"/>
        <v>3月</v>
      </c>
      <c r="C2413" s="4" t="str">
        <f t="shared" si="137"/>
        <v>W10</v>
      </c>
      <c r="D2413" s="11" t="s">
        <v>801</v>
      </c>
      <c r="E2413" s="11" t="s">
        <v>821</v>
      </c>
      <c r="F2413" s="2" t="str" cm="1">
        <f t="array" ref="F2413">INDEX(_xlfn.TEXTSPLIT(E2413,"-"),2)</f>
        <v>男装</v>
      </c>
      <c r="G2413" s="2" t="str" cm="1">
        <f t="array" ref="G2413">INDEX(_xlfn.TEXTSPLIT(E2413,"-"),3)</f>
        <v>牛仔裤</v>
      </c>
      <c r="H2413" s="12">
        <v>252370</v>
      </c>
      <c r="I2413" s="12">
        <v>29293428.5</v>
      </c>
      <c r="J2413" s="13">
        <v>0.0928</v>
      </c>
      <c r="K2413" s="13">
        <v>0.0125</v>
      </c>
    </row>
    <row r="2414" ht="14.5" spans="1:11">
      <c r="A2414" s="3" t="str">
        <f t="shared" si="135"/>
        <v>2026年</v>
      </c>
      <c r="B2414" s="3" t="str">
        <f t="shared" si="136"/>
        <v>3月</v>
      </c>
      <c r="C2414" s="4" t="str">
        <f t="shared" si="137"/>
        <v>W10</v>
      </c>
      <c r="D2414" s="11" t="s">
        <v>801</v>
      </c>
      <c r="E2414" s="11" t="s">
        <v>822</v>
      </c>
      <c r="F2414" s="2" t="str" cm="1">
        <f t="array" ref="F2414">INDEX(_xlfn.TEXTSPLIT(E2414,"-"),2)</f>
        <v>男装</v>
      </c>
      <c r="G2414" s="2" t="str" cm="1">
        <f t="array" ref="G2414">INDEX(_xlfn.TEXTSPLIT(E2414,"-"),3)</f>
        <v>皮草</v>
      </c>
      <c r="H2414" s="12">
        <v>377</v>
      </c>
      <c r="I2414" s="12">
        <v>469792.7</v>
      </c>
      <c r="J2414" s="13">
        <v>0.0015</v>
      </c>
      <c r="K2414" s="13">
        <v>0.3118</v>
      </c>
    </row>
    <row r="2415" ht="14.5" spans="1:11">
      <c r="A2415" s="3" t="str">
        <f t="shared" si="135"/>
        <v>2026年</v>
      </c>
      <c r="B2415" s="3" t="str">
        <f t="shared" si="136"/>
        <v>3月</v>
      </c>
      <c r="C2415" s="4" t="str">
        <f t="shared" si="137"/>
        <v>W10</v>
      </c>
      <c r="D2415" s="11" t="s">
        <v>801</v>
      </c>
      <c r="E2415" s="11" t="s">
        <v>823</v>
      </c>
      <c r="F2415" s="2" t="str" cm="1">
        <f t="array" ref="F2415">INDEX(_xlfn.TEXTSPLIT(E2415,"-"),2)</f>
        <v>男装</v>
      </c>
      <c r="G2415" s="2" t="str" cm="1">
        <f t="array" ref="G2415">INDEX(_xlfn.TEXTSPLIT(E2415,"-"),3)</f>
        <v>皮衣</v>
      </c>
      <c r="H2415" s="12">
        <v>32162</v>
      </c>
      <c r="I2415" s="12">
        <v>11167711.42</v>
      </c>
      <c r="J2415" s="13">
        <v>0.0354</v>
      </c>
      <c r="K2415" s="13">
        <v>-0.013</v>
      </c>
    </row>
    <row r="2416" ht="14.5" spans="1:11">
      <c r="A2416" s="3" t="str">
        <f t="shared" si="135"/>
        <v>2026年</v>
      </c>
      <c r="B2416" s="3" t="str">
        <f t="shared" si="136"/>
        <v>3月</v>
      </c>
      <c r="C2416" s="4" t="str">
        <f t="shared" si="137"/>
        <v>W10</v>
      </c>
      <c r="D2416" s="11" t="s">
        <v>801</v>
      </c>
      <c r="E2416" s="11" t="s">
        <v>824</v>
      </c>
      <c r="F2416" s="2" t="str" cm="1">
        <f t="array" ref="F2416">INDEX(_xlfn.TEXTSPLIT(E2416,"-"),2)</f>
        <v>男装</v>
      </c>
      <c r="G2416" s="2" t="str" cm="1">
        <f t="array" ref="G2416">INDEX(_xlfn.TEXTSPLIT(E2416,"-"),3)</f>
        <v>皮裤</v>
      </c>
      <c r="H2416" s="12">
        <v>472</v>
      </c>
      <c r="I2416" s="12">
        <v>61452.03</v>
      </c>
      <c r="J2416" s="13">
        <v>0.0002</v>
      </c>
      <c r="K2416" s="13">
        <v>0.2319</v>
      </c>
    </row>
    <row r="2417" ht="14.5" spans="1:11">
      <c r="A2417" s="3" t="str">
        <f t="shared" si="135"/>
        <v>2026年</v>
      </c>
      <c r="B2417" s="3" t="str">
        <f t="shared" si="136"/>
        <v>3月</v>
      </c>
      <c r="C2417" s="4" t="str">
        <f t="shared" si="137"/>
        <v>W10</v>
      </c>
      <c r="D2417" s="11" t="s">
        <v>801</v>
      </c>
      <c r="E2417" s="11" t="s">
        <v>825</v>
      </c>
      <c r="F2417" s="2" t="str" cm="1">
        <f t="array" ref="F2417">INDEX(_xlfn.TEXTSPLIT(E2417,"-"),2)</f>
        <v>男装</v>
      </c>
      <c r="G2417" s="2" t="str" cm="1">
        <f t="array" ref="G2417">INDEX(_xlfn.TEXTSPLIT(E2417,"-"),3)</f>
        <v>短外套</v>
      </c>
      <c r="H2417" s="12">
        <v>40828</v>
      </c>
      <c r="I2417" s="12">
        <v>2617876.99</v>
      </c>
      <c r="J2417" s="13">
        <v>0.0083</v>
      </c>
      <c r="K2417" s="13">
        <v>0.0806</v>
      </c>
    </row>
    <row r="2418" ht="14.5" spans="1:11">
      <c r="A2418" s="3" t="str">
        <f t="shared" si="135"/>
        <v>2026年</v>
      </c>
      <c r="B2418" s="3" t="str">
        <f t="shared" si="136"/>
        <v>3月</v>
      </c>
      <c r="C2418" s="4" t="str">
        <f t="shared" si="137"/>
        <v>W10</v>
      </c>
      <c r="D2418" s="11" t="s">
        <v>801</v>
      </c>
      <c r="E2418" s="11" t="s">
        <v>826</v>
      </c>
      <c r="F2418" s="2" t="str" cm="1">
        <f t="array" ref="F2418">INDEX(_xlfn.TEXTSPLIT(E2418,"-"),2)</f>
        <v>男装</v>
      </c>
      <c r="G2418" s="2" t="str" cm="1">
        <f t="array" ref="G2418">INDEX(_xlfn.TEXTSPLIT(E2418,"-"),3)</f>
        <v>短裤</v>
      </c>
      <c r="H2418" s="12">
        <v>60271</v>
      </c>
      <c r="I2418" s="12">
        <v>2906641.96</v>
      </c>
      <c r="J2418" s="13">
        <v>0.0092</v>
      </c>
      <c r="K2418" s="13">
        <v>0.041</v>
      </c>
    </row>
    <row r="2419" ht="14.5" spans="1:11">
      <c r="A2419" s="3" t="str">
        <f t="shared" si="135"/>
        <v>2026年</v>
      </c>
      <c r="B2419" s="3" t="str">
        <f t="shared" si="136"/>
        <v>3月</v>
      </c>
      <c r="C2419" s="4" t="str">
        <f t="shared" si="137"/>
        <v>W10</v>
      </c>
      <c r="D2419" s="11" t="s">
        <v>801</v>
      </c>
      <c r="E2419" s="11" t="s">
        <v>827</v>
      </c>
      <c r="F2419" s="2" t="str" cm="1">
        <f t="array" ref="F2419">INDEX(_xlfn.TEXTSPLIT(E2419,"-"),2)</f>
        <v>男装</v>
      </c>
      <c r="G2419" s="2" t="str" cm="1">
        <f t="array" ref="G2419">INDEX(_xlfn.TEXTSPLIT(E2419,"-"),3)</f>
        <v>紧身衣</v>
      </c>
      <c r="H2419" s="12">
        <v>273</v>
      </c>
      <c r="I2419" s="12">
        <v>7989.08</v>
      </c>
      <c r="J2419" s="11" t="s">
        <v>713</v>
      </c>
      <c r="K2419" s="13">
        <v>-0.2123</v>
      </c>
    </row>
    <row r="2420" ht="14.5" spans="1:11">
      <c r="A2420" s="3" t="str">
        <f t="shared" si="135"/>
        <v>2026年</v>
      </c>
      <c r="B2420" s="3" t="str">
        <f t="shared" si="136"/>
        <v>3月</v>
      </c>
      <c r="C2420" s="4" t="str">
        <f t="shared" si="137"/>
        <v>W10</v>
      </c>
      <c r="D2420" s="11" t="s">
        <v>801</v>
      </c>
      <c r="E2420" s="11" t="s">
        <v>828</v>
      </c>
      <c r="F2420" s="2" t="str" cm="1">
        <f t="array" ref="F2420">INDEX(_xlfn.TEXTSPLIT(E2420,"-"),2)</f>
        <v>男装</v>
      </c>
      <c r="G2420" s="2" t="str" cm="1">
        <f t="array" ref="G2420">INDEX(_xlfn.TEXTSPLIT(E2420,"-"),3)</f>
        <v>羊毛衫</v>
      </c>
      <c r="H2420" s="12">
        <v>18351</v>
      </c>
      <c r="I2420" s="12">
        <v>2698990.91</v>
      </c>
      <c r="J2420" s="13">
        <v>0.0085</v>
      </c>
      <c r="K2420" s="13">
        <v>0.0051</v>
      </c>
    </row>
    <row r="2421" ht="14.5" spans="1:11">
      <c r="A2421" s="3" t="str">
        <f t="shared" si="135"/>
        <v>2026年</v>
      </c>
      <c r="B2421" s="3" t="str">
        <f t="shared" si="136"/>
        <v>3月</v>
      </c>
      <c r="C2421" s="4" t="str">
        <f t="shared" si="137"/>
        <v>W10</v>
      </c>
      <c r="D2421" s="11" t="s">
        <v>801</v>
      </c>
      <c r="E2421" s="11" t="s">
        <v>829</v>
      </c>
      <c r="F2421" s="2" t="str" cm="1">
        <f t="array" ref="F2421">INDEX(_xlfn.TEXTSPLIT(E2421,"-"),2)</f>
        <v>男装</v>
      </c>
      <c r="G2421" s="2" t="str" cm="1">
        <f t="array" ref="G2421">INDEX(_xlfn.TEXTSPLIT(E2421,"-"),3)</f>
        <v>羊绒衫</v>
      </c>
      <c r="H2421" s="12">
        <v>3031</v>
      </c>
      <c r="I2421" s="12">
        <v>755998.53</v>
      </c>
      <c r="J2421" s="13">
        <v>0.0024</v>
      </c>
      <c r="K2421" s="13">
        <v>0.0053</v>
      </c>
    </row>
    <row r="2422" ht="14.5" spans="1:11">
      <c r="A2422" s="3" t="str">
        <f t="shared" si="135"/>
        <v>2026年</v>
      </c>
      <c r="B2422" s="3" t="str">
        <f t="shared" si="136"/>
        <v>3月</v>
      </c>
      <c r="C2422" s="4" t="str">
        <f t="shared" si="137"/>
        <v>W10</v>
      </c>
      <c r="D2422" s="11" t="s">
        <v>801</v>
      </c>
      <c r="E2422" s="11" t="s">
        <v>830</v>
      </c>
      <c r="F2422" s="2" t="str" cm="1">
        <f t="array" ref="F2422">INDEX(_xlfn.TEXTSPLIT(E2422,"-"),2)</f>
        <v>男装</v>
      </c>
      <c r="G2422" s="2" t="str" cm="1">
        <f t="array" ref="G2422">INDEX(_xlfn.TEXTSPLIT(E2422,"-"),3)</f>
        <v>羽绒服</v>
      </c>
      <c r="H2422" s="12">
        <v>48756</v>
      </c>
      <c r="I2422" s="12">
        <v>11952554.2</v>
      </c>
      <c r="J2422" s="13">
        <v>0.0379</v>
      </c>
      <c r="K2422" s="13">
        <v>-0.0877</v>
      </c>
    </row>
    <row r="2423" ht="14.5" spans="1:11">
      <c r="A2423" s="3" t="str">
        <f t="shared" si="135"/>
        <v>2026年</v>
      </c>
      <c r="B2423" s="3" t="str">
        <f t="shared" si="136"/>
        <v>3月</v>
      </c>
      <c r="C2423" s="4" t="str">
        <f t="shared" si="137"/>
        <v>W10</v>
      </c>
      <c r="D2423" s="11" t="s">
        <v>801</v>
      </c>
      <c r="E2423" s="11" t="s">
        <v>831</v>
      </c>
      <c r="F2423" s="2" t="str" cm="1">
        <f t="array" ref="F2423">INDEX(_xlfn.TEXTSPLIT(E2423,"-"),2)</f>
        <v>男装</v>
      </c>
      <c r="G2423" s="2" t="str" cm="1">
        <f t="array" ref="G2423">INDEX(_xlfn.TEXTSPLIT(E2423,"-"),3)</f>
        <v>羽绒裤</v>
      </c>
      <c r="H2423" s="12">
        <v>350</v>
      </c>
      <c r="I2423" s="12">
        <v>45095.53</v>
      </c>
      <c r="J2423" s="13">
        <v>0.0001</v>
      </c>
      <c r="K2423" s="13">
        <v>0.1117</v>
      </c>
    </row>
    <row r="2424" ht="14.5" spans="1:11">
      <c r="A2424" s="3" t="str">
        <f t="shared" si="135"/>
        <v>2026年</v>
      </c>
      <c r="B2424" s="3" t="str">
        <f t="shared" si="136"/>
        <v>3月</v>
      </c>
      <c r="C2424" s="4" t="str">
        <f t="shared" si="137"/>
        <v>W10</v>
      </c>
      <c r="D2424" s="11" t="s">
        <v>801</v>
      </c>
      <c r="E2424" s="11" t="s">
        <v>832</v>
      </c>
      <c r="F2424" s="2" t="str" cm="1">
        <f t="array" ref="F2424">INDEX(_xlfn.TEXTSPLIT(E2424,"-"),2)</f>
        <v>男装</v>
      </c>
      <c r="G2424" s="2" t="str" cm="1">
        <f t="array" ref="G2424">INDEX(_xlfn.TEXTSPLIT(E2424,"-"),3)</f>
        <v>羽绒马甲</v>
      </c>
      <c r="H2424" s="12">
        <v>1927</v>
      </c>
      <c r="I2424" s="12">
        <v>317533.55</v>
      </c>
      <c r="J2424" s="13">
        <v>0.001</v>
      </c>
      <c r="K2424" s="14">
        <v>-0.22</v>
      </c>
    </row>
    <row r="2425" ht="14.5" spans="1:11">
      <c r="A2425" s="3" t="str">
        <f t="shared" si="135"/>
        <v>2026年</v>
      </c>
      <c r="B2425" s="3" t="str">
        <f t="shared" si="136"/>
        <v>3月</v>
      </c>
      <c r="C2425" s="4" t="str">
        <f t="shared" si="137"/>
        <v>W10</v>
      </c>
      <c r="D2425" s="11" t="s">
        <v>801</v>
      </c>
      <c r="E2425" s="11" t="s">
        <v>833</v>
      </c>
      <c r="F2425" s="2" t="str" cm="1">
        <f t="array" ref="F2425">INDEX(_xlfn.TEXTSPLIT(E2425,"-"),2)</f>
        <v>男装</v>
      </c>
      <c r="G2425" s="2" t="str" cm="1">
        <f t="array" ref="G2425">INDEX(_xlfn.TEXTSPLIT(E2425,"-"),3)</f>
        <v>背心</v>
      </c>
      <c r="H2425" s="12">
        <v>31537</v>
      </c>
      <c r="I2425" s="12">
        <v>1671267.3</v>
      </c>
      <c r="J2425" s="13">
        <v>0.0053</v>
      </c>
      <c r="K2425" s="13">
        <v>0.0076</v>
      </c>
    </row>
    <row r="2426" ht="14.5" spans="1:11">
      <c r="A2426" s="3" t="str">
        <f t="shared" si="135"/>
        <v>2026年</v>
      </c>
      <c r="B2426" s="3" t="str">
        <f t="shared" si="136"/>
        <v>3月</v>
      </c>
      <c r="C2426" s="4" t="str">
        <f t="shared" si="137"/>
        <v>W10</v>
      </c>
      <c r="D2426" s="11" t="s">
        <v>801</v>
      </c>
      <c r="E2426" s="11" t="s">
        <v>834</v>
      </c>
      <c r="F2426" s="2" t="str" cm="1">
        <f t="array" ref="F2426">INDEX(_xlfn.TEXTSPLIT(E2426,"-"),2)</f>
        <v>男装</v>
      </c>
      <c r="G2426" s="2" t="str" cm="1">
        <f t="array" ref="G2426">INDEX(_xlfn.TEXTSPLIT(E2426,"-"),3)</f>
        <v>衬衫</v>
      </c>
      <c r="H2426" s="12">
        <v>103083</v>
      </c>
      <c r="I2426" s="12">
        <v>12771068.86</v>
      </c>
      <c r="J2426" s="13">
        <v>0.0404</v>
      </c>
      <c r="K2426" s="13">
        <v>0.0391</v>
      </c>
    </row>
    <row r="2427" ht="14.5" spans="1:11">
      <c r="A2427" s="3" t="str">
        <f t="shared" si="135"/>
        <v>2026年</v>
      </c>
      <c r="B2427" s="3" t="str">
        <f t="shared" si="136"/>
        <v>3月</v>
      </c>
      <c r="C2427" s="4" t="str">
        <f t="shared" si="137"/>
        <v>W10</v>
      </c>
      <c r="D2427" s="11" t="s">
        <v>801</v>
      </c>
      <c r="E2427" s="11" t="s">
        <v>835</v>
      </c>
      <c r="F2427" s="2" t="str" cm="1">
        <f t="array" ref="F2427">INDEX(_xlfn.TEXTSPLIT(E2427,"-"),2)</f>
        <v>男装</v>
      </c>
      <c r="G2427" s="2" t="str" cm="1">
        <f t="array" ref="G2427">INDEX(_xlfn.TEXTSPLIT(E2427,"-"),3)</f>
        <v>西服</v>
      </c>
      <c r="H2427" s="12">
        <v>58048</v>
      </c>
      <c r="I2427" s="12">
        <v>14100931.62</v>
      </c>
      <c r="J2427" s="13">
        <v>0.0447</v>
      </c>
      <c r="K2427" s="13">
        <v>-0.0468</v>
      </c>
    </row>
    <row r="2428" ht="14.5" spans="1:11">
      <c r="A2428" s="3" t="str">
        <f t="shared" si="135"/>
        <v>2026年</v>
      </c>
      <c r="B2428" s="3" t="str">
        <f t="shared" si="136"/>
        <v>3月</v>
      </c>
      <c r="C2428" s="4" t="str">
        <f t="shared" si="137"/>
        <v>W10</v>
      </c>
      <c r="D2428" s="11" t="s">
        <v>801</v>
      </c>
      <c r="E2428" s="11" t="s">
        <v>836</v>
      </c>
      <c r="F2428" s="2" t="str" cm="1">
        <f t="array" ref="F2428">INDEX(_xlfn.TEXTSPLIT(E2428,"-"),2)</f>
        <v>男装</v>
      </c>
      <c r="G2428" s="2" t="str" cm="1">
        <f t="array" ref="G2428">INDEX(_xlfn.TEXTSPLIT(E2428,"-"),3)</f>
        <v>连体衣/裤</v>
      </c>
      <c r="H2428" s="12">
        <v>323</v>
      </c>
      <c r="I2428" s="12">
        <v>6952.03</v>
      </c>
      <c r="J2428" s="11" t="s">
        <v>713</v>
      </c>
      <c r="K2428" s="13">
        <v>0.0718</v>
      </c>
    </row>
    <row r="2429" ht="14.5" spans="1:11">
      <c r="A2429" s="3" t="str">
        <f t="shared" si="135"/>
        <v>2026年</v>
      </c>
      <c r="B2429" s="3" t="str">
        <f t="shared" si="136"/>
        <v>3月</v>
      </c>
      <c r="C2429" s="4" t="str">
        <f t="shared" si="137"/>
        <v>W10</v>
      </c>
      <c r="D2429" s="11" t="s">
        <v>801</v>
      </c>
      <c r="E2429" s="11" t="s">
        <v>837</v>
      </c>
      <c r="F2429" s="2" t="str" cm="1">
        <f t="array" ref="F2429">INDEX(_xlfn.TEXTSPLIT(E2429,"-"),2)</f>
        <v>男装</v>
      </c>
      <c r="G2429" s="2" t="str" cm="1">
        <f t="array" ref="G2429">INDEX(_xlfn.TEXTSPLIT(E2429,"-"),3)</f>
        <v>速干/三防T恤</v>
      </c>
      <c r="H2429" s="12">
        <v>2089</v>
      </c>
      <c r="I2429" s="12">
        <v>277228.19</v>
      </c>
      <c r="J2429" s="13">
        <v>0.0009</v>
      </c>
      <c r="K2429" s="13">
        <v>0.0634</v>
      </c>
    </row>
    <row r="2430" ht="14.5" spans="1:11">
      <c r="A2430" s="3" t="str">
        <f t="shared" si="135"/>
        <v>2026年</v>
      </c>
      <c r="B2430" s="3" t="str">
        <f t="shared" si="136"/>
        <v>3月</v>
      </c>
      <c r="C2430" s="4" t="str">
        <f t="shared" si="137"/>
        <v>W10</v>
      </c>
      <c r="D2430" s="11" t="s">
        <v>801</v>
      </c>
      <c r="E2430" s="11" t="s">
        <v>838</v>
      </c>
      <c r="F2430" s="2" t="str" cm="1">
        <f t="array" ref="F2430">INDEX(_xlfn.TEXTSPLIT(E2430,"-"),2)</f>
        <v>男装</v>
      </c>
      <c r="G2430" s="2" t="str" cm="1">
        <f t="array" ref="G2430">INDEX(_xlfn.TEXTSPLIT(E2430,"-"),3)</f>
        <v>针织衫/毛衣</v>
      </c>
      <c r="H2430" s="12">
        <v>88399</v>
      </c>
      <c r="I2430" s="12">
        <v>11631861.3</v>
      </c>
      <c r="J2430" s="13">
        <v>0.0368</v>
      </c>
      <c r="K2430" s="13">
        <v>0.1512</v>
      </c>
    </row>
    <row r="2431" ht="14.5" spans="1:11">
      <c r="A2431" s="3" t="str">
        <f t="shared" si="135"/>
        <v>2026年</v>
      </c>
      <c r="B2431" s="3" t="str">
        <f t="shared" si="136"/>
        <v>3月</v>
      </c>
      <c r="C2431" s="4" t="str">
        <f t="shared" si="137"/>
        <v>W10</v>
      </c>
      <c r="D2431" s="11" t="s">
        <v>801</v>
      </c>
      <c r="E2431" s="11" t="s">
        <v>839</v>
      </c>
      <c r="F2431" s="2" t="str" cm="1">
        <f t="array" ref="F2431">INDEX(_xlfn.TEXTSPLIT(E2431,"-"),2)</f>
        <v>男装</v>
      </c>
      <c r="G2431" s="2" t="str" cm="1">
        <f t="array" ref="G2431">INDEX(_xlfn.TEXTSPLIT(E2431,"-"),3)</f>
        <v>防晒服</v>
      </c>
      <c r="H2431" s="12">
        <v>4331</v>
      </c>
      <c r="I2431" s="12">
        <v>454032.41</v>
      </c>
      <c r="J2431" s="13">
        <v>0.0014</v>
      </c>
      <c r="K2431" s="13">
        <v>-0.1252</v>
      </c>
    </row>
    <row r="2432" ht="14.5" spans="1:11">
      <c r="A2432" s="3" t="str">
        <f t="shared" si="135"/>
        <v>2026年</v>
      </c>
      <c r="B2432" s="3" t="str">
        <f t="shared" si="136"/>
        <v>3月</v>
      </c>
      <c r="C2432" s="4" t="str">
        <f t="shared" si="137"/>
        <v>W10</v>
      </c>
      <c r="D2432" s="11" t="s">
        <v>801</v>
      </c>
      <c r="E2432" s="11" t="s">
        <v>840</v>
      </c>
      <c r="F2432" s="2" t="str" cm="1">
        <f t="array" ref="F2432">INDEX(_xlfn.TEXTSPLIT(E2432,"-"),2)</f>
        <v>男装</v>
      </c>
      <c r="G2432" s="2" t="str" cm="1">
        <f t="array" ref="G2432">INDEX(_xlfn.TEXTSPLIT(E2432,"-"),3)</f>
        <v>风衣</v>
      </c>
      <c r="H2432" s="12">
        <v>11491</v>
      </c>
      <c r="I2432" s="12">
        <v>2293451.52</v>
      </c>
      <c r="J2432" s="13">
        <v>0.0073</v>
      </c>
      <c r="K2432" s="13">
        <v>-0.0507</v>
      </c>
    </row>
    <row r="2433" ht="14.5" spans="1:11">
      <c r="A2433" s="3" t="str">
        <f t="shared" si="135"/>
        <v>2026年</v>
      </c>
      <c r="B2433" s="3" t="str">
        <f t="shared" si="136"/>
        <v>3月</v>
      </c>
      <c r="C2433" s="4" t="str">
        <f t="shared" si="137"/>
        <v>W10</v>
      </c>
      <c r="D2433" s="11" t="s">
        <v>801</v>
      </c>
      <c r="E2433" s="11" t="s">
        <v>841</v>
      </c>
      <c r="F2433" s="2" t="str" cm="1">
        <f t="array" ref="F2433">INDEX(_xlfn.TEXTSPLIT(E2433,"-"),2)</f>
        <v>男装</v>
      </c>
      <c r="G2433" s="2" t="str" cm="1">
        <f t="array" ref="G2433">INDEX(_xlfn.TEXTSPLIT(E2433,"-"),3)</f>
        <v>马甲</v>
      </c>
      <c r="H2433" s="12">
        <v>29998</v>
      </c>
      <c r="I2433" s="12">
        <v>3600345.45</v>
      </c>
      <c r="J2433" s="13">
        <v>0.0114</v>
      </c>
      <c r="K2433" s="13">
        <v>0.4414</v>
      </c>
    </row>
    <row r="2434" ht="14.5" spans="1:11">
      <c r="A2434" s="3" t="str">
        <f t="shared" si="135"/>
        <v>2026年</v>
      </c>
      <c r="B2434" s="3" t="str">
        <f t="shared" si="136"/>
        <v>3月</v>
      </c>
      <c r="C2434" s="4" t="str">
        <f t="shared" si="137"/>
        <v>W10</v>
      </c>
      <c r="D2434" s="11" t="s">
        <v>802</v>
      </c>
      <c r="E2434" s="11" t="s">
        <v>804</v>
      </c>
      <c r="F2434" s="2" t="str" cm="1">
        <f t="array" ref="F2434">INDEX(_xlfn.TEXTSPLIT(E2434,"-"),2)</f>
        <v>男装</v>
      </c>
      <c r="G2434" s="2" t="str" cm="1">
        <f t="array" ref="G2434">INDEX(_xlfn.TEXTSPLIT(E2434,"-"),3)</f>
        <v>Polo衫</v>
      </c>
      <c r="H2434" s="12">
        <v>78055</v>
      </c>
      <c r="I2434" s="12">
        <v>7962268.81</v>
      </c>
      <c r="J2434" s="13">
        <v>0.0263</v>
      </c>
      <c r="K2434" s="13">
        <v>0.0086</v>
      </c>
    </row>
    <row r="2435" ht="14.5" spans="1:11">
      <c r="A2435" s="3" t="str">
        <f t="shared" si="135"/>
        <v>2026年</v>
      </c>
      <c r="B2435" s="3" t="str">
        <f t="shared" si="136"/>
        <v>3月</v>
      </c>
      <c r="C2435" s="4" t="str">
        <f t="shared" si="137"/>
        <v>W10</v>
      </c>
      <c r="D2435" s="11" t="s">
        <v>802</v>
      </c>
      <c r="E2435" s="11" t="s">
        <v>805</v>
      </c>
      <c r="F2435" s="2" t="str" cm="1">
        <f t="array" ref="F2435">INDEX(_xlfn.TEXTSPLIT(E2435,"-"),2)</f>
        <v>男装</v>
      </c>
      <c r="G2435" s="2" t="str" cm="1">
        <f t="array" ref="G2435">INDEX(_xlfn.TEXTSPLIT(E2435,"-"),3)</f>
        <v>T恤</v>
      </c>
      <c r="H2435" s="12">
        <v>638712</v>
      </c>
      <c r="I2435" s="12">
        <v>45381581.07</v>
      </c>
      <c r="J2435" s="13">
        <v>0.1499</v>
      </c>
      <c r="K2435" s="13">
        <v>0.003</v>
      </c>
    </row>
    <row r="2436" ht="14.5" spans="1:11">
      <c r="A2436" s="3" t="str">
        <f t="shared" ref="A2436:A2499" si="138">TEXT(YEAR(D2436),"0")&amp;"年"</f>
        <v>2026年</v>
      </c>
      <c r="B2436" s="3" t="str">
        <f t="shared" ref="B2436:B2499" si="139">TEXT(MONTH(D2436),"0")&amp;"月"</f>
        <v>3月</v>
      </c>
      <c r="C2436" s="4" t="str">
        <f t="shared" ref="C2436:C2499" si="140">"W"&amp;TEXT(WEEKNUM(D2436,2),"0")</f>
        <v>W10</v>
      </c>
      <c r="D2436" s="11" t="s">
        <v>802</v>
      </c>
      <c r="E2436" s="11" t="s">
        <v>806</v>
      </c>
      <c r="F2436" s="2" t="str" cm="1">
        <f t="array" ref="F2436">INDEX(_xlfn.TEXTSPLIT(E2436,"-"),2)</f>
        <v>男装</v>
      </c>
      <c r="G2436" s="2" t="str" cm="1">
        <f t="array" ref="G2436">INDEX(_xlfn.TEXTSPLIT(E2436,"-"),3)</f>
        <v>中老年男装</v>
      </c>
      <c r="H2436" s="12">
        <v>21858</v>
      </c>
      <c r="I2436" s="12">
        <v>1742581.05</v>
      </c>
      <c r="J2436" s="13">
        <v>0.0058</v>
      </c>
      <c r="K2436" s="13">
        <v>-0.1646</v>
      </c>
    </row>
    <row r="2437" ht="14.5" spans="1:11">
      <c r="A2437" s="3" t="str">
        <f t="shared" si="138"/>
        <v>2026年</v>
      </c>
      <c r="B2437" s="3" t="str">
        <f t="shared" si="139"/>
        <v>3月</v>
      </c>
      <c r="C2437" s="4" t="str">
        <f t="shared" si="140"/>
        <v>W10</v>
      </c>
      <c r="D2437" s="11" t="s">
        <v>802</v>
      </c>
      <c r="E2437" s="11" t="s">
        <v>807</v>
      </c>
      <c r="F2437" s="2" t="str" cm="1">
        <f t="array" ref="F2437">INDEX(_xlfn.TEXTSPLIT(E2437,"-"),2)</f>
        <v>男装</v>
      </c>
      <c r="G2437" s="2" t="str" cm="1">
        <f t="array" ref="G2437">INDEX(_xlfn.TEXTSPLIT(E2437,"-"),3)</f>
        <v>休闲裤</v>
      </c>
      <c r="H2437" s="12">
        <v>380821</v>
      </c>
      <c r="I2437" s="12">
        <v>37746030.87</v>
      </c>
      <c r="J2437" s="13">
        <v>0.1247</v>
      </c>
      <c r="K2437" s="13">
        <v>-0.0483</v>
      </c>
    </row>
    <row r="2438" ht="14.5" spans="1:11">
      <c r="A2438" s="3" t="str">
        <f t="shared" si="138"/>
        <v>2026年</v>
      </c>
      <c r="B2438" s="3" t="str">
        <f t="shared" si="139"/>
        <v>3月</v>
      </c>
      <c r="C2438" s="4" t="str">
        <f t="shared" si="140"/>
        <v>W10</v>
      </c>
      <c r="D2438" s="11" t="s">
        <v>802</v>
      </c>
      <c r="E2438" s="11" t="s">
        <v>808</v>
      </c>
      <c r="F2438" s="2" t="str" cm="1">
        <f t="array" ref="F2438">INDEX(_xlfn.TEXTSPLIT(E2438,"-"),2)</f>
        <v>男装</v>
      </c>
      <c r="G2438" s="2" t="str" cm="1">
        <f t="array" ref="G2438">INDEX(_xlfn.TEXTSPLIT(E2438,"-"),3)</f>
        <v>卫衣</v>
      </c>
      <c r="H2438" s="12">
        <v>182469</v>
      </c>
      <c r="I2438" s="12">
        <v>16134594.97</v>
      </c>
      <c r="J2438" s="13">
        <v>0.0533</v>
      </c>
      <c r="K2438" s="13">
        <v>-0.1065</v>
      </c>
    </row>
    <row r="2439" ht="14.5" spans="1:11">
      <c r="A2439" s="3" t="str">
        <f t="shared" si="138"/>
        <v>2026年</v>
      </c>
      <c r="B2439" s="3" t="str">
        <f t="shared" si="139"/>
        <v>3月</v>
      </c>
      <c r="C2439" s="4" t="str">
        <f t="shared" si="140"/>
        <v>W10</v>
      </c>
      <c r="D2439" s="11" t="s">
        <v>802</v>
      </c>
      <c r="E2439" s="11" t="s">
        <v>809</v>
      </c>
      <c r="F2439" s="2" t="str" cm="1">
        <f t="array" ref="F2439">INDEX(_xlfn.TEXTSPLIT(E2439,"-"),2)</f>
        <v>男装</v>
      </c>
      <c r="G2439" s="2" t="str" cm="1">
        <f t="array" ref="G2439">INDEX(_xlfn.TEXTSPLIT(E2439,"-"),3)</f>
        <v>卫裤</v>
      </c>
      <c r="H2439" s="12">
        <v>51442</v>
      </c>
      <c r="I2439" s="12">
        <v>4367349.72</v>
      </c>
      <c r="J2439" s="13">
        <v>0.0144</v>
      </c>
      <c r="K2439" s="13">
        <v>-0.1335</v>
      </c>
    </row>
    <row r="2440" ht="14.5" spans="1:11">
      <c r="A2440" s="3" t="str">
        <f t="shared" si="138"/>
        <v>2026年</v>
      </c>
      <c r="B2440" s="3" t="str">
        <f t="shared" si="139"/>
        <v>3月</v>
      </c>
      <c r="C2440" s="4" t="str">
        <f t="shared" si="140"/>
        <v>W10</v>
      </c>
      <c r="D2440" s="11" t="s">
        <v>802</v>
      </c>
      <c r="E2440" s="11" t="s">
        <v>810</v>
      </c>
      <c r="F2440" s="2" t="str" cm="1">
        <f t="array" ref="F2440">INDEX(_xlfn.TEXTSPLIT(E2440,"-"),2)</f>
        <v>男装</v>
      </c>
      <c r="G2440" s="2" t="str" cm="1">
        <f t="array" ref="G2440">INDEX(_xlfn.TEXTSPLIT(E2440,"-"),3)</f>
        <v>大码男装</v>
      </c>
      <c r="H2440" s="12">
        <v>37300</v>
      </c>
      <c r="I2440" s="12">
        <v>2332434.21</v>
      </c>
      <c r="J2440" s="13">
        <v>0.0077</v>
      </c>
      <c r="K2440" s="13">
        <v>0.0541</v>
      </c>
    </row>
    <row r="2441" ht="14.5" spans="1:11">
      <c r="A2441" s="3" t="str">
        <f t="shared" si="138"/>
        <v>2026年</v>
      </c>
      <c r="B2441" s="3" t="str">
        <f t="shared" si="139"/>
        <v>3月</v>
      </c>
      <c r="C2441" s="4" t="str">
        <f t="shared" si="140"/>
        <v>W10</v>
      </c>
      <c r="D2441" s="11" t="s">
        <v>802</v>
      </c>
      <c r="E2441" s="11" t="s">
        <v>811</v>
      </c>
      <c r="F2441" s="2" t="str" cm="1">
        <f t="array" ref="F2441">INDEX(_xlfn.TEXTSPLIT(E2441,"-"),2)</f>
        <v>男装</v>
      </c>
      <c r="G2441" s="2" t="str" cm="1">
        <f t="array" ref="G2441">INDEX(_xlfn.TEXTSPLIT(E2441,"-"),3)</f>
        <v>夹克</v>
      </c>
      <c r="H2441" s="12">
        <v>390003</v>
      </c>
      <c r="I2441" s="12">
        <v>66237078.39</v>
      </c>
      <c r="J2441" s="13">
        <v>0.2188</v>
      </c>
      <c r="K2441" s="13">
        <v>-0.0456</v>
      </c>
    </row>
    <row r="2442" ht="14.5" spans="1:11">
      <c r="A2442" s="3" t="str">
        <f t="shared" si="138"/>
        <v>2026年</v>
      </c>
      <c r="B2442" s="3" t="str">
        <f t="shared" si="139"/>
        <v>3月</v>
      </c>
      <c r="C2442" s="4" t="str">
        <f t="shared" si="140"/>
        <v>W10</v>
      </c>
      <c r="D2442" s="11" t="s">
        <v>802</v>
      </c>
      <c r="E2442" s="11" t="s">
        <v>812</v>
      </c>
      <c r="F2442" s="2" t="str" cm="1">
        <f t="array" ref="F2442">INDEX(_xlfn.TEXTSPLIT(E2442,"-"),2)</f>
        <v>男装</v>
      </c>
      <c r="G2442" s="2" t="str" cm="1">
        <f t="array" ref="G2442">INDEX(_xlfn.TEXTSPLIT(E2442,"-"),3)</f>
        <v>套装</v>
      </c>
      <c r="H2442" s="12">
        <v>62538</v>
      </c>
      <c r="I2442" s="12">
        <v>8791847.58</v>
      </c>
      <c r="J2442" s="13">
        <v>0.029</v>
      </c>
      <c r="K2442" s="13">
        <v>-0.069</v>
      </c>
    </row>
    <row r="2443" ht="14.5" spans="1:11">
      <c r="A2443" s="3" t="str">
        <f t="shared" si="138"/>
        <v>2026年</v>
      </c>
      <c r="B2443" s="3" t="str">
        <f t="shared" si="139"/>
        <v>3月</v>
      </c>
      <c r="C2443" s="4" t="str">
        <f t="shared" si="140"/>
        <v>W10</v>
      </c>
      <c r="D2443" s="11" t="s">
        <v>802</v>
      </c>
      <c r="E2443" s="11" t="s">
        <v>813</v>
      </c>
      <c r="F2443" s="2" t="str" cm="1">
        <f t="array" ref="F2443">INDEX(_xlfn.TEXTSPLIT(E2443,"-"),2)</f>
        <v>男装</v>
      </c>
      <c r="G2443" s="2" t="str" cm="1">
        <f t="array" ref="G2443">INDEX(_xlfn.TEXTSPLIT(E2443,"-"),3)</f>
        <v>学生校服</v>
      </c>
      <c r="H2443" s="12">
        <v>97</v>
      </c>
      <c r="I2443" s="12">
        <v>4949.87</v>
      </c>
      <c r="J2443" s="11" t="s">
        <v>713</v>
      </c>
      <c r="K2443" s="13">
        <v>-0.4784</v>
      </c>
    </row>
    <row r="2444" ht="14.5" spans="1:11">
      <c r="A2444" s="3" t="str">
        <f t="shared" si="138"/>
        <v>2026年</v>
      </c>
      <c r="B2444" s="3" t="str">
        <f t="shared" si="139"/>
        <v>3月</v>
      </c>
      <c r="C2444" s="4" t="str">
        <f t="shared" si="140"/>
        <v>W10</v>
      </c>
      <c r="D2444" s="11" t="s">
        <v>802</v>
      </c>
      <c r="E2444" s="11" t="s">
        <v>814</v>
      </c>
      <c r="F2444" s="2" t="str" cm="1">
        <f t="array" ref="F2444">INDEX(_xlfn.TEXTSPLIT(E2444,"-"),2)</f>
        <v>男装</v>
      </c>
      <c r="G2444" s="2" t="str" cm="1">
        <f t="array" ref="G2444">INDEX(_xlfn.TEXTSPLIT(E2444,"-"),3)</f>
        <v>打底衫</v>
      </c>
      <c r="H2444" s="12">
        <v>3896</v>
      </c>
      <c r="I2444" s="12">
        <v>289812.2</v>
      </c>
      <c r="J2444" s="13">
        <v>0.001</v>
      </c>
      <c r="K2444" s="13">
        <v>0.0011</v>
      </c>
    </row>
    <row r="2445" ht="14.5" spans="1:11">
      <c r="A2445" s="3" t="str">
        <f t="shared" si="138"/>
        <v>2026年</v>
      </c>
      <c r="B2445" s="3" t="str">
        <f t="shared" si="139"/>
        <v>3月</v>
      </c>
      <c r="C2445" s="4" t="str">
        <f t="shared" si="140"/>
        <v>W10</v>
      </c>
      <c r="D2445" s="11" t="s">
        <v>802</v>
      </c>
      <c r="E2445" s="11" t="s">
        <v>815</v>
      </c>
      <c r="F2445" s="2" t="str" cm="1">
        <f t="array" ref="F2445">INDEX(_xlfn.TEXTSPLIT(E2445,"-"),2)</f>
        <v>男装</v>
      </c>
      <c r="G2445" s="2" t="str" cm="1">
        <f t="array" ref="G2445">INDEX(_xlfn.TEXTSPLIT(E2445,"-"),3)</f>
        <v>新中式男装</v>
      </c>
      <c r="H2445" s="12">
        <v>556</v>
      </c>
      <c r="I2445" s="12">
        <v>75426.86</v>
      </c>
      <c r="J2445" s="13">
        <v>0.0002</v>
      </c>
      <c r="K2445" s="13">
        <v>0.0132</v>
      </c>
    </row>
    <row r="2446" ht="14.5" spans="1:11">
      <c r="A2446" s="3" t="str">
        <f t="shared" si="138"/>
        <v>2026年</v>
      </c>
      <c r="B2446" s="3" t="str">
        <f t="shared" si="139"/>
        <v>3月</v>
      </c>
      <c r="C2446" s="4" t="str">
        <f t="shared" si="140"/>
        <v>W10</v>
      </c>
      <c r="D2446" s="11" t="s">
        <v>802</v>
      </c>
      <c r="E2446" s="11" t="s">
        <v>816</v>
      </c>
      <c r="F2446" s="2" t="str" cm="1">
        <f t="array" ref="F2446">INDEX(_xlfn.TEXTSPLIT(E2446,"-"),2)</f>
        <v>男装</v>
      </c>
      <c r="G2446" s="2" t="str" cm="1">
        <f t="array" ref="G2446">INDEX(_xlfn.TEXTSPLIT(E2446,"-"),3)</f>
        <v>棉衣</v>
      </c>
      <c r="H2446" s="12">
        <v>38764</v>
      </c>
      <c r="I2446" s="12">
        <v>3880275.86</v>
      </c>
      <c r="J2446" s="13">
        <v>0.0128</v>
      </c>
      <c r="K2446" s="13">
        <v>-0.1218</v>
      </c>
    </row>
    <row r="2447" ht="14.5" spans="1:11">
      <c r="A2447" s="3" t="str">
        <f t="shared" si="138"/>
        <v>2026年</v>
      </c>
      <c r="B2447" s="3" t="str">
        <f t="shared" si="139"/>
        <v>3月</v>
      </c>
      <c r="C2447" s="4" t="str">
        <f t="shared" si="140"/>
        <v>W10</v>
      </c>
      <c r="D2447" s="11" t="s">
        <v>802</v>
      </c>
      <c r="E2447" s="11" t="s">
        <v>817</v>
      </c>
      <c r="F2447" s="2" t="str" cm="1">
        <f t="array" ref="F2447">INDEX(_xlfn.TEXTSPLIT(E2447,"-"),2)</f>
        <v>男装</v>
      </c>
      <c r="G2447" s="2" t="str" cm="1">
        <f t="array" ref="G2447">INDEX(_xlfn.TEXTSPLIT(E2447,"-"),3)</f>
        <v>棉裤</v>
      </c>
      <c r="H2447" s="12">
        <v>1606</v>
      </c>
      <c r="I2447" s="12">
        <v>94975.9</v>
      </c>
      <c r="J2447" s="13">
        <v>0.0003</v>
      </c>
      <c r="K2447" s="13">
        <v>-0.1134</v>
      </c>
    </row>
    <row r="2448" ht="14.5" spans="1:11">
      <c r="A2448" s="3" t="str">
        <f t="shared" si="138"/>
        <v>2026年</v>
      </c>
      <c r="B2448" s="3" t="str">
        <f t="shared" si="139"/>
        <v>3月</v>
      </c>
      <c r="C2448" s="4" t="str">
        <f t="shared" si="140"/>
        <v>W10</v>
      </c>
      <c r="D2448" s="11" t="s">
        <v>802</v>
      </c>
      <c r="E2448" s="11" t="s">
        <v>818</v>
      </c>
      <c r="F2448" s="2" t="str" cm="1">
        <f t="array" ref="F2448">INDEX(_xlfn.TEXTSPLIT(E2448,"-"),2)</f>
        <v>男装</v>
      </c>
      <c r="G2448" s="2" t="str" cm="1">
        <f t="array" ref="G2448">INDEX(_xlfn.TEXTSPLIT(E2448,"-"),3)</f>
        <v>毛呢大衣</v>
      </c>
      <c r="H2448" s="12">
        <v>4152</v>
      </c>
      <c r="I2448" s="12">
        <v>1304356.66</v>
      </c>
      <c r="J2448" s="13">
        <v>0.0043</v>
      </c>
      <c r="K2448" s="13">
        <v>-0.2989</v>
      </c>
    </row>
    <row r="2449" ht="14.5" spans="1:11">
      <c r="A2449" s="3" t="str">
        <f t="shared" si="138"/>
        <v>2026年</v>
      </c>
      <c r="B2449" s="3" t="str">
        <f t="shared" si="139"/>
        <v>3月</v>
      </c>
      <c r="C2449" s="4" t="str">
        <f t="shared" si="140"/>
        <v>W10</v>
      </c>
      <c r="D2449" s="11" t="s">
        <v>802</v>
      </c>
      <c r="E2449" s="11" t="s">
        <v>819</v>
      </c>
      <c r="F2449" s="2" t="str" cm="1">
        <f t="array" ref="F2449">INDEX(_xlfn.TEXTSPLIT(E2449,"-"),2)</f>
        <v>男装</v>
      </c>
      <c r="G2449" s="2" t="str" cm="1">
        <f t="array" ref="G2449">INDEX(_xlfn.TEXTSPLIT(E2449,"-"),3)</f>
        <v>民族服装</v>
      </c>
      <c r="H2449" s="12">
        <v>3600</v>
      </c>
      <c r="I2449" s="12">
        <v>717468.16</v>
      </c>
      <c r="J2449" s="13">
        <v>0.0024</v>
      </c>
      <c r="K2449" s="13">
        <v>-0.0127</v>
      </c>
    </row>
    <row r="2450" ht="14.5" spans="1:11">
      <c r="A2450" s="3" t="str">
        <f t="shared" si="138"/>
        <v>2026年</v>
      </c>
      <c r="B2450" s="3" t="str">
        <f t="shared" si="139"/>
        <v>3月</v>
      </c>
      <c r="C2450" s="4" t="str">
        <f t="shared" si="140"/>
        <v>W10</v>
      </c>
      <c r="D2450" s="11" t="s">
        <v>802</v>
      </c>
      <c r="E2450" s="11" t="s">
        <v>820</v>
      </c>
      <c r="F2450" s="2" t="str" cm="1">
        <f t="array" ref="F2450">INDEX(_xlfn.TEXTSPLIT(E2450,"-"),2)</f>
        <v>男装</v>
      </c>
      <c r="G2450" s="2" t="str" cm="1">
        <f t="array" ref="G2450">INDEX(_xlfn.TEXTSPLIT(E2450,"-"),3)</f>
        <v>派克服</v>
      </c>
      <c r="H2450" s="12">
        <v>1357</v>
      </c>
      <c r="I2450" s="12">
        <v>345124.08</v>
      </c>
      <c r="J2450" s="13">
        <v>0.0011</v>
      </c>
      <c r="K2450" s="13">
        <v>1.479</v>
      </c>
    </row>
    <row r="2451" ht="14.5" spans="1:11">
      <c r="A2451" s="3" t="str">
        <f t="shared" si="138"/>
        <v>2026年</v>
      </c>
      <c r="B2451" s="3" t="str">
        <f t="shared" si="139"/>
        <v>3月</v>
      </c>
      <c r="C2451" s="4" t="str">
        <f t="shared" si="140"/>
        <v>W10</v>
      </c>
      <c r="D2451" s="11" t="s">
        <v>802</v>
      </c>
      <c r="E2451" s="11" t="s">
        <v>821</v>
      </c>
      <c r="F2451" s="2" t="str" cm="1">
        <f t="array" ref="F2451">INDEX(_xlfn.TEXTSPLIT(E2451,"-"),2)</f>
        <v>男装</v>
      </c>
      <c r="G2451" s="2" t="str" cm="1">
        <f t="array" ref="G2451">INDEX(_xlfn.TEXTSPLIT(E2451,"-"),3)</f>
        <v>牛仔裤</v>
      </c>
      <c r="H2451" s="12">
        <v>252102</v>
      </c>
      <c r="I2451" s="12">
        <v>29697295.54</v>
      </c>
      <c r="J2451" s="13">
        <v>0.0981</v>
      </c>
      <c r="K2451" s="13">
        <v>0.0138</v>
      </c>
    </row>
    <row r="2452" ht="14.5" spans="1:11">
      <c r="A2452" s="3" t="str">
        <f t="shared" si="138"/>
        <v>2026年</v>
      </c>
      <c r="B2452" s="3" t="str">
        <f t="shared" si="139"/>
        <v>3月</v>
      </c>
      <c r="C2452" s="4" t="str">
        <f t="shared" si="140"/>
        <v>W10</v>
      </c>
      <c r="D2452" s="11" t="s">
        <v>802</v>
      </c>
      <c r="E2452" s="11" t="s">
        <v>822</v>
      </c>
      <c r="F2452" s="2" t="str" cm="1">
        <f t="array" ref="F2452">INDEX(_xlfn.TEXTSPLIT(E2452,"-"),2)</f>
        <v>男装</v>
      </c>
      <c r="G2452" s="2" t="str" cm="1">
        <f t="array" ref="G2452">INDEX(_xlfn.TEXTSPLIT(E2452,"-"),3)</f>
        <v>皮草</v>
      </c>
      <c r="H2452" s="12">
        <v>265</v>
      </c>
      <c r="I2452" s="12">
        <v>266359.36</v>
      </c>
      <c r="J2452" s="13">
        <v>0.0009</v>
      </c>
      <c r="K2452" s="13">
        <v>-0.433</v>
      </c>
    </row>
    <row r="2453" ht="14.5" spans="1:11">
      <c r="A2453" s="3" t="str">
        <f t="shared" si="138"/>
        <v>2026年</v>
      </c>
      <c r="B2453" s="3" t="str">
        <f t="shared" si="139"/>
        <v>3月</v>
      </c>
      <c r="C2453" s="4" t="str">
        <f t="shared" si="140"/>
        <v>W10</v>
      </c>
      <c r="D2453" s="11" t="s">
        <v>802</v>
      </c>
      <c r="E2453" s="11" t="s">
        <v>823</v>
      </c>
      <c r="F2453" s="2" t="str" cm="1">
        <f t="array" ref="F2453">INDEX(_xlfn.TEXTSPLIT(E2453,"-"),2)</f>
        <v>男装</v>
      </c>
      <c r="G2453" s="2" t="str" cm="1">
        <f t="array" ref="G2453">INDEX(_xlfn.TEXTSPLIT(E2453,"-"),3)</f>
        <v>皮衣</v>
      </c>
      <c r="H2453" s="12">
        <v>27604</v>
      </c>
      <c r="I2453" s="12">
        <v>11316050.88</v>
      </c>
      <c r="J2453" s="13">
        <v>0.0374</v>
      </c>
      <c r="K2453" s="13">
        <v>0.0133</v>
      </c>
    </row>
    <row r="2454" ht="14.5" spans="1:11">
      <c r="A2454" s="3" t="str">
        <f t="shared" si="138"/>
        <v>2026年</v>
      </c>
      <c r="B2454" s="3" t="str">
        <f t="shared" si="139"/>
        <v>3月</v>
      </c>
      <c r="C2454" s="4" t="str">
        <f t="shared" si="140"/>
        <v>W10</v>
      </c>
      <c r="D2454" s="11" t="s">
        <v>802</v>
      </c>
      <c r="E2454" s="11" t="s">
        <v>824</v>
      </c>
      <c r="F2454" s="2" t="str" cm="1">
        <f t="array" ref="F2454">INDEX(_xlfn.TEXTSPLIT(E2454,"-"),2)</f>
        <v>男装</v>
      </c>
      <c r="G2454" s="2" t="str" cm="1">
        <f t="array" ref="G2454">INDEX(_xlfn.TEXTSPLIT(E2454,"-"),3)</f>
        <v>皮裤</v>
      </c>
      <c r="H2454" s="12">
        <v>292</v>
      </c>
      <c r="I2454" s="12">
        <v>43149.55</v>
      </c>
      <c r="J2454" s="13">
        <v>0.0001</v>
      </c>
      <c r="K2454" s="13">
        <v>-0.2978</v>
      </c>
    </row>
    <row r="2455" ht="14.5" spans="1:11">
      <c r="A2455" s="3" t="str">
        <f t="shared" si="138"/>
        <v>2026年</v>
      </c>
      <c r="B2455" s="3" t="str">
        <f t="shared" si="139"/>
        <v>3月</v>
      </c>
      <c r="C2455" s="4" t="str">
        <f t="shared" si="140"/>
        <v>W10</v>
      </c>
      <c r="D2455" s="11" t="s">
        <v>802</v>
      </c>
      <c r="E2455" s="11" t="s">
        <v>825</v>
      </c>
      <c r="F2455" s="2" t="str" cm="1">
        <f t="array" ref="F2455">INDEX(_xlfn.TEXTSPLIT(E2455,"-"),2)</f>
        <v>男装</v>
      </c>
      <c r="G2455" s="2" t="str" cm="1">
        <f t="array" ref="G2455">INDEX(_xlfn.TEXTSPLIT(E2455,"-"),3)</f>
        <v>短外套</v>
      </c>
      <c r="H2455" s="12">
        <v>28676</v>
      </c>
      <c r="I2455" s="12">
        <v>1836355.93</v>
      </c>
      <c r="J2455" s="13">
        <v>0.0061</v>
      </c>
      <c r="K2455" s="13">
        <v>-0.2985</v>
      </c>
    </row>
    <row r="2456" ht="14.5" spans="1:11">
      <c r="A2456" s="3" t="str">
        <f t="shared" si="138"/>
        <v>2026年</v>
      </c>
      <c r="B2456" s="3" t="str">
        <f t="shared" si="139"/>
        <v>3月</v>
      </c>
      <c r="C2456" s="4" t="str">
        <f t="shared" si="140"/>
        <v>W10</v>
      </c>
      <c r="D2456" s="11" t="s">
        <v>802</v>
      </c>
      <c r="E2456" s="11" t="s">
        <v>826</v>
      </c>
      <c r="F2456" s="2" t="str" cm="1">
        <f t="array" ref="F2456">INDEX(_xlfn.TEXTSPLIT(E2456,"-"),2)</f>
        <v>男装</v>
      </c>
      <c r="G2456" s="2" t="str" cm="1">
        <f t="array" ref="G2456">INDEX(_xlfn.TEXTSPLIT(E2456,"-"),3)</f>
        <v>短裤</v>
      </c>
      <c r="H2456" s="12">
        <v>56104</v>
      </c>
      <c r="I2456" s="12">
        <v>2713267</v>
      </c>
      <c r="J2456" s="13">
        <v>0.009</v>
      </c>
      <c r="K2456" s="13">
        <v>-0.0665</v>
      </c>
    </row>
    <row r="2457" ht="14.5" spans="1:11">
      <c r="A2457" s="3" t="str">
        <f t="shared" si="138"/>
        <v>2026年</v>
      </c>
      <c r="B2457" s="3" t="str">
        <f t="shared" si="139"/>
        <v>3月</v>
      </c>
      <c r="C2457" s="4" t="str">
        <f t="shared" si="140"/>
        <v>W10</v>
      </c>
      <c r="D2457" s="11" t="s">
        <v>802</v>
      </c>
      <c r="E2457" s="11" t="s">
        <v>827</v>
      </c>
      <c r="F2457" s="2" t="str" cm="1">
        <f t="array" ref="F2457">INDEX(_xlfn.TEXTSPLIT(E2457,"-"),2)</f>
        <v>男装</v>
      </c>
      <c r="G2457" s="2" t="str" cm="1">
        <f t="array" ref="G2457">INDEX(_xlfn.TEXTSPLIT(E2457,"-"),3)</f>
        <v>紧身衣</v>
      </c>
      <c r="H2457" s="12">
        <v>319</v>
      </c>
      <c r="I2457" s="12">
        <v>16394.72</v>
      </c>
      <c r="J2457" s="13">
        <v>0.0001</v>
      </c>
      <c r="K2457" s="13">
        <v>1.0521</v>
      </c>
    </row>
    <row r="2458" ht="14.5" spans="1:11">
      <c r="A2458" s="3" t="str">
        <f t="shared" si="138"/>
        <v>2026年</v>
      </c>
      <c r="B2458" s="3" t="str">
        <f t="shared" si="139"/>
        <v>3月</v>
      </c>
      <c r="C2458" s="4" t="str">
        <f t="shared" si="140"/>
        <v>W10</v>
      </c>
      <c r="D2458" s="11" t="s">
        <v>802</v>
      </c>
      <c r="E2458" s="11" t="s">
        <v>828</v>
      </c>
      <c r="F2458" s="2" t="str" cm="1">
        <f t="array" ref="F2458">INDEX(_xlfn.TEXTSPLIT(E2458,"-"),2)</f>
        <v>男装</v>
      </c>
      <c r="G2458" s="2" t="str" cm="1">
        <f t="array" ref="G2458">INDEX(_xlfn.TEXTSPLIT(E2458,"-"),3)</f>
        <v>羊毛衫</v>
      </c>
      <c r="H2458" s="12">
        <v>15985</v>
      </c>
      <c r="I2458" s="12">
        <v>2301593.78</v>
      </c>
      <c r="J2458" s="13">
        <v>0.0076</v>
      </c>
      <c r="K2458" s="13">
        <v>-0.1472</v>
      </c>
    </row>
    <row r="2459" ht="14.5" spans="1:11">
      <c r="A2459" s="3" t="str">
        <f t="shared" si="138"/>
        <v>2026年</v>
      </c>
      <c r="B2459" s="3" t="str">
        <f t="shared" si="139"/>
        <v>3月</v>
      </c>
      <c r="C2459" s="4" t="str">
        <f t="shared" si="140"/>
        <v>W10</v>
      </c>
      <c r="D2459" s="11" t="s">
        <v>802</v>
      </c>
      <c r="E2459" s="11" t="s">
        <v>829</v>
      </c>
      <c r="F2459" s="2" t="str" cm="1">
        <f t="array" ref="F2459">INDEX(_xlfn.TEXTSPLIT(E2459,"-"),2)</f>
        <v>男装</v>
      </c>
      <c r="G2459" s="2" t="str" cm="1">
        <f t="array" ref="G2459">INDEX(_xlfn.TEXTSPLIT(E2459,"-"),3)</f>
        <v>羊绒衫</v>
      </c>
      <c r="H2459" s="12">
        <v>2886</v>
      </c>
      <c r="I2459" s="12">
        <v>790612.48</v>
      </c>
      <c r="J2459" s="13">
        <v>0.0026</v>
      </c>
      <c r="K2459" s="13">
        <v>0.0458</v>
      </c>
    </row>
    <row r="2460" ht="14.5" spans="1:11">
      <c r="A2460" s="3" t="str">
        <f t="shared" si="138"/>
        <v>2026年</v>
      </c>
      <c r="B2460" s="3" t="str">
        <f t="shared" si="139"/>
        <v>3月</v>
      </c>
      <c r="C2460" s="4" t="str">
        <f t="shared" si="140"/>
        <v>W10</v>
      </c>
      <c r="D2460" s="11" t="s">
        <v>802</v>
      </c>
      <c r="E2460" s="11" t="s">
        <v>830</v>
      </c>
      <c r="F2460" s="2" t="str" cm="1">
        <f t="array" ref="F2460">INDEX(_xlfn.TEXTSPLIT(E2460,"-"),2)</f>
        <v>男装</v>
      </c>
      <c r="G2460" s="2" t="str" cm="1">
        <f t="array" ref="G2460">INDEX(_xlfn.TEXTSPLIT(E2460,"-"),3)</f>
        <v>羽绒服</v>
      </c>
      <c r="H2460" s="12">
        <v>45751</v>
      </c>
      <c r="I2460" s="12">
        <v>10855367.13</v>
      </c>
      <c r="J2460" s="13">
        <v>0.0359</v>
      </c>
      <c r="K2460" s="13">
        <v>-0.0918</v>
      </c>
    </row>
    <row r="2461" ht="14.5" spans="1:11">
      <c r="A2461" s="3" t="str">
        <f t="shared" si="138"/>
        <v>2026年</v>
      </c>
      <c r="B2461" s="3" t="str">
        <f t="shared" si="139"/>
        <v>3月</v>
      </c>
      <c r="C2461" s="4" t="str">
        <f t="shared" si="140"/>
        <v>W10</v>
      </c>
      <c r="D2461" s="11" t="s">
        <v>802</v>
      </c>
      <c r="E2461" s="11" t="s">
        <v>831</v>
      </c>
      <c r="F2461" s="2" t="str" cm="1">
        <f t="array" ref="F2461">INDEX(_xlfn.TEXTSPLIT(E2461,"-"),2)</f>
        <v>男装</v>
      </c>
      <c r="G2461" s="2" t="str" cm="1">
        <f t="array" ref="G2461">INDEX(_xlfn.TEXTSPLIT(E2461,"-"),3)</f>
        <v>羽绒裤</v>
      </c>
      <c r="H2461" s="12">
        <v>403</v>
      </c>
      <c r="I2461" s="12">
        <v>48205.23</v>
      </c>
      <c r="J2461" s="13">
        <v>0.0002</v>
      </c>
      <c r="K2461" s="13">
        <v>0.069</v>
      </c>
    </row>
    <row r="2462" ht="14.5" spans="1:11">
      <c r="A2462" s="3" t="str">
        <f t="shared" si="138"/>
        <v>2026年</v>
      </c>
      <c r="B2462" s="3" t="str">
        <f t="shared" si="139"/>
        <v>3月</v>
      </c>
      <c r="C2462" s="4" t="str">
        <f t="shared" si="140"/>
        <v>W10</v>
      </c>
      <c r="D2462" s="11" t="s">
        <v>802</v>
      </c>
      <c r="E2462" s="11" t="s">
        <v>832</v>
      </c>
      <c r="F2462" s="2" t="str" cm="1">
        <f t="array" ref="F2462">INDEX(_xlfn.TEXTSPLIT(E2462,"-"),2)</f>
        <v>男装</v>
      </c>
      <c r="G2462" s="2" t="str" cm="1">
        <f t="array" ref="G2462">INDEX(_xlfn.TEXTSPLIT(E2462,"-"),3)</f>
        <v>羽绒马甲</v>
      </c>
      <c r="H2462" s="12">
        <v>2287</v>
      </c>
      <c r="I2462" s="12">
        <v>332180.69</v>
      </c>
      <c r="J2462" s="13">
        <v>0.0011</v>
      </c>
      <c r="K2462" s="13">
        <v>0.0461</v>
      </c>
    </row>
    <row r="2463" ht="14.5" spans="1:11">
      <c r="A2463" s="3" t="str">
        <f t="shared" si="138"/>
        <v>2026年</v>
      </c>
      <c r="B2463" s="3" t="str">
        <f t="shared" si="139"/>
        <v>3月</v>
      </c>
      <c r="C2463" s="4" t="str">
        <f t="shared" si="140"/>
        <v>W10</v>
      </c>
      <c r="D2463" s="11" t="s">
        <v>802</v>
      </c>
      <c r="E2463" s="11" t="s">
        <v>833</v>
      </c>
      <c r="F2463" s="2" t="str" cm="1">
        <f t="array" ref="F2463">INDEX(_xlfn.TEXTSPLIT(E2463,"-"),2)</f>
        <v>男装</v>
      </c>
      <c r="G2463" s="2" t="str" cm="1">
        <f t="array" ref="G2463">INDEX(_xlfn.TEXTSPLIT(E2463,"-"),3)</f>
        <v>背心</v>
      </c>
      <c r="H2463" s="12">
        <v>29602</v>
      </c>
      <c r="I2463" s="12">
        <v>1565768.43</v>
      </c>
      <c r="J2463" s="13">
        <v>0.0052</v>
      </c>
      <c r="K2463" s="13">
        <v>-0.0631</v>
      </c>
    </row>
    <row r="2464" ht="14.5" spans="1:11">
      <c r="A2464" s="3" t="str">
        <f t="shared" si="138"/>
        <v>2026年</v>
      </c>
      <c r="B2464" s="3" t="str">
        <f t="shared" si="139"/>
        <v>3月</v>
      </c>
      <c r="C2464" s="4" t="str">
        <f t="shared" si="140"/>
        <v>W10</v>
      </c>
      <c r="D2464" s="11" t="s">
        <v>802</v>
      </c>
      <c r="E2464" s="11" t="s">
        <v>834</v>
      </c>
      <c r="F2464" s="2" t="str" cm="1">
        <f t="array" ref="F2464">INDEX(_xlfn.TEXTSPLIT(E2464,"-"),2)</f>
        <v>男装</v>
      </c>
      <c r="G2464" s="2" t="str" cm="1">
        <f t="array" ref="G2464">INDEX(_xlfn.TEXTSPLIT(E2464,"-"),3)</f>
        <v>衬衫</v>
      </c>
      <c r="H2464" s="12">
        <v>108063</v>
      </c>
      <c r="I2464" s="12">
        <v>14144389.83</v>
      </c>
      <c r="J2464" s="13">
        <v>0.0467</v>
      </c>
      <c r="K2464" s="13">
        <v>0.1075</v>
      </c>
    </row>
    <row r="2465" ht="14.5" spans="1:11">
      <c r="A2465" s="3" t="str">
        <f t="shared" si="138"/>
        <v>2026年</v>
      </c>
      <c r="B2465" s="3" t="str">
        <f t="shared" si="139"/>
        <v>3月</v>
      </c>
      <c r="C2465" s="4" t="str">
        <f t="shared" si="140"/>
        <v>W10</v>
      </c>
      <c r="D2465" s="11" t="s">
        <v>802</v>
      </c>
      <c r="E2465" s="11" t="s">
        <v>835</v>
      </c>
      <c r="F2465" s="2" t="str" cm="1">
        <f t="array" ref="F2465">INDEX(_xlfn.TEXTSPLIT(E2465,"-"),2)</f>
        <v>男装</v>
      </c>
      <c r="G2465" s="2" t="str" cm="1">
        <f t="array" ref="G2465">INDEX(_xlfn.TEXTSPLIT(E2465,"-"),3)</f>
        <v>西服</v>
      </c>
      <c r="H2465" s="12">
        <v>54459</v>
      </c>
      <c r="I2465" s="12">
        <v>13694501.19</v>
      </c>
      <c r="J2465" s="13">
        <v>0.0452</v>
      </c>
      <c r="K2465" s="13">
        <v>-0.0288</v>
      </c>
    </row>
    <row r="2466" ht="14.5" spans="1:11">
      <c r="A2466" s="3" t="str">
        <f t="shared" si="138"/>
        <v>2026年</v>
      </c>
      <c r="B2466" s="3" t="str">
        <f t="shared" si="139"/>
        <v>3月</v>
      </c>
      <c r="C2466" s="4" t="str">
        <f t="shared" si="140"/>
        <v>W10</v>
      </c>
      <c r="D2466" s="11" t="s">
        <v>802</v>
      </c>
      <c r="E2466" s="11" t="s">
        <v>836</v>
      </c>
      <c r="F2466" s="2" t="str" cm="1">
        <f t="array" ref="F2466">INDEX(_xlfn.TEXTSPLIT(E2466,"-"),2)</f>
        <v>男装</v>
      </c>
      <c r="G2466" s="2" t="str" cm="1">
        <f t="array" ref="G2466">INDEX(_xlfn.TEXTSPLIT(E2466,"-"),3)</f>
        <v>连体衣/裤</v>
      </c>
      <c r="H2466" s="12">
        <v>115</v>
      </c>
      <c r="I2466" s="12">
        <v>2847.4</v>
      </c>
      <c r="J2466" s="11" t="s">
        <v>713</v>
      </c>
      <c r="K2466" s="13">
        <v>-0.5904</v>
      </c>
    </row>
    <row r="2467" ht="14.5" spans="1:11">
      <c r="A2467" s="3" t="str">
        <f t="shared" si="138"/>
        <v>2026年</v>
      </c>
      <c r="B2467" s="3" t="str">
        <f t="shared" si="139"/>
        <v>3月</v>
      </c>
      <c r="C2467" s="4" t="str">
        <f t="shared" si="140"/>
        <v>W10</v>
      </c>
      <c r="D2467" s="11" t="s">
        <v>802</v>
      </c>
      <c r="E2467" s="11" t="s">
        <v>837</v>
      </c>
      <c r="F2467" s="2" t="str" cm="1">
        <f t="array" ref="F2467">INDEX(_xlfn.TEXTSPLIT(E2467,"-"),2)</f>
        <v>男装</v>
      </c>
      <c r="G2467" s="2" t="str" cm="1">
        <f t="array" ref="G2467">INDEX(_xlfn.TEXTSPLIT(E2467,"-"),3)</f>
        <v>速干/三防T恤</v>
      </c>
      <c r="H2467" s="12">
        <v>2954</v>
      </c>
      <c r="I2467" s="12">
        <v>380026.33</v>
      </c>
      <c r="J2467" s="13">
        <v>0.0013</v>
      </c>
      <c r="K2467" s="13">
        <v>0.3708</v>
      </c>
    </row>
    <row r="2468" ht="14.5" spans="1:11">
      <c r="A2468" s="3" t="str">
        <f t="shared" si="138"/>
        <v>2026年</v>
      </c>
      <c r="B2468" s="3" t="str">
        <f t="shared" si="139"/>
        <v>3月</v>
      </c>
      <c r="C2468" s="4" t="str">
        <f t="shared" si="140"/>
        <v>W10</v>
      </c>
      <c r="D2468" s="11" t="s">
        <v>802</v>
      </c>
      <c r="E2468" s="11" t="s">
        <v>838</v>
      </c>
      <c r="F2468" s="2" t="str" cm="1">
        <f t="array" ref="F2468">INDEX(_xlfn.TEXTSPLIT(E2468,"-"),2)</f>
        <v>男装</v>
      </c>
      <c r="G2468" s="2" t="str" cm="1">
        <f t="array" ref="G2468">INDEX(_xlfn.TEXTSPLIT(E2468,"-"),3)</f>
        <v>针织衫/毛衣</v>
      </c>
      <c r="H2468" s="12">
        <v>78763</v>
      </c>
      <c r="I2468" s="12">
        <v>9863801.2</v>
      </c>
      <c r="J2468" s="13">
        <v>0.0326</v>
      </c>
      <c r="K2468" s="13">
        <v>-0.152</v>
      </c>
    </row>
    <row r="2469" ht="14.5" spans="1:11">
      <c r="A2469" s="3" t="str">
        <f t="shared" si="138"/>
        <v>2026年</v>
      </c>
      <c r="B2469" s="3" t="str">
        <f t="shared" si="139"/>
        <v>3月</v>
      </c>
      <c r="C2469" s="4" t="str">
        <f t="shared" si="140"/>
        <v>W10</v>
      </c>
      <c r="D2469" s="11" t="s">
        <v>802</v>
      </c>
      <c r="E2469" s="11" t="s">
        <v>839</v>
      </c>
      <c r="F2469" s="2" t="str" cm="1">
        <f t="array" ref="F2469">INDEX(_xlfn.TEXTSPLIT(E2469,"-"),2)</f>
        <v>男装</v>
      </c>
      <c r="G2469" s="2" t="str" cm="1">
        <f t="array" ref="G2469">INDEX(_xlfn.TEXTSPLIT(E2469,"-"),3)</f>
        <v>防晒服</v>
      </c>
      <c r="H2469" s="12">
        <v>4460</v>
      </c>
      <c r="I2469" s="12">
        <v>522738.02</v>
      </c>
      <c r="J2469" s="13">
        <v>0.0017</v>
      </c>
      <c r="K2469" s="13">
        <v>0.1513</v>
      </c>
    </row>
    <row r="2470" ht="14.5" spans="1:11">
      <c r="A2470" s="3" t="str">
        <f t="shared" si="138"/>
        <v>2026年</v>
      </c>
      <c r="B2470" s="3" t="str">
        <f t="shared" si="139"/>
        <v>3月</v>
      </c>
      <c r="C2470" s="4" t="str">
        <f t="shared" si="140"/>
        <v>W10</v>
      </c>
      <c r="D2470" s="11" t="s">
        <v>802</v>
      </c>
      <c r="E2470" s="11" t="s">
        <v>840</v>
      </c>
      <c r="F2470" s="2" t="str" cm="1">
        <f t="array" ref="F2470">INDEX(_xlfn.TEXTSPLIT(E2470,"-"),2)</f>
        <v>男装</v>
      </c>
      <c r="G2470" s="2" t="str" cm="1">
        <f t="array" ref="G2470">INDEX(_xlfn.TEXTSPLIT(E2470,"-"),3)</f>
        <v>风衣</v>
      </c>
      <c r="H2470" s="12">
        <v>10754</v>
      </c>
      <c r="I2470" s="12">
        <v>2411924.22</v>
      </c>
      <c r="J2470" s="13">
        <v>0.008</v>
      </c>
      <c r="K2470" s="13">
        <v>0.0517</v>
      </c>
    </row>
    <row r="2471" ht="14.5" spans="1:11">
      <c r="A2471" s="3" t="str">
        <f t="shared" si="138"/>
        <v>2026年</v>
      </c>
      <c r="B2471" s="3" t="str">
        <f t="shared" si="139"/>
        <v>3月</v>
      </c>
      <c r="C2471" s="4" t="str">
        <f t="shared" si="140"/>
        <v>W10</v>
      </c>
      <c r="D2471" s="11" t="s">
        <v>802</v>
      </c>
      <c r="E2471" s="11" t="s">
        <v>841</v>
      </c>
      <c r="F2471" s="2" t="str" cm="1">
        <f t="array" ref="F2471">INDEX(_xlfn.TEXTSPLIT(E2471,"-"),2)</f>
        <v>男装</v>
      </c>
      <c r="G2471" s="2" t="str" cm="1">
        <f t="array" ref="G2471">INDEX(_xlfn.TEXTSPLIT(E2471,"-"),3)</f>
        <v>马甲</v>
      </c>
      <c r="H2471" s="12">
        <v>24700</v>
      </c>
      <c r="I2471" s="12">
        <v>2544266.13</v>
      </c>
      <c r="J2471" s="13">
        <v>0.0084</v>
      </c>
      <c r="K2471" s="13">
        <v>-0.2933</v>
      </c>
    </row>
    <row r="2472" ht="14.5" spans="1:11">
      <c r="A2472" s="3" t="str">
        <f t="shared" si="138"/>
        <v>2026年</v>
      </c>
      <c r="B2472" s="3" t="str">
        <f t="shared" si="139"/>
        <v>3月</v>
      </c>
      <c r="C2472" s="4" t="str">
        <f t="shared" si="140"/>
        <v>W10</v>
      </c>
      <c r="D2472" s="11" t="s">
        <v>803</v>
      </c>
      <c r="E2472" s="11" t="s">
        <v>804</v>
      </c>
      <c r="F2472" s="2" t="str" cm="1">
        <f t="array" ref="F2472">INDEX(_xlfn.TEXTSPLIT(E2472,"-"),2)</f>
        <v>男装</v>
      </c>
      <c r="G2472" s="2" t="str" cm="1">
        <f t="array" ref="G2472">INDEX(_xlfn.TEXTSPLIT(E2472,"-"),3)</f>
        <v>Polo衫</v>
      </c>
      <c r="H2472" s="12">
        <v>86765</v>
      </c>
      <c r="I2472" s="12">
        <v>6373131.4</v>
      </c>
      <c r="J2472" s="13">
        <v>0.0274</v>
      </c>
      <c r="K2472" s="13">
        <v>0.1402</v>
      </c>
    </row>
    <row r="2473" ht="14.5" spans="1:11">
      <c r="A2473" s="3" t="str">
        <f t="shared" si="138"/>
        <v>2026年</v>
      </c>
      <c r="B2473" s="3" t="str">
        <f t="shared" si="139"/>
        <v>3月</v>
      </c>
      <c r="C2473" s="4" t="str">
        <f t="shared" si="140"/>
        <v>W10</v>
      </c>
      <c r="D2473" s="11" t="s">
        <v>803</v>
      </c>
      <c r="E2473" s="11" t="s">
        <v>805</v>
      </c>
      <c r="F2473" s="2" t="str" cm="1">
        <f t="array" ref="F2473">INDEX(_xlfn.TEXTSPLIT(E2473,"-"),2)</f>
        <v>男装</v>
      </c>
      <c r="G2473" s="2" t="str" cm="1">
        <f t="array" ref="G2473">INDEX(_xlfn.TEXTSPLIT(E2473,"-"),3)</f>
        <v>T恤</v>
      </c>
      <c r="H2473" s="12">
        <v>643869</v>
      </c>
      <c r="I2473" s="12">
        <v>35388490.3</v>
      </c>
      <c r="J2473" s="13">
        <v>0.1403</v>
      </c>
      <c r="K2473" s="13">
        <v>0.025</v>
      </c>
    </row>
    <row r="2474" ht="14.5" spans="1:11">
      <c r="A2474" s="3" t="str">
        <f t="shared" si="138"/>
        <v>2026年</v>
      </c>
      <c r="B2474" s="3" t="str">
        <f t="shared" si="139"/>
        <v>3月</v>
      </c>
      <c r="C2474" s="4" t="str">
        <f t="shared" si="140"/>
        <v>W10</v>
      </c>
      <c r="D2474" s="11" t="s">
        <v>803</v>
      </c>
      <c r="E2474" s="11" t="s">
        <v>806</v>
      </c>
      <c r="F2474" s="2" t="str" cm="1">
        <f t="array" ref="F2474">INDEX(_xlfn.TEXTSPLIT(E2474,"-"),2)</f>
        <v>男装</v>
      </c>
      <c r="G2474" s="2" t="str" cm="1">
        <f t="array" ref="G2474">INDEX(_xlfn.TEXTSPLIT(E2474,"-"),3)</f>
        <v>中老年男装</v>
      </c>
      <c r="H2474" s="12">
        <v>24217</v>
      </c>
      <c r="I2474" s="12">
        <v>1074222.52</v>
      </c>
      <c r="J2474" s="13">
        <v>0.0061</v>
      </c>
      <c r="K2474" s="13">
        <v>0.1647</v>
      </c>
    </row>
    <row r="2475" ht="14.5" spans="1:11">
      <c r="A2475" s="3" t="str">
        <f t="shared" si="138"/>
        <v>2026年</v>
      </c>
      <c r="B2475" s="3" t="str">
        <f t="shared" si="139"/>
        <v>3月</v>
      </c>
      <c r="C2475" s="4" t="str">
        <f t="shared" si="140"/>
        <v>W10</v>
      </c>
      <c r="D2475" s="11" t="s">
        <v>803</v>
      </c>
      <c r="E2475" s="11" t="s">
        <v>807</v>
      </c>
      <c r="F2475" s="2" t="str" cm="1">
        <f t="array" ref="F2475">INDEX(_xlfn.TEXTSPLIT(E2475,"-"),2)</f>
        <v>男装</v>
      </c>
      <c r="G2475" s="2" t="str" cm="1">
        <f t="array" ref="G2475">INDEX(_xlfn.TEXTSPLIT(E2475,"-"),3)</f>
        <v>休闲裤</v>
      </c>
      <c r="H2475" s="12">
        <v>419471</v>
      </c>
      <c r="I2475" s="12">
        <v>31916882.22</v>
      </c>
      <c r="J2475" s="13">
        <v>0.128</v>
      </c>
      <c r="K2475" s="13">
        <v>0.1245</v>
      </c>
    </row>
    <row r="2476" ht="14.5" spans="1:11">
      <c r="A2476" s="3" t="str">
        <f t="shared" si="138"/>
        <v>2026年</v>
      </c>
      <c r="B2476" s="3" t="str">
        <f t="shared" si="139"/>
        <v>3月</v>
      </c>
      <c r="C2476" s="4" t="str">
        <f t="shared" si="140"/>
        <v>W10</v>
      </c>
      <c r="D2476" s="11" t="s">
        <v>803</v>
      </c>
      <c r="E2476" s="11" t="s">
        <v>808</v>
      </c>
      <c r="F2476" s="2" t="str" cm="1">
        <f t="array" ref="F2476">INDEX(_xlfn.TEXTSPLIT(E2476,"-"),2)</f>
        <v>男装</v>
      </c>
      <c r="G2476" s="2" t="str" cm="1">
        <f t="array" ref="G2476">INDEX(_xlfn.TEXTSPLIT(E2476,"-"),3)</f>
        <v>卫衣</v>
      </c>
      <c r="H2476" s="12">
        <v>191281</v>
      </c>
      <c r="I2476" s="12">
        <v>12438373.73</v>
      </c>
      <c r="J2476" s="13">
        <v>0.0528</v>
      </c>
      <c r="K2476" s="13">
        <v>0.085</v>
      </c>
    </row>
    <row r="2477" ht="14.5" spans="1:11">
      <c r="A2477" s="3" t="str">
        <f t="shared" si="138"/>
        <v>2026年</v>
      </c>
      <c r="B2477" s="3" t="str">
        <f t="shared" si="139"/>
        <v>3月</v>
      </c>
      <c r="C2477" s="4" t="str">
        <f t="shared" si="140"/>
        <v>W10</v>
      </c>
      <c r="D2477" s="11" t="s">
        <v>803</v>
      </c>
      <c r="E2477" s="11" t="s">
        <v>809</v>
      </c>
      <c r="F2477" s="2" t="str" cm="1">
        <f t="array" ref="F2477">INDEX(_xlfn.TEXTSPLIT(E2477,"-"),2)</f>
        <v>男装</v>
      </c>
      <c r="G2477" s="2" t="str" cm="1">
        <f t="array" ref="G2477">INDEX(_xlfn.TEXTSPLIT(E2477,"-"),3)</f>
        <v>卫裤</v>
      </c>
      <c r="H2477" s="12">
        <v>54481</v>
      </c>
      <c r="I2477" s="12">
        <v>3090280.98</v>
      </c>
      <c r="J2477" s="13">
        <v>0.0144</v>
      </c>
      <c r="K2477" s="13">
        <v>0.092</v>
      </c>
    </row>
    <row r="2478" ht="14.5" spans="1:11">
      <c r="A2478" s="3" t="str">
        <f t="shared" si="138"/>
        <v>2026年</v>
      </c>
      <c r="B2478" s="3" t="str">
        <f t="shared" si="139"/>
        <v>3月</v>
      </c>
      <c r="C2478" s="4" t="str">
        <f t="shared" si="140"/>
        <v>W10</v>
      </c>
      <c r="D2478" s="11" t="s">
        <v>803</v>
      </c>
      <c r="E2478" s="11" t="s">
        <v>810</v>
      </c>
      <c r="F2478" s="2" t="str" cm="1">
        <f t="array" ref="F2478">INDEX(_xlfn.TEXTSPLIT(E2478,"-"),2)</f>
        <v>男装</v>
      </c>
      <c r="G2478" s="2" t="str" cm="1">
        <f t="array" ref="G2478">INDEX(_xlfn.TEXTSPLIT(E2478,"-"),3)</f>
        <v>大码男装</v>
      </c>
      <c r="H2478" s="12">
        <v>44081</v>
      </c>
      <c r="I2478" s="12">
        <v>1221526</v>
      </c>
      <c r="J2478" s="13">
        <v>0.0086</v>
      </c>
      <c r="K2478" s="13">
        <v>0.2277</v>
      </c>
    </row>
    <row r="2479" ht="14.5" spans="1:11">
      <c r="A2479" s="3" t="str">
        <f t="shared" si="138"/>
        <v>2026年</v>
      </c>
      <c r="B2479" s="3" t="str">
        <f t="shared" si="139"/>
        <v>3月</v>
      </c>
      <c r="C2479" s="4" t="str">
        <f t="shared" si="140"/>
        <v>W10</v>
      </c>
      <c r="D2479" s="11" t="s">
        <v>803</v>
      </c>
      <c r="E2479" s="11" t="s">
        <v>811</v>
      </c>
      <c r="F2479" s="2" t="str" cm="1">
        <f t="array" ref="F2479">INDEX(_xlfn.TEXTSPLIT(E2479,"-"),2)</f>
        <v>男装</v>
      </c>
      <c r="G2479" s="2" t="str" cm="1">
        <f t="array" ref="G2479">INDEX(_xlfn.TEXTSPLIT(E2479,"-"),3)</f>
        <v>夹克</v>
      </c>
      <c r="H2479" s="12">
        <v>443192</v>
      </c>
      <c r="I2479" s="12">
        <v>58002161.5</v>
      </c>
      <c r="J2479" s="13">
        <v>0.221</v>
      </c>
      <c r="K2479" s="13">
        <v>0.1068</v>
      </c>
    </row>
    <row r="2480" ht="14.5" spans="1:11">
      <c r="A2480" s="3" t="str">
        <f t="shared" si="138"/>
        <v>2026年</v>
      </c>
      <c r="B2480" s="3" t="str">
        <f t="shared" si="139"/>
        <v>3月</v>
      </c>
      <c r="C2480" s="4" t="str">
        <f t="shared" si="140"/>
        <v>W10</v>
      </c>
      <c r="D2480" s="11" t="s">
        <v>803</v>
      </c>
      <c r="E2480" s="11" t="s">
        <v>812</v>
      </c>
      <c r="F2480" s="2" t="str" cm="1">
        <f t="array" ref="F2480">INDEX(_xlfn.TEXTSPLIT(E2480,"-"),2)</f>
        <v>男装</v>
      </c>
      <c r="G2480" s="2" t="str" cm="1">
        <f t="array" ref="G2480">INDEX(_xlfn.TEXTSPLIT(E2480,"-"),3)</f>
        <v>套装</v>
      </c>
      <c r="H2480" s="12">
        <v>67620</v>
      </c>
      <c r="I2480" s="12">
        <v>5436844.97</v>
      </c>
      <c r="J2480" s="13">
        <v>0.0258</v>
      </c>
      <c r="K2480" s="13">
        <v>-0.0286</v>
      </c>
    </row>
    <row r="2481" ht="14.5" spans="1:11">
      <c r="A2481" s="3" t="str">
        <f t="shared" si="138"/>
        <v>2026年</v>
      </c>
      <c r="B2481" s="3" t="str">
        <f t="shared" si="139"/>
        <v>3月</v>
      </c>
      <c r="C2481" s="4" t="str">
        <f t="shared" si="140"/>
        <v>W10</v>
      </c>
      <c r="D2481" s="11" t="s">
        <v>803</v>
      </c>
      <c r="E2481" s="11" t="s">
        <v>813</v>
      </c>
      <c r="F2481" s="2" t="str" cm="1">
        <f t="array" ref="F2481">INDEX(_xlfn.TEXTSPLIT(E2481,"-"),2)</f>
        <v>男装</v>
      </c>
      <c r="G2481" s="2" t="str" cm="1">
        <f t="array" ref="G2481">INDEX(_xlfn.TEXTSPLIT(E2481,"-"),3)</f>
        <v>学生校服</v>
      </c>
      <c r="H2481" s="12">
        <v>126</v>
      </c>
      <c r="I2481" s="12">
        <v>5123.08</v>
      </c>
      <c r="J2481" s="11" t="s">
        <v>713</v>
      </c>
      <c r="K2481" s="13">
        <v>0.2098</v>
      </c>
    </row>
    <row r="2482" ht="14.5" spans="1:11">
      <c r="A2482" s="3" t="str">
        <f t="shared" si="138"/>
        <v>2026年</v>
      </c>
      <c r="B2482" s="3" t="str">
        <f t="shared" si="139"/>
        <v>3月</v>
      </c>
      <c r="C2482" s="4" t="str">
        <f t="shared" si="140"/>
        <v>W10</v>
      </c>
      <c r="D2482" s="11" t="s">
        <v>803</v>
      </c>
      <c r="E2482" s="11" t="s">
        <v>814</v>
      </c>
      <c r="F2482" s="2" t="str" cm="1">
        <f t="array" ref="F2482">INDEX(_xlfn.TEXTSPLIT(E2482,"-"),2)</f>
        <v>男装</v>
      </c>
      <c r="G2482" s="2" t="str" cm="1">
        <f t="array" ref="G2482">INDEX(_xlfn.TEXTSPLIT(E2482,"-"),3)</f>
        <v>打底衫</v>
      </c>
      <c r="H2482" s="12">
        <v>5152</v>
      </c>
      <c r="I2482" s="12">
        <v>162370.05</v>
      </c>
      <c r="J2482" s="13">
        <v>0.0012</v>
      </c>
      <c r="K2482" s="13">
        <v>0.373</v>
      </c>
    </row>
    <row r="2483" ht="14.5" spans="1:11">
      <c r="A2483" s="3" t="str">
        <f t="shared" si="138"/>
        <v>2026年</v>
      </c>
      <c r="B2483" s="3" t="str">
        <f t="shared" si="139"/>
        <v>3月</v>
      </c>
      <c r="C2483" s="4" t="str">
        <f t="shared" si="140"/>
        <v>W10</v>
      </c>
      <c r="D2483" s="11" t="s">
        <v>803</v>
      </c>
      <c r="E2483" s="11" t="s">
        <v>815</v>
      </c>
      <c r="F2483" s="2" t="str" cm="1">
        <f t="array" ref="F2483">INDEX(_xlfn.TEXTSPLIT(E2483,"-"),2)</f>
        <v>男装</v>
      </c>
      <c r="G2483" s="2" t="str" cm="1">
        <f t="array" ref="G2483">INDEX(_xlfn.TEXTSPLIT(E2483,"-"),3)</f>
        <v>新中式男装</v>
      </c>
      <c r="H2483" s="12">
        <v>188</v>
      </c>
      <c r="I2483" s="12">
        <v>33163.03</v>
      </c>
      <c r="J2483" s="13">
        <v>0.0001</v>
      </c>
      <c r="K2483" s="13">
        <v>-0.3564</v>
      </c>
    </row>
    <row r="2484" ht="14.5" spans="1:11">
      <c r="A2484" s="3" t="str">
        <f t="shared" si="138"/>
        <v>2026年</v>
      </c>
      <c r="B2484" s="3" t="str">
        <f t="shared" si="139"/>
        <v>3月</v>
      </c>
      <c r="C2484" s="4" t="str">
        <f t="shared" si="140"/>
        <v>W10</v>
      </c>
      <c r="D2484" s="11" t="s">
        <v>803</v>
      </c>
      <c r="E2484" s="11" t="s">
        <v>816</v>
      </c>
      <c r="F2484" s="2" t="str" cm="1">
        <f t="array" ref="F2484">INDEX(_xlfn.TEXTSPLIT(E2484,"-"),2)</f>
        <v>男装</v>
      </c>
      <c r="G2484" s="2" t="str" cm="1">
        <f t="array" ref="G2484">INDEX(_xlfn.TEXTSPLIT(E2484,"-"),3)</f>
        <v>棉衣</v>
      </c>
      <c r="H2484" s="12">
        <v>48954</v>
      </c>
      <c r="I2484" s="12">
        <v>3500765.52</v>
      </c>
      <c r="J2484" s="13">
        <v>0.0146</v>
      </c>
      <c r="K2484" s="13">
        <v>0.2511</v>
      </c>
    </row>
    <row r="2485" ht="14.5" spans="1:11">
      <c r="A2485" s="3" t="str">
        <f t="shared" si="138"/>
        <v>2026年</v>
      </c>
      <c r="B2485" s="3" t="str">
        <f t="shared" si="139"/>
        <v>3月</v>
      </c>
      <c r="C2485" s="4" t="str">
        <f t="shared" si="140"/>
        <v>W10</v>
      </c>
      <c r="D2485" s="11" t="s">
        <v>803</v>
      </c>
      <c r="E2485" s="11" t="s">
        <v>817</v>
      </c>
      <c r="F2485" s="2" t="str" cm="1">
        <f t="array" ref="F2485">INDEX(_xlfn.TEXTSPLIT(E2485,"-"),2)</f>
        <v>男装</v>
      </c>
      <c r="G2485" s="2" t="str" cm="1">
        <f t="array" ref="G2485">INDEX(_xlfn.TEXTSPLIT(E2485,"-"),3)</f>
        <v>棉裤</v>
      </c>
      <c r="H2485" s="12">
        <v>1931</v>
      </c>
      <c r="I2485" s="12">
        <v>97946.63</v>
      </c>
      <c r="J2485" s="13">
        <v>0.0004</v>
      </c>
      <c r="K2485" s="13">
        <v>0.2362</v>
      </c>
    </row>
    <row r="2486" ht="14.5" spans="1:11">
      <c r="A2486" s="3" t="str">
        <f t="shared" si="138"/>
        <v>2026年</v>
      </c>
      <c r="B2486" s="3" t="str">
        <f t="shared" si="139"/>
        <v>3月</v>
      </c>
      <c r="C2486" s="4" t="str">
        <f t="shared" si="140"/>
        <v>W10</v>
      </c>
      <c r="D2486" s="11" t="s">
        <v>803</v>
      </c>
      <c r="E2486" s="11" t="s">
        <v>818</v>
      </c>
      <c r="F2486" s="2" t="str" cm="1">
        <f t="array" ref="F2486">INDEX(_xlfn.TEXTSPLIT(E2486,"-"),2)</f>
        <v>男装</v>
      </c>
      <c r="G2486" s="2" t="str" cm="1">
        <f t="array" ref="G2486">INDEX(_xlfn.TEXTSPLIT(E2486,"-"),3)</f>
        <v>毛呢大衣</v>
      </c>
      <c r="H2486" s="12">
        <v>5626</v>
      </c>
      <c r="I2486" s="12">
        <v>1273949.88</v>
      </c>
      <c r="J2486" s="13">
        <v>0.0053</v>
      </c>
      <c r="K2486" s="13">
        <v>0.3589</v>
      </c>
    </row>
    <row r="2487" ht="14.5" spans="1:11">
      <c r="A2487" s="3" t="str">
        <f t="shared" si="138"/>
        <v>2026年</v>
      </c>
      <c r="B2487" s="3" t="str">
        <f t="shared" si="139"/>
        <v>3月</v>
      </c>
      <c r="C2487" s="4" t="str">
        <f t="shared" si="140"/>
        <v>W10</v>
      </c>
      <c r="D2487" s="11" t="s">
        <v>803</v>
      </c>
      <c r="E2487" s="11" t="s">
        <v>819</v>
      </c>
      <c r="F2487" s="2" t="str" cm="1">
        <f t="array" ref="F2487">INDEX(_xlfn.TEXTSPLIT(E2487,"-"),2)</f>
        <v>男装</v>
      </c>
      <c r="G2487" s="2" t="str" cm="1">
        <f t="array" ref="G2487">INDEX(_xlfn.TEXTSPLIT(E2487,"-"),3)</f>
        <v>民族服装</v>
      </c>
      <c r="H2487" s="12">
        <v>4042</v>
      </c>
      <c r="I2487" s="12">
        <v>510211.2</v>
      </c>
      <c r="J2487" s="13">
        <v>0.0022</v>
      </c>
      <c r="K2487" s="13">
        <v>0.0306</v>
      </c>
    </row>
    <row r="2488" ht="14.5" spans="1:11">
      <c r="A2488" s="3" t="str">
        <f t="shared" si="138"/>
        <v>2026年</v>
      </c>
      <c r="B2488" s="3" t="str">
        <f t="shared" si="139"/>
        <v>3月</v>
      </c>
      <c r="C2488" s="4" t="str">
        <f t="shared" si="140"/>
        <v>W10</v>
      </c>
      <c r="D2488" s="11" t="s">
        <v>803</v>
      </c>
      <c r="E2488" s="11" t="s">
        <v>820</v>
      </c>
      <c r="F2488" s="2" t="str" cm="1">
        <f t="array" ref="F2488">INDEX(_xlfn.TEXTSPLIT(E2488,"-"),2)</f>
        <v>男装</v>
      </c>
      <c r="G2488" s="2" t="str" cm="1">
        <f t="array" ref="G2488">INDEX(_xlfn.TEXTSPLIT(E2488,"-"),3)</f>
        <v>派克服</v>
      </c>
      <c r="H2488" s="12">
        <v>1122</v>
      </c>
      <c r="I2488" s="12">
        <v>360398.01</v>
      </c>
      <c r="J2488" s="13">
        <v>0.0009</v>
      </c>
      <c r="K2488" s="13">
        <v>-0.1231</v>
      </c>
    </row>
    <row r="2489" ht="14.5" spans="1:11">
      <c r="A2489" s="3" t="str">
        <f t="shared" si="138"/>
        <v>2026年</v>
      </c>
      <c r="B2489" s="3" t="str">
        <f t="shared" si="139"/>
        <v>3月</v>
      </c>
      <c r="C2489" s="4" t="str">
        <f t="shared" si="140"/>
        <v>W10</v>
      </c>
      <c r="D2489" s="11" t="s">
        <v>803</v>
      </c>
      <c r="E2489" s="11" t="s">
        <v>821</v>
      </c>
      <c r="F2489" s="2" t="str" cm="1">
        <f t="array" ref="F2489">INDEX(_xlfn.TEXTSPLIT(E2489,"-"),2)</f>
        <v>男装</v>
      </c>
      <c r="G2489" s="2" t="str" cm="1">
        <f t="array" ref="G2489">INDEX(_xlfn.TEXTSPLIT(E2489,"-"),3)</f>
        <v>牛仔裤</v>
      </c>
      <c r="H2489" s="12">
        <v>272403</v>
      </c>
      <c r="I2489" s="12">
        <v>25307763.26</v>
      </c>
      <c r="J2489" s="13">
        <v>0.0965</v>
      </c>
      <c r="K2489" s="13">
        <v>0.0779</v>
      </c>
    </row>
    <row r="2490" ht="14.5" spans="1:11">
      <c r="A2490" s="3" t="str">
        <f t="shared" si="138"/>
        <v>2026年</v>
      </c>
      <c r="B2490" s="3" t="str">
        <f t="shared" si="139"/>
        <v>3月</v>
      </c>
      <c r="C2490" s="4" t="str">
        <f t="shared" si="140"/>
        <v>W10</v>
      </c>
      <c r="D2490" s="11" t="s">
        <v>803</v>
      </c>
      <c r="E2490" s="11" t="s">
        <v>822</v>
      </c>
      <c r="F2490" s="2" t="str" cm="1">
        <f t="array" ref="F2490">INDEX(_xlfn.TEXTSPLIT(E2490,"-"),2)</f>
        <v>男装</v>
      </c>
      <c r="G2490" s="2" t="str" cm="1">
        <f t="array" ref="G2490">INDEX(_xlfn.TEXTSPLIT(E2490,"-"),3)</f>
        <v>皮草</v>
      </c>
      <c r="H2490" s="12">
        <v>377</v>
      </c>
      <c r="I2490" s="12">
        <v>160515.29</v>
      </c>
      <c r="J2490" s="13">
        <v>0.0009</v>
      </c>
      <c r="K2490" s="13">
        <v>0.0941</v>
      </c>
    </row>
    <row r="2491" ht="14.5" spans="1:11">
      <c r="A2491" s="3" t="str">
        <f t="shared" si="138"/>
        <v>2026年</v>
      </c>
      <c r="B2491" s="3" t="str">
        <f t="shared" si="139"/>
        <v>3月</v>
      </c>
      <c r="C2491" s="4" t="str">
        <f t="shared" si="140"/>
        <v>W10</v>
      </c>
      <c r="D2491" s="11" t="s">
        <v>803</v>
      </c>
      <c r="E2491" s="11" t="s">
        <v>823</v>
      </c>
      <c r="F2491" s="2" t="str" cm="1">
        <f t="array" ref="F2491">INDEX(_xlfn.TEXTSPLIT(E2491,"-"),2)</f>
        <v>男装</v>
      </c>
      <c r="G2491" s="2" t="str" cm="1">
        <f t="array" ref="G2491">INDEX(_xlfn.TEXTSPLIT(E2491,"-"),3)</f>
        <v>皮衣</v>
      </c>
      <c r="H2491" s="12">
        <v>36317</v>
      </c>
      <c r="I2491" s="12">
        <v>8931425.21</v>
      </c>
      <c r="J2491" s="14">
        <v>0.04</v>
      </c>
      <c r="K2491" s="13">
        <v>0.1716</v>
      </c>
    </row>
    <row r="2492" ht="14.5" spans="1:11">
      <c r="A2492" s="3" t="str">
        <f t="shared" si="138"/>
        <v>2026年</v>
      </c>
      <c r="B2492" s="3" t="str">
        <f t="shared" si="139"/>
        <v>3月</v>
      </c>
      <c r="C2492" s="4" t="str">
        <f t="shared" si="140"/>
        <v>W10</v>
      </c>
      <c r="D2492" s="11" t="s">
        <v>803</v>
      </c>
      <c r="E2492" s="11" t="s">
        <v>824</v>
      </c>
      <c r="F2492" s="2" t="str" cm="1">
        <f t="array" ref="F2492">INDEX(_xlfn.TEXTSPLIT(E2492,"-"),2)</f>
        <v>男装</v>
      </c>
      <c r="G2492" s="2" t="str" cm="1">
        <f t="array" ref="G2492">INDEX(_xlfn.TEXTSPLIT(E2492,"-"),3)</f>
        <v>皮裤</v>
      </c>
      <c r="H2492" s="12">
        <v>546</v>
      </c>
      <c r="I2492" s="12">
        <v>28321.74</v>
      </c>
      <c r="J2492" s="13">
        <v>0.0002</v>
      </c>
      <c r="K2492" s="13">
        <v>0.563</v>
      </c>
    </row>
    <row r="2493" ht="14.5" spans="1:11">
      <c r="A2493" s="3" t="str">
        <f t="shared" si="138"/>
        <v>2026年</v>
      </c>
      <c r="B2493" s="3" t="str">
        <f t="shared" si="139"/>
        <v>3月</v>
      </c>
      <c r="C2493" s="4" t="str">
        <f t="shared" si="140"/>
        <v>W10</v>
      </c>
      <c r="D2493" s="11" t="s">
        <v>803</v>
      </c>
      <c r="E2493" s="11" t="s">
        <v>825</v>
      </c>
      <c r="F2493" s="2" t="str" cm="1">
        <f t="array" ref="F2493">INDEX(_xlfn.TEXTSPLIT(E2493,"-"),2)</f>
        <v>男装</v>
      </c>
      <c r="G2493" s="2" t="str" cm="1">
        <f t="array" ref="G2493">INDEX(_xlfn.TEXTSPLIT(E2493,"-"),3)</f>
        <v>短外套</v>
      </c>
      <c r="H2493" s="12">
        <v>27691</v>
      </c>
      <c r="I2493" s="12">
        <v>1473558.75</v>
      </c>
      <c r="J2493" s="13">
        <v>0.0058</v>
      </c>
      <c r="K2493" s="13">
        <v>0.0465</v>
      </c>
    </row>
    <row r="2494" ht="14.5" spans="1:11">
      <c r="A2494" s="3" t="str">
        <f t="shared" si="138"/>
        <v>2026年</v>
      </c>
      <c r="B2494" s="3" t="str">
        <f t="shared" si="139"/>
        <v>3月</v>
      </c>
      <c r="C2494" s="4" t="str">
        <f t="shared" si="140"/>
        <v>W10</v>
      </c>
      <c r="D2494" s="11" t="s">
        <v>803</v>
      </c>
      <c r="E2494" s="11" t="s">
        <v>826</v>
      </c>
      <c r="F2494" s="2" t="str" cm="1">
        <f t="array" ref="F2494">INDEX(_xlfn.TEXTSPLIT(E2494,"-"),2)</f>
        <v>男装</v>
      </c>
      <c r="G2494" s="2" t="str" cm="1">
        <f t="array" ref="G2494">INDEX(_xlfn.TEXTSPLIT(E2494,"-"),3)</f>
        <v>短裤</v>
      </c>
      <c r="H2494" s="12">
        <v>59365</v>
      </c>
      <c r="I2494" s="12">
        <v>2012432.04</v>
      </c>
      <c r="J2494" s="13">
        <v>0.008</v>
      </c>
      <c r="K2494" s="13">
        <v>-0.0258</v>
      </c>
    </row>
    <row r="2495" ht="14.5" spans="1:11">
      <c r="A2495" s="3" t="str">
        <f t="shared" si="138"/>
        <v>2026年</v>
      </c>
      <c r="B2495" s="3" t="str">
        <f t="shared" si="139"/>
        <v>3月</v>
      </c>
      <c r="C2495" s="4" t="str">
        <f t="shared" si="140"/>
        <v>W10</v>
      </c>
      <c r="D2495" s="11" t="s">
        <v>803</v>
      </c>
      <c r="E2495" s="11" t="s">
        <v>827</v>
      </c>
      <c r="F2495" s="2" t="str" cm="1">
        <f t="array" ref="F2495">INDEX(_xlfn.TEXTSPLIT(E2495,"-"),2)</f>
        <v>男装</v>
      </c>
      <c r="G2495" s="2" t="str" cm="1">
        <f t="array" ref="G2495">INDEX(_xlfn.TEXTSPLIT(E2495,"-"),3)</f>
        <v>紧身衣</v>
      </c>
      <c r="H2495" s="12">
        <v>297</v>
      </c>
      <c r="I2495" s="12">
        <v>4060.94</v>
      </c>
      <c r="J2495" s="11" t="s">
        <v>713</v>
      </c>
      <c r="K2495" s="13">
        <v>-0.4619</v>
      </c>
    </row>
    <row r="2496" ht="14.5" spans="1:11">
      <c r="A2496" s="3" t="str">
        <f t="shared" si="138"/>
        <v>2026年</v>
      </c>
      <c r="B2496" s="3" t="str">
        <f t="shared" si="139"/>
        <v>3月</v>
      </c>
      <c r="C2496" s="4" t="str">
        <f t="shared" si="140"/>
        <v>W10</v>
      </c>
      <c r="D2496" s="11" t="s">
        <v>803</v>
      </c>
      <c r="E2496" s="11" t="s">
        <v>828</v>
      </c>
      <c r="F2496" s="2" t="str" cm="1">
        <f t="array" ref="F2496">INDEX(_xlfn.TEXTSPLIT(E2496,"-"),2)</f>
        <v>男装</v>
      </c>
      <c r="G2496" s="2" t="str" cm="1">
        <f t="array" ref="G2496">INDEX(_xlfn.TEXTSPLIT(E2496,"-"),3)</f>
        <v>羊毛衫</v>
      </c>
      <c r="H2496" s="12">
        <v>16603</v>
      </c>
      <c r="I2496" s="12">
        <v>1718425.38</v>
      </c>
      <c r="J2496" s="13">
        <v>0.0065</v>
      </c>
      <c r="K2496" s="13">
        <v>-0.0633</v>
      </c>
    </row>
    <row r="2497" ht="14.5" spans="1:11">
      <c r="A2497" s="3" t="str">
        <f t="shared" si="138"/>
        <v>2026年</v>
      </c>
      <c r="B2497" s="3" t="str">
        <f t="shared" si="139"/>
        <v>3月</v>
      </c>
      <c r="C2497" s="4" t="str">
        <f t="shared" si="140"/>
        <v>W10</v>
      </c>
      <c r="D2497" s="11" t="s">
        <v>803</v>
      </c>
      <c r="E2497" s="11" t="s">
        <v>829</v>
      </c>
      <c r="F2497" s="2" t="str" cm="1">
        <f t="array" ref="F2497">INDEX(_xlfn.TEXTSPLIT(E2497,"-"),2)</f>
        <v>男装</v>
      </c>
      <c r="G2497" s="2" t="str" cm="1">
        <f t="array" ref="G2497">INDEX(_xlfn.TEXTSPLIT(E2497,"-"),3)</f>
        <v>羊绒衫</v>
      </c>
      <c r="H2497" s="12">
        <v>2146</v>
      </c>
      <c r="I2497" s="12">
        <v>522610.31</v>
      </c>
      <c r="J2497" s="13">
        <v>0.002</v>
      </c>
      <c r="K2497" s="13">
        <v>-0.1798</v>
      </c>
    </row>
    <row r="2498" ht="14.5" spans="1:11">
      <c r="A2498" s="3" t="str">
        <f t="shared" si="138"/>
        <v>2026年</v>
      </c>
      <c r="B2498" s="3" t="str">
        <f t="shared" si="139"/>
        <v>3月</v>
      </c>
      <c r="C2498" s="4" t="str">
        <f t="shared" si="140"/>
        <v>W10</v>
      </c>
      <c r="D2498" s="11" t="s">
        <v>803</v>
      </c>
      <c r="E2498" s="11" t="s">
        <v>830</v>
      </c>
      <c r="F2498" s="2" t="str" cm="1">
        <f t="array" ref="F2498">INDEX(_xlfn.TEXTSPLIT(E2498,"-"),2)</f>
        <v>男装</v>
      </c>
      <c r="G2498" s="2" t="str" cm="1">
        <f t="array" ref="G2498">INDEX(_xlfn.TEXTSPLIT(E2498,"-"),3)</f>
        <v>羽绒服</v>
      </c>
      <c r="H2498" s="12">
        <v>55184</v>
      </c>
      <c r="I2498" s="12">
        <v>10396191.98</v>
      </c>
      <c r="J2498" s="13">
        <v>0.041</v>
      </c>
      <c r="K2498" s="13">
        <v>0.254</v>
      </c>
    </row>
    <row r="2499" ht="14.5" spans="1:11">
      <c r="A2499" s="3" t="str">
        <f t="shared" si="138"/>
        <v>2026年</v>
      </c>
      <c r="B2499" s="3" t="str">
        <f t="shared" si="139"/>
        <v>3月</v>
      </c>
      <c r="C2499" s="4" t="str">
        <f t="shared" si="140"/>
        <v>W10</v>
      </c>
      <c r="D2499" s="11" t="s">
        <v>803</v>
      </c>
      <c r="E2499" s="11" t="s">
        <v>831</v>
      </c>
      <c r="F2499" s="2" t="str" cm="1">
        <f t="array" ref="F2499">INDEX(_xlfn.TEXTSPLIT(E2499,"-"),2)</f>
        <v>男装</v>
      </c>
      <c r="G2499" s="2" t="str" cm="1">
        <f t="array" ref="G2499">INDEX(_xlfn.TEXTSPLIT(E2499,"-"),3)</f>
        <v>羽绒裤</v>
      </c>
      <c r="H2499" s="12">
        <v>360</v>
      </c>
      <c r="I2499" s="12">
        <v>24905.38</v>
      </c>
      <c r="J2499" s="13">
        <v>0.0001</v>
      </c>
      <c r="K2499" s="13">
        <v>-0.0648</v>
      </c>
    </row>
    <row r="2500" ht="14.5" spans="1:11">
      <c r="A2500" s="3" t="str">
        <f>TEXT(YEAR(D2500),"0")&amp;"年"</f>
        <v>2026年</v>
      </c>
      <c r="B2500" s="3" t="str">
        <f>TEXT(MONTH(D2500),"0")&amp;"月"</f>
        <v>3月</v>
      </c>
      <c r="C2500" s="4" t="str">
        <f>"W"&amp;TEXT(WEEKNUM(D2500,2),"0")</f>
        <v>W10</v>
      </c>
      <c r="D2500" s="11" t="s">
        <v>803</v>
      </c>
      <c r="E2500" s="11" t="s">
        <v>832</v>
      </c>
      <c r="F2500" s="2" t="str" cm="1">
        <f t="array" ref="F2500">INDEX(_xlfn.TEXTSPLIT(E2500,"-"),2)</f>
        <v>男装</v>
      </c>
      <c r="G2500" s="2" t="str" cm="1">
        <f t="array" ref="G2500">INDEX(_xlfn.TEXTSPLIT(E2500,"-"),3)</f>
        <v>羽绒马甲</v>
      </c>
      <c r="H2500" s="12">
        <v>1933</v>
      </c>
      <c r="I2500" s="12">
        <v>197994.95</v>
      </c>
      <c r="J2500" s="13">
        <v>0.001</v>
      </c>
      <c r="K2500" s="13">
        <v>-0.0137</v>
      </c>
    </row>
    <row r="2501" ht="14.5" spans="1:11">
      <c r="A2501" s="3" t="str">
        <f>TEXT(YEAR(D2501),"0")&amp;"年"</f>
        <v>2026年</v>
      </c>
      <c r="B2501" s="3" t="str">
        <f>TEXT(MONTH(D2501),"0")&amp;"月"</f>
        <v>3月</v>
      </c>
      <c r="C2501" s="4" t="str">
        <f>"W"&amp;TEXT(WEEKNUM(D2501,2),"0")</f>
        <v>W10</v>
      </c>
      <c r="D2501" s="11" t="s">
        <v>803</v>
      </c>
      <c r="E2501" s="11" t="s">
        <v>833</v>
      </c>
      <c r="F2501" s="2" t="str" cm="1">
        <f t="array" ref="F2501">INDEX(_xlfn.TEXTSPLIT(E2501,"-"),2)</f>
        <v>男装</v>
      </c>
      <c r="G2501" s="2" t="str" cm="1">
        <f t="array" ref="G2501">INDEX(_xlfn.TEXTSPLIT(E2501,"-"),3)</f>
        <v>背心</v>
      </c>
      <c r="H2501" s="12">
        <v>35455</v>
      </c>
      <c r="I2501" s="12">
        <v>1285036.78</v>
      </c>
      <c r="J2501" s="13">
        <v>0.0054</v>
      </c>
      <c r="K2501" s="13">
        <v>0.1463</v>
      </c>
    </row>
    <row r="2502" ht="14.5" spans="1:11">
      <c r="A2502" s="3" t="str">
        <f>TEXT(YEAR(D2502),"0")&amp;"年"</f>
        <v>2026年</v>
      </c>
      <c r="B2502" s="3" t="str">
        <f>TEXT(MONTH(D2502),"0")&amp;"月"</f>
        <v>3月</v>
      </c>
      <c r="C2502" s="4" t="str">
        <f>"W"&amp;TEXT(WEEKNUM(D2502,2),"0")</f>
        <v>W10</v>
      </c>
      <c r="D2502" s="11" t="s">
        <v>803</v>
      </c>
      <c r="E2502" s="11" t="s">
        <v>834</v>
      </c>
      <c r="F2502" s="2" t="str" cm="1">
        <f t="array" ref="F2502">INDEX(_xlfn.TEXTSPLIT(E2502,"-"),2)</f>
        <v>男装</v>
      </c>
      <c r="G2502" s="2" t="str" cm="1">
        <f t="array" ref="G2502">INDEX(_xlfn.TEXTSPLIT(E2502,"-"),3)</f>
        <v>衬衫</v>
      </c>
      <c r="H2502" s="12">
        <v>113825</v>
      </c>
      <c r="I2502" s="12">
        <v>10091554.58</v>
      </c>
      <c r="J2502" s="13">
        <v>0.0427</v>
      </c>
      <c r="K2502" s="13">
        <v>0.0013</v>
      </c>
    </row>
    <row r="2503" ht="14.5" spans="1:11">
      <c r="A2503" s="3" t="str">
        <f>TEXT(YEAR(D2503),"0")&amp;"年"</f>
        <v>2026年</v>
      </c>
      <c r="B2503" s="3" t="str">
        <f>TEXT(MONTH(D2503),"0")&amp;"月"</f>
        <v>3月</v>
      </c>
      <c r="C2503" s="4" t="str">
        <f>"W"&amp;TEXT(WEEKNUM(D2503,2),"0")</f>
        <v>W10</v>
      </c>
      <c r="D2503" s="11" t="s">
        <v>803</v>
      </c>
      <c r="E2503" s="11" t="s">
        <v>835</v>
      </c>
      <c r="F2503" s="2" t="str" cm="1">
        <f t="array" ref="F2503">INDEX(_xlfn.TEXTSPLIT(E2503,"-"),2)</f>
        <v>男装</v>
      </c>
      <c r="G2503" s="2" t="str" cm="1">
        <f t="array" ref="G2503">INDEX(_xlfn.TEXTSPLIT(E2503,"-"),3)</f>
        <v>西服</v>
      </c>
      <c r="H2503" s="12">
        <v>62934</v>
      </c>
      <c r="I2503" s="12">
        <v>11672204.6</v>
      </c>
      <c r="J2503" s="13">
        <v>0.0468</v>
      </c>
      <c r="K2503" s="13">
        <v>0.133</v>
      </c>
    </row>
    <row r="2504" ht="14.5" spans="1:11">
      <c r="A2504" s="3" t="str">
        <f>TEXT(YEAR(D2504),"0")&amp;"年"</f>
        <v>2026年</v>
      </c>
      <c r="B2504" s="3" t="str">
        <f>TEXT(MONTH(D2504),"0")&amp;"月"</f>
        <v>3月</v>
      </c>
      <c r="C2504" s="4" t="str">
        <f>"W"&amp;TEXT(WEEKNUM(D2504,2),"0")</f>
        <v>W10</v>
      </c>
      <c r="D2504" s="11" t="s">
        <v>803</v>
      </c>
      <c r="E2504" s="11" t="s">
        <v>836</v>
      </c>
      <c r="F2504" s="2" t="str" cm="1">
        <f t="array" ref="F2504">INDEX(_xlfn.TEXTSPLIT(E2504,"-"),2)</f>
        <v>男装</v>
      </c>
      <c r="G2504" s="2" t="str" cm="1">
        <f t="array" ref="G2504">INDEX(_xlfn.TEXTSPLIT(E2504,"-"),3)</f>
        <v>连体衣/裤</v>
      </c>
      <c r="H2504" s="12">
        <v>185</v>
      </c>
      <c r="I2504" s="12">
        <v>2244.35</v>
      </c>
      <c r="J2504" s="11" t="s">
        <v>713</v>
      </c>
      <c r="K2504" s="13">
        <v>0.528</v>
      </c>
    </row>
    <row r="2505" ht="14.5" spans="1:11">
      <c r="A2505" s="3" t="str">
        <f>TEXT(YEAR(D2505),"0")&amp;"年"</f>
        <v>2026年</v>
      </c>
      <c r="B2505" s="3" t="str">
        <f>TEXT(MONTH(D2505),"0")&amp;"月"</f>
        <v>3月</v>
      </c>
      <c r="C2505" s="4" t="str">
        <f>"W"&amp;TEXT(WEEKNUM(D2505,2),"0")</f>
        <v>W10</v>
      </c>
      <c r="D2505" s="11" t="s">
        <v>803</v>
      </c>
      <c r="E2505" s="11" t="s">
        <v>837</v>
      </c>
      <c r="F2505" s="2" t="str" cm="1">
        <f t="array" ref="F2505">INDEX(_xlfn.TEXTSPLIT(E2505,"-"),2)</f>
        <v>男装</v>
      </c>
      <c r="G2505" s="2" t="str" cm="1">
        <f t="array" ref="G2505">INDEX(_xlfn.TEXTSPLIT(E2505,"-"),3)</f>
        <v>速干/三防T恤</v>
      </c>
      <c r="H2505" s="12">
        <v>2870</v>
      </c>
      <c r="I2505" s="12">
        <v>226206.51</v>
      </c>
      <c r="J2505" s="13">
        <v>0.0011</v>
      </c>
      <c r="K2505" s="13">
        <v>-0.0185</v>
      </c>
    </row>
    <row r="2506" ht="14.5" spans="1:11">
      <c r="A2506" s="3" t="str">
        <f>TEXT(YEAR(D2506),"0")&amp;"年"</f>
        <v>2026年</v>
      </c>
      <c r="B2506" s="3" t="str">
        <f>TEXT(MONTH(D2506),"0")&amp;"月"</f>
        <v>3月</v>
      </c>
      <c r="C2506" s="4" t="str">
        <f>"W"&amp;TEXT(WEEKNUM(D2506,2),"0")</f>
        <v>W10</v>
      </c>
      <c r="D2506" s="11" t="s">
        <v>803</v>
      </c>
      <c r="E2506" s="11" t="s">
        <v>838</v>
      </c>
      <c r="F2506" s="2" t="str" cm="1">
        <f t="array" ref="F2506">INDEX(_xlfn.TEXTSPLIT(E2506,"-"),2)</f>
        <v>男装</v>
      </c>
      <c r="G2506" s="2" t="str" cm="1">
        <f t="array" ref="G2506">INDEX(_xlfn.TEXTSPLIT(E2506,"-"),3)</f>
        <v>针织衫/毛衣</v>
      </c>
      <c r="H2506" s="12">
        <v>84176</v>
      </c>
      <c r="I2506" s="12">
        <v>6214489.07</v>
      </c>
      <c r="J2506" s="13">
        <v>0.0322</v>
      </c>
      <c r="K2506" s="13">
        <v>0.0841</v>
      </c>
    </row>
    <row r="2507" ht="14.5" spans="1:11">
      <c r="A2507" s="3" t="str">
        <f>TEXT(YEAR(D2507),"0")&amp;"年"</f>
        <v>2026年</v>
      </c>
      <c r="B2507" s="3" t="str">
        <f>TEXT(MONTH(D2507),"0")&amp;"月"</f>
        <v>3月</v>
      </c>
      <c r="C2507" s="4" t="str">
        <f>"W"&amp;TEXT(WEEKNUM(D2507,2),"0")</f>
        <v>W10</v>
      </c>
      <c r="D2507" s="11" t="s">
        <v>803</v>
      </c>
      <c r="E2507" s="11" t="s">
        <v>839</v>
      </c>
      <c r="F2507" s="2" t="str" cm="1">
        <f t="array" ref="F2507">INDEX(_xlfn.TEXTSPLIT(E2507,"-"),2)</f>
        <v>男装</v>
      </c>
      <c r="G2507" s="2" t="str" cm="1">
        <f t="array" ref="G2507">INDEX(_xlfn.TEXTSPLIT(E2507,"-"),3)</f>
        <v>防晒服</v>
      </c>
      <c r="H2507" s="12">
        <v>12218</v>
      </c>
      <c r="I2507" s="12">
        <v>370894.07</v>
      </c>
      <c r="J2507" s="13">
        <v>0.004</v>
      </c>
      <c r="K2507" s="13">
        <v>1.542</v>
      </c>
    </row>
    <row r="2508" ht="14.5" spans="1:11">
      <c r="A2508" s="3" t="str">
        <f>TEXT(YEAR(D2508),"0")&amp;"年"</f>
        <v>2026年</v>
      </c>
      <c r="B2508" s="3" t="str">
        <f>TEXT(MONTH(D2508),"0")&amp;"月"</f>
        <v>3月</v>
      </c>
      <c r="C2508" s="4" t="str">
        <f>"W"&amp;TEXT(WEEKNUM(D2508,2),"0")</f>
        <v>W10</v>
      </c>
      <c r="D2508" s="11" t="s">
        <v>803</v>
      </c>
      <c r="E2508" s="11" t="s">
        <v>840</v>
      </c>
      <c r="F2508" s="2" t="str" cm="1">
        <f t="array" ref="F2508">INDEX(_xlfn.TEXTSPLIT(E2508,"-"),2)</f>
        <v>男装</v>
      </c>
      <c r="G2508" s="2" t="str" cm="1">
        <f t="array" ref="G2508">INDEX(_xlfn.TEXTSPLIT(E2508,"-"),3)</f>
        <v>风衣</v>
      </c>
      <c r="H2508" s="12">
        <v>11228</v>
      </c>
      <c r="I2508" s="12">
        <v>1795790.8</v>
      </c>
      <c r="J2508" s="13">
        <v>0.0085</v>
      </c>
      <c r="K2508" s="13">
        <v>0.1669</v>
      </c>
    </row>
    <row r="2509" ht="14.5" spans="1:11">
      <c r="A2509" s="3" t="str">
        <f>TEXT(YEAR(D2509),"0")&amp;"年"</f>
        <v>2026年</v>
      </c>
      <c r="B2509" s="3" t="str">
        <f>TEXT(MONTH(D2509),"0")&amp;"月"</f>
        <v>3月</v>
      </c>
      <c r="C2509" s="4" t="str">
        <f>"W"&amp;TEXT(WEEKNUM(D2509,2),"0")</f>
        <v>W10</v>
      </c>
      <c r="D2509" s="11" t="s">
        <v>803</v>
      </c>
      <c r="E2509" s="11" t="s">
        <v>841</v>
      </c>
      <c r="F2509" s="2" t="str" cm="1">
        <f t="array" ref="F2509">INDEX(_xlfn.TEXTSPLIT(E2509,"-"),2)</f>
        <v>男装</v>
      </c>
      <c r="G2509" s="2" t="str" cm="1">
        <f t="array" ref="G2509">INDEX(_xlfn.TEXTSPLIT(E2509,"-"),3)</f>
        <v>马甲</v>
      </c>
      <c r="H2509" s="12">
        <v>26524</v>
      </c>
      <c r="I2509" s="12">
        <v>1685424.32</v>
      </c>
      <c r="J2509" s="13">
        <v>0.0081</v>
      </c>
      <c r="K2509" s="13">
        <v>0.0524</v>
      </c>
    </row>
  </sheetData>
  <autoFilter xmlns:etc="http://www.wps.cn/officeDocument/2017/etCustomData" ref="A1:K2243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业务情况</vt:lpstr>
      <vt:lpstr>2026年-年度目标 </vt:lpstr>
      <vt:lpstr>2026年-周目标</vt:lpstr>
      <vt:lpstr>2026年-行业竞品跟踪</vt:lpstr>
      <vt:lpstr>GXG-日报</vt:lpstr>
      <vt:lpstr>Champion-日报</vt:lpstr>
      <vt:lpstr>GXG-直播明细</vt:lpstr>
      <vt:lpstr>DAZZLE-日报</vt:lpstr>
      <vt:lpstr>DAZZLE（视频号）-日报</vt:lpstr>
      <vt:lpstr>DAZZLE-直播明细</vt:lpstr>
      <vt:lpstr>女装-品类销售明细</vt:lpstr>
      <vt:lpstr>男装-品类销售明细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泡泡泡沫</cp:lastModifiedBy>
  <dcterms:created xsi:type="dcterms:W3CDTF">2015-06-11T02:17:00Z</dcterms:created>
  <dcterms:modified xsi:type="dcterms:W3CDTF">2026-03-09T03:02:06Z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1EA63F34AC6BC046117DC268566156B0_43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